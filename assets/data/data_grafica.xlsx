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charts/style5.xml" ContentType="application/vnd.ms-office.chartstyle+xml"/>
  <Override PartName="/xl/charts/chart12.xml" ContentType="application/vnd.openxmlformats-officedocument.drawingml.chart+xml"/>
  <Override PartName="/xl/worksheets/sheet4.xml" ContentType="application/vnd.openxmlformats-officedocument.spreadsheetml.worksheet+xml"/>
  <Override PartName="/xl/charts/chart7.xml" ContentType="application/vnd.openxmlformats-officedocument.drawingml.chart+xml"/>
  <Override PartName="/xl/charts/style3.xml" ContentType="application/vnd.ms-office.chartstyle+xml"/>
  <Override PartName="/xl/charts/style1.xml" ContentType="application/vnd.ms-office.chartstyle+xml"/>
  <Override PartName="/xl/charts/colors4.xml" ContentType="application/vnd.ms-office.chartcolorstyle+xml"/>
  <Override PartName="/xl/charts/chartEx14.xml" ContentType="application/vnd.ms-office.chartex+xml"/>
  <Override PartName="/xl/charts/style8.xml" ContentType="application/vnd.ms-office.chartstyle+xml"/>
  <Override PartName="/xl/charts/chart5.xml" ContentType="application/vnd.openxmlformats-officedocument.drawingml.chart+xml"/>
  <Override PartName="/xl/worksheets/sheet15.xml" ContentType="application/vnd.openxmlformats-officedocument.spreadsheetml.worksheet+xml"/>
  <Override PartName="/xl/charts/chart8.xml" ContentType="application/vnd.openxmlformats-officedocument.drawingml.chart+xml"/>
  <Override PartName="/xl/externalLinks/externalLink1.xml" ContentType="application/vnd.openxmlformats-officedocument.spreadsheetml.externalLink+xml"/>
  <Override PartName="/xl/charts/chart9.xml" ContentType="application/vnd.openxmlformats-officedocument.drawingml.chart+xml"/>
  <Override PartName="/xl/charts/chart2.xml" ContentType="application/vnd.openxmlformats-officedocument.drawingml.chart+xml"/>
  <Override PartName="/xl/worksheets/sheet11.xml" ContentType="application/vnd.openxmlformats-officedocument.spreadsheetml.worksheet+xml"/>
  <Override PartName="/xl/charts/colors2.xml" ContentType="application/vnd.ms-office.chartcolorstyle+xml"/>
  <Override PartName="/xl/charts/chartEx4.xml" ContentType="application/vnd.ms-office.chartex+xml"/>
  <Override PartName="/xl/charts/colors1.xml" ContentType="application/vnd.ms-office.chartcolorstyle+xml"/>
  <Override PartName="/xl/charts/chart10.xml" ContentType="application/vnd.openxmlformats-officedocument.drawingml.chart+xml"/>
  <Override PartName="/xl/charts/chartEx15.xml" ContentType="application/vnd.ms-office.chartex+xml"/>
  <Override PartName="/xl/charts/style11.xml" ContentType="application/vnd.ms-office.chartstyle+xml"/>
  <Override PartName="/xl/charts/chart1.xml" ContentType="application/vnd.openxmlformats-officedocument.drawingml.chart+xml"/>
  <Override PartName="/xl/charts/style7.xml" ContentType="application/vnd.ms-office.chartstyle+xml"/>
  <Override PartName="/xl/charts/colors5.xml" ContentType="application/vnd.ms-office.chartcolorstyl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style6.xml" ContentType="application/vnd.ms-office.chartstyle+xml"/>
  <Override PartName="/xl/charts/chart3.xml" ContentType="application/vnd.openxmlformats-officedocument.drawingml.chart+xml"/>
  <Override PartName="/docProps/core.xml" ContentType="application/vnd.openxmlformats-package.core-properties+xml"/>
  <Override PartName="/xl/charts/colors6.xml" ContentType="application/vnd.ms-office.chartcolorstyle+xml"/>
  <Override PartName="/xl/worksheets/sheet3.xml" ContentType="application/vnd.openxmlformats-officedocument.spreadsheetml.workshee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style9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olors8.xml" ContentType="application/vnd.ms-office.chartcolorstyle+xml"/>
  <Override PartName="/xl/charts/style4.xml" ContentType="application/vnd.ms-office.chartstyle+xml"/>
  <Override PartName="/xl/charts/style10.xml" ContentType="application/vnd.ms-office.chartstyle+xml"/>
  <Override PartName="/xl/charts/chart6.xml" ContentType="application/vnd.openxmlformats-officedocument.drawingml.chart+xml"/>
  <Override PartName="/xl/worksheets/sheet8.xml" ContentType="application/vnd.openxmlformats-officedocument.spreadsheetml.worksheet+xml"/>
  <Override PartName="/xl/charts/colors10.xml" ContentType="application/vnd.ms-office.chartcolorstyle+xml"/>
  <Override PartName="/xl/worksheets/sheet2.xml" ContentType="application/vnd.openxmlformats-officedocument.spreadsheetml.worksheet+xml"/>
  <Override PartName="/xl/charts/colors11.xml" ContentType="application/vnd.ms-office.chartcolorstyle+xml"/>
  <Override PartName="/xl/charts/style2.xml" ContentType="application/vnd.ms-office.chartstyle+xml"/>
  <Override PartName="/xl/charts/chartEx16.xml" ContentType="application/vnd.ms-office.chartex+xml"/>
  <Override PartName="/docProps/app.xml" ContentType="application/vnd.openxmlformats-officedocument.extended-properties+xml"/>
  <Override PartName="/xl/charts/chart11.xml" ContentType="application/vnd.openxmlformats-officedocument.drawingml.chart+xml"/>
  <Override PartName="/xl/charts/colors9.xml" ContentType="application/vnd.ms-office.chartcolorstyle+xml"/>
  <Override PartName="/xl/charts/colors3.xml" ContentType="application/vnd.ms-office.chartcolorstyle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Información" sheetId="1" state="visible" r:id="rId3"/>
    <sheet name="1" sheetId="2" state="visible" r:id="rId4"/>
    <sheet name="2" sheetId="3" state="visible" r:id="rId5"/>
    <sheet name="3" sheetId="4" state="visible" r:id="rId6"/>
    <sheet name="4" sheetId="5" state="visible" r:id="rId7"/>
    <sheet name="5" sheetId="6" state="visible" r:id="rId8"/>
    <sheet name="6" sheetId="7" state="visible" r:id="rId9"/>
    <sheet name="7" sheetId="8" state="visible" r:id="rId10"/>
    <sheet name="8" sheetId="9" state="visible" r:id="rId11"/>
    <sheet name="9" sheetId="10" state="visible" r:id="rId12"/>
    <sheet name="10" sheetId="11" state="visible" r:id="rId13"/>
    <sheet name="11" sheetId="12" state="visible" r:id="rId14"/>
    <sheet name="12" sheetId="13" state="visible" r:id="rId15"/>
    <sheet name="13" sheetId="14" state="visible" r:id="rId16"/>
    <sheet name="14" sheetId="15" state="visible" r:id="rId17"/>
  </sheets>
  <externalReferences>
    <externalReference r:id="rId1"/>
    <externalReference r:id="rId2"/>
  </externalReferences>
  <definedNames>
    <definedName name="_xlchart.v2.33" hidden="1">'14'!$A$2:$A$6</definedName>
    <definedName name="_xlchart.v2.34" hidden="1">'14'!$B$2:$B$6</definedName>
    <definedName name="_xlchart.v5.10" hidden="1">'2'!$M$15</definedName>
    <definedName name="_xlchart.v5.11" hidden="1">'2'!$M$2</definedName>
    <definedName name="_xlchart.v5.12" hidden="1">'2'!$M$3</definedName>
    <definedName name="_xlchart.v5.13" hidden="1">'2'!$N$14</definedName>
    <definedName name="_xlchart.v5.14" hidden="1">'2'!$N$15</definedName>
    <definedName name="_xlchart.v5.15" hidden="1">'2'!$N$2</definedName>
    <definedName name="_xlchart.v5.16" hidden="1">'2'!$N$3</definedName>
    <definedName name="_xlchart.v5.17" hidden="1">'2'!$O$14</definedName>
    <definedName name="_xlchart.v5.18" hidden="1">'2'!$O$15</definedName>
    <definedName name="_xlchart.v5.19" hidden="1">'2'!$O$2</definedName>
    <definedName name="_xlchart.v5.20" hidden="1">'2'!$O$3</definedName>
    <definedName name="_xlchart.v5.21" hidden="1">'5'!$A$13</definedName>
    <definedName name="_xlchart.v5.22" hidden="1">'5'!$A$14:$A$24</definedName>
    <definedName name="_xlchart.v5.23" hidden="1">'5'!$H$13</definedName>
    <definedName name="_xlchart.v5.24" hidden="1">'5'!$H$14:$H$24</definedName>
    <definedName name="_xlchart.v5.25" hidden="1">'5'!$A$13</definedName>
    <definedName name="_xlchart.v5.26" hidden="1">'5'!$A$14:$A$24</definedName>
    <definedName name="_xlchart.v5.27" hidden="1">'5'!$H$13</definedName>
    <definedName name="_xlchart.v5.28" hidden="1">'5'!$H$14:$H$24</definedName>
    <definedName name="_xlchart.v5.29" hidden="1">'5'!$A$13</definedName>
    <definedName name="_xlchart.v5.3" hidden="1">'2'!$A$14:$K$14</definedName>
    <definedName name="_xlchart.v5.30" hidden="1">'5'!$A$14:$A$24</definedName>
    <definedName name="_xlchart.v5.31" hidden="1">'5'!$H$13</definedName>
    <definedName name="_xlchart.v5.32" hidden="1">'5'!$H$14:$H$24</definedName>
    <definedName name="_xlchart.v5.4" hidden="1">'2'!$A$15:$K$15</definedName>
    <definedName name="_xlchart.v5.5" hidden="1">'2'!$L$14</definedName>
    <definedName name="_xlchart.v5.6" hidden="1">'2'!$L$15</definedName>
    <definedName name="_xlchart.v5.7" hidden="1">'2'!$L$2</definedName>
    <definedName name="_xlchart.v5.8" hidden="1">'2'!$L$3</definedName>
    <definedName name="_xlchart.v5.9" hidden="1">'2'!$M$14</definedName>
    <definedName name="_xlchart.v6.0" hidden="1">'[1]2'!$B$3</definedName>
    <definedName name="_xlchart.v6.1" hidden="1">'[1]2'!$C$15:$O$15</definedName>
    <definedName name="_xlchart.v6.2" hidden="1">'[1]2'!$C$3:$O$3</definedName>
    <definedName name="_xlcn.WorksheetConnection_17A1P611">#REF!</definedName>
    <definedName name="SegmentaciónDeDatos_Meses__MES">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<sst xmlns="http://schemas.openxmlformats.org/spreadsheetml/2006/main" count="237" uniqueCount="237">
  <si>
    <t xml:space="preserve">Variable </t>
  </si>
  <si>
    <t>Cualitativa</t>
  </si>
  <si>
    <t>Cuantitativa</t>
  </si>
  <si>
    <t xml:space="preserve">Columna y barras</t>
  </si>
  <si>
    <t xml:space="preserve">Serie de Tiempo</t>
  </si>
  <si>
    <t xml:space="preserve">Circular (Anillo / Pastel)</t>
  </si>
  <si>
    <t xml:space="preserve">Coeficiente de 
Correlación</t>
  </si>
  <si>
    <t>Geografico</t>
  </si>
  <si>
    <t>Cotizaciones</t>
  </si>
  <si>
    <t>Superficie</t>
  </si>
  <si>
    <t>Radial</t>
  </si>
  <si>
    <t>Comparación</t>
  </si>
  <si>
    <t xml:space="preserve">Proyección solar</t>
  </si>
  <si>
    <t>Histograma</t>
  </si>
  <si>
    <t>Cascada</t>
  </si>
  <si>
    <t xml:space="preserve">Caja y Bigotes</t>
  </si>
  <si>
    <t>Embudos</t>
  </si>
  <si>
    <t>Combinado</t>
  </si>
  <si>
    <t>Período</t>
  </si>
  <si>
    <t xml:space="preserve">Producción (en miles de litros)</t>
  </si>
  <si>
    <t xml:space="preserve">Bebidas alcohólicas</t>
  </si>
  <si>
    <t>TOTAL</t>
  </si>
  <si>
    <t>Cerveza</t>
  </si>
  <si>
    <t>Seco</t>
  </si>
  <si>
    <t>Ron</t>
  </si>
  <si>
    <t>Ginebra</t>
  </si>
  <si>
    <t xml:space="preserve">Otros licores                                       (2)</t>
  </si>
  <si>
    <t xml:space="preserve">Bebidas gaseosas</t>
  </si>
  <si>
    <t xml:space="preserve">Alcohol rectificado</t>
  </si>
  <si>
    <t xml:space="preserve">2024 (P)</t>
  </si>
  <si>
    <t xml:space="preserve">NOTA: Debido al redondeo del computador, la suma o variación puede no coincidir.</t>
  </si>
  <si>
    <t xml:space="preserve">(1) La zafra de caña de azúcar se desarrolla en el período de enero-abril.</t>
  </si>
  <si>
    <t xml:space="preserve">(2) Incluye vodka, coñac, anís, vino y whisky.</t>
  </si>
  <si>
    <t xml:space="preserve">.. Dato no aplicable al grupo o categoría</t>
  </si>
  <si>
    <t xml:space="preserve">- Cantidad nula o cero.</t>
  </si>
  <si>
    <t xml:space="preserve">(P) Cifras preliminares.</t>
  </si>
  <si>
    <t xml:space="preserve">Fuente: Sección de Estadísticas Industriales, INEC.</t>
  </si>
  <si>
    <t xml:space="preserve">Sección de Estadísticas Agropecuarias y Pesqueras, INEC.</t>
  </si>
  <si>
    <t xml:space="preserve">Cuadro 9.  POBLACIÓN EN LA REPÚBLICA, POR PROVINCIA Y COMARCA INDÍGENA:  CENSOS DE 1911 A 2023</t>
  </si>
  <si>
    <t>Año</t>
  </si>
  <si>
    <t>Total</t>
  </si>
  <si>
    <t xml:space="preserve">Comarca Emberá</t>
  </si>
  <si>
    <t>..</t>
  </si>
  <si>
    <t>...</t>
  </si>
  <si>
    <t xml:space="preserve">(1)  Para fines comparativos, se incluye la Comarca Kuna Yala hasta el Censo de 1970.</t>
  </si>
  <si>
    <t xml:space="preserve">(2)  Provincia creada mediante Ley No.119 del 30 de diciembre del 2013.</t>
  </si>
  <si>
    <t xml:space="preserve">.. Dato no aplicable al grupo o categoría.</t>
  </si>
  <si>
    <t xml:space="preserve">…  Información no disponible.</t>
  </si>
  <si>
    <t xml:space="preserve">Cuadro 15.  DEFUNCIONES Y TASA DE MORTALIDAD DE LAS CINCO PRINCIPALES </t>
  </si>
  <si>
    <t xml:space="preserve">CAUSAS DE MUERTE, POR SEXO, SEGÚN PROVINCIA, COMARCA </t>
  </si>
  <si>
    <t xml:space="preserve">INDÍGENA DE RESIDENCIA Y CAUSA:  AÑO 2023</t>
  </si>
  <si>
    <t xml:space="preserve">Có-     digo                 (1)</t>
  </si>
  <si>
    <t xml:space="preserve">Provincia, comarca indígena de                        residencia y causa (1)</t>
  </si>
  <si>
    <t>Defunciones</t>
  </si>
  <si>
    <t>Número</t>
  </si>
  <si>
    <t xml:space="preserve">Tasa                    (2)</t>
  </si>
  <si>
    <t xml:space="preserve">Posi-     ción</t>
  </si>
  <si>
    <t>Hom-bres</t>
  </si>
  <si>
    <t>Mujeres</t>
  </si>
  <si>
    <t xml:space="preserve">Causas de muertes</t>
  </si>
  <si>
    <t xml:space="preserve">Número de personas</t>
  </si>
  <si>
    <t xml:space="preserve">Tumores (neoplasias) malignos</t>
  </si>
  <si>
    <t>025-044</t>
  </si>
  <si>
    <t xml:space="preserve">Enfermedades isquémicas del corazón</t>
  </si>
  <si>
    <t>053</t>
  </si>
  <si>
    <t xml:space="preserve">Enfermedades cerebrovasculares</t>
  </si>
  <si>
    <t>055</t>
  </si>
  <si>
    <t xml:space="preserve">Otras enfermedades del corazón</t>
  </si>
  <si>
    <t>054</t>
  </si>
  <si>
    <t xml:space="preserve">Accidentes, lesiones autoinflingidas, agresiones y otras violencias</t>
  </si>
  <si>
    <t>073-080</t>
  </si>
  <si>
    <t xml:space="preserve">Accidentes, lesiones autoinflingidas, </t>
  </si>
  <si>
    <t xml:space="preserve">Las demás causas</t>
  </si>
  <si>
    <t xml:space="preserve">  agresiones y otras violencias</t>
  </si>
  <si>
    <t xml:space="preserve">Bocas del Toro</t>
  </si>
  <si>
    <t>046</t>
  </si>
  <si>
    <t xml:space="preserve">Diabetes mellitus</t>
  </si>
  <si>
    <t>052</t>
  </si>
  <si>
    <t xml:space="preserve">Enfermedades hipertensivas</t>
  </si>
  <si>
    <t>019</t>
  </si>
  <si>
    <t xml:space="preserve">Enfermedad por virus de la inmunodeficiencia</t>
  </si>
  <si>
    <t xml:space="preserve">  humana (VIH)</t>
  </si>
  <si>
    <t xml:space="preserve">                           Coclé</t>
  </si>
  <si>
    <t xml:space="preserve">                           Colón</t>
  </si>
  <si>
    <t xml:space="preserve">                           Chiriquí</t>
  </si>
  <si>
    <t xml:space="preserve">                         Darién</t>
  </si>
  <si>
    <t>069</t>
  </si>
  <si>
    <t xml:space="preserve">Ciertas afecciones originadas en el período</t>
  </si>
  <si>
    <t xml:space="preserve">  perinatal</t>
  </si>
  <si>
    <t xml:space="preserve">                Herrera</t>
  </si>
  <si>
    <t xml:space="preserve">                Los Santos</t>
  </si>
  <si>
    <t xml:space="preserve">               Panamá</t>
  </si>
  <si>
    <t xml:space="preserve">               Panamá Oeste</t>
  </si>
  <si>
    <t xml:space="preserve">               Veraguas</t>
  </si>
  <si>
    <t xml:space="preserve">              Comarca Kuna Yala</t>
  </si>
  <si>
    <t>004-005</t>
  </si>
  <si>
    <t>Tuberculosis</t>
  </si>
  <si>
    <t>-</t>
  </si>
  <si>
    <t>061</t>
  </si>
  <si>
    <t xml:space="preserve">Enfermedades crónicas de las vías </t>
  </si>
  <si>
    <t xml:space="preserve">    respiratorias inferiores</t>
  </si>
  <si>
    <t>002</t>
  </si>
  <si>
    <t xml:space="preserve">Diarrea y gastroenteritis de presunto origen</t>
  </si>
  <si>
    <t xml:space="preserve">  infeccioso</t>
  </si>
  <si>
    <t>059</t>
  </si>
  <si>
    <t>Neumonía</t>
  </si>
  <si>
    <t xml:space="preserve">           Comarca Ngäbe Buglé</t>
  </si>
  <si>
    <t>070</t>
  </si>
  <si>
    <t xml:space="preserve">Malformaciones congénitas, deformidades y</t>
  </si>
  <si>
    <t xml:space="preserve">  anomalías cromosómicas</t>
  </si>
  <si>
    <t xml:space="preserve">NOTA:  Se excluye la  Comarca  Emberá  donde  solo  se  registraron  35  defunciones,  cifra  que no  permite </t>
  </si>
  <si>
    <t xml:space="preserve">             seleccionar principales causas de muerte. </t>
  </si>
  <si>
    <t xml:space="preserve">(1)  Con base en la Lista de mortalidad de 80 grupos de causas de la Clasificación estadística internacional de</t>
  </si>
  <si>
    <t xml:space="preserve">       enfermedades y problemas relacionados con la salud (Décima revisión).</t>
  </si>
  <si>
    <t xml:space="preserve">(2)  Por cien mil habitantes, con base en la estimación de la población total, al 1 de julio.</t>
  </si>
  <si>
    <t xml:space="preserve">..  Dato no aplicable al grupo o categoría.</t>
  </si>
  <si>
    <t xml:space="preserve">Fuente: Los datos publicados corresponden a información recopilada, con base en los registros administrativos </t>
  </si>
  <si>
    <t xml:space="preserve">              de  las  instalaciones de salud pública (Minsa y CSS),  privadas y oficinas  del Registro Civil (Tribunal </t>
  </si>
  <si>
    <t xml:space="preserve">              Electoral).</t>
  </si>
  <si>
    <t>Mes</t>
  </si>
  <si>
    <t xml:space="preserve">Importaciones de bienes (en miles de kilos netos)</t>
  </si>
  <si>
    <t xml:space="preserve">Importaciones de bienes (en miles de dólares)</t>
  </si>
  <si>
    <t xml:space="preserve">República de Panamá</t>
  </si>
  <si>
    <t xml:space="preserve">CONTRALORÍA GENERAL DE LA REPÚBLICA</t>
  </si>
  <si>
    <t xml:space="preserve">Instituto Nacional de Estadística y Censo</t>
  </si>
  <si>
    <t xml:space="preserve">Cuadro 3.  FLUJO DE INVERSIÓN EXTRANJERA DIRECTA (IED) DE LOS 10 PRINCIPALES</t>
  </si>
  <si>
    <t xml:space="preserve">PAÍSES EN LA REPÚBLICA: AÑOS 2017-23</t>
  </si>
  <si>
    <t xml:space="preserve">Flujo de IED</t>
  </si>
  <si>
    <t>Participación</t>
  </si>
  <si>
    <t>Variación</t>
  </si>
  <si>
    <t xml:space="preserve">País de origen</t>
  </si>
  <si>
    <t xml:space="preserve">(En miles de balboas)</t>
  </si>
  <si>
    <t>porcentual</t>
  </si>
  <si>
    <t xml:space="preserve">2020 (P)</t>
  </si>
  <si>
    <t xml:space="preserve">2021 (P)</t>
  </si>
  <si>
    <t xml:space="preserve">2022 (P)</t>
  </si>
  <si>
    <t xml:space="preserve">2023 (P)</t>
  </si>
  <si>
    <t xml:space="preserve">2023-22 (P)</t>
  </si>
  <si>
    <t xml:space="preserve">TOTAL DE FLUJO IED</t>
  </si>
  <si>
    <t xml:space="preserve">10 Principales</t>
  </si>
  <si>
    <t xml:space="preserve">Estados Unidos</t>
  </si>
  <si>
    <t xml:space="preserve">Países Bajos</t>
  </si>
  <si>
    <t>Suiza</t>
  </si>
  <si>
    <t>Colombia</t>
  </si>
  <si>
    <t>Singapur</t>
  </si>
  <si>
    <t>Brasil</t>
  </si>
  <si>
    <t>Venezuela</t>
  </si>
  <si>
    <t xml:space="preserve">Reino Unido</t>
  </si>
  <si>
    <t xml:space="preserve">Corea del Sur</t>
  </si>
  <si>
    <t>Barbados</t>
  </si>
  <si>
    <t xml:space="preserve">Otros países</t>
  </si>
  <si>
    <t xml:space="preserve">NOTA: El orden se basa en el último año, 2023.</t>
  </si>
  <si>
    <t xml:space="preserve">           La diferencia que se observa entre el total y los parciales se debe al redondeo del computador.</t>
  </si>
  <si>
    <t>Fecha</t>
  </si>
  <si>
    <t>Volumen</t>
  </si>
  <si>
    <t>Apertura</t>
  </si>
  <si>
    <t>Máximo</t>
  </si>
  <si>
    <t>Mínimo</t>
  </si>
  <si>
    <t>Cierre</t>
  </si>
  <si>
    <t xml:space="preserve">Producción (en miles de kilos)</t>
  </si>
  <si>
    <t xml:space="preserve">Carne de pollo</t>
  </si>
  <si>
    <t xml:space="preserve">Leche evaporada, condensada y en polvo</t>
  </si>
  <si>
    <t xml:space="preserve">Leche pasteurizada</t>
  </si>
  <si>
    <t xml:space="preserve">Leche natural utilizada para la elaboración de productos conexos</t>
  </si>
  <si>
    <t xml:space="preserve">Derivados del tomate</t>
  </si>
  <si>
    <t xml:space="preserve">Azúcar (1)</t>
  </si>
  <si>
    <t>Sal</t>
  </si>
  <si>
    <t>Indicador</t>
  </si>
  <si>
    <t xml:space="preserve">Región A</t>
  </si>
  <si>
    <t xml:space="preserve">Región B</t>
  </si>
  <si>
    <t xml:space="preserve">Acceso a agua potable</t>
  </si>
  <si>
    <t xml:space="preserve">Tasa de alfabetización</t>
  </si>
  <si>
    <t xml:space="preserve">Mortalidad infantil (invertida)</t>
  </si>
  <si>
    <t xml:space="preserve">Desempleo (invertido)</t>
  </si>
  <si>
    <t xml:space="preserve">Inversión en salud</t>
  </si>
  <si>
    <t>Sector</t>
  </si>
  <si>
    <t>Subsector</t>
  </si>
  <si>
    <t xml:space="preserve">Valor monetario</t>
  </si>
  <si>
    <t xml:space="preserve">Crecimiento (%)</t>
  </si>
  <si>
    <t>Agricultura</t>
  </si>
  <si>
    <t>Cultivos</t>
  </si>
  <si>
    <t>Ganadería</t>
  </si>
  <si>
    <t>Industria</t>
  </si>
  <si>
    <t>Manufactura</t>
  </si>
  <si>
    <t>Minería</t>
  </si>
  <si>
    <t>Servicios</t>
  </si>
  <si>
    <t>Turismo</t>
  </si>
  <si>
    <t>Finanzas</t>
  </si>
  <si>
    <t>País</t>
  </si>
  <si>
    <t>Ciudad</t>
  </si>
  <si>
    <t>Ventas</t>
  </si>
  <si>
    <t xml:space="preserve">Total País</t>
  </si>
  <si>
    <t>%</t>
  </si>
  <si>
    <t>España</t>
  </si>
  <si>
    <t>Madrid</t>
  </si>
  <si>
    <t>Málaga</t>
  </si>
  <si>
    <t>Sevilla</t>
  </si>
  <si>
    <t>Barcelona</t>
  </si>
  <si>
    <t>Italia</t>
  </si>
  <si>
    <t>Roma</t>
  </si>
  <si>
    <t>Nápoles</t>
  </si>
  <si>
    <t>Florencia</t>
  </si>
  <si>
    <t>Alemania</t>
  </si>
  <si>
    <t>Berlín</t>
  </si>
  <si>
    <t>Stuttgart</t>
  </si>
  <si>
    <t>México</t>
  </si>
  <si>
    <t>Guadalajara</t>
  </si>
  <si>
    <t xml:space="preserve">Ciudad de Mx</t>
  </si>
  <si>
    <t>Tijuana</t>
  </si>
  <si>
    <t>Argentina</t>
  </si>
  <si>
    <t xml:space="preserve">Buenos Aires</t>
  </si>
  <si>
    <t>Chaco</t>
  </si>
  <si>
    <t>Catamarca</t>
  </si>
  <si>
    <t>Bogotá</t>
  </si>
  <si>
    <t>Medellín</t>
  </si>
  <si>
    <t>Altura</t>
  </si>
  <si>
    <t>Peso</t>
  </si>
  <si>
    <t>Concepto</t>
  </si>
  <si>
    <t>Valor</t>
  </si>
  <si>
    <t xml:space="preserve">Ingreso inicial</t>
  </si>
  <si>
    <t xml:space="preserve">Ventas nuevas</t>
  </si>
  <si>
    <t>Descuentos</t>
  </si>
  <si>
    <t xml:space="preserve">Costos fijos</t>
  </si>
  <si>
    <t xml:space="preserve">Costos variables</t>
  </si>
  <si>
    <t>Impuestos</t>
  </si>
  <si>
    <t xml:space="preserve">Utilidad final</t>
  </si>
  <si>
    <t>¿Trabajas?</t>
  </si>
  <si>
    <t xml:space="preserve">¿Cuánta (minuto)e demora en llegar a la univeridad?</t>
  </si>
  <si>
    <t>No</t>
  </si>
  <si>
    <t>Sí</t>
  </si>
  <si>
    <t>Etapa</t>
  </si>
  <si>
    <t>Cantidad</t>
  </si>
  <si>
    <t xml:space="preserve">Visitantes web</t>
  </si>
  <si>
    <t>Interesados</t>
  </si>
  <si>
    <t>Contactados</t>
  </si>
  <si>
    <t xml:space="preserve">Propuestas enviadas</t>
  </si>
  <si>
    <t xml:space="preserve">Ventas cerradas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</si>
</sst>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#,##0.0"/>
    <numFmt numFmtId="165" formatCode="0.0"/>
    <numFmt numFmtId="166" formatCode="_-* #,##0_-;\-* #,##0_-;_-* &quot;-&quot;??_-;_-@"/>
    <numFmt numFmtId="167" formatCode="d/m/yyyy"/>
    <numFmt numFmtId="168" formatCode="_-* #,##0.00_-;\-* #,##0.00_-;_-* &quot;-&quot;??_-;_-@"/>
  </numFmts>
  <fonts count="12">
    <font>
      <sz val="11.000000"/>
      <color theme="1"/>
      <name val="Century Gothic"/>
      <scheme val="minor"/>
    </font>
    <font>
      <sz val="11.000000"/>
      <color theme="1"/>
      <name val="Aptos Narrow"/>
    </font>
    <font>
      <b/>
      <sz val="11.000000"/>
      <color theme="1"/>
      <name val="Aptos Narrow"/>
    </font>
    <font>
      <sz val="11.000000"/>
      <name val="Century Gothic"/>
    </font>
    <font>
      <b/>
      <sz val="11.000000"/>
      <color theme="0"/>
      <name val="Aptos Narrow"/>
    </font>
    <font>
      <b/>
      <sz val="10.000000"/>
      <color theme="1"/>
      <name val="Arial"/>
    </font>
    <font>
      <sz val="10.000000"/>
      <color theme="1"/>
      <name val="Arial"/>
    </font>
    <font>
      <b/>
      <sz val="10.000000"/>
      <color indexed="2"/>
      <name val="Arial"/>
    </font>
    <font>
      <sz val="10.000000"/>
      <color indexed="2"/>
      <name val="Arial"/>
    </font>
    <font>
      <sz val="11.000000"/>
      <color theme="1"/>
      <name val="Century Gothic"/>
    </font>
    <font>
      <sz val="11.000000"/>
      <color rgb="FFFFCCFF"/>
      <name val="Century Gothic"/>
      <scheme val="minor"/>
    </font>
    <font>
      <sz val="10.000000"/>
      <color theme="1"/>
      <name val="Aptos Narrow"/>
    </font>
  </fonts>
  <fills count="12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2F2F2"/>
        <bgColor rgb="FFF2F2F2"/>
      </patternFill>
    </fill>
    <fill>
      <patternFill patternType="solid">
        <fgColor rgb="FFFFEBFF"/>
        <bgColor rgb="FFFFEBFF"/>
      </patternFill>
    </fill>
    <fill>
      <patternFill patternType="solid">
        <fgColor indexed="26"/>
        <bgColor rgb="FFFFEBFF"/>
      </patternFill>
    </fill>
    <fill>
      <patternFill patternType="solid">
        <fgColor indexed="26"/>
      </patternFill>
    </fill>
    <fill>
      <patternFill patternType="solid">
        <fgColor rgb="FFFFEDB3"/>
        <bgColor rgb="FFFFEDB3"/>
      </patternFill>
    </fill>
    <fill>
      <patternFill patternType="solid">
        <fgColor rgb="FFEFF3FF"/>
        <bgColor rgb="FFEFF3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FE7FF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88">
    <xf fontId="0" fillId="0" borderId="0" numFmtId="0" xfId="0"/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3" fillId="0" borderId="0" numFmtId="0" xfId="0" applyFont="1"/>
    <xf fontId="4" fillId="0" borderId="0" numFmtId="0" xfId="0" applyFont="1" applyAlignment="1">
      <alignment horizontal="center"/>
    </xf>
    <xf fontId="1" fillId="2" borderId="1" numFmtId="0" xfId="0" applyFont="1" applyFill="1" applyBorder="1" applyAlignment="1">
      <alignment horizontal="center"/>
    </xf>
    <xf fontId="3" fillId="0" borderId="2" numFmtId="0" xfId="0" applyFont="1" applyBorder="1"/>
    <xf fontId="1" fillId="3" borderId="0" numFmtId="0" xfId="0" applyFont="1" applyFill="1"/>
    <xf fontId="1" fillId="2" borderId="3" numFmtId="0" xfId="0" applyFont="1" applyFill="1" applyBorder="1" applyAlignment="1">
      <alignment horizontal="center"/>
    </xf>
    <xf fontId="1" fillId="0" borderId="0" numFmtId="0" xfId="0" applyFont="1" applyAlignment="1">
      <alignment horizontal="center" wrapText="1"/>
    </xf>
    <xf fontId="5" fillId="4" borderId="4" numFmtId="0" xfId="0" applyFont="1" applyFill="1" applyBorder="1" applyAlignment="1">
      <alignment horizontal="center" vertical="center"/>
    </xf>
    <xf fontId="5" fillId="4" borderId="1" numFmtId="0" xfId="0" applyFont="1" applyFill="1" applyBorder="1" applyAlignment="1">
      <alignment horizontal="center" vertical="center"/>
    </xf>
    <xf fontId="3" fillId="0" borderId="5" numFmtId="0" xfId="0" applyFont="1" applyBorder="1"/>
    <xf fontId="6" fillId="0" borderId="0" numFmtId="0" xfId="0" applyFont="1"/>
    <xf fontId="3" fillId="0" borderId="6" numFmtId="0" xfId="0" applyFont="1" applyBorder="1"/>
    <xf fontId="3" fillId="0" borderId="7" numFmtId="0" xfId="0" applyFont="1" applyBorder="1"/>
    <xf fontId="5" fillId="5" borderId="3" numFmtId="0" xfId="0" applyFont="1" applyFill="1" applyBorder="1" applyAlignment="1">
      <alignment horizontal="center" vertical="center"/>
    </xf>
    <xf fontId="5" fillId="4" borderId="3" numFmtId="0" xfId="0" applyFont="1" applyFill="1" applyBorder="1" applyAlignment="1">
      <alignment horizontal="center" vertical="center"/>
    </xf>
    <xf fontId="5" fillId="5" borderId="3" numFmtId="0" xfId="0" applyFont="1" applyFill="1" applyBorder="1" applyAlignment="1">
      <alignment horizontal="center" vertical="center" wrapText="1"/>
    </xf>
    <xf fontId="5" fillId="4" borderId="8" numFmtId="0" xfId="0" applyFont="1" applyFill="1" applyBorder="1" applyAlignment="1">
      <alignment vertical="center" wrapText="1"/>
    </xf>
    <xf fontId="5" fillId="5" borderId="9" numFmtId="0" xfId="0" applyFont="1" applyFill="1" applyBorder="1" applyAlignment="1">
      <alignment vertical="center" wrapText="1"/>
    </xf>
    <xf fontId="6" fillId="0" borderId="6" numFmtId="0" xfId="0" applyFont="1" applyBorder="1" applyAlignment="1">
      <alignment horizontal="center"/>
    </xf>
    <xf fontId="5" fillId="6" borderId="8" numFmtId="3" xfId="0" applyNumberFormat="1" applyFont="1" applyFill="1" applyBorder="1" applyAlignment="1">
      <alignment horizontal="right"/>
    </xf>
    <xf fontId="6" fillId="0" borderId="8" numFmtId="3" xfId="0" applyNumberFormat="1" applyFont="1" applyBorder="1" applyAlignment="1">
      <alignment horizontal="right"/>
    </xf>
    <xf fontId="6" fillId="6" borderId="8" numFmtId="3" xfId="0" applyNumberFormat="1" applyFont="1" applyFill="1" applyBorder="1" applyAlignment="1">
      <alignment horizontal="right"/>
    </xf>
    <xf fontId="6" fillId="6" borderId="9" numFmtId="3" xfId="0" applyNumberFormat="1" applyFont="1" applyFill="1" applyBorder="1" applyAlignment="1">
      <alignment horizontal="right"/>
    </xf>
    <xf fontId="5" fillId="6" borderId="10" numFmtId="3" xfId="0" applyNumberFormat="1" applyFont="1" applyFill="1" applyBorder="1" applyAlignment="1">
      <alignment horizontal="right"/>
    </xf>
    <xf fontId="6" fillId="0" borderId="10" numFmtId="3" xfId="0" applyNumberFormat="1" applyFont="1" applyBorder="1" applyAlignment="1">
      <alignment horizontal="right"/>
    </xf>
    <xf fontId="6" fillId="6" borderId="10" numFmtId="3" xfId="0" applyNumberFormat="1" applyFont="1" applyFill="1" applyBorder="1" applyAlignment="1">
      <alignment horizontal="right"/>
    </xf>
    <xf fontId="6" fillId="6" borderId="11" numFmtId="3" xfId="0" applyNumberFormat="1" applyFont="1" applyFill="1" applyBorder="1" applyAlignment="1">
      <alignment horizontal="right"/>
    </xf>
    <xf fontId="6" fillId="0" borderId="0" numFmtId="0" xfId="0" applyFont="1" applyAlignment="1">
      <alignment horizontal="center"/>
    </xf>
    <xf fontId="6" fillId="0" borderId="2" numFmtId="0" xfId="0" applyFont="1" applyBorder="1" applyAlignment="1">
      <alignment horizontal="center" vertical="center"/>
    </xf>
    <xf fontId="5" fillId="6" borderId="1" numFmtId="3" xfId="0" applyNumberFormat="1" applyFont="1" applyFill="1" applyBorder="1" applyAlignment="1">
      <alignment horizontal="right" vertical="center"/>
    </xf>
    <xf fontId="5" fillId="0" borderId="1" numFmtId="3" xfId="0" applyNumberFormat="1" applyFont="1" applyBorder="1" applyAlignment="1">
      <alignment horizontal="right" vertical="center"/>
    </xf>
    <xf fontId="6" fillId="0" borderId="0" numFmtId="0" xfId="0" applyFont="1" applyAlignment="1">
      <alignment vertical="center"/>
    </xf>
    <xf fontId="6" fillId="0" borderId="0" numFmtId="164" xfId="0" applyNumberFormat="1" applyFont="1" applyAlignment="1">
      <alignment horizontal="right"/>
    </xf>
    <xf fontId="6" fillId="0" borderId="0" numFmtId="49" xfId="0" applyNumberFormat="1" applyFont="1"/>
    <xf fontId="6" fillId="0" borderId="0" numFmtId="0" xfId="0" applyFont="1" applyAlignment="1">
      <alignment horizontal="left"/>
    </xf>
    <xf fontId="6" fillId="0" borderId="0" numFmtId="49" xfId="0" applyNumberFormat="1" applyFont="1" applyAlignment="1">
      <alignment horizontal="center"/>
    </xf>
    <xf fontId="5" fillId="0" borderId="0" numFmtId="0" xfId="0" applyFont="1" applyAlignment="1">
      <alignment horizontal="center"/>
    </xf>
    <xf fontId="0" fillId="0" borderId="0" numFmtId="0" xfId="0"/>
    <xf fontId="6" fillId="0" borderId="12" numFmtId="0" xfId="0" applyFont="1" applyBorder="1" applyAlignment="1">
      <alignment horizontal="center" wrapText="1"/>
    </xf>
    <xf fontId="3" fillId="0" borderId="12" numFmtId="0" xfId="0" applyFont="1" applyBorder="1"/>
    <xf fontId="5" fillId="7" borderId="2" numFmtId="0" xfId="0" applyFont="1" applyFill="1" applyBorder="1" applyAlignment="1">
      <alignment horizontal="center" vertical="center" wrapText="1"/>
    </xf>
    <xf fontId="5" fillId="7" borderId="3" numFmtId="0" xfId="0" applyFont="1" applyFill="1" applyBorder="1" applyAlignment="1">
      <alignment horizontal="center" vertical="center" wrapText="1"/>
    </xf>
    <xf fontId="5" fillId="7" borderId="1" numFmtId="0" xfId="0" applyFont="1" applyFill="1" applyBorder="1" applyAlignment="1">
      <alignment horizontal="center" vertical="center" wrapText="1"/>
    </xf>
    <xf fontId="6" fillId="0" borderId="0" numFmtId="0" xfId="0" applyFont="1" applyAlignment="1">
      <alignment horizontal="left" vertical="center" wrapText="1"/>
    </xf>
    <xf fontId="6" fillId="0" borderId="10" numFmtId="3" xfId="0" applyNumberFormat="1" applyFont="1" applyBorder="1" applyAlignment="1">
      <alignment vertical="center"/>
    </xf>
    <xf fontId="6" fillId="0" borderId="0" numFmtId="3" xfId="0" applyNumberFormat="1" applyFont="1" applyAlignment="1">
      <alignment vertical="center"/>
    </xf>
    <xf fontId="6" fillId="0" borderId="11" numFmtId="3" xfId="0" applyNumberFormat="1" applyFont="1" applyBorder="1" applyAlignment="1">
      <alignment horizontal="right" vertical="center"/>
    </xf>
    <xf fontId="6" fillId="0" borderId="10" numFmtId="3" xfId="0" applyNumberFormat="1" applyFont="1" applyBorder="1" applyAlignment="1">
      <alignment horizontal="right" vertical="center"/>
    </xf>
    <xf fontId="6" fillId="0" borderId="11" numFmtId="3" xfId="0" applyNumberFormat="1" applyFont="1" applyBorder="1" applyAlignment="1">
      <alignment vertical="center"/>
    </xf>
    <xf fontId="6" fillId="0" borderId="10" numFmtId="3" xfId="0" applyNumberFormat="1" applyFont="1" applyBorder="1" applyAlignment="1">
      <alignment horizontal="right" vertical="top"/>
    </xf>
    <xf fontId="6" fillId="0" borderId="11" numFmtId="3" xfId="0" applyNumberFormat="1" applyFont="1" applyBorder="1" applyAlignment="1">
      <alignment horizontal="right" vertical="top"/>
    </xf>
    <xf fontId="6" fillId="0" borderId="13" numFmtId="0" xfId="0" applyFont="1" applyBorder="1"/>
    <xf fontId="5" fillId="0" borderId="0" numFmtId="0" xfId="0" applyFont="1" applyAlignment="1">
      <alignment horizontal="right"/>
    </xf>
    <xf fontId="5" fillId="0" borderId="0" numFmtId="0" xfId="0" applyFont="1"/>
    <xf fontId="5" fillId="0" borderId="0" numFmtId="3" xfId="0" applyNumberFormat="1" applyFont="1"/>
    <xf fontId="5" fillId="0" borderId="0" numFmtId="165" xfId="0" applyNumberFormat="1" applyFont="1"/>
    <xf fontId="5" fillId="8" borderId="4" numFmtId="0" xfId="0" applyFont="1" applyFill="1" applyBorder="1" applyAlignment="1">
      <alignment horizontal="center" vertical="center" wrapText="1"/>
    </xf>
    <xf fontId="5" fillId="8" borderId="8" numFmtId="0" xfId="0" applyFont="1" applyFill="1" applyBorder="1" applyAlignment="1">
      <alignment horizontal="center" vertical="center" wrapText="1"/>
    </xf>
    <xf fontId="5" fillId="8" borderId="1" numFmtId="0" xfId="0" applyFont="1" applyFill="1" applyBorder="1" applyAlignment="1">
      <alignment horizontal="center" vertical="center" wrapText="1"/>
    </xf>
    <xf fontId="3" fillId="0" borderId="14" numFmtId="0" xfId="0" applyFont="1" applyBorder="1"/>
    <xf fontId="5" fillId="8" borderId="14" numFmtId="3" xfId="0" applyNumberFormat="1" applyFont="1" applyFill="1" applyBorder="1" applyAlignment="1">
      <alignment horizontal="center" vertical="center" wrapText="1"/>
    </xf>
    <xf fontId="5" fillId="8" borderId="15" numFmtId="165" xfId="0" applyNumberFormat="1" applyFont="1" applyFill="1" applyBorder="1" applyAlignment="1">
      <alignment horizontal="center" vertical="center" wrapText="1"/>
    </xf>
    <xf fontId="5" fillId="8" borderId="15" numFmtId="0" xfId="0" applyFont="1" applyFill="1" applyBorder="1" applyAlignment="1">
      <alignment horizontal="center" vertical="center" wrapText="1"/>
    </xf>
    <xf fontId="5" fillId="8" borderId="15" numFmtId="3" xfId="0" applyNumberFormat="1" applyFont="1" applyFill="1" applyBorder="1" applyAlignment="1">
      <alignment horizontal="center" vertical="center" wrapText="1"/>
    </xf>
    <xf fontId="6" fillId="0" borderId="9" numFmtId="0" xfId="0" applyFont="1" applyBorder="1"/>
    <xf fontId="7" fillId="0" borderId="8" numFmtId="3" xfId="0" applyNumberFormat="1" applyFont="1" applyBorder="1"/>
    <xf fontId="8" fillId="0" borderId="8" numFmtId="165" xfId="0" applyNumberFormat="1" applyFont="1" applyBorder="1"/>
    <xf fontId="8" fillId="0" borderId="8" numFmtId="0" xfId="0" applyFont="1" applyBorder="1"/>
    <xf fontId="7" fillId="0" borderId="13" numFmtId="3" xfId="0" applyNumberFormat="1" applyFont="1" applyBorder="1"/>
    <xf fontId="5" fillId="0" borderId="11" numFmtId="0" xfId="0" applyFont="1" applyBorder="1" applyAlignment="1">
      <alignment horizontal="center"/>
    </xf>
    <xf fontId="5" fillId="0" borderId="10" numFmtId="3" xfId="0" applyNumberFormat="1" applyFont="1" applyBorder="1" applyAlignment="1">
      <alignment horizontal="right"/>
    </xf>
    <xf fontId="6" fillId="0" borderId="0" numFmtId="165" xfId="0" applyNumberFormat="1" applyFont="1" applyAlignment="1">
      <alignment horizontal="right"/>
    </xf>
    <xf fontId="5" fillId="0" borderId="11" numFmtId="0" xfId="0" applyFont="1" applyBorder="1" applyAlignment="1">
      <alignment horizontal="right"/>
    </xf>
    <xf fontId="5" fillId="0" borderId="0" numFmtId="3" xfId="0" applyNumberFormat="1" applyFont="1" applyAlignment="1">
      <alignment horizontal="right"/>
    </xf>
    <xf fontId="5" fillId="0" borderId="11" numFmtId="0" xfId="0" applyFont="1" applyBorder="1" applyAlignment="1">
      <alignment horizontal="center" vertical="center"/>
    </xf>
    <xf fontId="7" fillId="0" borderId="10" numFmtId="3" xfId="0" applyNumberFormat="1" applyFont="1" applyBorder="1" applyAlignment="1">
      <alignment horizontal="right"/>
    </xf>
    <xf fontId="6" fillId="0" borderId="11" numFmtId="0" xfId="0" applyFont="1" applyBorder="1" applyAlignment="1">
      <alignment horizontal="right"/>
    </xf>
    <xf fontId="6" fillId="0" borderId="11" numFmtId="0" xfId="0" applyFont="1" applyBorder="1"/>
    <xf fontId="6" fillId="0" borderId="0" numFmtId="0" xfId="0" applyFont="1" applyAlignment="1">
      <alignment horizontal="right"/>
    </xf>
    <xf fontId="6" fillId="0" borderId="11" numFmtId="3" xfId="0" applyNumberFormat="1" applyFont="1" applyBorder="1" applyAlignment="1">
      <alignment horizontal="right"/>
    </xf>
    <xf fontId="6" fillId="0" borderId="0" numFmtId="3" xfId="0" applyNumberFormat="1" applyFont="1" applyAlignment="1">
      <alignment horizontal="right"/>
    </xf>
    <xf fontId="6" fillId="0" borderId="0" numFmtId="49" xfId="0" applyNumberFormat="1" applyFont="1" applyAlignment="1" quotePrefix="1">
      <alignment horizontal="right"/>
    </xf>
    <xf fontId="6" fillId="0" borderId="6" numFmtId="0" xfId="0" applyFont="1" applyBorder="1" applyAlignment="1" quotePrefix="1">
      <alignment horizontal="right"/>
    </xf>
    <xf fontId="6" fillId="0" borderId="10" numFmtId="0" xfId="0" applyFont="1" applyBorder="1"/>
    <xf fontId="6" fillId="0" borderId="10" numFmtId="165" xfId="0" applyNumberFormat="1" applyFont="1" applyBorder="1" applyAlignment="1">
      <alignment horizontal="right"/>
    </xf>
    <xf fontId="6" fillId="0" borderId="10" numFmtId="0" xfId="0" applyFont="1" applyBorder="1" applyAlignment="1">
      <alignment horizontal="left"/>
    </xf>
    <xf fontId="6" fillId="0" borderId="11" numFmtId="3" xfId="0" applyNumberFormat="1" applyFont="1" applyBorder="1"/>
    <xf fontId="8" fillId="0" borderId="0" numFmtId="165" xfId="0" applyNumberFormat="1" applyFont="1" applyAlignment="1">
      <alignment horizontal="right"/>
    </xf>
    <xf fontId="8" fillId="0" borderId="11" numFmtId="3" xfId="0" applyNumberFormat="1" applyFont="1" applyBorder="1" applyAlignment="1">
      <alignment horizontal="right"/>
    </xf>
    <xf fontId="7" fillId="0" borderId="0" numFmtId="3" xfId="0" applyNumberFormat="1" applyFont="1" applyAlignment="1">
      <alignment horizontal="right"/>
    </xf>
    <xf fontId="6" fillId="0" borderId="10" numFmtId="0" xfId="0" applyFont="1" applyBorder="1" applyAlignment="1">
      <alignment horizontal="center"/>
    </xf>
    <xf fontId="5" fillId="0" borderId="11" numFmtId="3" xfId="0" applyNumberFormat="1" applyFont="1" applyBorder="1" applyAlignment="1">
      <alignment horizontal="right"/>
    </xf>
    <xf fontId="5" fillId="0" borderId="10" numFmtId="0" xfId="0" applyFont="1" applyBorder="1" applyAlignment="1">
      <alignment horizontal="left"/>
    </xf>
    <xf fontId="6" fillId="0" borderId="0" numFmtId="49" xfId="0" applyNumberFormat="1" applyFont="1" applyAlignment="1">
      <alignment horizontal="right"/>
    </xf>
    <xf fontId="6" fillId="0" borderId="6" numFmtId="49" xfId="0" applyNumberFormat="1" applyFont="1" applyBorder="1" applyAlignment="1">
      <alignment horizontal="right"/>
    </xf>
    <xf fontId="6" fillId="0" borderId="6" numFmtId="0" xfId="0" applyFont="1" applyBorder="1" applyAlignment="1">
      <alignment horizontal="right"/>
    </xf>
    <xf fontId="6" fillId="0" borderId="10" numFmtId="0" xfId="0" applyFont="1" applyBorder="1" applyAlignment="1">
      <alignment horizontal="right"/>
    </xf>
    <xf fontId="6" fillId="0" borderId="6" numFmtId="0" xfId="0" applyFont="1" applyBorder="1" applyAlignment="1">
      <alignment horizontal="left"/>
    </xf>
    <xf fontId="6" fillId="0" borderId="6" numFmtId="0" xfId="0" applyFont="1" applyBorder="1"/>
    <xf fontId="9" fillId="0" borderId="0" numFmtId="0" xfId="0" applyFont="1" applyAlignment="1">
      <alignment horizontal="right"/>
    </xf>
    <xf fontId="6" fillId="0" borderId="0" numFmtId="3" xfId="0" applyNumberFormat="1" applyFont="1"/>
    <xf fontId="5" fillId="0" borderId="0" numFmtId="0" xfId="0" applyFont="1" applyAlignment="1">
      <alignment horizontal="center" vertical="center" wrapText="1"/>
    </xf>
    <xf fontId="5" fillId="0" borderId="11" numFmtId="0" xfId="0" applyFont="1" applyBorder="1" applyAlignment="1">
      <alignment horizontal="center" vertical="center" wrapText="1"/>
    </xf>
    <xf fontId="5" fillId="0" borderId="10" numFmtId="3" xfId="0" applyNumberFormat="1" applyFont="1" applyBorder="1" applyAlignment="1">
      <alignment horizontal="right" vertical="center" wrapText="1"/>
    </xf>
    <xf fontId="5" fillId="0" borderId="0" numFmtId="165" xfId="0" applyNumberFormat="1" applyFont="1" applyAlignment="1">
      <alignment horizontal="right" vertical="center" wrapText="1"/>
    </xf>
    <xf fontId="5" fillId="0" borderId="11" numFmtId="0" xfId="0" applyFont="1" applyBorder="1" applyAlignment="1">
      <alignment horizontal="right" vertical="center" wrapText="1"/>
    </xf>
    <xf fontId="5" fillId="0" borderId="11" numFmtId="3" xfId="0" applyNumberFormat="1" applyFont="1" applyBorder="1" applyAlignment="1">
      <alignment horizontal="right" vertical="center" wrapText="1"/>
    </xf>
    <xf fontId="6" fillId="0" borderId="11" numFmtId="0" xfId="0" applyFont="1" applyBorder="1" applyAlignment="1">
      <alignment horizontal="left"/>
    </xf>
    <xf fontId="5" fillId="0" borderId="11" numFmtId="0" xfId="0" applyFont="1" applyBorder="1" applyAlignment="1">
      <alignment horizontal="left"/>
    </xf>
    <xf fontId="5" fillId="0" borderId="10" numFmtId="3" xfId="0" applyNumberFormat="1" applyFont="1" applyBorder="1" applyAlignment="1">
      <alignment horizontal="right" wrapText="1"/>
    </xf>
    <xf fontId="5" fillId="0" borderId="11" numFmtId="3" xfId="0" applyNumberFormat="1" applyFont="1" applyBorder="1" applyAlignment="1">
      <alignment horizontal="right" wrapText="1"/>
    </xf>
    <xf fontId="5" fillId="0" borderId="10" numFmtId="0" xfId="0" applyFont="1" applyBorder="1" applyAlignment="1">
      <alignment horizontal="right"/>
    </xf>
    <xf fontId="5" fillId="0" borderId="6" numFmtId="0" xfId="0" applyFont="1" applyBorder="1" applyAlignment="1">
      <alignment horizontal="right"/>
    </xf>
    <xf fontId="6" fillId="0" borderId="0" numFmtId="165" xfId="0" applyNumberFormat="1" applyFont="1"/>
    <xf fontId="6" fillId="0" borderId="8" numFmtId="3" xfId="0" applyNumberFormat="1" applyFont="1" applyBorder="1"/>
    <xf fontId="6" fillId="0" borderId="8" numFmtId="165" xfId="0" applyNumberFormat="1" applyFont="1" applyBorder="1"/>
    <xf fontId="6" fillId="0" borderId="6" numFmtId="3" xfId="0" applyNumberFormat="1" applyFont="1" applyBorder="1" applyAlignment="1">
      <alignment horizontal="right"/>
    </xf>
    <xf fontId="5" fillId="0" borderId="6" numFmtId="3" xfId="0" applyNumberFormat="1" applyFont="1" applyBorder="1" applyAlignment="1">
      <alignment horizontal="right"/>
    </xf>
    <xf fontId="5" fillId="0" borderId="0" numFmtId="3" xfId="0" applyNumberFormat="1" applyFont="1" applyAlignment="1">
      <alignment horizontal="right" wrapText="1"/>
    </xf>
    <xf fontId="5" fillId="0" borderId="0" numFmtId="165" xfId="0" applyNumberFormat="1" applyFont="1" applyAlignment="1">
      <alignment horizontal="right"/>
    </xf>
    <xf fontId="5" fillId="0" borderId="11" numFmtId="0" xfId="0" applyFont="1" applyBorder="1"/>
    <xf fontId="6" fillId="0" borderId="0" numFmtId="0" xfId="0" applyFont="1" applyAlignment="1" quotePrefix="1">
      <alignment horizontal="right"/>
    </xf>
    <xf fontId="8" fillId="0" borderId="10" numFmtId="3" xfId="0" applyNumberFormat="1" applyFont="1" applyBorder="1"/>
    <xf fontId="8" fillId="0" borderId="10" numFmtId="3" xfId="0" applyNumberFormat="1" applyFont="1" applyBorder="1" applyAlignment="1">
      <alignment horizontal="right"/>
    </xf>
    <xf fontId="8" fillId="0" borderId="0" numFmtId="3" xfId="0" applyNumberFormat="1" applyFont="1"/>
    <xf fontId="5" fillId="0" borderId="10" numFmtId="165" xfId="0" applyNumberFormat="1" applyFont="1" applyBorder="1" applyAlignment="1">
      <alignment horizontal="right"/>
    </xf>
    <xf fontId="6" fillId="0" borderId="12" numFmtId="0" xfId="0" applyFont="1" applyBorder="1"/>
    <xf fontId="6" fillId="0" borderId="14" numFmtId="0" xfId="0" applyFont="1" applyBorder="1"/>
    <xf fontId="8" fillId="0" borderId="14" numFmtId="3" xfId="0" applyNumberFormat="1" applyFont="1" applyBorder="1"/>
    <xf fontId="8" fillId="0" borderId="14" numFmtId="165" xfId="0" applyNumberFormat="1" applyFont="1" applyBorder="1"/>
    <xf fontId="8" fillId="0" borderId="15" numFmtId="3" xfId="0" applyNumberFormat="1" applyFont="1" applyBorder="1"/>
    <xf fontId="8" fillId="0" borderId="0" numFmtId="165" xfId="0" applyNumberFormat="1" applyFont="1"/>
    <xf fontId="6" fillId="0" borderId="0" numFmtId="3" xfId="0" applyNumberFormat="1" applyFont="1" applyAlignment="1">
      <alignment horizontal="left"/>
    </xf>
    <xf fontId="6" fillId="0" borderId="0" numFmtId="165" xfId="0" applyNumberFormat="1" applyFont="1" applyAlignment="1">
      <alignment vertical="center"/>
    </xf>
    <xf fontId="6" fillId="0" borderId="0" numFmtId="49" xfId="0" applyNumberFormat="1" applyFont="1" applyAlignment="1">
      <alignment horizontal="left"/>
    </xf>
    <xf fontId="9" fillId="0" borderId="0" numFmtId="0" xfId="0" applyFont="1"/>
    <xf fontId="1" fillId="0" borderId="0" numFmtId="0" xfId="0" applyFont="1" applyAlignment="1">
      <alignment wrapText="1"/>
    </xf>
    <xf fontId="6" fillId="0" borderId="6" numFmtId="17" xfId="0" applyNumberFormat="1" applyFont="1" applyBorder="1" applyAlignment="1">
      <alignment horizontal="center"/>
    </xf>
    <xf fontId="1" fillId="0" borderId="0" numFmtId="166" xfId="0" applyNumberFormat="1" applyFont="1"/>
    <xf fontId="5" fillId="9" borderId="10" numFmtId="3" xfId="0" applyNumberFormat="1" applyFont="1" applyFill="1" applyBorder="1" applyAlignment="1">
      <alignment horizontal="right"/>
    </xf>
    <xf fontId="1" fillId="0" borderId="0" numFmtId="0" xfId="0" applyFont="1"/>
    <xf fontId="6" fillId="10" borderId="4" numFmtId="0" xfId="0" applyFont="1" applyFill="1" applyBorder="1"/>
    <xf fontId="5" fillId="10" borderId="9" numFmtId="0" xfId="0" applyFont="1" applyFill="1" applyBorder="1" applyAlignment="1">
      <alignment horizontal="center" wrapText="1"/>
    </xf>
    <xf fontId="3" fillId="0" borderId="13" numFmtId="0" xfId="0" applyFont="1" applyBorder="1"/>
    <xf fontId="3" fillId="0" borderId="4" numFmtId="0" xfId="0" applyFont="1" applyBorder="1"/>
    <xf fontId="5" fillId="10" borderId="8" numFmtId="0" xfId="0" applyFont="1" applyFill="1" applyBorder="1" applyAlignment="1">
      <alignment horizontal="center" vertical="center"/>
    </xf>
    <xf fontId="5" fillId="10" borderId="9" numFmtId="0" xfId="0" applyFont="1" applyFill="1" applyBorder="1" applyAlignment="1">
      <alignment horizontal="center" vertical="center"/>
    </xf>
    <xf fontId="5" fillId="10" borderId="6" numFmtId="0" xfId="0" applyFont="1" applyFill="1" applyBorder="1" applyAlignment="1">
      <alignment horizontal="center" vertical="center"/>
    </xf>
    <xf fontId="5" fillId="10" borderId="15" numFmtId="0" xfId="0" applyFont="1" applyFill="1" applyBorder="1" applyAlignment="1">
      <alignment horizontal="center" vertical="center" wrapText="1"/>
    </xf>
    <xf fontId="5" fillId="10" borderId="10" numFmtId="0" xfId="0" applyFont="1" applyFill="1" applyBorder="1" applyAlignment="1">
      <alignment horizontal="center" vertical="center"/>
    </xf>
    <xf fontId="5" fillId="10" borderId="11" numFmtId="0" xfId="0" applyFont="1" applyFill="1" applyBorder="1" applyAlignment="1">
      <alignment horizontal="center" vertical="center"/>
    </xf>
    <xf fontId="6" fillId="10" borderId="7" numFmtId="0" xfId="0" applyFont="1" applyFill="1" applyBorder="1"/>
    <xf fontId="5" fillId="10" borderId="3" numFmtId="0" xfId="0" applyFont="1" applyFill="1" applyBorder="1" applyAlignment="1">
      <alignment horizontal="center" vertical="center"/>
    </xf>
    <xf fontId="5" fillId="10" borderId="1" numFmtId="0" xfId="0" applyFont="1" applyFill="1" applyBorder="1" applyAlignment="1">
      <alignment horizontal="center" vertical="center"/>
    </xf>
    <xf fontId="6" fillId="0" borderId="4" numFmtId="0" xfId="0" applyFont="1" applyBorder="1"/>
    <xf fontId="6" fillId="0" borderId="8" numFmtId="0" xfId="0" applyFont="1" applyBorder="1"/>
    <xf fontId="5" fillId="0" borderId="6" numFmtId="0" xfId="0" applyFont="1" applyBorder="1" applyAlignment="1">
      <alignment horizontal="center"/>
    </xf>
    <xf fontId="5" fillId="0" borderId="10" numFmtId="3" xfId="0" applyNumberFormat="1" applyFont="1" applyBorder="1"/>
    <xf fontId="5" fillId="0" borderId="10" numFmtId="164" xfId="0" applyNumberFormat="1" applyFont="1" applyBorder="1"/>
    <xf fontId="5" fillId="0" borderId="11" numFmtId="164" xfId="0" applyNumberFormat="1" applyFont="1" applyBorder="1"/>
    <xf fontId="6" fillId="0" borderId="10" numFmtId="3" xfId="0" applyNumberFormat="1" applyFont="1" applyBorder="1"/>
    <xf fontId="6" fillId="0" borderId="10" numFmtId="164" xfId="0" applyNumberFormat="1" applyFont="1" applyBorder="1"/>
    <xf fontId="6" fillId="0" borderId="11" numFmtId="164" xfId="0" applyNumberFormat="1" applyFont="1" applyBorder="1"/>
    <xf fontId="6" fillId="0" borderId="7" numFmtId="0" xfId="0" applyFont="1" applyBorder="1"/>
    <xf fontId="6" fillId="0" borderId="15" numFmtId="0" xfId="0" applyFont="1" applyBorder="1"/>
    <xf fontId="2" fillId="0" borderId="0" numFmtId="0" xfId="0" applyFont="1" applyAlignment="1">
      <alignment horizontal="center" vertical="center" wrapText="1"/>
    </xf>
    <xf fontId="1" fillId="0" borderId="0" numFmtId="167" xfId="0" applyNumberFormat="1" applyFont="1" applyAlignment="1">
      <alignment vertical="center" wrapText="1"/>
    </xf>
    <xf fontId="1" fillId="0" borderId="0" numFmtId="3" xfId="0" applyNumberFormat="1" applyFont="1" applyAlignment="1">
      <alignment vertical="center" wrapText="1"/>
    </xf>
    <xf fontId="1" fillId="0" borderId="0" numFmtId="0" xfId="0" applyFont="1" applyAlignment="1">
      <alignment vertical="center" wrapText="1"/>
    </xf>
    <xf fontId="10" fillId="11" borderId="0" numFmtId="0" xfId="0" applyFont="1" applyFill="1" applyAlignment="1">
      <alignment wrapText="1"/>
    </xf>
    <xf fontId="5" fillId="4" borderId="1" numFmtId="0" xfId="0" applyFont="1" applyFill="1" applyBorder="1" applyAlignment="1">
      <alignment horizontal="center" vertical="center" wrapText="1"/>
    </xf>
    <xf fontId="3" fillId="0" borderId="5" numFmtId="0" xfId="0" applyFont="1" applyBorder="1" applyAlignment="1">
      <alignment wrapText="1"/>
    </xf>
    <xf fontId="3" fillId="0" borderId="2" numFmtId="0" xfId="0" applyFont="1" applyBorder="1" applyAlignment="1">
      <alignment wrapText="1"/>
    </xf>
    <xf fontId="5" fillId="4" borderId="4" numFmtId="0" xfId="0" applyFont="1" applyFill="1" applyBorder="1" applyAlignment="1">
      <alignment vertical="center" wrapText="1"/>
    </xf>
    <xf fontId="5" fillId="4" borderId="8" numFmtId="0" xfId="0" applyFont="1" applyFill="1" applyBorder="1" applyAlignment="1">
      <alignment horizontal="center" vertical="center" wrapText="1"/>
    </xf>
    <xf fontId="6" fillId="0" borderId="11" numFmtId="3" xfId="0" applyNumberFormat="1" applyFont="1" applyBorder="1" applyAlignment="1">
      <alignment horizontal="right" wrapText="1"/>
    </xf>
    <xf fontId="6" fillId="0" borderId="10" numFmtId="3" xfId="0" applyNumberFormat="1" applyFont="1" applyBorder="1" applyAlignment="1">
      <alignment horizontal="right" wrapText="1"/>
    </xf>
    <xf fontId="1" fillId="0" borderId="0" numFmtId="168" xfId="0" applyNumberFormat="1" applyFont="1" applyAlignment="1">
      <alignment vertical="center" wrapText="1"/>
    </xf>
    <xf fontId="1" fillId="0" borderId="0" numFmtId="168" xfId="0" applyNumberFormat="1" applyFont="1"/>
    <xf fontId="1" fillId="0" borderId="0" numFmtId="165" xfId="0" applyNumberFormat="1" applyFont="1" applyAlignment="1">
      <alignment vertical="center" wrapText="1"/>
    </xf>
    <xf fontId="1" fillId="0" borderId="0" numFmtId="165" xfId="0" applyNumberFormat="1" applyFont="1"/>
    <xf fontId="11" fillId="0" borderId="0" numFmtId="168" xfId="0" applyNumberFormat="1" applyFont="1" applyAlignment="1">
      <alignment horizontal="center" wrapText="1"/>
    </xf>
    <xf fontId="11" fillId="0" borderId="0" numFmtId="0" xfId="0" applyFont="1" applyAlignment="1">
      <alignment horizontal="center" wrapText="1"/>
    </xf>
    <xf fontId="11" fillId="0" borderId="0" numFmtId="168" xfId="0" applyNumberFormat="1" applyFont="1"/>
    <xf fontId="11" fillId="0" borderId="0" numFmtId="0" xfId="0" applyFont="1"/>
  </cellXfs>
  <cellStyles count="1">
    <cellStyle name="Normal" xfId="0" builtinId="0"/>
  </cellStyles>
  <dxfs count="3">
    <dxf>
      <fill>
        <patternFill patternType="solid">
          <fgColor rgb="FFA3CEED"/>
          <bgColor rgb="FFA3CEED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1E6F6"/>
          <bgColor rgb="FFD1E6F6"/>
        </patternFill>
      </fill>
    </dxf>
  </dxfs>
  <tableStyles count="2" defaultTableStyle="TableStyleMedium2" defaultPivotStyle="PivotStyleLight16">
    <tableStyle name="17-style" pivot="0" count="3">
      <tableStyleElement type="firstRowStripe" size="1" dxfId="0"/>
      <tableStyleElement type="headerRow" size="1" dxfId="1"/>
      <tableStyleElement type="secondRowStripe" size="1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theme" Target="theme/theme1.xml"/><Relationship  Id="rId19" Type="http://schemas.openxmlformats.org/officeDocument/2006/relationships/sharedStrings" Target="sharedStrings.xml"/><Relationship  Id="rId2" Type="http://schemas.openxmlformats.org/officeDocument/2006/relationships/externalLink" Target="externalLinks/externalLink2.xml"/><Relationship  Id="rId20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6.xml.rels><?xml version="1.0" encoding="UTF-8" standalone="yes"?><Relationships xmlns="http://schemas.openxmlformats.org/package/2006/relationships"></Relationships>
</file>

<file path=xl/charts/_rels/chart7.xml.rels><?xml version="1.0" encoding="UTF-8" standalone="yes"?><Relationships xmlns="http://schemas.openxmlformats.org/package/2006/relationships"></Relationships>
</file>

<file path=xl/charts/_rels/chart8.xml.rels><?xml version="1.0" encoding="UTF-8" standalone="yes"?><Relationships xmlns="http://schemas.openxmlformats.org/package/2006/relationships"></Relationships>
</file>

<file path=xl/charts/_rels/chart9.xml.rels><?xml version="1.0" encoding="UTF-8" standalone="yes"?><Relationships xmlns="http://schemas.openxmlformats.org/package/2006/relationships"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11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12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13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Ex4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Ex14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Ex15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Ex16.xml.rels><?xml version="1.0" encoding="UTF-8" standalone="yes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Gráfico 1. Producción de Industrias en Miles de Litros. Año del 2020-2024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'[2]1'!$B$3</c:f>
              <c:strCache>
                <c:ptCount val="1"/>
                <c:pt idx="0">
                  <c:v>Bebidas alcoholicas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'[2]1'!$B$4:$B$8</c:f>
              <c:numCache>
                <c:formatCode>#,##0</c:formatCode>
                <c:ptCount val="5"/>
                <c:pt idx="0">
                  <c:v>201232.12299999996</c:v>
                </c:pt>
                <c:pt idx="1">
                  <c:v>272101.463</c:v>
                </c:pt>
                <c:pt idx="2">
                  <c:v>273731.25299999997</c:v>
                </c:pt>
                <c:pt idx="3">
                  <c:v>280302.196</c:v>
                </c:pt>
                <c:pt idx="4">
                  <c:v>284436.28500000003</c:v>
                </c:pt>
              </c:numCache>
            </c:numRef>
          </c:val>
        </c:ser>
        <c:ser>
          <c:idx val="1"/>
          <c:order val="1"/>
          <c:tx>
            <c:strRef>
              <c:f>'[2]1'!$H$3</c:f>
              <c:strCache>
                <c:ptCount val="1"/>
                <c:pt idx="0">
                  <c:v>Bebidas gaseosas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'[2]1'!$H$4:$H$8</c:f>
              <c:numCache>
                <c:formatCode>#,##0</c:formatCode>
                <c:ptCount val="5"/>
                <c:pt idx="0">
                  <c:v>174077.01066102972</c:v>
                </c:pt>
                <c:pt idx="1">
                  <c:v>195944.82479567634</c:v>
                </c:pt>
                <c:pt idx="2">
                  <c:v>198784.49259774492</c:v>
                </c:pt>
                <c:pt idx="3">
                  <c:v>207386.4055087798</c:v>
                </c:pt>
                <c:pt idx="4">
                  <c:v>205280.8826444316</c:v>
                </c:pt>
              </c:numCache>
            </c:numRef>
          </c:val>
        </c:ser>
        <c:ser>
          <c:idx val="2"/>
          <c:order val="2"/>
          <c:tx>
            <c:strRef>
              <c:f>'[2]1'!$I$3</c:f>
              <c:strCache>
                <c:ptCount val="1"/>
                <c:pt idx="0">
                  <c:v>Alcohol rectificado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'[2]1'!$I$4:$I$8</c:f>
              <c:numCache>
                <c:formatCode>#,##0</c:formatCode>
                <c:ptCount val="5"/>
                <c:pt idx="0">
                  <c:v>8549.248999999998</c:v>
                </c:pt>
                <c:pt idx="1">
                  <c:v>7328.628000000001</c:v>
                </c:pt>
                <c:pt idx="2">
                  <c:v>9411.747</c:v>
                </c:pt>
                <c:pt idx="3">
                  <c:v>6743.369</c:v>
                </c:pt>
                <c:pt idx="4">
                  <c:v>6961.844000000001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00"/>
        <c:overlap val="-24"/>
        <c:axId val="1077471119"/>
        <c:axId val="1077470639"/>
      </c:barChart>
      <c:catAx>
        <c:axId val="107747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Año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70639"/>
        <c:crosses val="autoZero"/>
        <c:auto val="1"/>
        <c:lblAlgn val="ctr"/>
        <c:lblOffset val="100"/>
        <c:noMultiLvlLbl val="0"/>
      </c:catAx>
      <c:valAx>
        <c:axId val="107747063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Miles de Litros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711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/>
              <a:t>Gráfico 1. Producción de Industrias en Miles de Litros. Año del 2020-2024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'[2]1'!$B$3</c:f>
              <c:strCache>
                <c:ptCount val="1"/>
                <c:pt idx="0">
                  <c:v>Bebidas alcoholicas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'[2]1'!$B$4:$B$8</c:f>
              <c:numCache>
                <c:formatCode>#,##0</c:formatCode>
                <c:ptCount val="5"/>
                <c:pt idx="0">
                  <c:v>201232.12299999996</c:v>
                </c:pt>
                <c:pt idx="1">
                  <c:v>272101.463</c:v>
                </c:pt>
                <c:pt idx="2">
                  <c:v>273731.25299999997</c:v>
                </c:pt>
                <c:pt idx="3">
                  <c:v>280302.196</c:v>
                </c:pt>
                <c:pt idx="4">
                  <c:v>284436.28500000003</c:v>
                </c:pt>
              </c:numCache>
            </c:numRef>
          </c:val>
        </c:ser>
        <c:ser>
          <c:idx val="1"/>
          <c:order val="1"/>
          <c:tx>
            <c:strRef>
              <c:f>'[2]1'!$H$3</c:f>
              <c:strCache>
                <c:ptCount val="1"/>
                <c:pt idx="0">
                  <c:v>Bebidas gaseosas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'[2]1'!$H$4:$H$8</c:f>
              <c:numCache>
                <c:formatCode>#,##0</c:formatCode>
                <c:ptCount val="5"/>
                <c:pt idx="0">
                  <c:v>174077.01066102972</c:v>
                </c:pt>
                <c:pt idx="1">
                  <c:v>195944.82479567634</c:v>
                </c:pt>
                <c:pt idx="2">
                  <c:v>198784.49259774492</c:v>
                </c:pt>
                <c:pt idx="3">
                  <c:v>207386.4055087798</c:v>
                </c:pt>
                <c:pt idx="4">
                  <c:v>205280.8826444316</c:v>
                </c:pt>
              </c:numCache>
            </c:numRef>
          </c:val>
        </c:ser>
        <c:ser>
          <c:idx val="2"/>
          <c:order val="2"/>
          <c:tx>
            <c:strRef>
              <c:f>'[2]1'!$I$3</c:f>
              <c:strCache>
                <c:ptCount val="1"/>
                <c:pt idx="0">
                  <c:v>Alcohol rectificado</c:v>
                </c:pt>
              </c:strCache>
            </c:strRef>
          </c:tx>
          <c:spPr bwMode="auto">
            <a:prstGeom prst="rect">
              <a:avLst/>
            </a:prstGeom>
            <a:gradFill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Pos val="outEnd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A"/>
              </a:p>
            </c:txPr>
          </c:dLbls>
          <c:cat>
            <c:strRef>
              <c:f>'[2]1'!$A$4:$A$8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 (P)</c:v>
                </c:pt>
              </c:strCache>
            </c:strRef>
          </c:cat>
          <c:val>
            <c:numRef>
              <c:f>'[2]1'!$I$4:$I$8</c:f>
              <c:numCache>
                <c:formatCode>#,##0</c:formatCode>
                <c:ptCount val="5"/>
                <c:pt idx="0">
                  <c:v>8549.248999999998</c:v>
                </c:pt>
                <c:pt idx="1">
                  <c:v>7328.628000000001</c:v>
                </c:pt>
                <c:pt idx="2">
                  <c:v>9411.747</c:v>
                </c:pt>
                <c:pt idx="3">
                  <c:v>6743.369</c:v>
                </c:pt>
                <c:pt idx="4">
                  <c:v>6961.844000000001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15"/>
        <c:overlap val="-20"/>
        <c:axId val="1077471119"/>
        <c:axId val="1077470639"/>
      </c:barChart>
      <c:catAx>
        <c:axId val="10774711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Año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70639"/>
        <c:crosses val="autoZero"/>
        <c:auto val="1"/>
        <c:lblAlgn val="ctr"/>
        <c:lblOffset val="100"/>
        <c:noMultiLvlLbl val="0"/>
      </c:catAx>
      <c:valAx>
        <c:axId val="1077470639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Miles de Litros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7111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es-PA" sz="1400" b="1" i="0">
                <a:solidFill>
                  <a:srgbClr val="757575"/>
                </a:solidFill>
                <a:latin typeface="+mn-lt"/>
              </a:rPr>
              <a:t>Grafico 7. Comparacion Poblacional de Colon y Los Santos</a:t>
            </a:r>
            <a:endParaRPr/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Colón (1)</c:v>
          </c:tx>
          <c:spPr bwMode="auto">
            <a:prstGeom prst="rect">
              <a:avLst/>
            </a:prstGeom>
            <a:ln w="38100" cmpd="sng">
              <a:solidFill>
                <a:schemeClr val="accent4"/>
              </a:solidFill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numRef>
              <c:f>'[1]2'!$A$4:$A$15</c:f>
              <c:numCache>
                <c:formatCode>General</c:formatCode>
                <c:ptCount val="12"/>
                <c:pt idx="0">
                  <c:v>1911</c:v>
                </c:pt>
                <c:pt idx="1">
                  <c:v>1920</c:v>
                </c:pt>
                <c:pt idx="2">
                  <c:v>1930</c:v>
                </c:pt>
                <c:pt idx="3">
                  <c:v>1940</c:v>
                </c:pt>
                <c:pt idx="4">
                  <c:v>1950</c:v>
                </c:pt>
                <c:pt idx="5">
                  <c:v>1960</c:v>
                </c:pt>
                <c:pt idx="6">
                  <c:v>1970</c:v>
                </c:pt>
                <c:pt idx="7">
                  <c:v>1980</c:v>
                </c:pt>
                <c:pt idx="8">
                  <c:v>1990</c:v>
                </c:pt>
                <c:pt idx="9">
                  <c:v>2000</c:v>
                </c:pt>
                <c:pt idx="10">
                  <c:v>2010</c:v>
                </c:pt>
                <c:pt idx="11">
                  <c:v>2023</c:v>
                </c:pt>
              </c:numCache>
            </c:numRef>
          </c:cat>
          <c:val>
            <c:numRef>
              <c:f>'[1]2'!$E$4:$E$15</c:f>
              <c:numCache>
                <c:formatCode>#,##0</c:formatCode>
                <c:ptCount val="12"/>
                <c:pt idx="0">
                  <c:v>32092</c:v>
                </c:pt>
                <c:pt idx="1">
                  <c:v>58250</c:v>
                </c:pt>
                <c:pt idx="2">
                  <c:v>57161</c:v>
                </c:pt>
                <c:pt idx="3">
                  <c:v>78119</c:v>
                </c:pt>
                <c:pt idx="4">
                  <c:v>90144</c:v>
                </c:pt>
                <c:pt idx="5">
                  <c:v>105416</c:v>
                </c:pt>
                <c:pt idx="6">
                  <c:v>109605</c:v>
                </c:pt>
                <c:pt idx="7">
                  <c:v>133833</c:v>
                </c:pt>
                <c:pt idx="8">
                  <c:v>168294</c:v>
                </c:pt>
                <c:pt idx="9">
                  <c:v>204208</c:v>
                </c:pt>
                <c:pt idx="10">
                  <c:v>241928</c:v>
                </c:pt>
                <c:pt idx="11">
                  <c:v>281956</c:v>
                </c:pt>
              </c:numCache>
            </c:numRef>
          </c:val>
          <c:smooth val="1"/>
        </c:ser>
        <c:ser>
          <c:idx val="1"/>
          <c:order val="1"/>
          <c:tx>
            <c:v>Los Santos</c:v>
          </c:tx>
          <c:spPr bwMode="auto">
            <a:prstGeom prst="rect">
              <a:avLst/>
            </a:prstGeom>
            <a:ln w="28575" cmpd="sng">
              <a:solidFill>
                <a:schemeClr val="accent3"/>
              </a:solidFill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numRef>
              <c:f>'[1]2'!$A$4:$A$15</c:f>
              <c:numCache>
                <c:formatCode>General</c:formatCode>
                <c:ptCount val="12"/>
                <c:pt idx="0">
                  <c:v>1911</c:v>
                </c:pt>
                <c:pt idx="1">
                  <c:v>1920</c:v>
                </c:pt>
                <c:pt idx="2">
                  <c:v>1930</c:v>
                </c:pt>
                <c:pt idx="3">
                  <c:v>1940</c:v>
                </c:pt>
                <c:pt idx="4">
                  <c:v>1950</c:v>
                </c:pt>
                <c:pt idx="5">
                  <c:v>1960</c:v>
                </c:pt>
                <c:pt idx="6">
                  <c:v>1970</c:v>
                </c:pt>
                <c:pt idx="7">
                  <c:v>1980</c:v>
                </c:pt>
                <c:pt idx="8">
                  <c:v>1990</c:v>
                </c:pt>
                <c:pt idx="9">
                  <c:v>2000</c:v>
                </c:pt>
                <c:pt idx="10">
                  <c:v>2010</c:v>
                </c:pt>
                <c:pt idx="11">
                  <c:v>2023</c:v>
                </c:pt>
              </c:numCache>
            </c:numRef>
          </c:cat>
          <c:val>
            <c:numRef>
              <c:f>'[1]2'!$I$4:$I$15</c:f>
              <c:numCache>
                <c:formatCode>#,##0</c:formatCode>
                <c:ptCount val="12"/>
                <c:pt idx="0">
                  <c:v>30075</c:v>
                </c:pt>
                <c:pt idx="1">
                  <c:v>34638</c:v>
                </c:pt>
                <c:pt idx="2">
                  <c:v>41218</c:v>
                </c:pt>
                <c:pt idx="3">
                  <c:v>49621</c:v>
                </c:pt>
                <c:pt idx="4">
                  <c:v>61422</c:v>
                </c:pt>
                <c:pt idx="5">
                  <c:v>70554</c:v>
                </c:pt>
                <c:pt idx="6">
                  <c:v>72380</c:v>
                </c:pt>
                <c:pt idx="7">
                  <c:v>70261</c:v>
                </c:pt>
                <c:pt idx="8">
                  <c:v>76947</c:v>
                </c:pt>
                <c:pt idx="9">
                  <c:v>83495</c:v>
                </c:pt>
                <c:pt idx="10">
                  <c:v>89592</c:v>
                </c:pt>
                <c:pt idx="11">
                  <c:v>98466</c:v>
                </c:pt>
              </c:numCache>
            </c:numRef>
          </c: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954905785"/>
        <c:axId val="716026061"/>
      </c:lineChart>
      <c:catAx>
        <c:axId val="1954905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A" sz="1000" b="0" i="0">
                    <a:solidFill>
                      <a:srgbClr val="000000"/>
                    </a:solidFill>
                    <a:latin typeface="+mn-lt"/>
                  </a:rPr>
                  <a:t>Anos</a:t>
                </a:r>
                <a:endParaRPr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A"/>
          </a:p>
        </c:txPr>
        <c:crossAx val="716026061"/>
        <c:crosses val="autoZero"/>
        <c:auto val="1"/>
        <c:lblAlgn val="ctr"/>
        <c:lblOffset val="100"/>
        <c:noMultiLvlLbl val="1"/>
      </c:catAx>
      <c:valAx>
        <c:axId val="71602606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PA" sz="1000" b="0" i="0">
                    <a:solidFill>
                      <a:srgbClr val="000000"/>
                    </a:solidFill>
                    <a:latin typeface="+mn-lt"/>
                  </a:rPr>
                  <a:t>Cantidad de la Poblacion</a:t>
                </a:r>
                <a:endParaRPr/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 bwMode="auto"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A"/>
          </a:p>
        </c:txPr>
        <c:crossAx val="1954905785"/>
        <c:crosses val="autoZero"/>
        <c:crossBetween val="between"/>
      </c:valAx>
    </c:plotArea>
    <c:legend>
      <c:legendPos val="t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A"/>
        </a:p>
      </c:txPr>
    </c:legend>
    <c:plotVisOnly val="1"/>
    <c:dispBlanksAs val="zero"/>
    <c:showDLblsOverMax val="1"/>
  </c:chart>
  <c:spPr bwMode="auto">
    <a:xfrm rot="0">
      <a:off x="0" y="0"/>
      <a:ext cx="0" cy="0"/>
    </a:xfrm>
    <a:prstGeom prst="rect">
      <a:avLst/>
    </a:prstGeom>
    <a:ln w="0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A" b="1"/>
              <a:t>Gráfico 4. Población de la provincia de Chiriqui.</a:t>
            </a:r>
            <a:r>
              <a:rPr lang="es-PA" b="1"/>
              <a:t> Censo 1911-2023</a:t>
            </a:r>
            <a:endParaRPr lang="es-PA" b="1"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 bwMode="auto">
            <a:prstGeom prst="rect">
              <a:avLst/>
            </a:prstGeom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 bwMode="auto">
              <a:prstGeom prst="rect">
                <a:avLst/>
              </a:prstGeom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'[2]2'!$A$4:$A$15</c:f>
              <c:numCache>
                <c:formatCode>General</c:formatCode>
                <c:ptCount val="12"/>
                <c:pt idx="0">
                  <c:v>1911</c:v>
                </c:pt>
                <c:pt idx="1">
                  <c:v>1920</c:v>
                </c:pt>
                <c:pt idx="2">
                  <c:v>1930</c:v>
                </c:pt>
                <c:pt idx="3">
                  <c:v>1940</c:v>
                </c:pt>
                <c:pt idx="4">
                  <c:v>1950</c:v>
                </c:pt>
                <c:pt idx="5">
                  <c:v>1960</c:v>
                </c:pt>
                <c:pt idx="6">
                  <c:v>1970</c:v>
                </c:pt>
                <c:pt idx="7">
                  <c:v>1980</c:v>
                </c:pt>
                <c:pt idx="8">
                  <c:v>1990</c:v>
                </c:pt>
                <c:pt idx="9">
                  <c:v>2000</c:v>
                </c:pt>
                <c:pt idx="10">
                  <c:v>2010</c:v>
                </c:pt>
                <c:pt idx="11">
                  <c:v>2023</c:v>
                </c:pt>
              </c:numCache>
            </c:numRef>
          </c:cat>
          <c:val>
            <c:numRef>
              <c:f>'[2]2'!$F$4:$F$15</c:f>
              <c:numCache>
                <c:formatCode>#,##0</c:formatCode>
                <c:ptCount val="12"/>
                <c:pt idx="0">
                  <c:v>63364</c:v>
                </c:pt>
                <c:pt idx="1">
                  <c:v>76470</c:v>
                </c:pt>
                <c:pt idx="2">
                  <c:v>76918</c:v>
                </c:pt>
                <c:pt idx="3">
                  <c:v>111206</c:v>
                </c:pt>
                <c:pt idx="4">
                  <c:v>138136</c:v>
                </c:pt>
                <c:pt idx="5">
                  <c:v>188350</c:v>
                </c:pt>
                <c:pt idx="6">
                  <c:v>236154</c:v>
                </c:pt>
                <c:pt idx="7">
                  <c:v>287350</c:v>
                </c:pt>
                <c:pt idx="8">
                  <c:v>322130</c:v>
                </c:pt>
                <c:pt idx="9">
                  <c:v>368790</c:v>
                </c:pt>
                <c:pt idx="10">
                  <c:v>416873</c:v>
                </c:pt>
                <c:pt idx="11">
                  <c:v>471071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077437039"/>
        <c:axId val="1077439919"/>
      </c:lineChart>
      <c:catAx>
        <c:axId val="107743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Años</a:t>
                </a:r>
                <a:r>
                  <a:rPr lang="es-PA"/>
                  <a:t> segun censo</a:t>
                </a:r>
                <a:endParaRPr lang="es-PA"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39919"/>
        <c:crosses val="autoZero"/>
        <c:auto val="1"/>
        <c:lblAlgn val="ctr"/>
        <c:lblOffset val="100"/>
        <c:noMultiLvlLbl val="0"/>
      </c:catAx>
      <c:valAx>
        <c:axId val="1077439919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A"/>
                  <a:t>Población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A"/>
            </a:p>
          </c:txPr>
        </c:title>
        <c:numFmt formatCode="#,##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A"/>
          </a:p>
        </c:txPr>
        <c:crossAx val="107743703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A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s-PA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PA" sz="1400" b="0" i="0">
                <a:solidFill>
                  <a:srgbClr val="757575"/>
                </a:solidFill>
                <a:latin typeface="+mn-lt"/>
              </a:rPr>
              <a:t>Grafico 7. Principales Causas de Muertes para los Hombres en Colon</a:t>
            </a:r>
            <a:endParaRPr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</c:spPr>
          </c:dPt>
          <c:cat>
            <c:strRef>
              <c:f>'3'!$B$41:$B$46</c:f>
              <c:strCache>
                <c:ptCount val="6"/>
                <c:pt idx="0">
                  <c:v>Enfermedades isquémicas del corazón</c:v>
                </c:pt>
                <c:pt idx="1">
                  <c:v>Tumores (neoplasias) malignos</c:v>
                </c:pt>
                <c:pt idx="2">
                  <c:v xml:space="preserve">  agresiones y otras violencias</c:v>
                </c:pt>
                <c:pt idx="3">
                  <c:v>Enfermedades hipertensivas</c:v>
                </c:pt>
                <c:pt idx="4">
                  <c:v>Enfermedades cerebrovasculares</c:v>
                </c:pt>
                <c:pt idx="5">
                  <c:v>Las demás causas</c:v>
                </c:pt>
              </c:strCache>
            </c:strRef>
          </c:cat>
          <c:val>
            <c:numRef>
              <c:f>'3'!$F$41:$F$46</c:f>
              <c:numCache>
                <c:formatCode>General</c:formatCode>
                <c:ptCount val="6"/>
                <c:pt idx="0">
                  <c:v>165</c:v>
                </c:pt>
                <c:pt idx="1">
                  <c:v>116</c:v>
                </c:pt>
                <c:pt idx="2">
                  <c:v>165</c:v>
                </c:pt>
                <c:pt idx="3">
                  <c:v>82</c:v>
                </c:pt>
                <c:pt idx="4">
                  <c:v>65</c:v>
                </c:pt>
                <c:pt idx="5">
                  <c:v>369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A"/>
        </a:p>
      </c:txPr>
    </c:legend>
    <c:plotVisOnly val="1"/>
    <c:dispBlanksAs val="zero"/>
    <c:showDLblsOverMax val="1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PA" sz="1400" b="0" i="0">
                <a:solidFill>
                  <a:srgbClr val="757575"/>
                </a:solidFill>
                <a:latin typeface="+mn-lt"/>
              </a:rPr>
              <a:t>Grafico 8. Principales Causas de Muertes para los Hombres en Colon </a:t>
            </a:r>
            <a:endParaRPr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</c:spPr>
          </c:dPt>
          <c:cat>
            <c:strRef>
              <c:f>'3'!$B$41:$B$46</c:f>
              <c:strCache>
                <c:ptCount val="6"/>
                <c:pt idx="0">
                  <c:v>Enfermedades isquémicas del corazón</c:v>
                </c:pt>
                <c:pt idx="1">
                  <c:v>Tumores (neoplasias) malignos</c:v>
                </c:pt>
                <c:pt idx="2">
                  <c:v xml:space="preserve">  agresiones y otras violencias</c:v>
                </c:pt>
                <c:pt idx="3">
                  <c:v>Enfermedades hipertensivas</c:v>
                </c:pt>
                <c:pt idx="4">
                  <c:v>Enfermedades cerebrovasculares</c:v>
                </c:pt>
                <c:pt idx="5">
                  <c:v>Las demás causas</c:v>
                </c:pt>
              </c:strCache>
            </c:strRef>
          </c:cat>
          <c:val>
            <c:numRef>
              <c:f>'3'!$F$41:$F$46</c:f>
              <c:numCache>
                <c:formatCode>General</c:formatCode>
                <c:ptCount val="6"/>
                <c:pt idx="0">
                  <c:v>165</c:v>
                </c:pt>
                <c:pt idx="1">
                  <c:v>116</c:v>
                </c:pt>
                <c:pt idx="2">
                  <c:v>165</c:v>
                </c:pt>
                <c:pt idx="3">
                  <c:v>82</c:v>
                </c:pt>
                <c:pt idx="4">
                  <c:v>65</c:v>
                </c:pt>
                <c:pt idx="5">
                  <c:v>369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</c:plotArea>
    <c:plotVisOnly val="1"/>
    <c:dispBlanksAs val="zero"/>
    <c:showDLblsOverMax val="1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PA" sz="1400" b="0" i="0">
                <a:solidFill>
                  <a:srgbClr val="757575"/>
                </a:solidFill>
                <a:latin typeface="+mn-lt"/>
              </a:rPr>
              <a:t>Grafico 9. Principales Causas de Muertes para los Hombres en Colon </a:t>
            </a:r>
            <a:endParaRPr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331425"/>
          <c:y val="0.266334"/>
          <c:w val="0.370483"/>
          <c:h val="0.617471"/>
        </c:manualLayout>
      </c:layout>
      <c:doughnut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</c:spPr>
          </c:dPt>
          <c:cat>
            <c:strRef>
              <c:f>'3'!$B$41:$B$46</c:f>
              <c:strCache>
                <c:ptCount val="6"/>
                <c:pt idx="0">
                  <c:v>Enfermedades isquémicas del corazón</c:v>
                </c:pt>
                <c:pt idx="1">
                  <c:v>Tumores (neoplasias) malignos</c:v>
                </c:pt>
                <c:pt idx="2">
                  <c:v xml:space="preserve">  agresiones y otras violencias</c:v>
                </c:pt>
                <c:pt idx="3">
                  <c:v>Enfermedades hipertensivas</c:v>
                </c:pt>
                <c:pt idx="4">
                  <c:v>Enfermedades cerebrovasculares</c:v>
                </c:pt>
                <c:pt idx="5">
                  <c:v>Las demás causas</c:v>
                </c:pt>
              </c:strCache>
            </c:strRef>
          </c:cat>
          <c:val>
            <c:numRef>
              <c:f>'3'!$F$41:$F$46</c:f>
              <c:numCache>
                <c:formatCode>General</c:formatCode>
                <c:ptCount val="6"/>
                <c:pt idx="0">
                  <c:v>165</c:v>
                </c:pt>
                <c:pt idx="1">
                  <c:v>116</c:v>
                </c:pt>
                <c:pt idx="2">
                  <c:v>165</c:v>
                </c:pt>
                <c:pt idx="3">
                  <c:v>82</c:v>
                </c:pt>
                <c:pt idx="4">
                  <c:v>65</c:v>
                </c:pt>
                <c:pt idx="5">
                  <c:v>369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  <c:holeSize val="50"/>
      </c:doughnutChart>
    </c:plotArea>
    <c:plotVisOnly val="1"/>
    <c:dispBlanksAs val="zero"/>
    <c:showDLblsOverMax val="1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1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PA" sz="1400" b="0" i="0">
                <a:solidFill>
                  <a:srgbClr val="757575"/>
                </a:solidFill>
                <a:latin typeface="+mn-lt"/>
              </a:rPr>
              <a:t>Grafico 10. Principales Causas de Muertes para los Hombres en Colon </a:t>
            </a:r>
            <a:endParaRPr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 bwMode="auto">
              <a:prstGeom prst="rect">
                <a:avLst/>
              </a:prstGeom>
              <a:solidFill>
                <a:schemeClr val="accent1"/>
              </a:solidFill>
            </c:spPr>
          </c:dPt>
          <c:dPt>
            <c:idx val="1"/>
            <c:bubble3D val="0"/>
            <c:spPr bwMode="auto">
              <a:prstGeom prst="rect">
                <a:avLst/>
              </a:prstGeom>
              <a:solidFill>
                <a:schemeClr val="accent2"/>
              </a:solidFill>
            </c:spPr>
          </c:dPt>
          <c:dPt>
            <c:idx val="2"/>
            <c:bubble3D val="0"/>
            <c:spPr bwMode="auto">
              <a:prstGeom prst="rect">
                <a:avLst/>
              </a:prstGeom>
              <a:solidFill>
                <a:schemeClr val="accent3"/>
              </a:solidFill>
            </c:spPr>
          </c:dPt>
          <c:dPt>
            <c:idx val="3"/>
            <c:bubble3D val="0"/>
            <c:spPr bwMode="auto">
              <a:prstGeom prst="rect">
                <a:avLst/>
              </a:prstGeom>
              <a:solidFill>
                <a:schemeClr val="accent4"/>
              </a:solidFill>
            </c:spPr>
          </c:dPt>
          <c:dPt>
            <c:idx val="4"/>
            <c:bubble3D val="0"/>
            <c:spPr bwMode="auto">
              <a:prstGeom prst="rect">
                <a:avLst/>
              </a:prstGeom>
              <a:solidFill>
                <a:schemeClr val="accent5"/>
              </a:solidFill>
            </c:spPr>
          </c:dPt>
          <c:dPt>
            <c:idx val="5"/>
            <c:bubble3D val="0"/>
            <c:spPr bwMode="auto">
              <a:prstGeom prst="rect">
                <a:avLst/>
              </a:prstGeom>
              <a:solidFill>
                <a:schemeClr val="accent6"/>
              </a:solidFill>
            </c:spPr>
          </c:dPt>
          <c:cat>
            <c:strRef>
              <c:f>'3'!$B$41:$B$46</c:f>
              <c:strCache>
                <c:ptCount val="6"/>
                <c:pt idx="0">
                  <c:v>Enfermedades isquémicas del corazón</c:v>
                </c:pt>
                <c:pt idx="1">
                  <c:v>Tumores (neoplasias) malignos</c:v>
                </c:pt>
                <c:pt idx="2">
                  <c:v xml:space="preserve">  agresiones y otras violencias</c:v>
                </c:pt>
                <c:pt idx="3">
                  <c:v>Enfermedades hipertensivas</c:v>
                </c:pt>
                <c:pt idx="4">
                  <c:v>Enfermedades cerebrovasculares</c:v>
                </c:pt>
                <c:pt idx="5">
                  <c:v>Las demás causas</c:v>
                </c:pt>
              </c:strCache>
            </c:strRef>
          </c:cat>
          <c:val>
            <c:numRef>
              <c:f>'3'!$F$41:$F$46</c:f>
              <c:numCache>
                <c:formatCode>General</c:formatCode>
                <c:ptCount val="6"/>
                <c:pt idx="0">
                  <c:v>165</c:v>
                </c:pt>
                <c:pt idx="1">
                  <c:v>116</c:v>
                </c:pt>
                <c:pt idx="2">
                  <c:v>165</c:v>
                </c:pt>
                <c:pt idx="3">
                  <c:v>82</c:v>
                </c:pt>
                <c:pt idx="4">
                  <c:v>65</c:v>
                </c:pt>
                <c:pt idx="5">
                  <c:v>369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</c:plotArea>
    <c:plotVisOnly val="1"/>
    <c:dispBlanksAs val="zero"/>
    <c:showDLblsOverMax val="1"/>
  </c:chart>
  <c:spPr bwMode="auto">
    <a:xfrm rot="0"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/>
              <a:t> 2. Principales Causas de Muerte en la</a:t>
            </a:r>
            <a:endParaRPr/>
          </a:p>
          <a:p>
            <a:pPr>
              <a:defRPr/>
            </a:pPr>
            <a:r>
              <a:rPr lang="en-US"/>
              <a:t>Reública de Panamá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'3'!$J$8</c:f>
              <c:strCache>
                <c:ptCount val="1"/>
                <c:pt idx="0">
                  <c:v>Número de personas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leaderLines>
              <c:spPr bwMode="auto">
                <a:prstGeom prst="rect">
                  <a:avLst/>
                </a:prstGeom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showBubbleSize val="0"/>
            <c:showCatName val="1"/>
            <c:showLeaderLines val="1"/>
            <c:showLegendKey val="1"/>
            <c:showPercent val="1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'3'!$I$9:$I$14</c:f>
              <c:strCache>
                <c:ptCount val="6"/>
                <c:pt idx="0">
                  <c:v>Tumores (neoplasias) malignos</c:v>
                </c:pt>
                <c:pt idx="1">
                  <c:v>Enfermedades isquémicas del corazón</c:v>
                </c:pt>
                <c:pt idx="2">
                  <c:v>Enfermedades cerebrovasculares</c:v>
                </c:pt>
                <c:pt idx="3">
                  <c:v>Otras enfermedades del corazón</c:v>
                </c:pt>
                <c:pt idx="4">
                  <c:v>Accidentes, lesiones autoinflingidas, agresiones y otras violencias</c:v>
                </c:pt>
                <c:pt idx="5">
                  <c:v>Las demás causas</c:v>
                </c:pt>
              </c:strCache>
            </c:strRef>
          </c:cat>
          <c:val>
            <c:numRef>
              <c:f>'3'!$J$9:$J$14</c:f>
              <c:numCache>
                <c:formatCode>#,##0</c:formatCode>
                <c:ptCount val="6"/>
                <c:pt idx="0">
                  <c:v>3668</c:v>
                </c:pt>
                <c:pt idx="1">
                  <c:v>2189</c:v>
                </c:pt>
                <c:pt idx="2">
                  <c:v>1877</c:v>
                </c:pt>
                <c:pt idx="3">
                  <c:v>1696</c:v>
                </c:pt>
                <c:pt idx="4">
                  <c:v>1603</c:v>
                </c:pt>
                <c:pt idx="5">
                  <c:v>10702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133"/>
      </c:pieChart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/>
              <a:t> 2. Principales Causas de Muerte en la</a:t>
            </a:r>
            <a:endParaRPr/>
          </a:p>
          <a:p>
            <a:pPr>
              <a:defRPr/>
            </a:pPr>
            <a:r>
              <a:rPr lang="en-US"/>
              <a:t>Reública de Panamá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08326"/>
          <c:y val="0.272332"/>
          <c:w val="0.550775"/>
          <c:h val="0.725411"/>
        </c:manualLayout>
      </c:layout>
      <c:doughnutChart>
        <c:varyColors val="1"/>
        <c:ser>
          <c:idx val="0"/>
          <c:order val="0"/>
          <c:tx>
            <c:strRef>
              <c:f>'3'!$J$8</c:f>
              <c:strCache>
                <c:ptCount val="1"/>
                <c:pt idx="0">
                  <c:v>Número de personas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leaderLines>
              <c:spPr bwMode="auto">
                <a:prstGeom prst="rect">
                  <a:avLst/>
                </a:prstGeom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showBubbleSize val="0"/>
            <c:showCatName val="1"/>
            <c:showLeaderLines val="1"/>
            <c:showLegendKey val="1"/>
            <c:showPercent val="1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'3'!$I$9:$I$14</c:f>
              <c:strCache>
                <c:ptCount val="6"/>
                <c:pt idx="0">
                  <c:v>Tumores (neoplasias) malignos</c:v>
                </c:pt>
                <c:pt idx="1">
                  <c:v>Enfermedades isquémicas del corazón</c:v>
                </c:pt>
                <c:pt idx="2">
                  <c:v>Enfermedades cerebrovasculares</c:v>
                </c:pt>
                <c:pt idx="3">
                  <c:v>Otras enfermedades del corazón</c:v>
                </c:pt>
                <c:pt idx="4">
                  <c:v>Accidentes, lesiones autoinflingidas, agresiones y otras violencias</c:v>
                </c:pt>
                <c:pt idx="5">
                  <c:v>Las demás causas</c:v>
                </c:pt>
              </c:strCache>
            </c:strRef>
          </c:cat>
          <c:val>
            <c:numRef>
              <c:f>'3'!$J$9:$J$14</c:f>
              <c:numCache>
                <c:formatCode>#,##0</c:formatCode>
                <c:ptCount val="6"/>
                <c:pt idx="0">
                  <c:v>3668</c:v>
                </c:pt>
                <c:pt idx="1">
                  <c:v>2189</c:v>
                </c:pt>
                <c:pt idx="2">
                  <c:v>1877</c:v>
                </c:pt>
                <c:pt idx="3">
                  <c:v>1696</c:v>
                </c:pt>
                <c:pt idx="4">
                  <c:v>1603</c:v>
                </c:pt>
                <c:pt idx="5">
                  <c:v>10702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133"/>
        <c:holeSize val="50"/>
      </c:doughnutChart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/>
              <a:t> 2. Principales Causas de Muerte en la</a:t>
            </a:r>
            <a:endParaRPr/>
          </a:p>
          <a:p>
            <a:pPr>
              <a:defRPr/>
            </a:pPr>
            <a:r>
              <a:rPr lang="en-US"/>
              <a:t>Reública de Panamá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'3'!$J$8</c:f>
              <c:strCache>
                <c:ptCount val="1"/>
                <c:pt idx="0">
                  <c:v>Número de personas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leaderLines>
              <c:spPr bwMode="auto">
                <a:prstGeom prst="rect">
                  <a:avLst/>
                </a:prstGeom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showBubbleSize val="0"/>
            <c:showCatName val="1"/>
            <c:showLeaderLines val="1"/>
            <c:showLegendKey val="1"/>
            <c:showPercent val="1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'3'!$I$9:$I$14</c:f>
              <c:strCache>
                <c:ptCount val="6"/>
                <c:pt idx="0">
                  <c:v>Tumores (neoplasias) malignos</c:v>
                </c:pt>
                <c:pt idx="1">
                  <c:v>Enfermedades isquémicas del corazón</c:v>
                </c:pt>
                <c:pt idx="2">
                  <c:v>Enfermedades cerebrovasculares</c:v>
                </c:pt>
                <c:pt idx="3">
                  <c:v>Otras enfermedades del corazón</c:v>
                </c:pt>
                <c:pt idx="4">
                  <c:v>Accidentes, lesiones autoinflingidas, agresiones y otras violencias</c:v>
                </c:pt>
                <c:pt idx="5">
                  <c:v>Las demás causas</c:v>
                </c:pt>
              </c:strCache>
            </c:strRef>
          </c:cat>
          <c:val>
            <c:numRef>
              <c:f>'3'!$J$9:$J$14</c:f>
              <c:numCache>
                <c:formatCode>#,##0</c:formatCode>
                <c:ptCount val="6"/>
                <c:pt idx="0">
                  <c:v>3668</c:v>
                </c:pt>
                <c:pt idx="1">
                  <c:v>2189</c:v>
                </c:pt>
                <c:pt idx="2">
                  <c:v>1877</c:v>
                </c:pt>
                <c:pt idx="3">
                  <c:v>1696</c:v>
                </c:pt>
                <c:pt idx="4">
                  <c:v>1603</c:v>
                </c:pt>
                <c:pt idx="5">
                  <c:v>10702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s-E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/>
              <a:t> 2. Principales Causas de Muerte en la</a:t>
            </a:r>
            <a:endParaRPr/>
          </a:p>
          <a:p>
            <a:pPr>
              <a:defRPr/>
            </a:pPr>
            <a:r>
              <a:rPr lang="en-US"/>
              <a:t>Reública de Panamá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'3'!$J$8</c:f>
              <c:strCache>
                <c:ptCount val="1"/>
                <c:pt idx="0">
                  <c:v>Número de personas</c:v>
                </c:pt>
              </c:strCache>
            </c:strRef>
          </c:tx>
          <c:dPt>
            <c:idx val="0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6"/>
            <c:bubble3D val="0"/>
            <c:spPr bwMode="auto">
              <a:prstGeom prst="rect">
                <a:avLst/>
              </a:prstGeom>
              <a:gradFill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leaderLines>
              <c:spPr bwMode="auto">
                <a:prstGeom prst="rect">
                  <a:avLst/>
                </a:prstGeom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showBubbleSize val="0"/>
            <c:showCatName val="1"/>
            <c:showLeaderLines val="1"/>
            <c:showLegendKey val="1"/>
            <c:showPercent val="1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</c:dLbls>
          <c:cat>
            <c:strRef>
              <c:f>'3'!$I$9:$I$14</c:f>
              <c:strCache>
                <c:ptCount val="6"/>
                <c:pt idx="0">
                  <c:v>Tumores (neoplasias) malignos</c:v>
                </c:pt>
                <c:pt idx="1">
                  <c:v>Enfermedades isquémicas del corazón</c:v>
                </c:pt>
                <c:pt idx="2">
                  <c:v>Enfermedades cerebrovasculares</c:v>
                </c:pt>
                <c:pt idx="3">
                  <c:v>Otras enfermedades del corazón</c:v>
                </c:pt>
                <c:pt idx="4">
                  <c:v>Accidentes, lesiones autoinflingidas, agresiones y otras violencias</c:v>
                </c:pt>
                <c:pt idx="5">
                  <c:v>Las demás causas</c:v>
                </c:pt>
              </c:strCache>
            </c:strRef>
          </c:cat>
          <c:val>
            <c:numRef>
              <c:f>'3'!$J$9:$J$14</c:f>
              <c:numCache>
                <c:formatCode>#,##0</c:formatCode>
                <c:ptCount val="6"/>
                <c:pt idx="0">
                  <c:v>3668</c:v>
                </c:pt>
                <c:pt idx="1">
                  <c:v>2189</c:v>
                </c:pt>
                <c:pt idx="2">
                  <c:v>1877</c:v>
                </c:pt>
                <c:pt idx="3">
                  <c:v>1696</c:v>
                </c:pt>
                <c:pt idx="4">
                  <c:v>1603</c:v>
                </c:pt>
                <c:pt idx="5">
                  <c:v>10702</c:v>
                </c:pt>
              </c:numCache>
            </c:numRef>
          </c:val>
        </c:ser>
        <c:dLbls>
          <c:showBubbleSize val="0"/>
          <c:showCatName val="0"/>
          <c:showLeaderLines val="1"/>
          <c:showLegendKey val="0"/>
          <c:showPercent val="0"/>
          <c:showSerName val="0"/>
          <c:showVal val="0"/>
        </c:dLbls>
        <c:firstSliceAng val="0"/>
      </c:pieChart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s-MX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Ex4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olorStr">
        <cx:lvl ptCount="13">
          <cx:pt idx="0">9842522</cx:pt>
          <cx:pt idx="1">10107363</cx:pt>
          <cx:pt idx="2">9840638</cx:pt>
          <cx:pt idx="3">9840975</cx:pt>
          <cx:pt idx="4">10595908</cx:pt>
          <cx:pt idx="5">10595909</cx:pt>
          <cx:pt idx="6">9833512</cx:pt>
          <cx:pt idx="7">192</cx:pt>
          <cx:pt idx="8">10595911</cx:pt>
          <cx:pt idx="9">10595912</cx:pt>
          <cx:pt idx="10">10595913</cx:pt>
          <cx:pt idx="11"/>
          <cx:pt idx="12">-7977892496</cx:pt>
        </cx:lvl>
      </cx:strDim>
      <cx:strDim type="cat">
        <cx:f dir="row">_xlchart.v6.2</cx:f>
        <cx:nf>_xlchart.v6.0</cx:nf>
      </cx:strDim>
      <cx:strDim type="colorStr">
        <cx:f dir="row">_xlchart.v6.1</cx:f>
      </cx:strDim>
    </cx:data>
  </cx:chartData>
  <cx:chart>
    <cx:title pos="t" align="ctr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>
              <a:solidFill>
                <a:srgbClr val="000000">
                  <a:lumMod val="65000"/>
                  <a:lumOff val="35000"/>
                </a:srgbClr>
              </a:solidFill>
              <a:latin typeface="Century Gothic"/>
            </a:rPr>
            <a:t>Gráfico 6.  Población de la república de Panamá. Censo 2023</a:t>
          </a:r>
          <a:endParaRPr/>
        </a:p>
      </cx:txPr>
      <cx:tx>
        <cx:txData>
          <cx:v>Gráfico 6.  Población de la república de Panamá. Censo 2023</cx:v>
        </cx:txData>
      </cx:tx>
    </cx:title>
    <cx:plotArea>
      <cx:plotAreaRegion>
        <cx:series layoutId="regionMap" uniqueId="{C59442F1-F487-4AEA-9977-1147102D716A}">
          <cx:dataId val="0"/>
          <cx:layoutPr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>
            <a:solidFill>
              <a:srgbClr val="000000">
                <a:lumMod val="65000"/>
                <a:lumOff val="35000"/>
              </a:srgbClr>
            </a:solidFill>
            <a:latin typeface="Century Gothic"/>
          </a:endParaRPr>
        </a:p>
      </cx:txPr>
    </cx:legend>
  </cx:chart>
  <cx:spPr bwMode="auto">
    <a:xfrm rot="0">
      <a:off x="0" y="0"/>
      <a:ext cx="0" cy="0"/>
    </a:xfrm>
    <a:prstGeom prst="rect">
      <a:avLst/>
    </a:prstGeom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x:spPr>
</cx:chartSpace>
</file>

<file path=xl/charts/chartEx14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_xlchart.v5.22</cx:f>
        <cx:nf>_xlchart.v5.21</cx:nf>
      </cx:strDim>
      <cx:numDim type="colorVal">
        <cx:f>_xlchart.v5.24</cx:f>
        <cx:nf>_xlchart.v5.23</cx:nf>
      </cx:numDim>
    </cx:data>
  </cx:chartData>
  <cx:chart>
    <cx:title pos="t" align="ctr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>
              <a:solidFill>
                <a:srgbClr val="000000">
                  <a:lumMod val="65000"/>
                  <a:lumOff val="35000"/>
                </a:srgbClr>
              </a:solidFill>
              <a:latin typeface="Century Gothic"/>
            </a:rPr>
            <a:t>Gráfico 5. Flujo de Inversión Extranjera en Panamá según Países. Año 2023</a:t>
          </a:r>
          <a:endParaRPr/>
        </a:p>
      </cx:txPr>
      <cx:tx>
        <cx:txData>
          <cx:v>Gráfico 5. Flujo de Inversión Extranjera en Panamá según Países. Año 2023</cx:v>
        </cx:txData>
      </cx:tx>
    </cx:title>
    <cx:plotArea>
      <cx:plotAreaRegion>
        <cx:series layoutId="regionMap" uniqueId="{423CD67D-5C1C-48AC-95EC-3FFE18BD6A55}">
          <cx:tx>
            <cx:txData>
              <cx:v>IED</cx:v>
            </cx:txData>
          </cx:tx>
          <cx:dataId val="0"/>
          <cx:layoutPr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>
            <a:solidFill>
              <a:srgbClr val="000000">
                <a:lumMod val="65000"/>
                <a:lumOff val="35000"/>
              </a:srgbClr>
            </a:solidFill>
            <a:latin typeface="Century Gothic"/>
          </a:endParaRPr>
        </a:p>
      </cx:txPr>
    </cx:legend>
  </cx:chart>
  <cx:spPr bwMode="auto">
    <a:xfrm rot="0">
      <a:off x="0" y="0"/>
      <a:ext cx="0" cy="0"/>
    </a:xfrm>
  </cx:spPr>
</cx:chartSpace>
</file>

<file path=xl/charts/chartEx15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_xlchart.v5.30</cx:f>
        <cx:nf>_xlchart.v5.29</cx:nf>
      </cx:strDim>
      <cx:strDim type="colorStr">
        <cx:f>_xlchart.v5.32</cx:f>
        <cx:nf>_xlchart.v5.31</cx:nf>
      </cx:strDim>
    </cx:data>
  </cx:chartData>
  <cx:chart>
    <cx:title pos="t" align="ctr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>
              <a:solidFill>
                <a:srgbClr val="000000">
                  <a:lumMod val="65000"/>
                  <a:lumOff val="35000"/>
                </a:srgbClr>
              </a:solidFill>
              <a:latin typeface="Century Gothic"/>
            </a:rPr>
            <a:t>Gráfico 5. Flujo de Inversión Extranjera en Panamá según Países. Año 2023</a:t>
          </a:r>
          <a:endParaRPr/>
        </a:p>
      </cx:txPr>
      <cx:tx>
        <cx:txData>
          <cx:v>Gráfico 5. Flujo de Inversión Extranjera en Panamá según Países. Año 2023</cx:v>
        </cx:txData>
      </cx:tx>
    </cx:title>
    <cx:plotArea>
      <cx:plotAreaRegion>
        <cx:series layoutId="regionMap" uniqueId="{423CD67D-5C1C-48AC-95EC-3FFE18BD6A55}">
          <cx:tx>
            <cx:txData>
              <cx:f/>
              <cx:v>IED</cx:v>
            </cx:txData>
          </cx:tx>
          <cx:dataId val="0"/>
          <cx:layoutPr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>
            <a:solidFill>
              <a:srgbClr val="000000">
                <a:lumMod val="65000"/>
                <a:lumOff val="35000"/>
              </a:srgbClr>
            </a:solidFill>
            <a:latin typeface="Century Gothic"/>
          </a:endParaRPr>
        </a:p>
      </cx:txPr>
    </cx:legend>
  </cx:chart>
  <cx:spPr bwMode="auto">
    <a:xfrm rot="0">
      <a:off x="0" y="0"/>
      <a:ext cx="0" cy="0"/>
    </a:xfrm>
  </cx:spPr>
</cx:chartSpace>
</file>

<file path=xl/charts/chartEx16.xml><?xml version="1.0" encoding="utf-8"?>
<cx:chartSpace xmlns:cx="http://schemas.microsoft.com/office/drawing/2014/chartex" xmlns:a="http://schemas.openxmlformats.org/drawingml/2006/main" xmlns:r="http://schemas.openxmlformats.org/officeDocument/2006/relationships">
  <cx:chartData>
    <cx:data id="0">
      <cx:strDim type="cat">
        <cx:f>_xlchart.v2.33</cx:f>
      </cx:strDim>
      <cx:numDim type="val">
        <cx:f>_xlchart.v2.34</cx:f>
      </cx:numDim>
    </cx:data>
  </cx:chartData>
  <cx:chart>
    <cx:title pos="t" align="ctr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>
              <a:solidFill>
                <a:srgbClr val="000000">
                  <a:lumMod val="65000"/>
                  <a:lumOff val="35000"/>
                </a:srgbClr>
              </a:solidFill>
              <a:latin typeface="Century Gothic"/>
            </a:rPr>
            <a:t>Gráfico 3. Flujo de Ventas en Líneas</a:t>
          </a:r>
          <a:endParaRPr/>
        </a:p>
      </cx:txPr>
      <cx:tx>
        <cx:txData>
          <cx:v>Gráfico 3. Flujo de Ventas en Líneas</cx:v>
        </cx:txData>
      </cx:tx>
    </cx:title>
    <cx:plotArea>
      <cx:plotAreaRegion>
        <cx:series layoutId="funnel" uniqueId="{BCD98B9E-570B-4B33-B62F-C2466AC1083D}">
          <cx:dataLabels>
            <cx:visibility seriesName="0" categoryName="0" value="1"/>
          </cx:dataLabels>
          <cx:dataId val="0"/>
          <cx:spPr bwMode="auto">
            <a:prstGeom prst="rect">
              <a:avLst/>
            </a:prstGeom>
            <a:solidFill>
              <a:srgbClr val="66FFCC"/>
            </a:solidFill>
          </cx:spPr>
        </cx:series>
      </cx:plotAreaRegion>
      <cx:axis id="1">
        <cx:catScaling gapWidth="0.059999998700000001"/>
        <cx:tickLabels/>
      </cx:axis>
    </cx:plotArea>
  </cx:chart>
  <cx:spPr bwMode="auto">
    <a:xfrm rot="0">
      <a:off x="0" y="0"/>
      <a:ext cx="0" cy="0"/>
    </a:xfrm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lt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ymbol="circle" size="6"/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  <a:round/>
      </a:ln>
    </cs:spPr>
  </cs:dataPointMarker>
  <cs:dataPointWireframe>
    <cs:lnRef idx="0">
      <cs:styleClr val="auto"/>
    </cs:lnRef>
    <cs:fillRef idx="3"/>
    <cs:effectRef idx="3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lt1"/>
    </cs:fontRef>
  </cs:wall>
  <cs:dataPointMarkerLayout size="5"/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2">
        <a:lumMod val="7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2">
        <a:lumMod val="7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2">
        <a:lumMod val="7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/>
  </cs:axisTitle>
  <cs:category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2"/>
    </cs:fontRef>
    <cs:defRPr sz="900"/>
  </cs:dataLabel>
  <cs:dataLabelCallout>
    <cs:lnRef idx="0"/>
    <cs:fillRef idx="0"/>
    <cs:effectRef idx="0"/>
    <cs:fontRef idx="minor">
      <a:schemeClr val="dk2">
        <a:lumMod val="7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 bwMode="auto">
      <a:prstGeom prst="rect">
        <a:avLst/>
      </a:prstGeom>
      <a:ln w="12700">
        <a:solidFill>
          <a:schemeClr val="lt2"/>
        </a:solidFill>
        <a:round/>
      </a:ln>
    </cs:spPr>
  </cs:dataPointMarker>
  <cs:dataPointWireframe>
    <cs:lnRef idx="0">
      <cs:styleClr val="auto"/>
    </cs:lnRef>
    <cs:fillRef idx="3"/>
    <cs:effectRef idx="2"/>
    <cs:fontRef idx="minor">
      <a:schemeClr val="tx2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 bwMode="auto">
      <a:prstGeom prst="rect">
        <a:avLst/>
      </a:prstGeom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 bwMode="auto">
      <a:prstGeom prst="rect">
        <a:avLst/>
      </a:prstGeom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2"/>
    </cs:fontRef>
    <cs:spPr bwMode="auto">
      <a:prstGeom prst="rect">
        <a:avLst/>
      </a:prstGeom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/>
  </cs:title>
  <cs:trendline>
    <cs:lnRef idx="0">
      <cs:styleClr val="auto"/>
    </cs:lnRef>
    <cs:fillRef idx="0"/>
    <cs:effectRef idx="0"/>
    <cs:fontRef idx="minor">
      <a:schemeClr val="tx2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/>
  </cs:trendlineLabel>
  <cs:upBar>
    <cs:lnRef idx="0"/>
    <cs:fillRef idx="0"/>
    <cs:effectRef idx="0"/>
    <cs:fontRef idx="minor">
      <a:schemeClr val="tx2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/>
  </cs:valueAxis>
  <cs:wall>
    <cs:lnRef idx="0"/>
    <cs:fillRef idx="0"/>
    <cs:effectRef idx="0"/>
    <cs:fontRef idx="minor">
      <a:schemeClr val="tx2"/>
    </cs:fontRef>
  </cs:wall>
  <cs:dataPointMarkerLayout symbol="circle" size="6"/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 bwMode="auto">
      <a:prstGeom prst="rect">
        <a:avLst/>
      </a:prstGeom>
      <a:solidFill>
        <a:schemeClr val="phClr"/>
      </a:solidFill>
      <a:ln w="9525">
        <a:solidFill>
          <a:schemeClr val="lt1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 /><Relationship Id="rId2" Type="http://schemas.microsoft.com/office/2014/relationships/chartEx" Target="../charts/chartEx4.xml" /><Relationship Id="rId3" Type="http://schemas.openxmlformats.org/officeDocument/2006/relationships/chart" Target="../charts/chart5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 /><Relationship Id="rId2" Type="http://schemas.openxmlformats.org/officeDocument/2006/relationships/chart" Target="../charts/chart7.xml" /><Relationship Id="rId3" Type="http://schemas.openxmlformats.org/officeDocument/2006/relationships/chart" Target="../charts/chart8.xml" /><Relationship Id="rId4" Type="http://schemas.openxmlformats.org/officeDocument/2006/relationships/chart" Target="../charts/chart9.xml" /><Relationship Id="rId5" Type="http://schemas.openxmlformats.org/officeDocument/2006/relationships/chart" Target="../charts/chart10.xml" /><Relationship Id="rId6" Type="http://schemas.openxmlformats.org/officeDocument/2006/relationships/chart" Target="../charts/chart11.xml" /><Relationship Id="rId7" Type="http://schemas.openxmlformats.org/officeDocument/2006/relationships/chart" Target="../charts/chart12.xml" /><Relationship Id="rId8" Type="http://schemas.openxmlformats.org/officeDocument/2006/relationships/chart" Target="../charts/chart13.xml" /></Relationships>
</file>

<file path=xl/drawings/_rels/drawing5.xml.rels><?xml version="1.0" encoding="UTF-8" standalone="yes"?><Relationships xmlns="http://schemas.openxmlformats.org/package/2006/relationships"><Relationship Id="rId1" Type="http://schemas.microsoft.com/office/2014/relationships/chartEx" Target="../charts/chartEx14.xml" /><Relationship Id="rId2" Type="http://schemas.microsoft.com/office/2014/relationships/chartEx" Target="../charts/chartEx15.xml" /></Relationships>
</file>

<file path=xl/drawings/_rels/drawing6.xml.rels><?xml version="1.0" encoding="UTF-8" standalone="yes"?><Relationships xmlns="http://schemas.openxmlformats.org/package/2006/relationships"><Relationship Id="rId1" Type="http://schemas.microsoft.com/office/2014/relationships/chartEx" Target="../charts/chartEx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190500</xdr:colOff>
      <xdr:row>9</xdr:row>
      <xdr:rowOff>66675</xdr:rowOff>
    </xdr:from>
    <xdr:ext cx="5962650" cy="5429249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0</xdr:colOff>
      <xdr:row>2</xdr:row>
      <xdr:rowOff>0</xdr:rowOff>
    </xdr:from>
    <xdr:to>
      <xdr:col>17</xdr:col>
      <xdr:colOff>288783</xdr:colOff>
      <xdr:row>16</xdr:row>
      <xdr:rowOff>625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18</xdr:col>
      <xdr:colOff>0</xdr:colOff>
      <xdr:row>2</xdr:row>
      <xdr:rowOff>0</xdr:rowOff>
    </xdr:from>
    <xdr:to>
      <xdr:col>25</xdr:col>
      <xdr:colOff>465062</xdr:colOff>
      <xdr:row>16</xdr:row>
      <xdr:rowOff>3646</xdr:rowOff>
    </xdr:to>
    <xdr:graphicFrame>
      <xdr:nvGraphicFramePr>
        <xdr:cNvPr id="3" name="Gráfico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15</xdr:col>
      <xdr:colOff>357187</xdr:colOff>
      <xdr:row>1</xdr:row>
      <xdr:rowOff>164306</xdr:rowOff>
    </xdr:from>
    <xdr:ext cx="5842720" cy="3030898"/>
    <xdr:graphicFrame>
      <xdr:nvGraphicFramePr>
        <xdr:cNvPr id="6" name="Chart 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twoCell">
    <xdr:from>
      <xdr:col>23</xdr:col>
      <xdr:colOff>57232</xdr:colOff>
      <xdr:row>9</xdr:row>
      <xdr:rowOff>68538</xdr:rowOff>
    </xdr:from>
    <xdr:to>
      <xdr:col>29</xdr:col>
      <xdr:colOff>649704</xdr:colOff>
      <xdr:row>31</xdr:row>
      <xdr:rowOff>69515</xdr:rowOff>
    </xdr:to>
    <xdr:graphicFrame>
      <xdr:nvGraphicFramePr>
        <xdr:cNvPr id="7" name="Gráfico 6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2"/>
        </a:graphicData>
      </a:graphic>
    </xdr:graphicFrame>
    <xdr:clientData/>
  </xdr:twoCellAnchor>
  <xdr:twoCellAnchor editAs="twoCell">
    <xdr:from>
      <xdr:col>15</xdr:col>
      <xdr:colOff>372342</xdr:colOff>
      <xdr:row>19</xdr:row>
      <xdr:rowOff>25977</xdr:rowOff>
    </xdr:from>
    <xdr:to>
      <xdr:col>22</xdr:col>
      <xdr:colOff>649256</xdr:colOff>
      <xdr:row>37</xdr:row>
      <xdr:rowOff>50530</xdr:rowOff>
    </xdr:to>
    <xdr:graphicFrame>
      <xdr:nvGraphicFramePr>
        <xdr:cNvPr id="8" name="Gráfico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7</xdr:col>
      <xdr:colOff>114300</xdr:colOff>
      <xdr:row>38</xdr:row>
      <xdr:rowOff>161924</xdr:rowOff>
    </xdr:from>
    <xdr:ext cx="5962650" cy="2743200"/>
    <xdr:graphicFrame>
      <xdr:nvGraphicFramePr>
        <xdr:cNvPr id="10" name="Chart 10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552449</xdr:colOff>
      <xdr:row>38</xdr:row>
      <xdr:rowOff>152400</xdr:rowOff>
    </xdr:from>
    <xdr:ext cx="6305550" cy="2743200"/>
    <xdr:graphicFrame>
      <xdr:nvGraphicFramePr>
        <xdr:cNvPr id="11" name="Chart 1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114300</xdr:colOff>
      <xdr:row>54</xdr:row>
      <xdr:rowOff>57150</xdr:rowOff>
    </xdr:from>
    <xdr:ext cx="5962650" cy="2743200"/>
    <xdr:graphicFrame>
      <xdr:nvGraphicFramePr>
        <xdr:cNvPr id="12" name="Chart 1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13</xdr:col>
      <xdr:colOff>523875</xdr:colOff>
      <xdr:row>56</xdr:row>
      <xdr:rowOff>59266</xdr:rowOff>
    </xdr:from>
    <xdr:ext cx="6610350" cy="2743200"/>
    <xdr:graphicFrame>
      <xdr:nvGraphicFramePr>
        <xdr:cNvPr id="13" name="Chart 1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 editAs="twoCell">
    <xdr:from>
      <xdr:col>10</xdr:col>
      <xdr:colOff>529590</xdr:colOff>
      <xdr:row>4</xdr:row>
      <xdr:rowOff>7620</xdr:rowOff>
    </xdr:from>
    <xdr:to>
      <xdr:col>16</xdr:col>
      <xdr:colOff>929640</xdr:colOff>
      <xdr:row>29</xdr:row>
      <xdr:rowOff>30480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17</xdr:col>
      <xdr:colOff>97464</xdr:colOff>
      <xdr:row>3</xdr:row>
      <xdr:rowOff>150627</xdr:rowOff>
    </xdr:from>
    <xdr:to>
      <xdr:col>23</xdr:col>
      <xdr:colOff>575930</xdr:colOff>
      <xdr:row>29</xdr:row>
      <xdr:rowOff>79744</xdr:rowOff>
    </xdr:to>
    <xdr:graphicFrame>
      <xdr:nvGraphicFramePr>
        <xdr:cNvPr id="4" name="Gráfico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23</xdr:col>
      <xdr:colOff>717698</xdr:colOff>
      <xdr:row>3</xdr:row>
      <xdr:rowOff>150629</xdr:rowOff>
    </xdr:from>
    <xdr:to>
      <xdr:col>30</xdr:col>
      <xdr:colOff>160817</xdr:colOff>
      <xdr:row>29</xdr:row>
      <xdr:rowOff>124046</xdr:rowOff>
    </xdr:to>
    <xdr:graphicFrame>
      <xdr:nvGraphicFramePr>
        <xdr:cNvPr id="5" name="Gráfico 4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twoCell">
    <xdr:from>
      <xdr:col>30</xdr:col>
      <xdr:colOff>256953</xdr:colOff>
      <xdr:row>3</xdr:row>
      <xdr:rowOff>132907</xdr:rowOff>
    </xdr:from>
    <xdr:to>
      <xdr:col>36</xdr:col>
      <xdr:colOff>657003</xdr:colOff>
      <xdr:row>28</xdr:row>
      <xdr:rowOff>155768</xdr:rowOff>
    </xdr:to>
    <xdr:graphicFrame>
      <xdr:nvGraphicFramePr>
        <xdr:cNvPr id="6" name="Gráfico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217170</xdr:colOff>
      <xdr:row>7</xdr:row>
      <xdr:rowOff>22860</xdr:rowOff>
    </xdr:from>
    <xdr:to>
      <xdr:col>16</xdr:col>
      <xdr:colOff>358140</xdr:colOff>
      <xdr:row>28</xdr:row>
      <xdr:rowOff>99060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1"/>
        </a:graphicData>
      </a:graphic>
    </xdr:graphicFrame>
    <xdr:clientData/>
  </xdr:twoCellAnchor>
  <xdr:twoCellAnchor editAs="twoCell">
    <xdr:from>
      <xdr:col>16</xdr:col>
      <xdr:colOff>616857</xdr:colOff>
      <xdr:row>7</xdr:row>
      <xdr:rowOff>18143</xdr:rowOff>
    </xdr:from>
    <xdr:to>
      <xdr:col>22</xdr:col>
      <xdr:colOff>757829</xdr:colOff>
      <xdr:row>28</xdr:row>
      <xdr:rowOff>94343</xdr:rowOff>
    </xdr:to>
    <xdr:graphicFrame>
      <xdr:nvGraphicFramePr>
        <xdr:cNvPr id="3" name="Gráfico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398916</xdr:colOff>
      <xdr:row>1</xdr:row>
      <xdr:rowOff>99645</xdr:rowOff>
    </xdr:from>
    <xdr:to>
      <xdr:col>9</xdr:col>
      <xdr:colOff>458839</xdr:colOff>
      <xdr:row>19</xdr:row>
      <xdr:rowOff>164122</xdr:rowOff>
    </xdr:to>
    <xdr:graphicFrame>
      <xdr:nvGraphicFramePr>
        <xdr:cNvPr id="2" name="Gráfico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microsoft.com/office/drawing/2014/chartex">
          <cx:chart xmlns:cx="http://schemas.microsoft.com/office/drawing/2014/chartex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Jean/Downloads/Practica%20Gr&#225;ficas%20en%20Microsoft%20Excel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/Users/Jean/Downloads/Copia%20de%20Practica_Gr&#225;ficas_en_Microsoft_Excel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ó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</sheetNames>
    <sheetDataSet>
      <sheetData sheetId="0"/>
      <sheetData sheetId="1"/>
      <sheetData sheetId="2"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</row>
        <row r="4">
          <cell r="A4" t="e">
            <v>#REF!</v>
          </cell>
          <cell r="E4" t="e">
            <v>#REF!</v>
          </cell>
          <cell r="I4" t="e">
            <v>#REF!</v>
          </cell>
        </row>
        <row r="5">
          <cell r="A5" t="e">
            <v>#REF!</v>
          </cell>
          <cell r="E5" t="e">
            <v>#REF!</v>
          </cell>
          <cell r="I5" t="e">
            <v>#REF!</v>
          </cell>
        </row>
        <row r="6">
          <cell r="A6" t="e">
            <v>#REF!</v>
          </cell>
          <cell r="E6" t="e">
            <v>#REF!</v>
          </cell>
          <cell r="I6" t="e">
            <v>#REF!</v>
          </cell>
        </row>
        <row r="7">
          <cell r="A7" t="e">
            <v>#REF!</v>
          </cell>
          <cell r="E7" t="e">
            <v>#REF!</v>
          </cell>
          <cell r="I7" t="e">
            <v>#REF!</v>
          </cell>
        </row>
        <row r="8">
          <cell r="A8" t="e">
            <v>#REF!</v>
          </cell>
          <cell r="E8" t="e">
            <v>#REF!</v>
          </cell>
          <cell r="I8" t="e">
            <v>#REF!</v>
          </cell>
        </row>
        <row r="9">
          <cell r="A9" t="e">
            <v>#REF!</v>
          </cell>
          <cell r="E9" t="e">
            <v>#REF!</v>
          </cell>
          <cell r="I9" t="e">
            <v>#REF!</v>
          </cell>
        </row>
        <row r="10">
          <cell r="A10" t="e">
            <v>#REF!</v>
          </cell>
          <cell r="E10" t="e">
            <v>#REF!</v>
          </cell>
          <cell r="I10" t="e">
            <v>#REF!</v>
          </cell>
        </row>
        <row r="11">
          <cell r="A11" t="e">
            <v>#REF!</v>
          </cell>
          <cell r="E11" t="e">
            <v>#REF!</v>
          </cell>
          <cell r="I11" t="e">
            <v>#REF!</v>
          </cell>
        </row>
        <row r="12">
          <cell r="A12" t="e">
            <v>#REF!</v>
          </cell>
          <cell r="E12" t="e">
            <v>#REF!</v>
          </cell>
          <cell r="I12" t="e">
            <v>#REF!</v>
          </cell>
        </row>
        <row r="13">
          <cell r="A13" t="e">
            <v>#REF!</v>
          </cell>
          <cell r="E13" t="e">
            <v>#REF!</v>
          </cell>
          <cell r="I13" t="e">
            <v>#REF!</v>
          </cell>
        </row>
        <row r="14">
          <cell r="A14" t="e">
            <v>#REF!</v>
          </cell>
          <cell r="E14" t="e">
            <v>#REF!</v>
          </cell>
          <cell r="I14" t="e">
            <v>#REF!</v>
          </cell>
        </row>
        <row r="15">
          <cell r="A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ció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3">
          <cell r="B3" t="e">
            <v>#REF!</v>
          </cell>
          <cell r="H3" t="e">
            <v>#REF!</v>
          </cell>
          <cell r="I3" t="e">
            <v>#REF!</v>
          </cell>
        </row>
        <row r="4">
          <cell r="A4" t="e">
            <v>#REF!</v>
          </cell>
          <cell r="B4" t="e">
            <v>#REF!</v>
          </cell>
          <cell r="H4" t="e">
            <v>#REF!</v>
          </cell>
          <cell r="I4" t="e">
            <v>#REF!</v>
          </cell>
        </row>
        <row r="5">
          <cell r="A5" t="e">
            <v>#REF!</v>
          </cell>
          <cell r="B5" t="e">
            <v>#REF!</v>
          </cell>
          <cell r="H5" t="e">
            <v>#REF!</v>
          </cell>
          <cell r="I5" t="e">
            <v>#REF!</v>
          </cell>
        </row>
        <row r="6">
          <cell r="A6" t="e">
            <v>#REF!</v>
          </cell>
          <cell r="B6" t="e">
            <v>#REF!</v>
          </cell>
          <cell r="H6" t="e">
            <v>#REF!</v>
          </cell>
          <cell r="I6" t="e">
            <v>#REF!</v>
          </cell>
        </row>
        <row r="7">
          <cell r="A7" t="e">
            <v>#REF!</v>
          </cell>
          <cell r="B7" t="e">
            <v>#REF!</v>
          </cell>
          <cell r="H7" t="e">
            <v>#REF!</v>
          </cell>
          <cell r="I7" t="e">
            <v>#REF!</v>
          </cell>
        </row>
        <row r="8">
          <cell r="A8" t="e">
            <v>#REF!</v>
          </cell>
          <cell r="B8" t="e">
            <v>#REF!</v>
          </cell>
          <cell r="H8" t="e">
            <v>#REF!</v>
          </cell>
          <cell r="I8" t="e">
            <v>#REF!</v>
          </cell>
        </row>
      </sheetData>
      <sheetData sheetId="2">
        <row r="4">
          <cell r="A4" t="e">
            <v>#REF!</v>
          </cell>
          <cell r="F4" t="e">
            <v>#REF!</v>
          </cell>
        </row>
        <row r="5">
          <cell r="A5" t="e">
            <v>#REF!</v>
          </cell>
          <cell r="F5" t="e">
            <v>#REF!</v>
          </cell>
        </row>
        <row r="6">
          <cell r="A6" t="e">
            <v>#REF!</v>
          </cell>
          <cell r="F6" t="e">
            <v>#REF!</v>
          </cell>
        </row>
        <row r="7">
          <cell r="A7" t="e">
            <v>#REF!</v>
          </cell>
          <cell r="F7" t="e">
            <v>#REF!</v>
          </cell>
        </row>
        <row r="8">
          <cell r="A8" t="e">
            <v>#REF!</v>
          </cell>
          <cell r="F8" t="e">
            <v>#REF!</v>
          </cell>
        </row>
        <row r="9">
          <cell r="A9" t="e">
            <v>#REF!</v>
          </cell>
          <cell r="F9" t="e">
            <v>#REF!</v>
          </cell>
        </row>
        <row r="10">
          <cell r="A10" t="e">
            <v>#REF!</v>
          </cell>
          <cell r="F10" t="e">
            <v>#REF!</v>
          </cell>
        </row>
        <row r="11">
          <cell r="A11" t="e">
            <v>#REF!</v>
          </cell>
          <cell r="F11" t="e">
            <v>#REF!</v>
          </cell>
        </row>
        <row r="12">
          <cell r="A12" t="e">
            <v>#REF!</v>
          </cell>
          <cell r="F12" t="e">
            <v>#REF!</v>
          </cell>
        </row>
        <row r="13">
          <cell r="A13" t="e">
            <v>#REF!</v>
          </cell>
          <cell r="F13" t="e">
            <v>#REF!</v>
          </cell>
        </row>
        <row r="14">
          <cell r="A14" t="e">
            <v>#REF!</v>
          </cell>
          <cell r="F14" t="e">
            <v>#REF!</v>
          </cell>
        </row>
        <row r="15">
          <cell r="A15" t="e">
            <v>#REF!</v>
          </cell>
          <cell r="F15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F49100"/>
      </a:hlink>
      <a:folHlink>
        <a:srgbClr val="F49100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9" zoomScale="100" workbookViewId="0">
      <selection activeCell="C36" activeCellId="0" sqref="C36"/>
    </sheetView>
  </sheetViews>
  <sheetFormatPr baseColWidth="10" defaultColWidth="12.59765625" defaultRowHeight="15" customHeight="1"/>
  <cols>
    <col customWidth="1" min="1" max="1" width="9.19921875"/>
    <col customWidth="1" min="2" max="2" width="3.5"/>
    <col customWidth="1" min="3" max="3" width="19.3984375"/>
    <col customWidth="1" min="4" max="4" width="14.59765625"/>
    <col customWidth="1" min="5" max="5" width="3.3984375"/>
    <col customWidth="1" min="6" max="6" width="4.8984375"/>
    <col customWidth="1" min="7" max="18" width="10.5"/>
  </cols>
  <sheetData>
    <row r="1" ht="14.25" hidden="1" customHeight="1">
      <c r="B1" s="1"/>
      <c r="C1" s="1"/>
      <c r="D1" s="1"/>
      <c r="E1" s="1"/>
      <c r="F1" s="1"/>
    </row>
    <row r="2" ht="14.25" hidden="1" customHeight="1">
      <c r="B2" s="1"/>
      <c r="C2" s="1"/>
      <c r="D2" s="1"/>
      <c r="E2" s="1"/>
      <c r="F2" s="1"/>
    </row>
    <row r="3" ht="14.25" hidden="1" customHeight="1">
      <c r="B3" s="1"/>
      <c r="C3" s="1"/>
      <c r="D3" s="1"/>
      <c r="E3" s="1"/>
      <c r="F3" s="1"/>
    </row>
    <row r="4" ht="14.25" hidden="1" customHeight="1">
      <c r="B4" s="1"/>
      <c r="C4" s="1"/>
      <c r="D4" s="1"/>
      <c r="E4" s="1"/>
      <c r="F4" s="1"/>
    </row>
    <row r="5" ht="14.25" hidden="1" customHeight="1">
      <c r="B5" s="1"/>
      <c r="C5" s="1"/>
      <c r="D5" s="1"/>
      <c r="E5" s="1"/>
      <c r="F5" s="1"/>
    </row>
    <row r="6" ht="13.800000000000001" hidden="1" customHeight="1">
      <c r="B6" s="1"/>
      <c r="C6" s="1"/>
      <c r="D6" s="1"/>
      <c r="E6" s="1"/>
      <c r="F6" s="1"/>
    </row>
    <row r="7" ht="13.800000000000001" hidden="1" customHeight="1">
      <c r="B7" s="1"/>
      <c r="C7" s="1"/>
      <c r="D7" s="1"/>
      <c r="E7" s="1"/>
      <c r="F7" s="1"/>
    </row>
    <row r="8" ht="14.25" hidden="1" customHeight="1">
      <c r="B8" s="1"/>
      <c r="C8" s="1"/>
      <c r="D8" s="1"/>
      <c r="E8" s="1"/>
      <c r="F8" s="1"/>
      <c r="O8" s="2"/>
      <c r="P8" s="3"/>
      <c r="Q8" s="4"/>
      <c r="R8" s="3"/>
    </row>
    <row r="9" ht="14.25" customHeight="1">
      <c r="B9" s="1"/>
      <c r="C9" s="1"/>
      <c r="D9" s="1"/>
      <c r="E9" s="1"/>
      <c r="F9" s="1"/>
    </row>
    <row r="10" ht="14.25" customHeight="1">
      <c r="B10" s="1"/>
      <c r="C10" s="5" t="s">
        <v>0</v>
      </c>
      <c r="D10" s="6"/>
      <c r="E10" s="1"/>
      <c r="F10" s="1"/>
      <c r="G10" s="7"/>
      <c r="H10" s="7"/>
      <c r="I10" s="7"/>
      <c r="J10" s="7"/>
      <c r="K10" s="7"/>
      <c r="L10" s="7"/>
      <c r="M10" s="7"/>
      <c r="N10" s="7"/>
    </row>
    <row r="11" ht="14.25" customHeight="1">
      <c r="B11" s="1"/>
      <c r="C11" s="8" t="s">
        <v>1</v>
      </c>
      <c r="D11" s="8" t="s">
        <v>2</v>
      </c>
      <c r="E11" s="1"/>
      <c r="F11" s="1"/>
      <c r="G11" s="7"/>
      <c r="H11" s="7"/>
      <c r="I11" s="7"/>
      <c r="J11" s="7"/>
      <c r="K11" s="7"/>
      <c r="L11" s="7"/>
      <c r="M11" s="7"/>
      <c r="N11" s="7"/>
    </row>
    <row r="12" ht="14.25" customHeight="1">
      <c r="B12" s="1"/>
      <c r="C12" s="1"/>
      <c r="D12" s="1"/>
      <c r="E12" s="1"/>
      <c r="F12" s="1"/>
      <c r="G12" s="7"/>
      <c r="H12" s="7"/>
      <c r="I12" s="7"/>
      <c r="J12" s="7"/>
      <c r="K12" s="7"/>
      <c r="L12" s="7"/>
      <c r="M12" s="7"/>
      <c r="N12" s="7"/>
    </row>
    <row r="13" ht="14.25" customHeight="1">
      <c r="B13" s="1"/>
      <c r="C13" s="1"/>
      <c r="D13" s="1"/>
      <c r="E13" s="1"/>
      <c r="F13" s="1"/>
      <c r="G13" s="7"/>
      <c r="H13" s="7"/>
      <c r="I13" s="7"/>
      <c r="J13" s="7"/>
      <c r="K13" s="7"/>
      <c r="L13" s="7"/>
      <c r="M13" s="7"/>
      <c r="N13" s="7"/>
    </row>
    <row r="14" ht="14.25" customHeight="1">
      <c r="B14" s="1"/>
      <c r="C14" s="1"/>
      <c r="D14" s="1"/>
      <c r="E14" s="1"/>
      <c r="F14" s="1"/>
      <c r="G14" s="7"/>
      <c r="H14" s="7"/>
      <c r="I14" s="7"/>
      <c r="J14" s="7"/>
      <c r="K14" s="7"/>
      <c r="L14" s="7"/>
      <c r="M14" s="7"/>
      <c r="N14" s="7"/>
    </row>
    <row r="15" ht="14.25" customHeight="1">
      <c r="B15" s="1"/>
      <c r="C15" s="1"/>
      <c r="D15" s="1"/>
      <c r="E15" s="1"/>
      <c r="F15" s="1"/>
      <c r="G15" s="7"/>
      <c r="H15" s="7"/>
      <c r="I15" s="7"/>
      <c r="J15" s="7"/>
      <c r="K15" s="7"/>
      <c r="L15" s="7"/>
      <c r="M15" s="7"/>
      <c r="N15" s="7"/>
    </row>
    <row r="16" ht="14.25" customHeight="1">
      <c r="B16" s="1">
        <v>1</v>
      </c>
      <c r="C16" s="1" t="s">
        <v>3</v>
      </c>
      <c r="D16" s="1"/>
      <c r="E16" s="1"/>
      <c r="F16" s="1"/>
      <c r="G16" s="7"/>
      <c r="H16" s="7"/>
      <c r="I16" s="7"/>
      <c r="J16" s="7"/>
      <c r="K16" s="7"/>
      <c r="L16" s="7"/>
      <c r="M16" s="7"/>
      <c r="N16" s="7"/>
    </row>
    <row r="17" ht="14.25" customHeight="1">
      <c r="B17" s="1"/>
      <c r="C17" s="1"/>
      <c r="D17" s="1" t="s">
        <v>4</v>
      </c>
      <c r="E17" s="1">
        <v>2</v>
      </c>
      <c r="F17" s="1"/>
      <c r="G17" s="7"/>
      <c r="H17" s="7"/>
      <c r="I17" s="7"/>
      <c r="J17" s="7"/>
      <c r="K17" s="7"/>
      <c r="L17" s="7"/>
      <c r="M17" s="7"/>
      <c r="N17" s="7"/>
    </row>
    <row r="18" ht="14.25" customHeight="1">
      <c r="B18" s="1">
        <v>3</v>
      </c>
      <c r="C18" s="1" t="s">
        <v>5</v>
      </c>
      <c r="D18" s="1"/>
      <c r="E18" s="1"/>
      <c r="F18" s="1"/>
      <c r="G18" s="7"/>
      <c r="H18" s="7"/>
      <c r="I18" s="7"/>
      <c r="J18" s="7"/>
      <c r="K18" s="7"/>
      <c r="L18" s="7"/>
      <c r="M18" s="7"/>
      <c r="N18" s="7"/>
    </row>
    <row r="19" ht="14.25" customHeight="1">
      <c r="B19" s="1"/>
      <c r="C19" s="1"/>
      <c r="D19" s="1"/>
      <c r="E19" s="1"/>
      <c r="F19" s="1"/>
      <c r="G19" s="7"/>
      <c r="H19" s="7"/>
      <c r="I19" s="7"/>
      <c r="J19" s="7"/>
      <c r="K19" s="7"/>
      <c r="L19" s="7"/>
      <c r="M19" s="7"/>
      <c r="N19" s="7"/>
    </row>
    <row r="20" ht="35.25" customHeight="1">
      <c r="B20" s="1"/>
      <c r="C20" s="1"/>
      <c r="D20" s="9" t="s">
        <v>6</v>
      </c>
      <c r="E20" s="1">
        <v>4</v>
      </c>
      <c r="F20" s="1"/>
      <c r="G20" s="7"/>
      <c r="H20" s="7"/>
      <c r="I20" s="7"/>
      <c r="J20" s="7"/>
      <c r="K20" s="7"/>
      <c r="L20" s="7"/>
      <c r="M20" s="7"/>
      <c r="N20" s="7"/>
    </row>
    <row r="21" ht="14.25" customHeight="1">
      <c r="B21" s="1"/>
      <c r="C21" s="1"/>
      <c r="D21" s="1"/>
      <c r="E21" s="1"/>
      <c r="F21" s="1"/>
      <c r="G21" s="7"/>
      <c r="H21" s="7"/>
      <c r="I21" s="7"/>
      <c r="J21" s="7"/>
      <c r="K21" s="7"/>
      <c r="L21" s="7"/>
      <c r="M21" s="7"/>
      <c r="N21" s="7"/>
    </row>
    <row r="22" ht="14.25" customHeight="1">
      <c r="B22" s="1">
        <v>5</v>
      </c>
      <c r="C22" s="1" t="s">
        <v>7</v>
      </c>
      <c r="D22" s="1"/>
      <c r="E22" s="1"/>
      <c r="F22" s="1"/>
      <c r="G22" s="7"/>
      <c r="H22" s="7"/>
      <c r="I22" s="7"/>
      <c r="J22" s="7"/>
      <c r="K22" s="7"/>
      <c r="L22" s="7"/>
      <c r="M22" s="7"/>
      <c r="N22" s="7"/>
    </row>
    <row r="23" ht="14.25" customHeight="1">
      <c r="B23" s="1"/>
      <c r="C23" s="1"/>
      <c r="D23" s="1" t="s">
        <v>8</v>
      </c>
      <c r="E23" s="1">
        <v>6</v>
      </c>
      <c r="F23" s="1"/>
      <c r="G23" s="7"/>
      <c r="H23" s="7"/>
      <c r="I23" s="7"/>
      <c r="J23" s="7"/>
      <c r="K23" s="7"/>
      <c r="L23" s="7"/>
      <c r="M23" s="7"/>
      <c r="N23" s="7"/>
    </row>
    <row r="24" ht="14.25" customHeight="1">
      <c r="B24" s="1"/>
      <c r="C24" s="1"/>
      <c r="D24" s="1"/>
      <c r="E24" s="1"/>
      <c r="F24" s="1"/>
      <c r="G24" s="7"/>
      <c r="H24" s="7"/>
      <c r="I24" s="7"/>
      <c r="J24" s="7"/>
      <c r="K24" s="7"/>
      <c r="L24" s="7"/>
      <c r="M24" s="7"/>
      <c r="N24" s="7"/>
    </row>
    <row r="25" ht="14.25" customHeight="1">
      <c r="B25" s="1"/>
      <c r="C25" s="1"/>
      <c r="D25" s="1" t="s">
        <v>9</v>
      </c>
      <c r="E25" s="1">
        <v>7</v>
      </c>
      <c r="F25" s="1"/>
      <c r="G25" s="7"/>
      <c r="H25" s="7"/>
      <c r="I25" s="7"/>
      <c r="J25" s="7"/>
      <c r="K25" s="7"/>
      <c r="L25" s="7"/>
      <c r="M25" s="7"/>
      <c r="N25" s="7"/>
    </row>
    <row r="26" ht="14.25" customHeight="1">
      <c r="B26" s="1"/>
      <c r="C26" s="1"/>
      <c r="D26" s="1"/>
      <c r="E26" s="1"/>
      <c r="F26" s="1"/>
      <c r="G26" s="7"/>
      <c r="H26" s="7"/>
      <c r="I26" s="7"/>
      <c r="J26" s="7"/>
      <c r="K26" s="7"/>
      <c r="L26" s="7"/>
      <c r="M26" s="7"/>
      <c r="N26" s="7"/>
    </row>
    <row r="27" ht="14.25" customHeight="1">
      <c r="B27" s="1">
        <v>8</v>
      </c>
      <c r="C27" s="1" t="s">
        <v>10</v>
      </c>
      <c r="D27" s="1"/>
      <c r="E27" s="1"/>
      <c r="F27" s="1"/>
      <c r="G27" s="7"/>
      <c r="H27" s="7"/>
      <c r="I27" s="7"/>
      <c r="J27" s="7"/>
      <c r="K27" s="7"/>
      <c r="L27" s="7"/>
      <c r="M27" s="7"/>
      <c r="N27" s="7"/>
    </row>
    <row r="28" ht="14.25" customHeight="1">
      <c r="B28" s="1"/>
      <c r="C28" s="1"/>
      <c r="D28" s="1" t="s">
        <v>11</v>
      </c>
      <c r="E28" s="1">
        <v>9</v>
      </c>
      <c r="F28" s="1"/>
      <c r="G28" s="7"/>
      <c r="H28" s="7"/>
      <c r="I28" s="7"/>
      <c r="J28" s="7"/>
      <c r="K28" s="7"/>
      <c r="L28" s="7"/>
      <c r="M28" s="7"/>
      <c r="N28" s="7"/>
    </row>
    <row r="29" ht="14.25" customHeight="1">
      <c r="B29" s="1">
        <v>10</v>
      </c>
      <c r="C29" s="1" t="s">
        <v>12</v>
      </c>
      <c r="D29" s="1"/>
      <c r="E29" s="1"/>
      <c r="F29" s="1"/>
      <c r="G29" s="7"/>
      <c r="H29" s="7"/>
      <c r="I29" s="7"/>
      <c r="J29" s="7"/>
      <c r="K29" s="7"/>
      <c r="L29" s="7"/>
      <c r="M29" s="7"/>
      <c r="N29" s="7"/>
    </row>
    <row r="30" ht="14.25" customHeight="1">
      <c r="B30" s="1"/>
      <c r="C30" s="1"/>
      <c r="D30" s="1"/>
      <c r="E30" s="1"/>
      <c r="F30" s="1"/>
      <c r="G30" s="7"/>
      <c r="H30" s="7"/>
      <c r="I30" s="7"/>
      <c r="J30" s="7"/>
      <c r="K30" s="7"/>
      <c r="L30" s="7"/>
      <c r="M30" s="7"/>
      <c r="N30" s="7"/>
    </row>
    <row r="31" ht="14.25" customHeight="1">
      <c r="B31" s="1"/>
      <c r="C31" s="1"/>
      <c r="D31" s="1" t="s">
        <v>13</v>
      </c>
      <c r="E31" s="1">
        <v>11</v>
      </c>
      <c r="F31" s="1"/>
      <c r="G31" s="7"/>
      <c r="H31" s="7"/>
      <c r="I31" s="7"/>
      <c r="J31" s="7"/>
      <c r="K31" s="7"/>
      <c r="L31" s="7"/>
      <c r="M31" s="7"/>
      <c r="N31" s="7"/>
    </row>
    <row r="32" ht="14.25" customHeight="1">
      <c r="B32" s="1">
        <v>12</v>
      </c>
      <c r="C32" s="1" t="s">
        <v>14</v>
      </c>
      <c r="D32" s="1"/>
      <c r="E32" s="1"/>
      <c r="F32" s="1"/>
      <c r="G32" s="7"/>
      <c r="H32" s="7"/>
      <c r="I32" s="7"/>
      <c r="J32" s="7"/>
      <c r="K32" s="7"/>
      <c r="L32" s="7"/>
      <c r="M32" s="7"/>
      <c r="N32" s="7"/>
    </row>
    <row r="33" ht="14.25" customHeight="1">
      <c r="B33" s="1"/>
      <c r="C33" s="1"/>
      <c r="D33" s="1" t="s">
        <v>15</v>
      </c>
      <c r="E33" s="1">
        <v>13</v>
      </c>
      <c r="F33" s="1"/>
      <c r="G33" s="7"/>
      <c r="H33" s="7"/>
      <c r="I33" s="7"/>
      <c r="J33" s="7"/>
      <c r="K33" s="7"/>
      <c r="L33" s="7"/>
      <c r="M33" s="7"/>
      <c r="N33" s="7"/>
    </row>
    <row r="34" ht="14.25" customHeight="1">
      <c r="B34" s="1">
        <v>14</v>
      </c>
      <c r="C34" s="1" t="s">
        <v>16</v>
      </c>
      <c r="D34" s="1"/>
      <c r="E34" s="1"/>
      <c r="F34" s="1"/>
      <c r="G34" s="7"/>
      <c r="H34" s="7"/>
      <c r="I34" s="7"/>
      <c r="J34" s="7"/>
      <c r="K34" s="7"/>
      <c r="L34" s="7"/>
      <c r="M34" s="7"/>
      <c r="N34" s="7"/>
    </row>
    <row r="35" ht="14.25" customHeight="1">
      <c r="B35" s="1"/>
      <c r="C35" s="1"/>
      <c r="D35" s="1" t="s">
        <v>17</v>
      </c>
      <c r="E35" s="1">
        <v>15</v>
      </c>
      <c r="F35" s="1"/>
      <c r="G35" s="7"/>
      <c r="H35" s="7"/>
      <c r="I35" s="7"/>
      <c r="J35" s="7"/>
      <c r="K35" s="7"/>
      <c r="L35" s="7"/>
      <c r="M35" s="7"/>
      <c r="N35" s="7"/>
    </row>
    <row r="36" ht="14.25" customHeight="1">
      <c r="B36" s="1"/>
      <c r="C36" s="1"/>
      <c r="D36" s="1"/>
      <c r="E36" s="1"/>
      <c r="F36" s="1"/>
      <c r="G36" s="7"/>
      <c r="H36" s="7"/>
      <c r="I36" s="7"/>
      <c r="J36" s="7"/>
      <c r="K36" s="7"/>
      <c r="L36" s="7"/>
      <c r="M36" s="7"/>
      <c r="N36" s="7"/>
    </row>
    <row r="37" ht="14.25" customHeight="1">
      <c r="B37" s="1"/>
      <c r="C37" s="1"/>
      <c r="D37" s="1"/>
      <c r="E37" s="1"/>
      <c r="F37" s="1"/>
      <c r="G37" s="7"/>
      <c r="H37" s="7"/>
      <c r="I37" s="7"/>
      <c r="J37" s="7"/>
      <c r="K37" s="7"/>
      <c r="L37" s="7"/>
      <c r="M37" s="7"/>
      <c r="N37" s="7"/>
    </row>
    <row r="38" ht="14.25" customHeight="1">
      <c r="B38" s="1"/>
      <c r="C38" s="1"/>
      <c r="D38" s="1"/>
      <c r="E38" s="1"/>
      <c r="F38" s="1"/>
      <c r="G38" s="7"/>
      <c r="H38" s="7"/>
      <c r="I38" s="7"/>
      <c r="J38" s="7"/>
      <c r="K38" s="7"/>
      <c r="L38" s="7"/>
      <c r="M38" s="7"/>
      <c r="N38" s="7"/>
    </row>
    <row r="39" ht="14.25" customHeight="1">
      <c r="B39" s="1"/>
      <c r="C39" s="1"/>
      <c r="D39" s="1"/>
      <c r="E39" s="1"/>
      <c r="F39" s="1"/>
      <c r="G39" s="7"/>
      <c r="H39" s="7"/>
      <c r="I39" s="7"/>
      <c r="J39" s="7"/>
      <c r="K39" s="7"/>
      <c r="L39" s="7"/>
      <c r="M39" s="7"/>
      <c r="N39" s="7"/>
    </row>
    <row r="40" ht="14.25" customHeight="1">
      <c r="B40" s="1"/>
      <c r="C40" s="1"/>
      <c r="D40" s="1"/>
      <c r="E40" s="1"/>
      <c r="F40" s="1"/>
      <c r="G40" s="7"/>
      <c r="H40" s="7"/>
      <c r="I40" s="7"/>
      <c r="J40" s="7"/>
      <c r="K40" s="7"/>
      <c r="L40" s="7"/>
      <c r="M40" s="7"/>
      <c r="N40" s="7"/>
    </row>
    <row r="41" ht="14.25" customHeight="1">
      <c r="B41" s="1"/>
      <c r="C41" s="1"/>
      <c r="D41" s="1"/>
      <c r="E41" s="1"/>
      <c r="F41" s="1"/>
    </row>
    <row r="42" ht="14.25" customHeight="1">
      <c r="B42" s="1"/>
      <c r="C42" s="1"/>
      <c r="D42" s="1"/>
      <c r="E42" s="1"/>
      <c r="F42" s="1"/>
    </row>
    <row r="43" ht="14.25" customHeight="1">
      <c r="B43" s="1"/>
      <c r="C43" s="1"/>
      <c r="D43" s="1"/>
      <c r="E43" s="1"/>
      <c r="F43" s="1"/>
    </row>
    <row r="44" ht="14.25" customHeight="1">
      <c r="B44" s="1"/>
      <c r="C44" s="1"/>
      <c r="D44" s="1"/>
      <c r="E44" s="1"/>
      <c r="F44" s="1"/>
    </row>
    <row r="45" ht="14.25" customHeight="1">
      <c r="B45" s="1"/>
      <c r="C45" s="1"/>
      <c r="D45" s="1"/>
      <c r="E45" s="1"/>
      <c r="F45" s="1"/>
    </row>
    <row r="46" ht="14.25" customHeight="1">
      <c r="B46" s="1"/>
      <c r="C46" s="1"/>
      <c r="D46" s="1"/>
      <c r="E46" s="1"/>
      <c r="F46" s="1"/>
    </row>
    <row r="47" ht="14.25" customHeight="1">
      <c r="B47" s="1"/>
      <c r="C47" s="1"/>
      <c r="D47" s="1"/>
      <c r="E47" s="1"/>
      <c r="F47" s="1"/>
    </row>
    <row r="48" ht="14.25" customHeight="1">
      <c r="B48" s="1"/>
      <c r="C48" s="1"/>
      <c r="D48" s="1"/>
      <c r="E48" s="1"/>
      <c r="F48" s="1"/>
    </row>
    <row r="49" ht="14.25" customHeight="1">
      <c r="B49" s="1"/>
      <c r="C49" s="1"/>
      <c r="D49" s="1"/>
      <c r="E49" s="1"/>
      <c r="F49" s="1"/>
    </row>
    <row r="50" ht="14.25" customHeight="1">
      <c r="B50" s="1"/>
      <c r="C50" s="1"/>
      <c r="D50" s="1"/>
      <c r="E50" s="1"/>
      <c r="F50" s="1"/>
    </row>
    <row r="51" ht="14.25" customHeight="1">
      <c r="B51" s="1"/>
      <c r="C51" s="1"/>
      <c r="D51" s="1"/>
      <c r="E51" s="1"/>
      <c r="F51" s="1"/>
    </row>
    <row r="52" ht="14.25" customHeight="1">
      <c r="B52" s="1"/>
      <c r="C52" s="1"/>
      <c r="D52" s="1"/>
      <c r="E52" s="1"/>
      <c r="F52" s="1"/>
    </row>
    <row r="53" ht="14.25" customHeight="1">
      <c r="B53" s="1"/>
      <c r="C53" s="1"/>
      <c r="D53" s="1"/>
      <c r="E53" s="1"/>
      <c r="F53" s="1"/>
    </row>
    <row r="54" ht="14.25" customHeight="1">
      <c r="B54" s="1"/>
      <c r="C54" s="1"/>
      <c r="D54" s="1"/>
      <c r="E54" s="1"/>
      <c r="F54" s="1"/>
    </row>
    <row r="55" ht="14.25" customHeight="1">
      <c r="B55" s="1"/>
      <c r="C55" s="1"/>
      <c r="D55" s="1"/>
      <c r="E55" s="1"/>
      <c r="F55" s="1"/>
    </row>
    <row r="56" ht="14.25" customHeight="1">
      <c r="B56" s="1"/>
      <c r="C56" s="1"/>
      <c r="D56" s="1"/>
      <c r="E56" s="1"/>
      <c r="F56" s="1"/>
    </row>
    <row r="57" ht="14.25" customHeight="1">
      <c r="B57" s="1"/>
      <c r="C57" s="1"/>
      <c r="D57" s="1"/>
      <c r="E57" s="1"/>
      <c r="F57" s="1"/>
    </row>
    <row r="58" ht="14.25" customHeight="1">
      <c r="B58" s="1"/>
      <c r="C58" s="1"/>
      <c r="D58" s="1"/>
      <c r="E58" s="1"/>
      <c r="F58" s="1"/>
    </row>
    <row r="59" ht="14.25" customHeight="1">
      <c r="B59" s="1"/>
      <c r="C59" s="1"/>
      <c r="D59" s="1"/>
      <c r="E59" s="1"/>
      <c r="F59" s="1"/>
    </row>
    <row r="60" ht="14.25" customHeight="1">
      <c r="B60" s="1"/>
      <c r="C60" s="1"/>
      <c r="D60" s="1"/>
      <c r="E60" s="1"/>
      <c r="F60" s="1"/>
    </row>
    <row r="61" ht="14.25" customHeight="1">
      <c r="B61" s="1"/>
      <c r="C61" s="1"/>
      <c r="D61" s="1"/>
      <c r="E61" s="1"/>
      <c r="F61" s="1"/>
    </row>
    <row r="62" ht="14.25" customHeight="1">
      <c r="B62" s="1"/>
      <c r="C62" s="1"/>
      <c r="D62" s="1"/>
      <c r="E62" s="1"/>
      <c r="F62" s="1"/>
    </row>
    <row r="63" ht="14.25" customHeight="1">
      <c r="B63" s="1"/>
      <c r="C63" s="1"/>
      <c r="D63" s="1"/>
      <c r="E63" s="1"/>
      <c r="F63" s="1"/>
    </row>
    <row r="64" ht="14.25" customHeight="1">
      <c r="B64" s="1"/>
      <c r="C64" s="1"/>
      <c r="D64" s="1"/>
      <c r="E64" s="1"/>
      <c r="F64" s="1"/>
    </row>
    <row r="65" ht="14.25" customHeight="1">
      <c r="B65" s="1"/>
      <c r="C65" s="1"/>
      <c r="D65" s="1"/>
      <c r="E65" s="1"/>
      <c r="F65" s="1"/>
    </row>
    <row r="66" ht="14.25" customHeight="1">
      <c r="B66" s="1"/>
      <c r="C66" s="1"/>
      <c r="D66" s="1"/>
      <c r="E66" s="1"/>
      <c r="F66" s="1"/>
    </row>
    <row r="67" ht="14.25" customHeight="1">
      <c r="B67" s="1"/>
      <c r="C67" s="1"/>
      <c r="D67" s="1"/>
      <c r="E67" s="1"/>
      <c r="F67" s="1"/>
    </row>
    <row r="68" ht="14.25" customHeight="1">
      <c r="B68" s="1"/>
      <c r="C68" s="1"/>
      <c r="D68" s="1"/>
      <c r="E68" s="1"/>
      <c r="F68" s="1"/>
    </row>
    <row r="69" ht="14.25" customHeight="1">
      <c r="B69" s="1"/>
      <c r="C69" s="1"/>
      <c r="D69" s="1"/>
      <c r="E69" s="1"/>
      <c r="F69" s="1"/>
    </row>
    <row r="70" ht="14.25" customHeight="1">
      <c r="B70" s="1"/>
      <c r="C70" s="1"/>
      <c r="D70" s="1"/>
      <c r="E70" s="1"/>
      <c r="F70" s="1"/>
    </row>
    <row r="71" ht="14.25" customHeight="1">
      <c r="B71" s="1"/>
      <c r="C71" s="1"/>
      <c r="D71" s="1"/>
      <c r="E71" s="1"/>
      <c r="F71" s="1"/>
    </row>
    <row r="72" ht="14.25" customHeight="1">
      <c r="B72" s="1"/>
      <c r="C72" s="1"/>
      <c r="D72" s="1"/>
      <c r="E72" s="1"/>
      <c r="F72" s="1"/>
    </row>
    <row r="73" ht="14.25" customHeight="1">
      <c r="B73" s="1"/>
      <c r="C73" s="1"/>
      <c r="D73" s="1"/>
      <c r="E73" s="1"/>
      <c r="F73" s="1"/>
    </row>
    <row r="74" ht="14.25" customHeight="1">
      <c r="B74" s="1"/>
      <c r="C74" s="1"/>
      <c r="D74" s="1"/>
      <c r="E74" s="1"/>
      <c r="F74" s="1"/>
    </row>
    <row r="75" ht="14.25" customHeight="1">
      <c r="B75" s="1"/>
      <c r="C75" s="1"/>
      <c r="D75" s="1"/>
      <c r="E75" s="1"/>
      <c r="F75" s="1"/>
    </row>
    <row r="76" ht="14.25" customHeight="1">
      <c r="B76" s="1"/>
      <c r="C76" s="1"/>
      <c r="D76" s="1"/>
      <c r="E76" s="1"/>
      <c r="F76" s="1"/>
    </row>
    <row r="77" ht="14.25" customHeight="1">
      <c r="B77" s="1"/>
      <c r="C77" s="1"/>
      <c r="D77" s="1"/>
      <c r="E77" s="1"/>
      <c r="F77" s="1"/>
    </row>
    <row r="78" ht="14.25" customHeight="1">
      <c r="B78" s="1"/>
      <c r="C78" s="1"/>
      <c r="D78" s="1"/>
      <c r="E78" s="1"/>
      <c r="F78" s="1"/>
    </row>
    <row r="79" ht="14.25" customHeight="1">
      <c r="B79" s="1"/>
      <c r="C79" s="1"/>
      <c r="D79" s="1"/>
      <c r="E79" s="1"/>
      <c r="F79" s="1"/>
    </row>
    <row r="80" ht="14.25" customHeight="1">
      <c r="B80" s="1"/>
      <c r="C80" s="1"/>
      <c r="D80" s="1"/>
      <c r="E80" s="1"/>
      <c r="F80" s="1"/>
    </row>
    <row r="81" ht="14.25" customHeight="1">
      <c r="B81" s="1"/>
      <c r="C81" s="1"/>
      <c r="D81" s="1"/>
      <c r="E81" s="1"/>
      <c r="F81" s="1"/>
    </row>
    <row r="82" ht="14.25" customHeight="1">
      <c r="B82" s="1"/>
      <c r="C82" s="1"/>
      <c r="D82" s="1"/>
      <c r="E82" s="1"/>
      <c r="F82" s="1"/>
    </row>
    <row r="83" ht="14.25" customHeight="1">
      <c r="B83" s="1"/>
      <c r="C83" s="1"/>
      <c r="D83" s="1"/>
      <c r="E83" s="1"/>
      <c r="F83" s="1"/>
    </row>
    <row r="84" ht="14.25" customHeight="1">
      <c r="B84" s="1"/>
      <c r="C84" s="1"/>
      <c r="D84" s="1"/>
      <c r="E84" s="1"/>
      <c r="F84" s="1"/>
    </row>
    <row r="85" ht="14.25" customHeight="1">
      <c r="B85" s="1"/>
      <c r="C85" s="1"/>
      <c r="D85" s="1"/>
      <c r="E85" s="1"/>
      <c r="F85" s="1"/>
    </row>
    <row r="86" ht="14.25" customHeight="1">
      <c r="B86" s="1"/>
      <c r="C86" s="1"/>
      <c r="D86" s="1"/>
      <c r="E86" s="1"/>
      <c r="F86" s="1"/>
    </row>
    <row r="87" ht="14.25" customHeight="1">
      <c r="B87" s="1"/>
      <c r="C87" s="1"/>
      <c r="D87" s="1"/>
      <c r="E87" s="1"/>
      <c r="F87" s="1"/>
    </row>
    <row r="88" ht="14.25" customHeight="1">
      <c r="B88" s="1"/>
      <c r="C88" s="1"/>
      <c r="D88" s="1"/>
      <c r="E88" s="1"/>
      <c r="F88" s="1"/>
    </row>
    <row r="89" ht="14.25" customHeight="1">
      <c r="B89" s="1"/>
      <c r="C89" s="1"/>
      <c r="D89" s="1"/>
      <c r="E89" s="1"/>
      <c r="F89" s="1"/>
    </row>
    <row r="90" ht="14.25" customHeight="1">
      <c r="B90" s="1"/>
      <c r="C90" s="1"/>
      <c r="D90" s="1"/>
      <c r="E90" s="1"/>
      <c r="F90" s="1"/>
    </row>
    <row r="91" ht="14.25" customHeight="1">
      <c r="B91" s="1"/>
      <c r="C91" s="1"/>
      <c r="D91" s="1"/>
      <c r="E91" s="1"/>
      <c r="F91" s="1"/>
    </row>
    <row r="92" ht="14.25" customHeight="1">
      <c r="B92" s="1"/>
      <c r="C92" s="1"/>
      <c r="D92" s="1"/>
      <c r="E92" s="1"/>
      <c r="F92" s="1"/>
    </row>
    <row r="93" ht="14.25" customHeight="1">
      <c r="B93" s="1"/>
      <c r="C93" s="1"/>
      <c r="D93" s="1"/>
      <c r="E93" s="1"/>
      <c r="F93" s="1"/>
    </row>
    <row r="94" ht="14.25" customHeight="1">
      <c r="B94" s="1"/>
      <c r="C94" s="1"/>
      <c r="D94" s="1"/>
      <c r="E94" s="1"/>
      <c r="F94" s="1"/>
    </row>
    <row r="95" ht="14.25" customHeight="1">
      <c r="B95" s="1"/>
      <c r="C95" s="1"/>
      <c r="D95" s="1"/>
      <c r="E95" s="1"/>
      <c r="F95" s="1"/>
    </row>
    <row r="96" ht="14.25" customHeight="1">
      <c r="B96" s="1"/>
      <c r="C96" s="1"/>
      <c r="D96" s="1"/>
      <c r="E96" s="1"/>
      <c r="F96" s="1"/>
    </row>
    <row r="97" ht="14.25" customHeight="1">
      <c r="B97" s="1"/>
      <c r="C97" s="1"/>
      <c r="D97" s="1"/>
      <c r="E97" s="1"/>
      <c r="F97" s="1"/>
    </row>
    <row r="98" ht="14.25" customHeight="1">
      <c r="B98" s="1"/>
      <c r="C98" s="1"/>
      <c r="D98" s="1"/>
      <c r="E98" s="1"/>
      <c r="F98" s="1"/>
    </row>
    <row r="99" ht="14.25" customHeight="1">
      <c r="B99" s="1"/>
      <c r="C99" s="1"/>
      <c r="D99" s="1"/>
      <c r="E99" s="1"/>
      <c r="F99" s="1"/>
    </row>
    <row r="100" ht="14.25" customHeight="1">
      <c r="B100" s="1"/>
      <c r="C100" s="1"/>
      <c r="D100" s="1"/>
      <c r="E100" s="1"/>
      <c r="F100" s="1"/>
    </row>
    <row r="101" ht="14.25" customHeight="1">
      <c r="B101" s="1"/>
      <c r="C101" s="1"/>
      <c r="D101" s="1"/>
      <c r="E101" s="1"/>
      <c r="F101" s="1"/>
    </row>
    <row r="102" ht="14.25" customHeight="1">
      <c r="B102" s="1"/>
      <c r="C102" s="1"/>
      <c r="D102" s="1"/>
      <c r="E102" s="1"/>
      <c r="F102" s="1"/>
    </row>
    <row r="103" ht="14.25" customHeight="1">
      <c r="B103" s="1"/>
      <c r="C103" s="1"/>
      <c r="D103" s="1"/>
      <c r="E103" s="1"/>
      <c r="F103" s="1"/>
    </row>
    <row r="104" ht="14.25" customHeight="1">
      <c r="B104" s="1"/>
      <c r="C104" s="1"/>
      <c r="D104" s="1"/>
      <c r="E104" s="1"/>
      <c r="F104" s="1"/>
    </row>
    <row r="105" ht="14.25" customHeight="1">
      <c r="B105" s="1"/>
      <c r="C105" s="1"/>
      <c r="D105" s="1"/>
      <c r="E105" s="1"/>
      <c r="F105" s="1"/>
    </row>
    <row r="106" ht="14.25" customHeight="1">
      <c r="B106" s="1"/>
      <c r="C106" s="1"/>
      <c r="D106" s="1"/>
      <c r="E106" s="1"/>
      <c r="F106" s="1"/>
    </row>
    <row r="107" ht="14.25" customHeight="1">
      <c r="B107" s="1"/>
      <c r="C107" s="1"/>
      <c r="D107" s="1"/>
      <c r="E107" s="1"/>
      <c r="F107" s="1"/>
    </row>
    <row r="108" ht="14.25" customHeight="1">
      <c r="B108" s="1"/>
      <c r="C108" s="1"/>
      <c r="D108" s="1"/>
      <c r="E108" s="1"/>
      <c r="F108" s="1"/>
    </row>
    <row r="109" ht="14.25" customHeight="1">
      <c r="B109" s="1"/>
      <c r="C109" s="1"/>
      <c r="D109" s="1"/>
      <c r="E109" s="1"/>
      <c r="F109" s="1"/>
    </row>
    <row r="110" ht="14.25" customHeight="1">
      <c r="B110" s="1"/>
      <c r="C110" s="1"/>
      <c r="D110" s="1"/>
      <c r="E110" s="1"/>
      <c r="F110" s="1"/>
    </row>
    <row r="111" ht="14.25" customHeight="1">
      <c r="B111" s="1"/>
      <c r="C111" s="1"/>
      <c r="D111" s="1"/>
      <c r="E111" s="1"/>
      <c r="F111" s="1"/>
    </row>
    <row r="112" ht="14.25" customHeight="1">
      <c r="B112" s="1"/>
      <c r="C112" s="1"/>
      <c r="D112" s="1"/>
      <c r="E112" s="1"/>
      <c r="F112" s="1"/>
    </row>
    <row r="113" ht="14.25" customHeight="1">
      <c r="B113" s="1"/>
      <c r="C113" s="1"/>
      <c r="D113" s="1"/>
      <c r="E113" s="1"/>
      <c r="F113" s="1"/>
    </row>
    <row r="114" ht="14.25" customHeight="1">
      <c r="B114" s="1"/>
      <c r="C114" s="1"/>
      <c r="D114" s="1"/>
      <c r="E114" s="1"/>
      <c r="F114" s="1"/>
    </row>
    <row r="115" ht="14.25" customHeight="1">
      <c r="B115" s="1"/>
      <c r="C115" s="1"/>
      <c r="D115" s="1"/>
      <c r="E115" s="1"/>
      <c r="F115" s="1"/>
    </row>
    <row r="116" ht="14.25" customHeight="1">
      <c r="B116" s="1"/>
      <c r="C116" s="1"/>
      <c r="D116" s="1"/>
      <c r="E116" s="1"/>
      <c r="F116" s="1"/>
    </row>
    <row r="117" ht="14.25" customHeight="1">
      <c r="B117" s="1"/>
      <c r="C117" s="1"/>
      <c r="D117" s="1"/>
      <c r="E117" s="1"/>
      <c r="F117" s="1"/>
    </row>
    <row r="118" ht="14.25" customHeight="1">
      <c r="B118" s="1"/>
      <c r="C118" s="1"/>
      <c r="D118" s="1"/>
      <c r="E118" s="1"/>
      <c r="F118" s="1"/>
    </row>
    <row r="119" ht="14.25" customHeight="1">
      <c r="B119" s="1"/>
      <c r="C119" s="1"/>
      <c r="D119" s="1"/>
      <c r="E119" s="1"/>
      <c r="F119" s="1"/>
    </row>
    <row r="120" ht="14.25" customHeight="1">
      <c r="B120" s="1"/>
      <c r="C120" s="1"/>
      <c r="D120" s="1"/>
      <c r="E120" s="1"/>
      <c r="F120" s="1"/>
    </row>
    <row r="121" ht="14.25" customHeight="1">
      <c r="B121" s="1"/>
      <c r="C121" s="1"/>
      <c r="D121" s="1"/>
      <c r="E121" s="1"/>
      <c r="F121" s="1"/>
    </row>
    <row r="122" ht="14.25" customHeight="1">
      <c r="B122" s="1"/>
      <c r="C122" s="1"/>
      <c r="D122" s="1"/>
      <c r="E122" s="1"/>
      <c r="F122" s="1"/>
    </row>
    <row r="123" ht="14.25" customHeight="1">
      <c r="B123" s="1"/>
      <c r="C123" s="1"/>
      <c r="D123" s="1"/>
      <c r="E123" s="1"/>
      <c r="F123" s="1"/>
    </row>
    <row r="124" ht="14.25" customHeight="1">
      <c r="B124" s="1"/>
      <c r="C124" s="1"/>
      <c r="D124" s="1"/>
      <c r="E124" s="1"/>
      <c r="F124" s="1"/>
    </row>
    <row r="125" ht="14.25" customHeight="1">
      <c r="B125" s="1"/>
      <c r="C125" s="1"/>
      <c r="D125" s="1"/>
      <c r="E125" s="1"/>
      <c r="F125" s="1"/>
    </row>
    <row r="126" ht="14.25" customHeight="1">
      <c r="B126" s="1"/>
      <c r="C126" s="1"/>
      <c r="D126" s="1"/>
      <c r="E126" s="1"/>
      <c r="F126" s="1"/>
    </row>
    <row r="127" ht="14.25" customHeight="1">
      <c r="B127" s="1"/>
      <c r="C127" s="1"/>
      <c r="D127" s="1"/>
      <c r="E127" s="1"/>
      <c r="F127" s="1"/>
    </row>
    <row r="128" ht="14.25" customHeight="1">
      <c r="B128" s="1"/>
      <c r="C128" s="1"/>
      <c r="D128" s="1"/>
      <c r="E128" s="1"/>
      <c r="F128" s="1"/>
    </row>
    <row r="129" ht="14.25" customHeight="1">
      <c r="B129" s="1"/>
      <c r="C129" s="1"/>
      <c r="D129" s="1"/>
      <c r="E129" s="1"/>
      <c r="F129" s="1"/>
    </row>
    <row r="130" ht="14.25" customHeight="1">
      <c r="B130" s="1"/>
      <c r="C130" s="1"/>
      <c r="D130" s="1"/>
      <c r="E130" s="1"/>
      <c r="F130" s="1"/>
    </row>
    <row r="131" ht="14.25" customHeight="1">
      <c r="B131" s="1"/>
      <c r="C131" s="1"/>
      <c r="D131" s="1"/>
      <c r="E131" s="1"/>
      <c r="F131" s="1"/>
    </row>
    <row r="132" ht="14.25" customHeight="1">
      <c r="B132" s="1"/>
      <c r="C132" s="1"/>
      <c r="D132" s="1"/>
      <c r="E132" s="1"/>
      <c r="F132" s="1"/>
    </row>
    <row r="133" ht="14.25" customHeight="1">
      <c r="B133" s="1"/>
      <c r="C133" s="1"/>
      <c r="D133" s="1"/>
      <c r="E133" s="1"/>
      <c r="F133" s="1"/>
    </row>
    <row r="134" ht="14.25" customHeight="1">
      <c r="B134" s="1"/>
      <c r="C134" s="1"/>
      <c r="D134" s="1"/>
      <c r="E134" s="1"/>
      <c r="F134" s="1"/>
    </row>
    <row r="135" ht="14.25" customHeight="1">
      <c r="B135" s="1"/>
      <c r="C135" s="1"/>
      <c r="D135" s="1"/>
      <c r="E135" s="1"/>
      <c r="F135" s="1"/>
    </row>
    <row r="136" ht="14.25" customHeight="1">
      <c r="B136" s="1"/>
      <c r="C136" s="1"/>
      <c r="D136" s="1"/>
      <c r="E136" s="1"/>
      <c r="F136" s="1"/>
    </row>
    <row r="137" ht="14.25" customHeight="1">
      <c r="B137" s="1"/>
      <c r="C137" s="1"/>
      <c r="D137" s="1"/>
      <c r="E137" s="1"/>
      <c r="F137" s="1"/>
    </row>
    <row r="138" ht="14.25" customHeight="1">
      <c r="B138" s="1"/>
      <c r="C138" s="1"/>
      <c r="D138" s="1"/>
      <c r="E138" s="1"/>
      <c r="F138" s="1"/>
    </row>
    <row r="139" ht="14.25" customHeight="1">
      <c r="B139" s="1"/>
      <c r="C139" s="1"/>
      <c r="D139" s="1"/>
      <c r="E139" s="1"/>
      <c r="F139" s="1"/>
    </row>
    <row r="140" ht="14.25" customHeight="1">
      <c r="B140" s="1"/>
      <c r="C140" s="1"/>
      <c r="D140" s="1"/>
      <c r="E140" s="1"/>
      <c r="F140" s="1"/>
    </row>
    <row r="141" ht="14.25" customHeight="1">
      <c r="B141" s="1"/>
      <c r="C141" s="1"/>
      <c r="D141" s="1"/>
      <c r="E141" s="1"/>
      <c r="F141" s="1"/>
    </row>
    <row r="142" ht="14.25" customHeight="1">
      <c r="B142" s="1"/>
      <c r="C142" s="1"/>
      <c r="D142" s="1"/>
      <c r="E142" s="1"/>
      <c r="F142" s="1"/>
    </row>
    <row r="143" ht="14.25" customHeight="1">
      <c r="B143" s="1"/>
      <c r="C143" s="1"/>
      <c r="D143" s="1"/>
      <c r="E143" s="1"/>
      <c r="F143" s="1"/>
    </row>
    <row r="144" ht="14.25" customHeight="1">
      <c r="B144" s="1"/>
      <c r="C144" s="1"/>
      <c r="D144" s="1"/>
      <c r="E144" s="1"/>
      <c r="F144" s="1"/>
    </row>
    <row r="145" ht="14.25" customHeight="1">
      <c r="B145" s="1"/>
      <c r="C145" s="1"/>
      <c r="D145" s="1"/>
      <c r="E145" s="1"/>
      <c r="F145" s="1"/>
    </row>
    <row r="146" ht="14.25" customHeight="1">
      <c r="B146" s="1"/>
      <c r="C146" s="1"/>
      <c r="D146" s="1"/>
      <c r="E146" s="1"/>
      <c r="F146" s="1"/>
    </row>
    <row r="147" ht="14.25" customHeight="1">
      <c r="B147" s="1"/>
      <c r="C147" s="1"/>
      <c r="D147" s="1"/>
      <c r="E147" s="1"/>
      <c r="F147" s="1"/>
    </row>
    <row r="148" ht="14.25" customHeight="1">
      <c r="B148" s="1"/>
      <c r="C148" s="1"/>
      <c r="D148" s="1"/>
      <c r="E148" s="1"/>
      <c r="F148" s="1"/>
    </row>
    <row r="149" ht="14.25" customHeight="1">
      <c r="B149" s="1"/>
      <c r="C149" s="1"/>
      <c r="D149" s="1"/>
      <c r="E149" s="1"/>
      <c r="F149" s="1"/>
    </row>
    <row r="150" ht="14.25" customHeight="1">
      <c r="B150" s="1"/>
      <c r="C150" s="1"/>
      <c r="D150" s="1"/>
      <c r="E150" s="1"/>
      <c r="F150" s="1"/>
    </row>
    <row r="151" ht="14.25" customHeight="1">
      <c r="B151" s="1"/>
      <c r="C151" s="1"/>
      <c r="D151" s="1"/>
      <c r="E151" s="1"/>
      <c r="F151" s="1"/>
    </row>
    <row r="152" ht="14.25" customHeight="1">
      <c r="B152" s="1"/>
      <c r="C152" s="1"/>
      <c r="D152" s="1"/>
      <c r="E152" s="1"/>
      <c r="F152" s="1"/>
    </row>
    <row r="153" ht="14.25" customHeight="1">
      <c r="B153" s="1"/>
      <c r="C153" s="1"/>
      <c r="D153" s="1"/>
      <c r="E153" s="1"/>
      <c r="F153" s="1"/>
    </row>
    <row r="154" ht="14.25" customHeight="1">
      <c r="B154" s="1"/>
      <c r="C154" s="1"/>
      <c r="D154" s="1"/>
      <c r="E154" s="1"/>
      <c r="F154" s="1"/>
    </row>
    <row r="155" ht="14.25" customHeight="1">
      <c r="B155" s="1"/>
      <c r="C155" s="1"/>
      <c r="D155" s="1"/>
      <c r="E155" s="1"/>
      <c r="F155" s="1"/>
    </row>
    <row r="156" ht="14.25" customHeight="1">
      <c r="B156" s="1"/>
      <c r="C156" s="1"/>
      <c r="D156" s="1"/>
      <c r="E156" s="1"/>
      <c r="F156" s="1"/>
    </row>
    <row r="157" ht="14.25" customHeight="1">
      <c r="B157" s="1"/>
      <c r="C157" s="1"/>
      <c r="D157" s="1"/>
      <c r="E157" s="1"/>
      <c r="F157" s="1"/>
    </row>
    <row r="158" ht="14.25" customHeight="1">
      <c r="B158" s="1"/>
      <c r="C158" s="1"/>
      <c r="D158" s="1"/>
      <c r="E158" s="1"/>
      <c r="F158" s="1"/>
    </row>
    <row r="159" ht="14.25" customHeight="1">
      <c r="B159" s="1"/>
      <c r="C159" s="1"/>
      <c r="D159" s="1"/>
      <c r="E159" s="1"/>
      <c r="F159" s="1"/>
    </row>
    <row r="160" ht="14.25" customHeight="1">
      <c r="B160" s="1"/>
      <c r="C160" s="1"/>
      <c r="D160" s="1"/>
      <c r="E160" s="1"/>
      <c r="F160" s="1"/>
    </row>
    <row r="161" ht="14.25" customHeight="1">
      <c r="B161" s="1"/>
      <c r="C161" s="1"/>
      <c r="D161" s="1"/>
      <c r="E161" s="1"/>
      <c r="F161" s="1"/>
    </row>
    <row r="162" ht="14.25" customHeight="1">
      <c r="B162" s="1"/>
      <c r="C162" s="1"/>
      <c r="D162" s="1"/>
      <c r="E162" s="1"/>
      <c r="F162" s="1"/>
    </row>
    <row r="163" ht="14.25" customHeight="1">
      <c r="B163" s="1"/>
      <c r="C163" s="1"/>
      <c r="D163" s="1"/>
      <c r="E163" s="1"/>
      <c r="F163" s="1"/>
    </row>
    <row r="164" ht="14.25" customHeight="1">
      <c r="B164" s="1"/>
      <c r="C164" s="1"/>
      <c r="D164" s="1"/>
      <c r="E164" s="1"/>
      <c r="F164" s="1"/>
    </row>
    <row r="165" ht="14.25" customHeight="1">
      <c r="B165" s="1"/>
      <c r="C165" s="1"/>
      <c r="D165" s="1"/>
      <c r="E165" s="1"/>
      <c r="F165" s="1"/>
    </row>
    <row r="166" ht="14.25" customHeight="1">
      <c r="B166" s="1"/>
      <c r="C166" s="1"/>
      <c r="D166" s="1"/>
      <c r="E166" s="1"/>
      <c r="F166" s="1"/>
    </row>
    <row r="167" ht="14.25" customHeight="1">
      <c r="B167" s="1"/>
      <c r="C167" s="1"/>
      <c r="D167" s="1"/>
      <c r="E167" s="1"/>
      <c r="F167" s="1"/>
    </row>
    <row r="168" ht="14.25" customHeight="1">
      <c r="B168" s="1"/>
      <c r="C168" s="1"/>
      <c r="D168" s="1"/>
      <c r="E168" s="1"/>
      <c r="F168" s="1"/>
    </row>
    <row r="169" ht="14.25" customHeight="1">
      <c r="B169" s="1"/>
      <c r="C169" s="1"/>
      <c r="D169" s="1"/>
      <c r="E169" s="1"/>
      <c r="F169" s="1"/>
    </row>
    <row r="170" ht="14.25" customHeight="1">
      <c r="B170" s="1"/>
      <c r="C170" s="1"/>
      <c r="D170" s="1"/>
      <c r="E170" s="1"/>
      <c r="F170" s="1"/>
    </row>
    <row r="171" ht="14.25" customHeight="1">
      <c r="B171" s="1"/>
      <c r="C171" s="1"/>
      <c r="D171" s="1"/>
      <c r="E171" s="1"/>
      <c r="F171" s="1"/>
    </row>
    <row r="172" ht="14.25" customHeight="1">
      <c r="B172" s="1"/>
      <c r="C172" s="1"/>
      <c r="D172" s="1"/>
      <c r="E172" s="1"/>
      <c r="F172" s="1"/>
    </row>
    <row r="173" ht="14.25" customHeight="1">
      <c r="B173" s="1"/>
      <c r="C173" s="1"/>
      <c r="D173" s="1"/>
      <c r="E173" s="1"/>
      <c r="F173" s="1"/>
    </row>
    <row r="174" ht="14.25" customHeight="1">
      <c r="B174" s="1"/>
      <c r="C174" s="1"/>
      <c r="D174" s="1"/>
      <c r="E174" s="1"/>
      <c r="F174" s="1"/>
    </row>
    <row r="175" ht="14.25" customHeight="1">
      <c r="B175" s="1"/>
      <c r="C175" s="1"/>
      <c r="D175" s="1"/>
      <c r="E175" s="1"/>
      <c r="F175" s="1"/>
    </row>
    <row r="176" ht="14.25" customHeight="1">
      <c r="B176" s="1"/>
      <c r="C176" s="1"/>
      <c r="D176" s="1"/>
      <c r="E176" s="1"/>
      <c r="F176" s="1"/>
    </row>
    <row r="177" ht="14.25" customHeight="1">
      <c r="B177" s="1"/>
      <c r="C177" s="1"/>
      <c r="D177" s="1"/>
      <c r="E177" s="1"/>
      <c r="F177" s="1"/>
    </row>
    <row r="178" ht="14.25" customHeight="1">
      <c r="B178" s="1"/>
      <c r="C178" s="1"/>
      <c r="D178" s="1"/>
      <c r="E178" s="1"/>
      <c r="F178" s="1"/>
    </row>
    <row r="179" ht="14.25" customHeight="1">
      <c r="B179" s="1"/>
      <c r="C179" s="1"/>
      <c r="D179" s="1"/>
      <c r="E179" s="1"/>
      <c r="F179" s="1"/>
    </row>
    <row r="180" ht="14.25" customHeight="1">
      <c r="B180" s="1"/>
      <c r="C180" s="1"/>
      <c r="D180" s="1"/>
      <c r="E180" s="1"/>
      <c r="F180" s="1"/>
    </row>
    <row r="181" ht="14.25" customHeight="1">
      <c r="B181" s="1"/>
      <c r="C181" s="1"/>
      <c r="D181" s="1"/>
      <c r="E181" s="1"/>
      <c r="F181" s="1"/>
    </row>
    <row r="182" ht="14.25" customHeight="1">
      <c r="B182" s="1"/>
      <c r="C182" s="1"/>
      <c r="D182" s="1"/>
      <c r="E182" s="1"/>
      <c r="F182" s="1"/>
    </row>
    <row r="183" ht="14.25" customHeight="1">
      <c r="B183" s="1"/>
      <c r="C183" s="1"/>
      <c r="D183" s="1"/>
      <c r="E183" s="1"/>
      <c r="F183" s="1"/>
    </row>
    <row r="184" ht="14.25" customHeight="1">
      <c r="B184" s="1"/>
      <c r="C184" s="1"/>
      <c r="D184" s="1"/>
      <c r="E184" s="1"/>
      <c r="F184" s="1"/>
    </row>
    <row r="185" ht="14.25" customHeight="1">
      <c r="B185" s="1"/>
      <c r="C185" s="1"/>
      <c r="D185" s="1"/>
      <c r="E185" s="1"/>
      <c r="F185" s="1"/>
    </row>
    <row r="186" ht="14.25" customHeight="1">
      <c r="B186" s="1"/>
      <c r="C186" s="1"/>
      <c r="D186" s="1"/>
      <c r="E186" s="1"/>
      <c r="F186" s="1"/>
    </row>
    <row r="187" ht="14.25" customHeight="1">
      <c r="B187" s="1"/>
      <c r="C187" s="1"/>
      <c r="D187" s="1"/>
      <c r="E187" s="1"/>
      <c r="F187" s="1"/>
    </row>
    <row r="188" ht="14.25" customHeight="1">
      <c r="B188" s="1"/>
      <c r="C188" s="1"/>
      <c r="D188" s="1"/>
      <c r="E188" s="1"/>
      <c r="F188" s="1"/>
    </row>
    <row r="189" ht="14.25" customHeight="1">
      <c r="B189" s="1"/>
      <c r="C189" s="1"/>
      <c r="D189" s="1"/>
      <c r="E189" s="1"/>
      <c r="F189" s="1"/>
    </row>
    <row r="190" ht="14.25" customHeight="1">
      <c r="B190" s="1"/>
      <c r="C190" s="1"/>
      <c r="D190" s="1"/>
      <c r="E190" s="1"/>
      <c r="F190" s="1"/>
    </row>
    <row r="191" ht="14.25" customHeight="1">
      <c r="B191" s="1"/>
      <c r="C191" s="1"/>
      <c r="D191" s="1"/>
      <c r="E191" s="1"/>
      <c r="F191" s="1"/>
    </row>
    <row r="192" ht="14.25" customHeight="1">
      <c r="B192" s="1"/>
      <c r="C192" s="1"/>
      <c r="D192" s="1"/>
      <c r="E192" s="1"/>
      <c r="F192" s="1"/>
    </row>
    <row r="193" ht="14.25" customHeight="1">
      <c r="B193" s="1"/>
      <c r="C193" s="1"/>
      <c r="D193" s="1"/>
      <c r="E193" s="1"/>
      <c r="F193" s="1"/>
    </row>
    <row r="194" ht="14.25" customHeight="1">
      <c r="B194" s="1"/>
      <c r="C194" s="1"/>
      <c r="D194" s="1"/>
      <c r="E194" s="1"/>
      <c r="F194" s="1"/>
    </row>
    <row r="195" ht="14.25" customHeight="1">
      <c r="B195" s="1"/>
      <c r="C195" s="1"/>
      <c r="D195" s="1"/>
      <c r="E195" s="1"/>
      <c r="F195" s="1"/>
    </row>
    <row r="196" ht="14.25" customHeight="1">
      <c r="B196" s="1"/>
      <c r="C196" s="1"/>
      <c r="D196" s="1"/>
      <c r="E196" s="1"/>
      <c r="F196" s="1"/>
    </row>
    <row r="197" ht="14.25" customHeight="1">
      <c r="B197" s="1"/>
      <c r="C197" s="1"/>
      <c r="D197" s="1"/>
      <c r="E197" s="1"/>
      <c r="F197" s="1"/>
    </row>
    <row r="198" ht="14.25" customHeight="1">
      <c r="B198" s="1"/>
      <c r="C198" s="1"/>
      <c r="D198" s="1"/>
      <c r="E198" s="1"/>
      <c r="F198" s="1"/>
    </row>
    <row r="199" ht="14.25" customHeight="1">
      <c r="B199" s="1"/>
      <c r="C199" s="1"/>
      <c r="D199" s="1"/>
      <c r="E199" s="1"/>
      <c r="F199" s="1"/>
    </row>
    <row r="200" ht="14.25" customHeight="1">
      <c r="B200" s="1"/>
      <c r="C200" s="1"/>
      <c r="D200" s="1"/>
      <c r="E200" s="1"/>
      <c r="F200" s="1"/>
    </row>
    <row r="201" ht="14.25" customHeight="1">
      <c r="B201" s="1"/>
      <c r="C201" s="1"/>
      <c r="D201" s="1"/>
      <c r="E201" s="1"/>
      <c r="F201" s="1"/>
    </row>
    <row r="202" ht="14.25" customHeight="1">
      <c r="B202" s="1"/>
      <c r="C202" s="1"/>
      <c r="D202" s="1"/>
      <c r="E202" s="1"/>
      <c r="F202" s="1"/>
    </row>
    <row r="203" ht="14.25" customHeight="1">
      <c r="B203" s="1"/>
      <c r="C203" s="1"/>
      <c r="D203" s="1"/>
      <c r="E203" s="1"/>
      <c r="F203" s="1"/>
    </row>
    <row r="204" ht="14.25" customHeight="1">
      <c r="B204" s="1"/>
      <c r="C204" s="1"/>
      <c r="D204" s="1"/>
      <c r="E204" s="1"/>
      <c r="F204" s="1"/>
    </row>
    <row r="205" ht="14.25" customHeight="1">
      <c r="B205" s="1"/>
      <c r="C205" s="1"/>
      <c r="D205" s="1"/>
      <c r="E205" s="1"/>
      <c r="F205" s="1"/>
    </row>
    <row r="206" ht="14.25" customHeight="1">
      <c r="B206" s="1"/>
      <c r="C206" s="1"/>
      <c r="D206" s="1"/>
      <c r="E206" s="1"/>
      <c r="F206" s="1"/>
    </row>
    <row r="207" ht="14.25" customHeight="1">
      <c r="B207" s="1"/>
      <c r="C207" s="1"/>
      <c r="D207" s="1"/>
      <c r="E207" s="1"/>
      <c r="F207" s="1"/>
    </row>
    <row r="208" ht="14.25" customHeight="1">
      <c r="B208" s="1"/>
      <c r="C208" s="1"/>
      <c r="D208" s="1"/>
      <c r="E208" s="1"/>
      <c r="F208" s="1"/>
    </row>
    <row r="209" ht="14.25" customHeight="1">
      <c r="B209" s="1"/>
      <c r="C209" s="1"/>
      <c r="D209" s="1"/>
      <c r="E209" s="1"/>
      <c r="F209" s="1"/>
    </row>
    <row r="210" ht="14.25" customHeight="1">
      <c r="B210" s="1"/>
      <c r="C210" s="1"/>
      <c r="D210" s="1"/>
      <c r="E210" s="1"/>
      <c r="F210" s="1"/>
    </row>
    <row r="211" ht="14.25" customHeight="1">
      <c r="B211" s="1"/>
      <c r="C211" s="1"/>
      <c r="D211" s="1"/>
      <c r="E211" s="1"/>
      <c r="F211" s="1"/>
    </row>
    <row r="212" ht="14.25" customHeight="1">
      <c r="B212" s="1"/>
      <c r="C212" s="1"/>
      <c r="D212" s="1"/>
      <c r="E212" s="1"/>
      <c r="F212" s="1"/>
    </row>
    <row r="213" ht="14.25" customHeight="1">
      <c r="B213" s="1"/>
      <c r="C213" s="1"/>
      <c r="D213" s="1"/>
      <c r="E213" s="1"/>
      <c r="F213" s="1"/>
    </row>
    <row r="214" ht="14.25" customHeight="1">
      <c r="B214" s="1"/>
      <c r="C214" s="1"/>
      <c r="D214" s="1"/>
      <c r="E214" s="1"/>
      <c r="F214" s="1"/>
    </row>
    <row r="215" ht="14.25" customHeight="1">
      <c r="B215" s="1"/>
      <c r="C215" s="1"/>
      <c r="D215" s="1"/>
      <c r="E215" s="1"/>
      <c r="F215" s="1"/>
    </row>
    <row r="216" ht="14.25" customHeight="1">
      <c r="B216" s="1"/>
      <c r="C216" s="1"/>
      <c r="D216" s="1"/>
      <c r="E216" s="1"/>
      <c r="F216" s="1"/>
    </row>
    <row r="217" ht="14.25" customHeight="1">
      <c r="B217" s="1"/>
      <c r="C217" s="1"/>
      <c r="D217" s="1"/>
      <c r="E217" s="1"/>
      <c r="F217" s="1"/>
    </row>
    <row r="218" ht="14.25" customHeight="1">
      <c r="B218" s="1"/>
      <c r="C218" s="1"/>
      <c r="D218" s="1"/>
      <c r="E218" s="1"/>
      <c r="F218" s="1"/>
    </row>
    <row r="219" ht="14.25" customHeight="1">
      <c r="B219" s="1"/>
      <c r="C219" s="1"/>
      <c r="D219" s="1"/>
      <c r="E219" s="1"/>
      <c r="F219" s="1"/>
    </row>
    <row r="220" ht="14.25" customHeight="1">
      <c r="B220" s="1"/>
      <c r="C220" s="1"/>
      <c r="D220" s="1"/>
      <c r="E220" s="1"/>
      <c r="F220" s="1"/>
    </row>
    <row r="221" ht="14.25" customHeight="1">
      <c r="B221" s="1"/>
      <c r="C221" s="1"/>
      <c r="D221" s="1"/>
      <c r="E221" s="1"/>
      <c r="F221" s="1"/>
    </row>
    <row r="222" ht="14.25" customHeight="1">
      <c r="B222" s="1"/>
      <c r="C222" s="1"/>
      <c r="D222" s="1"/>
      <c r="E222" s="1"/>
      <c r="F222" s="1"/>
    </row>
    <row r="223" ht="14.25" customHeight="1">
      <c r="B223" s="1"/>
      <c r="C223" s="1"/>
      <c r="D223" s="1"/>
      <c r="E223" s="1"/>
      <c r="F223" s="1"/>
    </row>
    <row r="224" ht="14.25" customHeight="1">
      <c r="B224" s="1"/>
      <c r="C224" s="1"/>
      <c r="D224" s="1"/>
      <c r="E224" s="1"/>
      <c r="F224" s="1"/>
    </row>
    <row r="225" ht="14.25" customHeight="1">
      <c r="B225" s="1"/>
      <c r="C225" s="1"/>
      <c r="D225" s="1"/>
      <c r="E225" s="1"/>
      <c r="F225" s="1"/>
    </row>
    <row r="226" ht="14.25" customHeight="1">
      <c r="B226" s="1"/>
      <c r="C226" s="1"/>
      <c r="D226" s="1"/>
      <c r="E226" s="1"/>
      <c r="F226" s="1"/>
    </row>
    <row r="227" ht="14.25" customHeight="1">
      <c r="B227" s="1"/>
      <c r="C227" s="1"/>
      <c r="D227" s="1"/>
      <c r="E227" s="1"/>
      <c r="F227" s="1"/>
    </row>
    <row r="228" ht="14.25" customHeight="1">
      <c r="B228" s="1"/>
      <c r="C228" s="1"/>
      <c r="D228" s="1"/>
      <c r="E228" s="1"/>
      <c r="F228" s="1"/>
    </row>
    <row r="229" ht="14.25" customHeight="1">
      <c r="B229" s="1"/>
      <c r="C229" s="1"/>
      <c r="D229" s="1"/>
      <c r="E229" s="1"/>
      <c r="F229" s="1"/>
    </row>
    <row r="230" ht="14.25" customHeight="1">
      <c r="B230" s="1"/>
      <c r="C230" s="1"/>
      <c r="D230" s="1"/>
      <c r="E230" s="1"/>
      <c r="F230" s="1"/>
    </row>
    <row r="231" ht="14.25" customHeight="1">
      <c r="B231" s="1"/>
      <c r="C231" s="1"/>
      <c r="D231" s="1"/>
      <c r="E231" s="1"/>
      <c r="F231" s="1"/>
    </row>
    <row r="232" ht="14.25" customHeight="1">
      <c r="B232" s="1"/>
      <c r="C232" s="1"/>
      <c r="D232" s="1"/>
      <c r="E232" s="1"/>
      <c r="F232" s="1"/>
    </row>
    <row r="233" ht="14.25" customHeight="1">
      <c r="B233" s="1"/>
      <c r="C233" s="1"/>
      <c r="D233" s="1"/>
      <c r="E233" s="1"/>
      <c r="F233" s="1"/>
    </row>
    <row r="234" ht="14.25" customHeight="1">
      <c r="B234" s="1"/>
      <c r="C234" s="1"/>
      <c r="D234" s="1"/>
      <c r="E234" s="1"/>
      <c r="F234" s="1"/>
    </row>
    <row r="235" ht="14.25" customHeight="1">
      <c r="B235" s="1"/>
      <c r="C235" s="1"/>
      <c r="D235" s="1"/>
      <c r="E235" s="1"/>
      <c r="F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O8:P8"/>
    <mergeCell ref="Q8:R8"/>
    <mergeCell ref="C10:D1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59" workbookViewId="0">
      <selection activeCell="R22" activeCellId="0" sqref="R22"/>
    </sheetView>
  </sheetViews>
  <sheetFormatPr baseColWidth="10" defaultColWidth="12.59765625" defaultRowHeight="15" customHeight="1"/>
  <cols>
    <col customWidth="1" min="1" max="1" width="13.3984375"/>
    <col customWidth="1" min="2" max="2" width="9.3984375"/>
    <col customWidth="1" min="3" max="7" width="8.8984375"/>
    <col customWidth="1" min="8" max="8" width="9.3984375"/>
    <col customWidth="1" min="9" max="9" width="10.3984375"/>
    <col customWidth="1" min="10" max="26" width="11"/>
  </cols>
  <sheetData>
    <row r="1" ht="18" customHeight="1">
      <c r="A1" s="10" t="s">
        <v>18</v>
      </c>
      <c r="B1" s="11" t="s">
        <v>19</v>
      </c>
      <c r="C1" s="12"/>
      <c r="D1" s="12"/>
      <c r="E1" s="12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14"/>
      <c r="B2" s="11" t="s">
        <v>20</v>
      </c>
      <c r="C2" s="12"/>
      <c r="D2" s="12"/>
      <c r="E2" s="12"/>
      <c r="F2" s="12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40.200000000000003" customHeight="1">
      <c r="A3" s="15"/>
      <c r="B3" s="16" t="s">
        <v>21</v>
      </c>
      <c r="C3" s="17" t="s">
        <v>22</v>
      </c>
      <c r="D3" s="17" t="s">
        <v>23</v>
      </c>
      <c r="E3" s="17" t="s">
        <v>24</v>
      </c>
      <c r="F3" s="17" t="s">
        <v>25</v>
      </c>
      <c r="G3" s="18" t="s">
        <v>26</v>
      </c>
      <c r="H3" s="19" t="s">
        <v>27</v>
      </c>
      <c r="I3" s="20" t="s">
        <v>28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" customHeight="1">
      <c r="A4" s="21">
        <v>2020</v>
      </c>
      <c r="B4" s="22">
        <f t="shared" ref="B4:B6" si="0">SUM(C4:G4)</f>
        <v>201232.12299999996</v>
      </c>
      <c r="C4" s="23">
        <v>189588.17799999999</v>
      </c>
      <c r="D4" s="23">
        <v>4339.7240000000002</v>
      </c>
      <c r="E4" s="23">
        <v>5338.7159999999994</v>
      </c>
      <c r="F4" s="23">
        <v>1778.4380000000001</v>
      </c>
      <c r="G4" s="24">
        <v>187.06700000000001</v>
      </c>
      <c r="H4" s="23">
        <v>174077.01066102972</v>
      </c>
      <c r="I4" s="25">
        <v>8549.248999999998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" customHeight="1">
      <c r="A5" s="21">
        <v>2021</v>
      </c>
      <c r="B5" s="26">
        <f t="shared" si="0"/>
        <v>272101.46299999999</v>
      </c>
      <c r="C5" s="27">
        <v>254940.46799999999</v>
      </c>
      <c r="D5" s="27">
        <v>5372.6640000000007</v>
      </c>
      <c r="E5" s="27">
        <v>9373.8039999999983</v>
      </c>
      <c r="F5" s="27">
        <v>2091.1669999999999</v>
      </c>
      <c r="G5" s="28">
        <v>323.35999999999996</v>
      </c>
      <c r="H5" s="27">
        <v>195944.82479567634</v>
      </c>
      <c r="I5" s="29">
        <v>7328.6280000000006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8" customHeight="1">
      <c r="A6" s="30">
        <v>2022</v>
      </c>
      <c r="B6" s="26">
        <f t="shared" si="0"/>
        <v>273731.25299999997</v>
      </c>
      <c r="C6" s="27">
        <v>255656.63999999996</v>
      </c>
      <c r="D6" s="27">
        <v>5036.1530000000002</v>
      </c>
      <c r="E6" s="27">
        <v>10579.995000000001</v>
      </c>
      <c r="F6" s="27">
        <v>2148.0650000000001</v>
      </c>
      <c r="G6" s="28">
        <v>310.39999999999998</v>
      </c>
      <c r="H6" s="27">
        <v>198784.49259774492</v>
      </c>
      <c r="I6" s="29">
        <v>9411.7469999999994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8" customHeight="1">
      <c r="A7" s="31">
        <v>2023</v>
      </c>
      <c r="B7" s="32">
        <v>280302.196</v>
      </c>
      <c r="C7" s="33">
        <v>262647.315</v>
      </c>
      <c r="D7" s="33">
        <v>3846.8679999999995</v>
      </c>
      <c r="E7" s="33">
        <v>11400.498</v>
      </c>
      <c r="F7" s="33">
        <v>1978.6539999999995</v>
      </c>
      <c r="G7" s="32">
        <v>428.86099999999999</v>
      </c>
      <c r="H7" s="33">
        <v>207386.4055087798</v>
      </c>
      <c r="I7" s="32">
        <v>6743.3689999999997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8" customHeight="1">
      <c r="A8" s="31" t="s">
        <v>29</v>
      </c>
      <c r="B8" s="32">
        <v>284436.28500000003</v>
      </c>
      <c r="C8" s="33">
        <v>264885.11100000003</v>
      </c>
      <c r="D8" s="33">
        <v>4509.2719999999999</v>
      </c>
      <c r="E8" s="33">
        <v>12823.949000000001</v>
      </c>
      <c r="F8" s="33">
        <v>1868.1889999999999</v>
      </c>
      <c r="G8" s="32">
        <v>349.76400000000001</v>
      </c>
      <c r="H8" s="33">
        <v>205280.88264443161</v>
      </c>
      <c r="I8" s="32">
        <v>6961.844000000001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8" customHeight="1">
      <c r="A9" s="30"/>
      <c r="B9" s="35"/>
      <c r="C9" s="35"/>
      <c r="D9" s="35"/>
      <c r="E9" s="35"/>
      <c r="F9" s="35"/>
      <c r="G9" s="35"/>
      <c r="H9" s="35"/>
      <c r="I9" s="35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" customHeight="1">
      <c r="A10" s="13" t="s">
        <v>30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" customHeight="1">
      <c r="A11" s="13" t="s">
        <v>31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" customHeight="1">
      <c r="A12" s="13" t="s">
        <v>32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" customHeight="1">
      <c r="A13" s="13" t="s">
        <v>33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" customHeight="1">
      <c r="A14" s="36" t="s">
        <v>34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" customHeight="1">
      <c r="A15" s="13" t="s">
        <v>35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" customHeight="1">
      <c r="A16" s="13" t="s">
        <v>36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" customHeight="1">
      <c r="A17" s="37" t="s">
        <v>37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" customHeight="1">
      <c r="A18" s="38"/>
      <c r="B18" s="30"/>
      <c r="C18" s="30"/>
      <c r="D18" s="30"/>
      <c r="E18" s="30"/>
      <c r="F18" s="30"/>
      <c r="G18" s="30"/>
      <c r="H18" s="30"/>
      <c r="I18" s="3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8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3"/>
    <mergeCell ref="B1:I1"/>
    <mergeCell ref="B2:G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G5" zoomScale="65" workbookViewId="0">
      <selection activeCell="O21" activeCellId="0" sqref="O21"/>
    </sheetView>
  </sheetViews>
  <sheetFormatPr baseColWidth="10" defaultColWidth="12.59765625" defaultRowHeight="15" customHeight="1"/>
  <cols>
    <col customWidth="1" min="1" max="14" width="10.5"/>
    <col customWidth="1" min="15" max="15" width="14"/>
    <col customWidth="1" min="16" max="26" width="10.5"/>
  </cols>
  <sheetData>
    <row r="1" ht="14.25" customHeight="1">
      <c r="A1" s="39" t="s">
        <v>38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ht="14.25" customHeight="1">
      <c r="A2" s="13"/>
      <c r="B2" s="41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ht="27.75" customHeight="1">
      <c r="A3" s="43" t="s">
        <v>39</v>
      </c>
      <c r="B3" s="44" t="s">
        <v>40</v>
      </c>
      <c r="C3" s="44" t="e">
        <v>#VALUE!</v>
      </c>
      <c r="D3" s="44" t="e">
        <v>#VALUE!</v>
      </c>
      <c r="E3" s="44" t="e">
        <v>#VALUE!</v>
      </c>
      <c r="F3" s="44" t="e">
        <v>#VALUE!</v>
      </c>
      <c r="G3" s="44" t="e">
        <v>#VALUE!</v>
      </c>
      <c r="H3" s="44" t="e">
        <v>#VALUE!</v>
      </c>
      <c r="I3" s="44" t="e">
        <v>#VALUE!</v>
      </c>
      <c r="J3" s="44" t="e">
        <v>#VALUE!</v>
      </c>
      <c r="K3" s="45" t="e">
        <v>#VALUE!</v>
      </c>
      <c r="L3" s="44" t="e">
        <v>#VALUE!</v>
      </c>
      <c r="M3" s="44" t="e">
        <v>#VALUE!</v>
      </c>
      <c r="N3" s="44" t="s">
        <v>41</v>
      </c>
      <c r="O3" s="45" t="e">
        <v>#VALUE!</v>
      </c>
    </row>
    <row r="4" ht="14.25" customHeight="1">
      <c r="A4" s="46">
        <v>1911</v>
      </c>
      <c r="B4" s="47">
        <v>336742</v>
      </c>
      <c r="C4" s="47">
        <v>22732</v>
      </c>
      <c r="D4" s="47">
        <v>35011</v>
      </c>
      <c r="E4" s="47">
        <v>32092</v>
      </c>
      <c r="F4" s="48">
        <v>63364</v>
      </c>
      <c r="G4" s="47">
        <v>8992</v>
      </c>
      <c r="H4" s="47">
        <v>23007</v>
      </c>
      <c r="I4" s="47">
        <v>30075</v>
      </c>
      <c r="J4" s="47">
        <v>61855</v>
      </c>
      <c r="K4" s="49" t="s">
        <v>42</v>
      </c>
      <c r="L4" s="47">
        <v>59614</v>
      </c>
      <c r="M4" s="50" t="s">
        <v>43</v>
      </c>
      <c r="N4" s="50" t="s">
        <v>43</v>
      </c>
      <c r="O4" s="49" t="s">
        <v>43</v>
      </c>
    </row>
    <row r="5" ht="14.25" customHeight="1">
      <c r="A5" s="46">
        <v>1920</v>
      </c>
      <c r="B5" s="47">
        <v>446098</v>
      </c>
      <c r="C5" s="47">
        <v>27239</v>
      </c>
      <c r="D5" s="47">
        <v>45151</v>
      </c>
      <c r="E5" s="47">
        <v>58250</v>
      </c>
      <c r="F5" s="48">
        <v>76470</v>
      </c>
      <c r="G5" s="47">
        <v>10728</v>
      </c>
      <c r="H5" s="47">
        <v>28984</v>
      </c>
      <c r="I5" s="47">
        <v>34638</v>
      </c>
      <c r="J5" s="47">
        <v>98035</v>
      </c>
      <c r="K5" s="49" t="s">
        <v>42</v>
      </c>
      <c r="L5" s="47">
        <v>66603</v>
      </c>
      <c r="M5" s="50" t="s">
        <v>43</v>
      </c>
      <c r="N5" s="50" t="s">
        <v>43</v>
      </c>
      <c r="O5" s="49" t="s">
        <v>43</v>
      </c>
    </row>
    <row r="6" ht="14.25" customHeight="1">
      <c r="A6" s="46">
        <v>1930</v>
      </c>
      <c r="B6" s="47">
        <v>467459</v>
      </c>
      <c r="C6" s="47">
        <v>15851</v>
      </c>
      <c r="D6" s="47">
        <v>48244</v>
      </c>
      <c r="E6" s="47">
        <v>57161</v>
      </c>
      <c r="F6" s="48">
        <v>76918</v>
      </c>
      <c r="G6" s="47">
        <v>13391</v>
      </c>
      <c r="H6" s="47">
        <v>31030</v>
      </c>
      <c r="I6" s="47">
        <v>41218</v>
      </c>
      <c r="J6" s="47">
        <v>114103</v>
      </c>
      <c r="K6" s="49" t="s">
        <v>42</v>
      </c>
      <c r="L6" s="47">
        <v>69543</v>
      </c>
      <c r="M6" s="50" t="s">
        <v>43</v>
      </c>
      <c r="N6" s="50" t="s">
        <v>43</v>
      </c>
      <c r="O6" s="49" t="s">
        <v>43</v>
      </c>
    </row>
    <row r="7" ht="14.25" customHeight="1">
      <c r="A7" s="46">
        <v>1940</v>
      </c>
      <c r="B7" s="47">
        <v>622576</v>
      </c>
      <c r="C7" s="47">
        <v>16523</v>
      </c>
      <c r="D7" s="47">
        <v>55737</v>
      </c>
      <c r="E7" s="47">
        <v>78119</v>
      </c>
      <c r="F7" s="48">
        <v>111206</v>
      </c>
      <c r="G7" s="47">
        <v>14930</v>
      </c>
      <c r="H7" s="47">
        <v>38118</v>
      </c>
      <c r="I7" s="47">
        <v>49621</v>
      </c>
      <c r="J7" s="47">
        <v>173328</v>
      </c>
      <c r="K7" s="49" t="s">
        <v>42</v>
      </c>
      <c r="L7" s="47">
        <v>84994</v>
      </c>
      <c r="M7" s="50" t="s">
        <v>43</v>
      </c>
      <c r="N7" s="50" t="s">
        <v>43</v>
      </c>
      <c r="O7" s="49" t="s">
        <v>43</v>
      </c>
    </row>
    <row r="8" ht="14.25" customHeight="1">
      <c r="A8" s="46">
        <v>1950</v>
      </c>
      <c r="B8" s="47">
        <v>805285</v>
      </c>
      <c r="C8" s="47">
        <v>22392</v>
      </c>
      <c r="D8" s="47">
        <v>73103</v>
      </c>
      <c r="E8" s="47">
        <v>90144</v>
      </c>
      <c r="F8" s="48">
        <v>138136</v>
      </c>
      <c r="G8" s="47">
        <v>14660</v>
      </c>
      <c r="H8" s="47">
        <v>50095</v>
      </c>
      <c r="I8" s="47">
        <v>61422</v>
      </c>
      <c r="J8" s="47">
        <v>248335</v>
      </c>
      <c r="K8" s="49" t="s">
        <v>42</v>
      </c>
      <c r="L8" s="47">
        <v>106998</v>
      </c>
      <c r="M8" s="50" t="s">
        <v>43</v>
      </c>
      <c r="N8" s="50" t="s">
        <v>43</v>
      </c>
      <c r="O8" s="49" t="s">
        <v>43</v>
      </c>
    </row>
    <row r="9" ht="14.25" customHeight="1">
      <c r="A9" s="46">
        <v>1960</v>
      </c>
      <c r="B9" s="47">
        <v>1075541</v>
      </c>
      <c r="C9" s="47">
        <v>32600</v>
      </c>
      <c r="D9" s="47">
        <v>93156</v>
      </c>
      <c r="E9" s="47">
        <v>105416</v>
      </c>
      <c r="F9" s="48">
        <v>188350</v>
      </c>
      <c r="G9" s="47">
        <v>19715</v>
      </c>
      <c r="H9" s="47">
        <v>61672</v>
      </c>
      <c r="I9" s="47">
        <v>70554</v>
      </c>
      <c r="J9" s="47">
        <v>372393</v>
      </c>
      <c r="K9" s="49" t="s">
        <v>42</v>
      </c>
      <c r="L9" s="47">
        <v>131685</v>
      </c>
      <c r="M9" s="50" t="s">
        <v>43</v>
      </c>
      <c r="N9" s="50" t="s">
        <v>43</v>
      </c>
      <c r="O9" s="49" t="s">
        <v>43</v>
      </c>
    </row>
    <row r="10" ht="14.25" customHeight="1">
      <c r="A10" s="46">
        <v>1970</v>
      </c>
      <c r="B10" s="47">
        <v>1428082</v>
      </c>
      <c r="C10" s="47">
        <v>43531</v>
      </c>
      <c r="D10" s="47">
        <v>118003</v>
      </c>
      <c r="E10" s="47">
        <v>109605</v>
      </c>
      <c r="F10" s="48">
        <v>236154</v>
      </c>
      <c r="G10" s="47">
        <v>22685</v>
      </c>
      <c r="H10" s="47">
        <v>72549</v>
      </c>
      <c r="I10" s="47">
        <v>72380</v>
      </c>
      <c r="J10" s="47">
        <v>576645</v>
      </c>
      <c r="K10" s="49" t="s">
        <v>42</v>
      </c>
      <c r="L10" s="47">
        <v>151849</v>
      </c>
      <c r="M10" s="50">
        <v>24681</v>
      </c>
      <c r="N10" s="50" t="s">
        <v>43</v>
      </c>
      <c r="O10" s="49" t="s">
        <v>43</v>
      </c>
    </row>
    <row r="11" ht="14.25" customHeight="1">
      <c r="A11" s="46">
        <v>1980</v>
      </c>
      <c r="B11" s="47">
        <v>1805287</v>
      </c>
      <c r="C11" s="47">
        <v>53487</v>
      </c>
      <c r="D11" s="47">
        <v>140903</v>
      </c>
      <c r="E11" s="47">
        <v>133833</v>
      </c>
      <c r="F11" s="48">
        <v>287350</v>
      </c>
      <c r="G11" s="47">
        <v>26524</v>
      </c>
      <c r="H11" s="47">
        <v>81963</v>
      </c>
      <c r="I11" s="47">
        <v>70261</v>
      </c>
      <c r="J11" s="47">
        <v>809100</v>
      </c>
      <c r="K11" s="49" t="s">
        <v>42</v>
      </c>
      <c r="L11" s="47">
        <v>173245</v>
      </c>
      <c r="M11" s="50">
        <v>28621</v>
      </c>
      <c r="N11" s="50" t="s">
        <v>43</v>
      </c>
      <c r="O11" s="49" t="s">
        <v>43</v>
      </c>
    </row>
    <row r="12" ht="14.25" customHeight="1">
      <c r="A12" s="46">
        <v>1990</v>
      </c>
      <c r="B12" s="47">
        <v>2329329</v>
      </c>
      <c r="C12" s="47">
        <v>74139</v>
      </c>
      <c r="D12" s="47">
        <v>173190</v>
      </c>
      <c r="E12" s="47">
        <v>168294</v>
      </c>
      <c r="F12" s="48">
        <v>322130</v>
      </c>
      <c r="G12" s="47">
        <v>35862</v>
      </c>
      <c r="H12" s="47">
        <v>93681</v>
      </c>
      <c r="I12" s="47">
        <v>76947</v>
      </c>
      <c r="J12" s="47">
        <v>1072127</v>
      </c>
      <c r="K12" s="49" t="s">
        <v>42</v>
      </c>
      <c r="L12" s="47">
        <v>198495</v>
      </c>
      <c r="M12" s="50">
        <v>34044</v>
      </c>
      <c r="N12" s="50">
        <v>7970</v>
      </c>
      <c r="O12" s="49">
        <v>72450</v>
      </c>
    </row>
    <row r="13" ht="14.25" customHeight="1">
      <c r="A13" s="46">
        <v>2000</v>
      </c>
      <c r="B13" s="47">
        <v>2839177</v>
      </c>
      <c r="C13" s="47">
        <v>89269</v>
      </c>
      <c r="D13" s="47">
        <v>202461</v>
      </c>
      <c r="E13" s="47">
        <v>204208</v>
      </c>
      <c r="F13" s="47">
        <v>368790</v>
      </c>
      <c r="G13" s="47">
        <v>40284</v>
      </c>
      <c r="H13" s="47">
        <v>102465</v>
      </c>
      <c r="I13" s="47">
        <v>83495</v>
      </c>
      <c r="J13" s="47">
        <v>1388357</v>
      </c>
      <c r="K13" s="49" t="s">
        <v>42</v>
      </c>
      <c r="L13" s="47">
        <v>209076</v>
      </c>
      <c r="M13" s="47">
        <v>32446</v>
      </c>
      <c r="N13" s="47">
        <v>8246</v>
      </c>
      <c r="O13" s="51">
        <v>110080</v>
      </c>
    </row>
    <row r="14" ht="14.25" customHeight="1">
      <c r="A14" s="46">
        <v>2010</v>
      </c>
      <c r="B14" s="47">
        <v>3405813</v>
      </c>
      <c r="C14" s="47">
        <v>125461</v>
      </c>
      <c r="D14" s="47">
        <v>233708</v>
      </c>
      <c r="E14" s="47">
        <v>241928</v>
      </c>
      <c r="F14" s="47">
        <v>416873</v>
      </c>
      <c r="G14" s="47">
        <v>48378</v>
      </c>
      <c r="H14" s="47">
        <v>109955</v>
      </c>
      <c r="I14" s="47">
        <v>89592</v>
      </c>
      <c r="J14" s="47">
        <v>1713070</v>
      </c>
      <c r="K14" s="49" t="s">
        <v>42</v>
      </c>
      <c r="L14" s="47">
        <v>226991</v>
      </c>
      <c r="M14" s="47">
        <v>33109</v>
      </c>
      <c r="N14" s="47">
        <v>10001</v>
      </c>
      <c r="O14" s="51">
        <v>156747</v>
      </c>
    </row>
    <row r="15" ht="14.25" customHeight="1">
      <c r="A15" s="46">
        <v>2023</v>
      </c>
      <c r="B15" s="52">
        <f>SUM(C15:O15)</f>
        <v>4064780</v>
      </c>
      <c r="C15" s="52">
        <v>159228</v>
      </c>
      <c r="D15" s="52">
        <v>268264</v>
      </c>
      <c r="E15" s="52">
        <v>281956</v>
      </c>
      <c r="F15" s="52">
        <v>471071</v>
      </c>
      <c r="G15" s="52">
        <v>54235</v>
      </c>
      <c r="H15" s="52">
        <v>122071</v>
      </c>
      <c r="I15" s="52">
        <v>98466</v>
      </c>
      <c r="J15" s="52">
        <v>1439575</v>
      </c>
      <c r="K15" s="53">
        <v>653665</v>
      </c>
      <c r="L15" s="52">
        <v>259791</v>
      </c>
      <c r="M15" s="52">
        <v>32016</v>
      </c>
      <c r="N15" s="52">
        <v>12358</v>
      </c>
      <c r="O15" s="53">
        <v>212084</v>
      </c>
    </row>
    <row r="16" ht="14.25" customHeight="1"/>
    <row r="17" ht="14.2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 t="s">
        <v>44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 t="s">
        <v>45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 t="s">
        <v>46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 t="s">
        <v>47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/>
    <row r="23" ht="14.25" customHeight="1">
      <c r="A23" s="1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="0" customFormat="1" ht="14.25" customHeight="1"/>
    <row r="34" s="0" customFormat="1" ht="14.25" customHeight="1"/>
    <row r="35" s="0" customFormat="1" ht="14.25" customHeight="1"/>
    <row r="36" s="0" customFormat="1" ht="14.25" customHeight="1"/>
    <row r="37" s="0" customFormat="1" ht="14.25" customHeight="1"/>
    <row r="38" s="0" customFormat="1" ht="14.25" customHeight="1"/>
    <row r="39" s="0" customFormat="1" ht="14.25" customHeight="1"/>
    <row r="40" s="0" customFormat="1" ht="14.25" customHeight="1"/>
    <row r="41" s="0" customFormat="1" ht="14.25" customHeight="1"/>
    <row r="42" s="0" customFormat="1" ht="14.25" customHeight="1"/>
    <row r="43" s="0" customFormat="1" ht="14.25" customHeight="1"/>
    <row r="44" s="0" customFormat="1" ht="14.25" customHeight="1"/>
    <row r="45" s="0" customFormat="1" ht="14.25" customHeight="1"/>
    <row r="46" s="0" customFormat="1" ht="14.25" customHeight="1"/>
    <row r="47" s="0" customFormat="1" ht="14.25" customHeight="1"/>
    <row r="48" s="0" customFormat="1" ht="14.25" customHeight="1"/>
    <row r="49" s="0" customFormat="1" ht="14.25" customHeight="1"/>
    <row r="50" s="0" customFormat="1" ht="14.25" customHeight="1"/>
    <row r="51" s="0" customFormat="1" ht="14.25" customHeight="1"/>
    <row r="52" s="0" customFormat="1" ht="14.25" customHeight="1"/>
    <row r="53" s="0" customFormat="1" ht="14.25" customHeight="1"/>
    <row r="54" s="0" customFormat="1" ht="14.25" customHeight="1"/>
    <row r="55" s="0" customFormat="1" ht="14.25" customHeight="1"/>
    <row r="56" s="0" customFormat="1" ht="14.25" customHeight="1"/>
    <row r="57" s="0" customFormat="1" ht="14.25" customHeight="1"/>
    <row r="58" s="0" customFormat="1" ht="14.25" customHeight="1"/>
    <row r="59" s="0" customFormat="1" ht="14.25" customHeight="1"/>
    <row r="60" s="0" customFormat="1" ht="14.25" customHeight="1"/>
    <row r="61" s="0" customFormat="1" ht="14.25" customHeight="1"/>
    <row r="62" s="0" customFormat="1" ht="14.25" customHeight="1"/>
    <row r="63" s="0" customFormat="1" ht="14.25" customHeight="1"/>
    <row r="64" s="0" customFormat="1" ht="14.25" customHeight="1"/>
    <row r="65" s="0" customFormat="1" ht="14.25" customHeight="1"/>
    <row r="66" s="0" customFormat="1" ht="14.25" customHeight="1"/>
    <row r="67" s="0" customFormat="1" ht="14.25" customHeight="1"/>
    <row r="68" s="0" customFormat="1" ht="14.25" customHeight="1"/>
    <row r="69" s="0" customFormat="1" ht="14.25" customHeight="1"/>
    <row r="70" s="0" customFormat="1" ht="14.25" customHeight="1"/>
    <row r="71" s="0" customFormat="1" ht="14.25" customHeight="1"/>
    <row r="72" s="0" customFormat="1" ht="14.25" customHeight="1"/>
    <row r="73" s="0" customFormat="1" ht="14.25" customHeight="1"/>
    <row r="74" s="0" customFormat="1" ht="14.25" customHeight="1"/>
    <row r="75" s="0" customFormat="1" ht="14.25" customHeight="1"/>
    <row r="76" s="0" customFormat="1" ht="14.25" customHeight="1"/>
    <row r="77" s="0" customFormat="1" ht="14.25" customHeight="1"/>
    <row r="78" s="0" customFormat="1" ht="14.25" customHeight="1"/>
    <row r="79" s="0" customFormat="1" ht="14.25" customHeight="1"/>
    <row r="80" s="0" customFormat="1" ht="14.25" customHeight="1"/>
    <row r="81" s="0" customFormat="1" ht="14.25" customHeight="1"/>
    <row r="82" s="0" customFormat="1" ht="14.25" customHeight="1"/>
    <row r="83" s="0" customFormat="1" ht="14.25" customHeight="1"/>
    <row r="84" s="0" customFormat="1" ht="14.25" customHeight="1"/>
    <row r="85" s="0" customFormat="1" ht="14.25" customHeight="1"/>
    <row r="86" s="0" customFormat="1" ht="14.25" customHeight="1"/>
    <row r="87" s="0" customFormat="1" ht="14.25" customHeight="1"/>
    <row r="88" s="0" customFormat="1" ht="14.25" customHeight="1"/>
    <row r="89" s="0" customFormat="1" ht="14.25" customHeight="1"/>
    <row r="90" s="0" customFormat="1" ht="14.25" customHeight="1"/>
    <row r="91" s="0" customFormat="1" ht="14.25" customHeight="1"/>
    <row r="92" s="0" customFormat="1" ht="14.25" customHeight="1"/>
    <row r="93" s="0" customFormat="1" ht="14.25" customHeight="1"/>
    <row r="94" s="0" customFormat="1" ht="14.25" customHeight="1"/>
    <row r="95" s="0" customFormat="1" ht="14.25" customHeight="1"/>
    <row r="96" s="0" customFormat="1" ht="14.25" customHeight="1"/>
    <row r="97" s="0" customFormat="1" ht="14.25" customHeight="1"/>
    <row r="98" s="0" customFormat="1" ht="14.25" customHeight="1"/>
    <row r="99" s="0" customFormat="1" ht="14.25" customHeight="1"/>
    <row r="100" s="0" customFormat="1" ht="14.25" customHeight="1"/>
    <row r="101" s="0" customFormat="1" ht="14.25" customHeight="1"/>
    <row r="102" s="0" customFormat="1" ht="14.25" customHeight="1"/>
    <row r="103" s="0" customFormat="1" ht="14.25" customHeight="1"/>
    <row r="104" s="0" customFormat="1" ht="14.25" customHeight="1"/>
    <row r="105" s="0" customFormat="1" ht="14.25" customHeight="1"/>
    <row r="106" s="0" customFormat="1" ht="14.25" customHeight="1"/>
    <row r="107" s="0" customFormat="1" ht="14.25" customHeight="1"/>
    <row r="108" s="0" customFormat="1" ht="14.25" customHeight="1"/>
    <row r="109" s="0" customFormat="1" ht="14.25" customHeight="1"/>
    <row r="110" s="0" customFormat="1" ht="14.25" customHeight="1"/>
    <row r="111" s="0" customFormat="1" ht="14.25" customHeight="1"/>
    <row r="112" s="0" customFormat="1" ht="14.25" customHeight="1"/>
    <row r="113" s="0" customFormat="1" ht="14.25" customHeight="1"/>
    <row r="114" s="0" customFormat="1" ht="14.25" customHeight="1"/>
    <row r="115" s="0" customFormat="1" ht="14.25" customHeight="1"/>
    <row r="116" s="0" customFormat="1" ht="14.25" customHeight="1"/>
    <row r="117" s="0" customFormat="1" ht="14.25" customHeight="1"/>
    <row r="118" s="0" customFormat="1" ht="14.25" customHeight="1"/>
    <row r="119" s="0" customFormat="1" ht="14.25" customHeight="1"/>
    <row r="120" s="0" customFormat="1" ht="14.25" customHeight="1"/>
    <row r="121" s="0" customFormat="1" ht="14.25" customHeight="1"/>
    <row r="122" s="0" customFormat="1" ht="14.25" customHeight="1"/>
    <row r="123" s="0" customFormat="1" ht="14.25" customHeight="1"/>
    <row r="124" s="0" customFormat="1" ht="14.25" customHeight="1"/>
    <row r="125" s="0" customFormat="1" ht="14.25" customHeight="1"/>
    <row r="126" s="0" customFormat="1" ht="14.25" customHeight="1"/>
    <row r="127" s="0" customFormat="1" ht="14.25" customHeight="1"/>
    <row r="128" s="0" customFormat="1" ht="14.25" customHeight="1"/>
    <row r="129" s="0" customFormat="1" ht="14.25" customHeight="1"/>
    <row r="130" s="0" customFormat="1" ht="14.25" customHeight="1"/>
    <row r="131" s="0" customFormat="1" ht="14.25" customHeight="1"/>
    <row r="132" s="0" customFormat="1" ht="14.25" customHeight="1"/>
    <row r="133" s="0" customFormat="1" ht="14.25" customHeight="1"/>
    <row r="134" s="0" customFormat="1" ht="14.25" customHeight="1"/>
    <row r="135" s="0" customFormat="1" ht="14.25" customHeight="1"/>
    <row r="136" s="0" customFormat="1" ht="14.25" customHeight="1"/>
    <row r="137" s="0" customFormat="1" ht="14.25" customHeight="1"/>
    <row r="138" s="0" customFormat="1" ht="14.25" customHeight="1"/>
    <row r="139" s="0" customFormat="1" ht="14.25" customHeight="1"/>
    <row r="140" s="0" customFormat="1" ht="14.25" customHeight="1"/>
    <row r="141" s="0" customFormat="1" ht="14.25" customHeight="1"/>
    <row r="142" s="0" customFormat="1" ht="14.25" customHeight="1"/>
    <row r="143" s="0" customFormat="1" ht="14.25" customHeight="1"/>
    <row r="144" s="0" customFormat="1" ht="14.25" customHeight="1"/>
    <row r="145" s="0" customFormat="1" ht="14.25" customHeight="1"/>
    <row r="146" s="0" customFormat="1" ht="14.25" customHeight="1"/>
    <row r="147" s="0" customFormat="1" ht="14.25" customHeight="1"/>
    <row r="148" s="0" customFormat="1" ht="14.25" customHeight="1"/>
    <row r="149" s="0" customFormat="1" ht="14.25" customHeight="1"/>
    <row r="150" s="0" customFormat="1" ht="14.25" customHeight="1"/>
    <row r="151" s="0" customFormat="1" ht="14.25" customHeight="1"/>
    <row r="152" s="0" customFormat="1" ht="14.25" customHeight="1"/>
    <row r="153" s="0" customFormat="1" ht="14.25" customHeight="1"/>
    <row r="154" s="0" customFormat="1" ht="14.25" customHeight="1"/>
    <row r="155" s="0" customFormat="1" ht="14.25" customHeight="1"/>
    <row r="156" s="0" customFormat="1" ht="14.25" customHeight="1"/>
    <row r="157" s="0" customFormat="1" ht="14.25" customHeight="1"/>
    <row r="158" s="0" customFormat="1" ht="14.25" customHeight="1"/>
    <row r="159" s="0" customFormat="1" ht="14.25" customHeight="1"/>
    <row r="160" s="0" customFormat="1" ht="14.25" customHeight="1"/>
    <row r="161" s="0" customFormat="1" ht="14.25" customHeight="1"/>
    <row r="162" s="0" customFormat="1" ht="14.25" customHeight="1"/>
    <row r="163" s="0" customFormat="1" ht="14.25" customHeight="1"/>
    <row r="164" s="0" customFormat="1" ht="14.25" customHeight="1"/>
    <row r="165" s="0" customFormat="1" ht="14.25" customHeight="1"/>
    <row r="166" s="0" customFormat="1" ht="14.25" customHeight="1"/>
    <row r="167" s="0" customFormat="1" ht="14.25" customHeight="1"/>
    <row r="168" s="0" customFormat="1" ht="14.25" customHeight="1"/>
    <row r="169" s="0" customFormat="1" ht="14.25" customHeight="1"/>
    <row r="170" s="0" customFormat="1" ht="14.25" customHeight="1"/>
    <row r="171" s="0" customFormat="1" ht="14.25" customHeight="1"/>
    <row r="172" s="0" customFormat="1" ht="14.25" customHeight="1"/>
    <row r="173" s="0" customFormat="1" ht="14.25" customHeight="1"/>
    <row r="174" s="0" customFormat="1" ht="14.25" customHeight="1"/>
    <row r="175" s="0" customFormat="1" ht="14.25" customHeight="1"/>
    <row r="176" s="0" customFormat="1" ht="14.25" customHeight="1"/>
    <row r="177" s="0" customFormat="1" ht="14.25" customHeight="1"/>
    <row r="178" s="0" customFormat="1" ht="14.25" customHeight="1"/>
    <row r="179" s="0" customFormat="1" ht="14.25" customHeight="1"/>
    <row r="180" s="0" customFormat="1" ht="14.25" customHeight="1"/>
    <row r="181" s="0" customFormat="1" ht="14.25" customHeight="1"/>
    <row r="182" s="0" customFormat="1" ht="14.25" customHeight="1"/>
    <row r="183" s="0" customFormat="1" ht="14.25" customHeight="1"/>
    <row r="184" s="0" customFormat="1" ht="14.25" customHeight="1"/>
    <row r="185" s="0" customFormat="1" ht="14.25" customHeight="1"/>
    <row r="186" s="0" customFormat="1" ht="14.25" customHeight="1"/>
    <row r="187" s="0" customFormat="1" ht="14.25" customHeight="1"/>
    <row r="188" s="0" customFormat="1" ht="14.25" customHeight="1"/>
    <row r="189" s="0" customFormat="1" ht="14.25" customHeight="1"/>
    <row r="190" s="0" customFormat="1" ht="14.25" customHeight="1"/>
    <row r="191" s="0" customFormat="1" ht="14.25" customHeight="1"/>
    <row r="192" s="0" customFormat="1" ht="14.25" customHeight="1"/>
    <row r="193" s="0" customFormat="1" ht="14.25" customHeight="1"/>
    <row r="194" s="0" customFormat="1" ht="14.25" customHeight="1"/>
    <row r="195" s="0" customFormat="1" ht="14.25" customHeight="1"/>
    <row r="196" s="0" customFormat="1" ht="14.25" customHeight="1"/>
    <row r="197" s="0" customFormat="1" ht="14.25" customHeight="1"/>
    <row r="198" s="0" customFormat="1" ht="14.25" customHeight="1"/>
    <row r="199" s="0" customFormat="1" ht="14.25" customHeight="1"/>
    <row r="200" s="0" customFormat="1" ht="14.25" customHeight="1"/>
    <row r="201" s="0" customFormat="1" ht="14.25" customHeight="1"/>
    <row r="202" s="0" customFormat="1" ht="14.25" customHeight="1"/>
    <row r="203" s="0" customFormat="1" ht="14.25" customHeight="1"/>
    <row r="204" s="0" customFormat="1" ht="14.25" customHeight="1"/>
    <row r="205" s="0" customFormat="1" ht="14.25" customHeight="1"/>
    <row r="206" s="0" customFormat="1" ht="14.25" customHeight="1"/>
    <row r="207" s="0" customFormat="1" ht="14.25" customHeight="1"/>
    <row r="208" s="0" customFormat="1" ht="14.25" customHeight="1"/>
    <row r="209" s="0" customFormat="1" ht="14.25" customHeight="1"/>
    <row r="210" s="0" customFormat="1" ht="14.25" customHeight="1"/>
    <row r="211" s="0" customFormat="1" ht="14.25" customHeight="1"/>
    <row r="212" s="0" customFormat="1" ht="14.25" customHeight="1"/>
    <row r="213" s="0" customFormat="1" ht="14.25" customHeight="1"/>
    <row r="214" s="0" customFormat="1" ht="14.25" customHeight="1"/>
    <row r="215" s="0" customFormat="1" ht="14.25" customHeight="1"/>
    <row r="216" s="0" customFormat="1" ht="14.25" customHeight="1"/>
    <row r="217" s="0" customFormat="1" ht="14.25" customHeight="1"/>
    <row r="218" s="0" customFormat="1" ht="14.25" customHeight="1"/>
    <row r="219" s="0" customFormat="1" ht="14.25" customHeight="1"/>
    <row r="220" s="0" customFormat="1" ht="14.25" customHeight="1"/>
    <row r="221" s="0" customFormat="1" ht="14.25" customHeight="1"/>
    <row r="222" s="0" customFormat="1" ht="15.75" customHeight="1"/>
    <row r="223" s="0" customFormat="1" ht="15.75" customHeight="1"/>
    <row r="224" s="0" customFormat="1" ht="15.75" customHeight="1"/>
    <row r="225" s="0" customFormat="1" ht="15.75" customHeight="1"/>
    <row r="226" s="0" customFormat="1" ht="15.75" customHeight="1"/>
    <row r="227" s="0" customFormat="1" ht="15.75" customHeight="1"/>
    <row r="228" s="0" customFormat="1" ht="15.75" customHeight="1"/>
    <row r="229" s="0" customFormat="1" ht="15.75" customHeight="1"/>
    <row r="230" s="0" customFormat="1" ht="15.75" customHeight="1"/>
    <row r="231" s="0" customFormat="1" ht="15.75" customHeight="1"/>
    <row r="232" s="0" customFormat="1" ht="15.75" customHeight="1"/>
    <row r="233" s="0" customFormat="1" ht="15.75" customHeight="1"/>
    <row r="234" s="0" customFormat="1" ht="15.75" customHeight="1"/>
    <row r="235" s="0" customFormat="1" ht="15.75" customHeight="1"/>
    <row r="236" s="0" customFormat="1" ht="15.75" customHeight="1"/>
    <row r="237" s="0" customFormat="1" ht="15.75" customHeight="1"/>
    <row r="238" s="0" customFormat="1" ht="15.75" customHeight="1"/>
    <row r="239" s="0" customFormat="1" ht="15.75" customHeight="1"/>
    <row r="240" s="0" customFormat="1" ht="15.75" customHeight="1"/>
    <row r="241" s="0" customFormat="1" ht="15.75" customHeight="1"/>
    <row r="242" s="0" customFormat="1" ht="15.75" customHeight="1"/>
    <row r="243" s="0" customFormat="1" ht="15.75" customHeight="1"/>
    <row r="244" s="0" customFormat="1" ht="15.75" customHeight="1"/>
    <row r="245" s="0" customFormat="1" ht="15.75" customHeight="1"/>
    <row r="246" s="0" customFormat="1" ht="15.75" customHeight="1"/>
    <row r="247" s="0" customFormat="1" ht="15.75" customHeight="1"/>
    <row r="248" s="0" customFormat="1" ht="15.75" customHeight="1"/>
    <row r="249" s="0" customFormat="1" ht="15.75" customHeight="1"/>
    <row r="250" s="0" customFormat="1" ht="15.75" customHeight="1"/>
    <row r="251" s="0" customFormat="1" ht="15.75" customHeight="1"/>
    <row r="252" s="0" customFormat="1" ht="15.75" customHeight="1"/>
    <row r="253" s="0" customFormat="1" ht="15.75" customHeight="1"/>
    <row r="254" s="0" customFormat="1" ht="15.75" customHeight="1"/>
    <row r="255" s="0" customFormat="1" ht="15.75" customHeight="1"/>
    <row r="256" s="0" customFormat="1" ht="15.75" customHeight="1"/>
    <row r="257" s="0" customFormat="1" ht="15.75" customHeight="1"/>
    <row r="258" s="0" customFormat="1" ht="15.75" customHeight="1"/>
    <row r="259" s="0" customFormat="1" ht="15.75" customHeight="1"/>
    <row r="260" s="0" customFormat="1" ht="15.75" customHeight="1"/>
    <row r="261" s="0" customFormat="1" ht="15.75" customHeight="1"/>
    <row r="262" s="0" customFormat="1" ht="15.75" customHeight="1"/>
    <row r="263" s="0" customFormat="1" ht="15.75" customHeight="1"/>
    <row r="264" s="0" customFormat="1" ht="15.75" customHeight="1"/>
    <row r="265" s="0" customFormat="1" ht="15.75" customHeight="1"/>
    <row r="266" s="0" customFormat="1" ht="15.75" customHeight="1"/>
    <row r="267" s="0" customFormat="1" ht="15.75" customHeight="1"/>
    <row r="268" s="0" customFormat="1" ht="15.75" customHeight="1"/>
    <row r="269" s="0" customFormat="1" ht="15.75" customHeight="1"/>
    <row r="270" s="0" customFormat="1" ht="15.75" customHeight="1"/>
    <row r="271" s="0" customFormat="1" ht="15.75" customHeight="1"/>
    <row r="272" s="0" customFormat="1" ht="15.75" customHeight="1"/>
    <row r="273" s="0" customFormat="1" ht="15.75" customHeight="1"/>
    <row r="274" s="0" customFormat="1" ht="15.75" customHeight="1"/>
    <row r="275" s="0" customFormat="1" ht="15.75" customHeight="1"/>
    <row r="276" s="0" customFormat="1" ht="15.75" customHeight="1"/>
    <row r="277" s="0" customFormat="1" ht="15.75" customHeight="1"/>
    <row r="278" s="0" customFormat="1" ht="15.75" customHeight="1"/>
    <row r="279" s="0" customFormat="1" ht="15.75" customHeight="1"/>
    <row r="280" s="0" customFormat="1" ht="15.75" customHeight="1"/>
    <row r="281" s="0" customFormat="1" ht="15.75" customHeight="1"/>
    <row r="282" s="0" customFormat="1" ht="15.75" customHeight="1"/>
    <row r="283" s="0" customFormat="1" ht="15.75" customHeight="1"/>
    <row r="284" s="0" customFormat="1" ht="15.75" customHeight="1"/>
    <row r="285" s="0" customFormat="1" ht="15.75" customHeight="1"/>
    <row r="286" s="0" customFormat="1" ht="15.75" customHeight="1"/>
    <row r="287" s="0" customFormat="1" ht="15.75" customHeight="1"/>
    <row r="288" s="0" customFormat="1" ht="15.75" customHeight="1"/>
    <row r="289" s="0" customFormat="1" ht="15.75" customHeight="1"/>
    <row r="290" s="0" customFormat="1" ht="15.75" customHeight="1"/>
    <row r="291" s="0" customFormat="1" ht="15.75" customHeight="1"/>
    <row r="292" s="0" customFormat="1" ht="15.75" customHeight="1"/>
    <row r="293" s="0" customFormat="1" ht="15.75" customHeight="1"/>
    <row r="294" s="0" customFormat="1" ht="15.75" customHeight="1"/>
    <row r="295" s="0" customFormat="1" ht="15.75" customHeight="1"/>
    <row r="296" s="0" customFormat="1" ht="15.75" customHeight="1"/>
    <row r="297" s="0" customFormat="1" ht="15.75" customHeight="1"/>
    <row r="298" s="0" customFormat="1" ht="15.75" customHeight="1"/>
    <row r="299" s="0" customFormat="1" ht="15.75" customHeight="1"/>
    <row r="300" s="0" customFormat="1" ht="15.75" customHeight="1"/>
    <row r="301" s="0" customFormat="1" ht="15.75" customHeight="1"/>
    <row r="302" s="0" customFormat="1" ht="15.75" customHeight="1"/>
    <row r="303" s="0" customFormat="1" ht="15.75" customHeight="1"/>
    <row r="304" s="0" customFormat="1" ht="15.75" customHeight="1"/>
    <row r="305" s="0" customFormat="1" ht="15.75" customHeight="1"/>
    <row r="306" s="0" customFormat="1" ht="15.75" customHeight="1"/>
    <row r="307" s="0" customFormat="1" ht="15.75" customHeight="1"/>
    <row r="308" s="0" customFormat="1" ht="15.75" customHeight="1"/>
    <row r="309" s="0" customFormat="1" ht="15.75" customHeight="1"/>
    <row r="310" s="0" customFormat="1" ht="15.75" customHeight="1"/>
    <row r="311" s="0" customFormat="1" ht="15.75" customHeight="1"/>
    <row r="312" s="0" customFormat="1" ht="15.75" customHeight="1"/>
    <row r="313" s="0" customFormat="1" ht="15.75" customHeight="1"/>
    <row r="314" s="0" customFormat="1" ht="15.75" customHeight="1"/>
    <row r="315" s="0" customFormat="1" ht="15.75" customHeight="1"/>
    <row r="316" s="0" customFormat="1" ht="15.75" customHeight="1"/>
    <row r="317" s="0" customFormat="1" ht="15.75" customHeight="1"/>
    <row r="318" s="0" customFormat="1" ht="15.75" customHeight="1"/>
    <row r="319" s="0" customFormat="1" ht="15.75" customHeight="1"/>
    <row r="320" s="0" customFormat="1" ht="15.75" customHeight="1"/>
    <row r="321" s="0" customFormat="1" ht="15.75" customHeight="1"/>
    <row r="322" s="0" customFormat="1" ht="15.75" customHeight="1"/>
    <row r="323" s="0" customFormat="1" ht="15.75" customHeight="1"/>
    <row r="324" s="0" customFormat="1" ht="15.75" customHeight="1"/>
    <row r="325" s="0" customFormat="1" ht="15.75" customHeight="1"/>
    <row r="326" s="0" customFormat="1" ht="15.75" customHeight="1"/>
    <row r="327" s="0" customFormat="1" ht="15.75" customHeight="1"/>
    <row r="328" s="0" customFormat="1" ht="15.75" customHeight="1"/>
    <row r="329" s="0" customFormat="1" ht="15.75" customHeight="1"/>
    <row r="330" s="0" customFormat="1" ht="15.75" customHeight="1"/>
    <row r="331" s="0" customFormat="1" ht="15.75" customHeight="1"/>
    <row r="332" s="0" customFormat="1" ht="15.75" customHeight="1"/>
    <row r="333" s="0" customFormat="1" ht="15.75" customHeight="1"/>
    <row r="334" s="0" customFormat="1" ht="15.75" customHeight="1"/>
    <row r="335" s="0" customFormat="1" ht="15.75" customHeight="1"/>
    <row r="336" s="0" customFormat="1" ht="15.75" customHeight="1"/>
    <row r="337" s="0" customFormat="1" ht="15.75" customHeight="1"/>
    <row r="338" s="0" customFormat="1" ht="15.75" customHeight="1"/>
    <row r="339" s="0" customFormat="1" ht="15.75" customHeight="1"/>
    <row r="340" s="0" customFormat="1" ht="15.75" customHeight="1"/>
    <row r="341" s="0" customFormat="1" ht="15.75" customHeight="1"/>
    <row r="342" s="0" customFormat="1" ht="15.75" customHeight="1"/>
    <row r="343" s="0" customFormat="1" ht="15.75" customHeight="1"/>
    <row r="344" s="0" customFormat="1" ht="15.75" customHeight="1"/>
    <row r="345" s="0" customFormat="1" ht="15.75" customHeight="1"/>
    <row r="346" s="0" customFormat="1" ht="15.75" customHeight="1"/>
    <row r="347" s="0" customFormat="1" ht="15.75" customHeight="1"/>
    <row r="348" s="0" customFormat="1" ht="15.75" customHeight="1"/>
    <row r="349" s="0" customFormat="1" ht="15.75" customHeight="1"/>
    <row r="350" s="0" customFormat="1" ht="15.75" customHeight="1"/>
    <row r="351" s="0" customFormat="1" ht="15.75" customHeight="1"/>
    <row r="352" s="0" customFormat="1" ht="15.75" customHeight="1"/>
    <row r="353" s="0" customFormat="1" ht="15.75" customHeight="1"/>
    <row r="354" s="0" customFormat="1" ht="15.75" customHeight="1"/>
    <row r="355" s="0" customFormat="1" ht="15.75" customHeight="1"/>
    <row r="356" s="0" customFormat="1" ht="15.75" customHeight="1"/>
    <row r="357" s="0" customFormat="1" ht="15.75" customHeight="1"/>
    <row r="358" s="0" customFormat="1" ht="15.75" customHeight="1"/>
    <row r="359" s="0" customFormat="1" ht="15.75" customHeight="1"/>
    <row r="360" s="0" customFormat="1" ht="15.75" customHeight="1"/>
    <row r="361" s="0" customFormat="1" ht="15.75" customHeight="1"/>
    <row r="362" s="0" customFormat="1" ht="15.75" customHeight="1"/>
    <row r="363" s="0" customFormat="1" ht="15.75" customHeight="1"/>
    <row r="364" s="0" customFormat="1" ht="15.75" customHeight="1"/>
    <row r="365" s="0" customFormat="1" ht="15.75" customHeight="1"/>
    <row r="366" s="0" customFormat="1" ht="15.75" customHeight="1"/>
    <row r="367" s="0" customFormat="1" ht="15.75" customHeight="1"/>
    <row r="368" s="0" customFormat="1" ht="15.75" customHeight="1"/>
    <row r="369" s="0" customFormat="1" ht="15.75" customHeight="1"/>
    <row r="370" s="0" customFormat="1" ht="15.75" customHeight="1"/>
    <row r="371" s="0" customFormat="1" ht="15.75" customHeight="1"/>
    <row r="372" s="0" customFormat="1" ht="15.75" customHeight="1"/>
    <row r="373" s="0" customFormat="1" ht="15.75" customHeight="1"/>
    <row r="374" s="0" customFormat="1" ht="15.75" customHeight="1"/>
    <row r="375" s="0" customFormat="1" ht="15.75" customHeight="1"/>
    <row r="376" s="0" customFormat="1" ht="15.75" customHeight="1"/>
    <row r="377" s="0" customFormat="1" ht="15.75" customHeight="1"/>
    <row r="378" s="0" customFormat="1" ht="15.75" customHeight="1"/>
    <row r="379" s="0" customFormat="1" ht="15.75" customHeight="1"/>
    <row r="380" s="0" customFormat="1" ht="15.75" customHeight="1"/>
    <row r="381" s="0" customFormat="1" ht="15.75" customHeight="1"/>
    <row r="382" s="0" customFormat="1" ht="15.75" customHeight="1"/>
    <row r="383" s="0" customFormat="1" ht="15.75" customHeight="1"/>
    <row r="384" s="0" customFormat="1" ht="15.75" customHeight="1"/>
    <row r="385" s="0" customFormat="1" ht="15.75" customHeight="1"/>
    <row r="386" s="0" customFormat="1" ht="15.75" customHeight="1"/>
    <row r="387" s="0" customFormat="1" ht="15.75" customHeight="1"/>
    <row r="388" s="0" customFormat="1" ht="15.75" customHeight="1"/>
    <row r="389" s="0" customFormat="1" ht="15.75" customHeight="1"/>
    <row r="390" s="0" customFormat="1" ht="15.75" customHeight="1"/>
    <row r="391" s="0" customFormat="1" ht="15.75" customHeight="1"/>
    <row r="392" s="0" customFormat="1" ht="15.75" customHeight="1"/>
    <row r="393" s="0" customFormat="1" ht="15.75" customHeight="1"/>
    <row r="394" s="0" customFormat="1" ht="15.75" customHeight="1"/>
    <row r="395" s="0" customFormat="1" ht="15.75" customHeight="1"/>
    <row r="396" s="0" customFormat="1" ht="15.75" customHeight="1"/>
    <row r="397" s="0" customFormat="1" ht="15.75" customHeight="1"/>
    <row r="398" s="0" customFormat="1" ht="15.75" customHeight="1"/>
    <row r="399" s="0" customFormat="1" ht="15.75" customHeight="1"/>
    <row r="400" s="0" customFormat="1" ht="15.75" customHeight="1"/>
    <row r="401" s="0" customFormat="1" ht="15.75" customHeight="1"/>
    <row r="402" s="0" customFormat="1" ht="15.75" customHeight="1"/>
    <row r="403" s="0" customFormat="1" ht="15.75" customHeight="1"/>
    <row r="404" s="0" customFormat="1" ht="15.75" customHeight="1"/>
    <row r="405" s="0" customFormat="1" ht="15.75" customHeight="1"/>
    <row r="406" s="0" customFormat="1" ht="15.75" customHeight="1"/>
    <row r="407" s="0" customFormat="1" ht="15.75" customHeight="1"/>
    <row r="408" s="0" customFormat="1" ht="15.75" customHeight="1"/>
    <row r="409" s="0" customFormat="1" ht="15.75" customHeight="1"/>
    <row r="410" s="0" customFormat="1" ht="15.75" customHeight="1"/>
    <row r="411" s="0" customFormat="1" ht="15.75" customHeight="1"/>
    <row r="412" s="0" customFormat="1" ht="15.75" customHeight="1"/>
    <row r="413" s="0" customFormat="1" ht="15.75" customHeight="1"/>
    <row r="414" s="0" customFormat="1" ht="15.75" customHeight="1"/>
    <row r="415" s="0" customFormat="1" ht="15.75" customHeight="1"/>
    <row r="416" s="0" customFormat="1" ht="15.75" customHeight="1"/>
    <row r="417" s="0" customFormat="1" ht="15.75" customHeight="1"/>
    <row r="418" s="0" customFormat="1" ht="15.75" customHeight="1"/>
    <row r="419" s="0" customFormat="1" ht="15.75" customHeight="1"/>
    <row r="420" s="0" customFormat="1" ht="15.75" customHeight="1"/>
    <row r="421" s="0" customFormat="1" ht="15.75" customHeight="1"/>
    <row r="422" s="0" customFormat="1" ht="15.75" customHeight="1"/>
    <row r="423" s="0" customFormat="1" ht="15.75" customHeight="1"/>
    <row r="424" s="0" customFormat="1" ht="15.75" customHeight="1"/>
    <row r="425" s="0" customFormat="1" ht="15.75" customHeight="1"/>
    <row r="426" s="0" customFormat="1" ht="15.75" customHeight="1"/>
    <row r="427" s="0" customFormat="1" ht="15.75" customHeight="1"/>
    <row r="428" s="0" customFormat="1" ht="15.75" customHeight="1"/>
    <row r="429" s="0" customFormat="1" ht="15.75" customHeight="1"/>
    <row r="430" s="0" customFormat="1" ht="15.75" customHeight="1"/>
    <row r="431" s="0" customFormat="1" ht="15.75" customHeight="1"/>
    <row r="432" s="0" customFormat="1" ht="15.75" customHeight="1"/>
    <row r="433" s="0" customFormat="1" ht="15.75" customHeight="1"/>
    <row r="434" s="0" customFormat="1" ht="15.75" customHeight="1"/>
    <row r="435" s="0" customFormat="1" ht="15.75" customHeight="1"/>
    <row r="436" s="0" customFormat="1" ht="15.75" customHeight="1"/>
    <row r="437" s="0" customFormat="1" ht="15.75" customHeight="1"/>
    <row r="438" s="0" customFormat="1" ht="15.75" customHeight="1"/>
    <row r="439" s="0" customFormat="1" ht="15.75" customHeight="1"/>
    <row r="440" s="0" customFormat="1" ht="15.75" customHeight="1"/>
    <row r="441" s="0" customFormat="1" ht="15.75" customHeight="1"/>
    <row r="442" s="0" customFormat="1" ht="15.75" customHeight="1"/>
    <row r="443" s="0" customFormat="1" ht="15.75" customHeight="1"/>
    <row r="444" s="0" customFormat="1" ht="15.75" customHeight="1"/>
    <row r="445" s="0" customFormat="1" ht="15.75" customHeight="1"/>
    <row r="446" s="0" customFormat="1" ht="15.75" customHeight="1"/>
    <row r="447" s="0" customFormat="1" ht="15.75" customHeight="1"/>
    <row r="448" s="0" customFormat="1" ht="15.75" customHeight="1"/>
    <row r="449" s="0" customFormat="1" ht="15.75" customHeight="1"/>
    <row r="450" s="0" customFormat="1" ht="15.75" customHeight="1"/>
    <row r="451" s="0" customFormat="1" ht="15.75" customHeight="1"/>
    <row r="452" s="0" customFormat="1" ht="15.75" customHeight="1"/>
    <row r="453" s="0" customFormat="1" ht="15.75" customHeight="1"/>
    <row r="454" s="0" customFormat="1" ht="15.75" customHeight="1"/>
    <row r="455" s="0" customFormat="1" ht="15.75" customHeight="1"/>
    <row r="456" s="0" customFormat="1" ht="15.75" customHeight="1"/>
    <row r="457" s="0" customFormat="1" ht="15.75" customHeight="1"/>
    <row r="458" s="0" customFormat="1" ht="15.75" customHeight="1"/>
    <row r="459" s="0" customFormat="1" ht="15.75" customHeight="1"/>
    <row r="460" s="0" customFormat="1" ht="15.75" customHeight="1"/>
    <row r="461" s="0" customFormat="1" ht="15.75" customHeight="1"/>
    <row r="462" s="0" customFormat="1" ht="15.75" customHeight="1"/>
    <row r="463" s="0" customFormat="1" ht="15.75" customHeight="1"/>
    <row r="464" s="0" customFormat="1" ht="15.75" customHeight="1"/>
    <row r="465" s="0" customFormat="1" ht="15.75" customHeight="1"/>
    <row r="466" s="0" customFormat="1" ht="15.75" customHeight="1"/>
    <row r="467" s="0" customFormat="1" ht="15.75" customHeight="1"/>
    <row r="468" s="0" customFormat="1" ht="15.75" customHeight="1"/>
    <row r="469" s="0" customFormat="1" ht="15.75" customHeight="1"/>
    <row r="470" s="0" customFormat="1" ht="15.75" customHeight="1"/>
    <row r="471" s="0" customFormat="1" ht="15.75" customHeight="1"/>
    <row r="472" s="0" customFormat="1" ht="15.75" customHeight="1"/>
    <row r="473" s="0" customFormat="1" ht="15.75" customHeight="1"/>
    <row r="474" s="0" customFormat="1" ht="15.75" customHeight="1"/>
    <row r="475" s="0" customFormat="1" ht="15.75" customHeight="1"/>
    <row r="476" s="0" customFormat="1" ht="15.75" customHeight="1"/>
    <row r="477" s="0" customFormat="1" ht="15.75" customHeight="1"/>
    <row r="478" s="0" customFormat="1" ht="15.75" customHeight="1"/>
    <row r="479" s="0" customFormat="1" ht="15.75" customHeight="1"/>
    <row r="480" s="0" customFormat="1" ht="15.75" customHeight="1"/>
    <row r="481" s="0" customFormat="1" ht="15.75" customHeight="1"/>
    <row r="482" s="0" customFormat="1" ht="15.75" customHeight="1"/>
    <row r="483" s="0" customFormat="1" ht="15.75" customHeight="1"/>
    <row r="484" s="0" customFormat="1" ht="15.75" customHeight="1"/>
    <row r="485" s="0" customFormat="1" ht="15.75" customHeight="1"/>
    <row r="486" s="0" customFormat="1" ht="15.75" customHeight="1"/>
    <row r="487" s="0" customFormat="1" ht="15.75" customHeight="1"/>
    <row r="488" s="0" customFormat="1" ht="15.75" customHeight="1"/>
    <row r="489" s="0" customFormat="1" ht="15.75" customHeight="1"/>
    <row r="490" s="0" customFormat="1" ht="15.75" customHeight="1"/>
    <row r="491" s="0" customFormat="1" ht="15.75" customHeight="1"/>
    <row r="492" s="0" customFormat="1" ht="15.75" customHeight="1"/>
    <row r="493" s="0" customFormat="1" ht="15.75" customHeight="1"/>
    <row r="494" s="0" customFormat="1" ht="15.75" customHeight="1"/>
    <row r="495" s="0" customFormat="1" ht="15.75" customHeight="1"/>
    <row r="496" s="0" customFormat="1" ht="15.75" customHeight="1"/>
    <row r="497" s="0" customFormat="1" ht="15.75" customHeight="1"/>
    <row r="498" s="0" customFormat="1" ht="15.75" customHeight="1"/>
    <row r="499" s="0" customFormat="1" ht="15.75" customHeight="1"/>
    <row r="500" s="0" customFormat="1" ht="15.75" customHeight="1"/>
    <row r="501" s="0" customFormat="1" ht="15.75" customHeight="1"/>
    <row r="502" s="0" customFormat="1" ht="15.75" customHeight="1"/>
    <row r="503" s="0" customFormat="1" ht="15.75" customHeight="1"/>
    <row r="504" s="0" customFormat="1" ht="15.75" customHeight="1"/>
    <row r="505" s="0" customFormat="1" ht="15.75" customHeight="1"/>
    <row r="506" s="0" customFormat="1" ht="15.75" customHeight="1"/>
    <row r="507" s="0" customFormat="1" ht="15.75" customHeight="1"/>
    <row r="508" s="0" customFormat="1" ht="15.75" customHeight="1"/>
    <row r="509" s="0" customFormat="1" ht="15.75" customHeight="1"/>
    <row r="510" s="0" customFormat="1" ht="15.75" customHeight="1"/>
    <row r="511" s="0" customFormat="1" ht="15.75" customHeight="1"/>
    <row r="512" s="0" customFormat="1" ht="15.75" customHeight="1"/>
    <row r="513" s="0" customFormat="1" ht="15.75" customHeight="1"/>
    <row r="514" s="0" customFormat="1" ht="15.75" customHeight="1"/>
    <row r="515" s="0" customFormat="1" ht="15.75" customHeight="1"/>
    <row r="516" s="0" customFormat="1" ht="15.75" customHeight="1"/>
    <row r="517" s="0" customFormat="1" ht="15.75" customHeight="1"/>
    <row r="518" s="0" customFormat="1" ht="15.75" customHeight="1"/>
    <row r="519" s="0" customFormat="1" ht="15.75" customHeight="1"/>
    <row r="520" s="0" customFormat="1" ht="15.75" customHeight="1"/>
    <row r="521" s="0" customFormat="1" ht="15.75" customHeight="1"/>
    <row r="522" s="0" customFormat="1" ht="15.75" customHeight="1"/>
    <row r="523" s="0" customFormat="1" ht="15.75" customHeight="1"/>
    <row r="524" s="0" customFormat="1" ht="15.75" customHeight="1"/>
    <row r="525" s="0" customFormat="1" ht="15.75" customHeight="1"/>
    <row r="526" s="0" customFormat="1" ht="15.75" customHeight="1"/>
    <row r="527" s="0" customFormat="1" ht="15.75" customHeight="1"/>
    <row r="528" s="0" customFormat="1" ht="15.75" customHeight="1"/>
    <row r="529" s="0" customFormat="1" ht="15.75" customHeight="1"/>
    <row r="530" s="0" customFormat="1" ht="15.75" customHeight="1"/>
    <row r="531" s="0" customFormat="1" ht="15.75" customHeight="1"/>
    <row r="532" s="0" customFormat="1" ht="15.75" customHeight="1"/>
    <row r="533" s="0" customFormat="1" ht="15.75" customHeight="1"/>
    <row r="534" s="0" customFormat="1" ht="15.75" customHeight="1"/>
    <row r="535" s="0" customFormat="1" ht="15.75" customHeight="1"/>
    <row r="536" s="0" customFormat="1" ht="15.75" customHeight="1"/>
    <row r="537" s="0" customFormat="1" ht="15.75" customHeight="1"/>
    <row r="538" s="0" customFormat="1" ht="15.75" customHeight="1"/>
    <row r="539" s="0" customFormat="1" ht="15.75" customHeight="1"/>
    <row r="540" s="0" customFormat="1" ht="15.75" customHeight="1"/>
    <row r="541" s="0" customFormat="1" ht="15.75" customHeight="1"/>
    <row r="542" s="0" customFormat="1" ht="15.75" customHeight="1"/>
    <row r="543" s="0" customFormat="1" ht="15.75" customHeight="1"/>
    <row r="544" s="0" customFormat="1" ht="15.75" customHeight="1"/>
    <row r="545" s="0" customFormat="1" ht="15.75" customHeight="1"/>
    <row r="546" s="0" customFormat="1" ht="15.75" customHeight="1"/>
    <row r="547" s="0" customFormat="1" ht="15.75" customHeight="1"/>
    <row r="548" s="0" customFormat="1" ht="15.75" customHeight="1"/>
    <row r="549" s="0" customFormat="1" ht="15.75" customHeight="1"/>
    <row r="550" s="0" customFormat="1" ht="15.75" customHeight="1"/>
    <row r="551" s="0" customFormat="1" ht="15.75" customHeight="1"/>
    <row r="552" s="0" customFormat="1" ht="15.75" customHeight="1"/>
    <row r="553" s="0" customFormat="1" ht="15.75" customHeight="1"/>
    <row r="554" s="0" customFormat="1" ht="15.75" customHeight="1"/>
    <row r="555" s="0" customFormat="1" ht="15.75" customHeight="1"/>
    <row r="556" s="0" customFormat="1" ht="15.75" customHeight="1"/>
    <row r="557" s="0" customFormat="1" ht="15.75" customHeight="1"/>
    <row r="558" s="0" customFormat="1" ht="15.75" customHeight="1"/>
    <row r="559" s="0" customFormat="1" ht="15.75" customHeight="1"/>
    <row r="560" s="0" customFormat="1" ht="15.75" customHeight="1"/>
    <row r="561" s="0" customFormat="1" ht="15.75" customHeight="1"/>
    <row r="562" s="0" customFormat="1" ht="15.75" customHeight="1"/>
    <row r="563" s="0" customFormat="1" ht="15.75" customHeight="1"/>
    <row r="564" s="0" customFormat="1" ht="15.75" customHeight="1"/>
    <row r="565" s="0" customFormat="1" ht="15.75" customHeight="1"/>
    <row r="566" s="0" customFormat="1" ht="15.75" customHeight="1"/>
    <row r="567" s="0" customFormat="1" ht="15.75" customHeight="1"/>
    <row r="568" s="0" customFormat="1" ht="15.75" customHeight="1"/>
    <row r="569" s="0" customFormat="1" ht="15.75" customHeight="1"/>
    <row r="570" s="0" customFormat="1" ht="15.75" customHeight="1"/>
    <row r="571" s="0" customFormat="1" ht="15.75" customHeight="1"/>
    <row r="572" s="0" customFormat="1" ht="15.75" customHeight="1"/>
    <row r="573" s="0" customFormat="1" ht="15.75" customHeight="1"/>
    <row r="574" s="0" customFormat="1" ht="15.75" customHeight="1"/>
    <row r="575" s="0" customFormat="1" ht="15.75" customHeight="1"/>
    <row r="576" s="0" customFormat="1" ht="15.75" customHeight="1"/>
    <row r="577" s="0" customFormat="1" ht="15.75" customHeight="1"/>
    <row r="578" s="0" customFormat="1" ht="15.75" customHeight="1"/>
    <row r="579" s="0" customFormat="1" ht="15.75" customHeight="1"/>
    <row r="580" s="0" customFormat="1" ht="15.75" customHeight="1"/>
    <row r="581" s="0" customFormat="1" ht="15.75" customHeight="1"/>
    <row r="582" s="0" customFormat="1" ht="15.75" customHeight="1"/>
    <row r="583" s="0" customFormat="1" ht="15.75" customHeight="1"/>
    <row r="584" s="0" customFormat="1" ht="15.75" customHeight="1"/>
    <row r="585" s="0" customFormat="1" ht="15.75" customHeight="1"/>
    <row r="586" s="0" customFormat="1" ht="15.75" customHeight="1"/>
    <row r="587" s="0" customFormat="1" ht="15.75" customHeight="1"/>
    <row r="588" s="0" customFormat="1" ht="15.75" customHeight="1"/>
    <row r="589" s="0" customFormat="1" ht="15.75" customHeight="1"/>
    <row r="590" s="0" customFormat="1" ht="15.75" customHeight="1"/>
    <row r="591" s="0" customFormat="1" ht="15.75" customHeight="1"/>
    <row r="592" s="0" customFormat="1" ht="15.75" customHeight="1"/>
    <row r="593" s="0" customFormat="1" ht="15.75" customHeight="1"/>
    <row r="594" s="0" customFormat="1" ht="15.75" customHeight="1"/>
    <row r="595" s="0" customFormat="1" ht="15.75" customHeight="1"/>
    <row r="596" s="0" customFormat="1" ht="15.75" customHeight="1"/>
    <row r="597" s="0" customFormat="1" ht="15.75" customHeight="1"/>
    <row r="598" s="0" customFormat="1" ht="15.75" customHeight="1"/>
    <row r="599" s="0" customFormat="1" ht="15.75" customHeight="1"/>
    <row r="600" s="0" customFormat="1" ht="15.75" customHeight="1"/>
    <row r="601" s="0" customFormat="1" ht="15.75" customHeight="1"/>
    <row r="602" s="0" customFormat="1" ht="15.75" customHeight="1"/>
    <row r="603" s="0" customFormat="1" ht="15.75" customHeight="1"/>
    <row r="604" s="0" customFormat="1" ht="15.75" customHeight="1"/>
    <row r="605" s="0" customFormat="1" ht="15.75" customHeight="1"/>
    <row r="606" s="0" customFormat="1" ht="15.75" customHeight="1"/>
    <row r="607" s="0" customFormat="1" ht="15.75" customHeight="1"/>
    <row r="608" s="0" customFormat="1" ht="15.75" customHeight="1"/>
    <row r="609" s="0" customFormat="1" ht="15.75" customHeight="1"/>
    <row r="610" s="0" customFormat="1" ht="15.75" customHeight="1"/>
    <row r="611" s="0" customFormat="1" ht="15.75" customHeight="1"/>
    <row r="612" s="0" customFormat="1" ht="15.75" customHeight="1"/>
    <row r="613" s="0" customFormat="1" ht="15.75" customHeight="1"/>
    <row r="614" s="0" customFormat="1" ht="15.75" customHeight="1"/>
    <row r="615" s="0" customFormat="1" ht="15.75" customHeight="1"/>
    <row r="616" s="0" customFormat="1" ht="15.75" customHeight="1"/>
    <row r="617" s="0" customFormat="1" ht="15.75" customHeight="1"/>
    <row r="618" s="0" customFormat="1" ht="15.75" customHeight="1"/>
    <row r="619" s="0" customFormat="1" ht="15.75" customHeight="1"/>
    <row r="620" s="0" customFormat="1" ht="15.75" customHeight="1"/>
    <row r="621" s="0" customFormat="1" ht="15.75" customHeight="1"/>
    <row r="622" s="0" customFormat="1" ht="15.75" customHeight="1"/>
    <row r="623" s="0" customFormat="1" ht="15.75" customHeight="1"/>
    <row r="624" s="0" customFormat="1" ht="15.75" customHeight="1"/>
    <row r="625" s="0" customFormat="1" ht="15.75" customHeight="1"/>
    <row r="626" s="0" customFormat="1" ht="15.75" customHeight="1"/>
    <row r="627" s="0" customFormat="1" ht="15.75" customHeight="1"/>
    <row r="628" s="0" customFormat="1" ht="15.75" customHeight="1"/>
    <row r="629" s="0" customFormat="1" ht="15.75" customHeight="1"/>
    <row r="630" s="0" customFormat="1" ht="15.75" customHeight="1"/>
    <row r="631" s="0" customFormat="1" ht="15.75" customHeight="1"/>
    <row r="632" s="0" customFormat="1" ht="15.75" customHeight="1"/>
    <row r="633" s="0" customFormat="1" ht="15.75" customHeight="1"/>
    <row r="634" s="0" customFormat="1" ht="15.75" customHeight="1"/>
    <row r="635" s="0" customFormat="1" ht="15.75" customHeight="1"/>
    <row r="636" s="0" customFormat="1" ht="15.75" customHeight="1"/>
    <row r="637" s="0" customFormat="1" ht="15.75" customHeight="1"/>
    <row r="638" s="0" customFormat="1" ht="15.75" customHeight="1"/>
    <row r="639" s="0" customFormat="1" ht="15.75" customHeight="1"/>
    <row r="640" s="0" customFormat="1" ht="15.75" customHeight="1"/>
    <row r="641" s="0" customFormat="1" ht="15.75" customHeight="1"/>
    <row r="642" s="0" customFormat="1" ht="15.75" customHeight="1"/>
    <row r="643" s="0" customFormat="1" ht="15.75" customHeight="1"/>
    <row r="644" s="0" customFormat="1" ht="15.75" customHeight="1"/>
    <row r="645" s="0" customFormat="1" ht="15.75" customHeight="1"/>
    <row r="646" s="0" customFormat="1" ht="15.75" customHeight="1"/>
    <row r="647" s="0" customFormat="1" ht="15.75" customHeight="1"/>
    <row r="648" s="0" customFormat="1" ht="15.75" customHeight="1"/>
    <row r="649" s="0" customFormat="1" ht="15.75" customHeight="1"/>
    <row r="650" s="0" customFormat="1" ht="15.75" customHeight="1"/>
    <row r="651" s="0" customFormat="1" ht="15.75" customHeight="1"/>
    <row r="652" s="0" customFormat="1" ht="15.75" customHeight="1"/>
    <row r="653" s="0" customFormat="1" ht="15.75" customHeight="1"/>
    <row r="654" s="0" customFormat="1" ht="15.75" customHeight="1"/>
    <row r="655" s="0" customFormat="1" ht="15.75" customHeight="1"/>
    <row r="656" s="0" customFormat="1" ht="15.75" customHeight="1"/>
    <row r="657" s="0" customFormat="1" ht="15.75" customHeight="1"/>
    <row r="658" s="0" customFormat="1" ht="15.75" customHeight="1"/>
    <row r="659" s="0" customFormat="1" ht="15.75" customHeight="1"/>
    <row r="660" s="0" customFormat="1" ht="15.75" customHeight="1"/>
    <row r="661" s="0" customFormat="1" ht="15.75" customHeight="1"/>
    <row r="662" s="0" customFormat="1" ht="15.75" customHeight="1"/>
    <row r="663" s="0" customFormat="1" ht="15.75" customHeight="1"/>
    <row r="664" s="0" customFormat="1" ht="15.75" customHeight="1"/>
    <row r="665" s="0" customFormat="1" ht="15.75" customHeight="1"/>
    <row r="666" s="0" customFormat="1" ht="15.75" customHeight="1"/>
    <row r="667" s="0" customFormat="1" ht="15.75" customHeight="1"/>
    <row r="668" s="0" customFormat="1" ht="15.75" customHeight="1"/>
    <row r="669" s="0" customFormat="1" ht="15.75" customHeight="1"/>
    <row r="670" s="0" customFormat="1" ht="15.75" customHeight="1"/>
    <row r="671" s="0" customFormat="1" ht="15.75" customHeight="1"/>
    <row r="672" s="0" customFormat="1" ht="15.75" customHeight="1"/>
    <row r="673" s="0" customFormat="1" ht="15.75" customHeight="1"/>
    <row r="674" s="0" customFormat="1" ht="15.75" customHeight="1"/>
    <row r="675" s="0" customFormat="1" ht="15.75" customHeight="1"/>
    <row r="676" s="0" customFormat="1" ht="15.75" customHeight="1"/>
    <row r="677" s="0" customFormat="1" ht="15.75" customHeight="1"/>
    <row r="678" s="0" customFormat="1" ht="15.75" customHeight="1"/>
    <row r="679" s="0" customFormat="1" ht="15.75" customHeight="1"/>
    <row r="680" s="0" customFormat="1" ht="15.75" customHeight="1"/>
    <row r="681" s="0" customFormat="1" ht="15.75" customHeight="1"/>
    <row r="682" s="0" customFormat="1" ht="15.75" customHeight="1"/>
    <row r="683" s="0" customFormat="1" ht="15.75" customHeight="1"/>
    <row r="684" s="0" customFormat="1" ht="15.75" customHeight="1"/>
    <row r="685" s="0" customFormat="1" ht="15.75" customHeight="1"/>
    <row r="686" s="0" customFormat="1" ht="15.75" customHeight="1"/>
    <row r="687" s="0" customFormat="1" ht="15.75" customHeight="1"/>
    <row r="688" s="0" customFormat="1" ht="15.75" customHeight="1"/>
    <row r="689" s="0" customFormat="1" ht="15.75" customHeight="1"/>
    <row r="690" s="0" customFormat="1" ht="15.75" customHeight="1"/>
    <row r="691" s="0" customFormat="1" ht="15.75" customHeight="1"/>
    <row r="692" s="0" customFormat="1" ht="15.75" customHeight="1"/>
    <row r="693" s="0" customFormat="1" ht="15.75" customHeight="1"/>
    <row r="694" s="0" customFormat="1" ht="15.75" customHeight="1"/>
    <row r="695" s="0" customFormat="1" ht="15.75" customHeight="1"/>
    <row r="696" s="0" customFormat="1" ht="15.75" customHeight="1"/>
    <row r="697" s="0" customFormat="1" ht="15.75" customHeight="1"/>
    <row r="698" s="0" customFormat="1" ht="15.75" customHeight="1"/>
    <row r="699" s="0" customFormat="1" ht="15.75" customHeight="1"/>
    <row r="700" s="0" customFormat="1" ht="15.75" customHeight="1"/>
    <row r="701" s="0" customFormat="1" ht="15.75" customHeight="1"/>
    <row r="702" s="0" customFormat="1" ht="15.75" customHeight="1"/>
    <row r="703" s="0" customFormat="1" ht="15.75" customHeight="1"/>
    <row r="704" s="0" customFormat="1" ht="15.75" customHeight="1"/>
    <row r="705" s="0" customFormat="1" ht="15.75" customHeight="1"/>
    <row r="706" s="0" customFormat="1" ht="15.75" customHeight="1"/>
    <row r="707" s="0" customFormat="1" ht="15.75" customHeight="1"/>
    <row r="708" s="0" customFormat="1" ht="15.75" customHeight="1"/>
    <row r="709" s="0" customFormat="1" ht="15.75" customHeight="1"/>
    <row r="710" s="0" customFormat="1" ht="15.75" customHeight="1"/>
    <row r="711" s="0" customFormat="1" ht="15.75" customHeight="1"/>
    <row r="712" s="0" customFormat="1" ht="15.75" customHeight="1"/>
    <row r="713" s="0" customFormat="1" ht="15.75" customHeight="1"/>
    <row r="714" s="0" customFormat="1" ht="15.75" customHeight="1"/>
    <row r="715" s="0" customFormat="1" ht="15.75" customHeight="1"/>
    <row r="716" s="0" customFormat="1" ht="15.75" customHeight="1"/>
    <row r="717" s="0" customFormat="1" ht="15.75" customHeight="1"/>
    <row r="718" s="0" customFormat="1" ht="15.75" customHeight="1"/>
    <row r="719" s="0" customFormat="1" ht="15.75" customHeight="1"/>
    <row r="720" s="0" customFormat="1" ht="15.75" customHeight="1"/>
    <row r="721" s="0" customFormat="1" ht="15.75" customHeight="1"/>
    <row r="722" s="0" customFormat="1" ht="15.75" customHeight="1"/>
    <row r="723" s="0" customFormat="1" ht="15.75" customHeight="1"/>
    <row r="724" s="0" customFormat="1" ht="15.75" customHeight="1"/>
    <row r="725" s="0" customFormat="1" ht="15.75" customHeight="1"/>
    <row r="726" s="0" customFormat="1" ht="15.75" customHeight="1"/>
    <row r="727" s="0" customFormat="1" ht="15.75" customHeight="1"/>
    <row r="728" s="0" customFormat="1" ht="15.75" customHeight="1"/>
    <row r="729" s="0" customFormat="1" ht="15.75" customHeight="1"/>
    <row r="730" s="0" customFormat="1" ht="15.75" customHeight="1"/>
    <row r="731" s="0" customFormat="1" ht="15.75" customHeight="1"/>
    <row r="732" s="0" customFormat="1" ht="15.75" customHeight="1"/>
    <row r="733" s="0" customFormat="1" ht="15.75" customHeight="1"/>
    <row r="734" s="0" customFormat="1" ht="15.75" customHeight="1"/>
    <row r="735" s="0" customFormat="1" ht="15.75" customHeight="1"/>
    <row r="736" s="0" customFormat="1" ht="15.75" customHeight="1"/>
    <row r="737" s="0" customFormat="1" ht="15.75" customHeight="1"/>
    <row r="738" s="0" customFormat="1" ht="15.75" customHeight="1"/>
    <row r="739" s="0" customFormat="1" ht="15.75" customHeight="1"/>
    <row r="740" s="0" customFormat="1" ht="15.75" customHeight="1"/>
    <row r="741" s="0" customFormat="1" ht="15.75" customHeight="1"/>
    <row r="742" s="0" customFormat="1" ht="15.75" customHeight="1"/>
    <row r="743" s="0" customFormat="1" ht="15.75" customHeight="1"/>
    <row r="744" s="0" customFormat="1" ht="15.75" customHeight="1"/>
    <row r="745" s="0" customFormat="1" ht="15.75" customHeight="1"/>
    <row r="746" s="0" customFormat="1" ht="15.75" customHeight="1"/>
    <row r="747" s="0" customFormat="1" ht="15.75" customHeight="1"/>
    <row r="748" s="0" customFormat="1" ht="15.75" customHeight="1"/>
    <row r="749" s="0" customFormat="1" ht="15.75" customHeight="1"/>
    <row r="750" s="0" customFormat="1" ht="15.75" customHeight="1"/>
    <row r="751" s="0" customFormat="1" ht="15.75" customHeight="1"/>
    <row r="752" s="0" customFormat="1" ht="15.75" customHeight="1"/>
    <row r="753" s="0" customFormat="1" ht="15.75" customHeight="1"/>
    <row r="754" s="0" customFormat="1" ht="15.75" customHeight="1"/>
    <row r="755" s="0" customFormat="1" ht="15.75" customHeight="1"/>
    <row r="756" s="0" customFormat="1" ht="15.75" customHeight="1"/>
    <row r="757" s="0" customFormat="1" ht="15.75" customHeight="1"/>
    <row r="758" s="0" customFormat="1" ht="15.75" customHeight="1"/>
    <row r="759" s="0" customFormat="1" ht="15.75" customHeight="1"/>
    <row r="760" s="0" customFormat="1" ht="15.75" customHeight="1"/>
    <row r="761" s="0" customFormat="1" ht="15.75" customHeight="1"/>
    <row r="762" s="0" customFormat="1" ht="15.75" customHeight="1"/>
    <row r="763" s="0" customFormat="1" ht="15.75" customHeight="1"/>
    <row r="764" s="0" customFormat="1" ht="15.75" customHeight="1"/>
    <row r="765" s="0" customFormat="1" ht="15.75" customHeight="1"/>
    <row r="766" s="0" customFormat="1" ht="15.75" customHeight="1"/>
    <row r="767" s="0" customFormat="1" ht="15.75" customHeight="1"/>
    <row r="768" s="0" customFormat="1" ht="15.75" customHeight="1"/>
    <row r="769" s="0" customFormat="1" ht="15.75" customHeight="1"/>
    <row r="770" s="0" customFormat="1" ht="15.75" customHeight="1"/>
    <row r="771" s="0" customFormat="1" ht="15.75" customHeight="1"/>
    <row r="772" s="0" customFormat="1" ht="15.75" customHeight="1"/>
    <row r="773" s="0" customFormat="1" ht="15.75" customHeight="1"/>
    <row r="774" s="0" customFormat="1" ht="15.75" customHeight="1"/>
    <row r="775" s="0" customFormat="1" ht="15.75" customHeight="1"/>
    <row r="776" s="0" customFormat="1" ht="15.75" customHeight="1"/>
    <row r="777" s="0" customFormat="1" ht="15.75" customHeight="1"/>
    <row r="778" s="0" customFormat="1" ht="15.75" customHeight="1"/>
    <row r="779" s="0" customFormat="1" ht="15.75" customHeight="1"/>
    <row r="780" s="0" customFormat="1" ht="15.75" customHeight="1"/>
    <row r="781" s="0" customFormat="1" ht="15.75" customHeight="1"/>
    <row r="782" s="0" customFormat="1" ht="15.75" customHeight="1"/>
    <row r="783" s="0" customFormat="1" ht="15.75" customHeight="1"/>
    <row r="784" s="0" customFormat="1" ht="15.75" customHeight="1"/>
    <row r="785" s="0" customFormat="1" ht="15.75" customHeight="1"/>
    <row r="786" s="0" customFormat="1" ht="15.75" customHeight="1"/>
    <row r="787" s="0" customFormat="1" ht="15.75" customHeight="1"/>
    <row r="788" s="0" customFormat="1" ht="15.75" customHeight="1"/>
    <row r="789" s="0" customFormat="1" ht="15.75" customHeight="1"/>
    <row r="790" s="0" customFormat="1" ht="15.75" customHeight="1"/>
    <row r="791" s="0" customFormat="1" ht="15.75" customHeight="1"/>
    <row r="792" s="0" customFormat="1" ht="15.75" customHeight="1"/>
    <row r="793" s="0" customFormat="1" ht="15.75" customHeight="1"/>
    <row r="794" s="0" customFormat="1" ht="15.75" customHeight="1"/>
    <row r="795" s="0" customFormat="1" ht="15.75" customHeight="1"/>
    <row r="796" s="0" customFormat="1" ht="15.75" customHeight="1"/>
    <row r="797" s="0" customFormat="1" ht="15.75" customHeight="1"/>
    <row r="798" s="0" customFormat="1" ht="15.75" customHeight="1"/>
    <row r="799" s="0" customFormat="1" ht="15.75" customHeight="1"/>
    <row r="800" s="0" customFormat="1" ht="15.75" customHeight="1"/>
    <row r="801" s="0" customFormat="1" ht="15.75" customHeight="1"/>
    <row r="802" s="0" customFormat="1" ht="15.75" customHeight="1"/>
    <row r="803" s="0" customFormat="1" ht="15.75" customHeight="1"/>
    <row r="804" s="0" customFormat="1" ht="15.75" customHeight="1"/>
    <row r="805" s="0" customFormat="1" ht="15.75" customHeight="1"/>
    <row r="806" s="0" customFormat="1" ht="15.75" customHeight="1"/>
    <row r="807" s="0" customFormat="1" ht="15.75" customHeight="1"/>
    <row r="808" s="0" customFormat="1" ht="15.75" customHeight="1"/>
    <row r="809" s="0" customFormat="1" ht="15.75" customHeight="1"/>
    <row r="810" s="0" customFormat="1" ht="15.75" customHeight="1"/>
    <row r="811" s="0" customFormat="1" ht="15.75" customHeight="1"/>
    <row r="812" s="0" customFormat="1" ht="15.75" customHeight="1"/>
    <row r="813" s="0" customFormat="1" ht="15.75" customHeight="1"/>
    <row r="814" s="0" customFormat="1" ht="15.75" customHeight="1"/>
    <row r="815" s="0" customFormat="1" ht="15.75" customHeight="1"/>
    <row r="816" s="0" customFormat="1" ht="15.75" customHeight="1"/>
    <row r="817" s="0" customFormat="1" ht="15.75" customHeight="1"/>
    <row r="818" s="0" customFormat="1" ht="15.75" customHeight="1"/>
    <row r="819" s="0" customFormat="1" ht="15.75" customHeight="1"/>
    <row r="820" s="0" customFormat="1" ht="15.75" customHeight="1"/>
    <row r="821" s="0" customFormat="1" ht="15.75" customHeight="1"/>
    <row r="822" s="0" customFormat="1" ht="15.75" customHeight="1"/>
    <row r="823" s="0" customFormat="1" ht="15.75" customHeight="1"/>
    <row r="824" s="0" customFormat="1" ht="15.75" customHeight="1"/>
    <row r="825" s="0" customFormat="1" ht="15.75" customHeight="1"/>
    <row r="826" s="0" customFormat="1" ht="15.75" customHeight="1"/>
    <row r="827" s="0" customFormat="1" ht="15.75" customHeight="1"/>
    <row r="828" s="0" customFormat="1" ht="15.75" customHeight="1"/>
    <row r="829" s="0" customFormat="1" ht="15.75" customHeight="1"/>
    <row r="830" s="0" customFormat="1" ht="15.75" customHeight="1"/>
    <row r="831" s="0" customFormat="1" ht="15.75" customHeight="1"/>
    <row r="832" s="0" customFormat="1" ht="15.75" customHeight="1"/>
    <row r="833" s="0" customFormat="1" ht="15.75" customHeight="1"/>
    <row r="834" s="0" customFormat="1" ht="15.75" customHeight="1"/>
    <row r="835" s="0" customFormat="1" ht="15.75" customHeight="1"/>
    <row r="836" s="0" customFormat="1" ht="15.75" customHeight="1"/>
    <row r="837" s="0" customFormat="1" ht="15.75" customHeight="1"/>
    <row r="838" s="0" customFormat="1" ht="15.75" customHeight="1"/>
    <row r="839" s="0" customFormat="1" ht="15.75" customHeight="1"/>
    <row r="840" s="0" customFormat="1" ht="15.75" customHeight="1"/>
    <row r="841" s="0" customFormat="1" ht="15.75" customHeight="1"/>
    <row r="842" s="0" customFormat="1" ht="15.75" customHeight="1"/>
    <row r="843" s="0" customFormat="1" ht="15.75" customHeight="1"/>
    <row r="844" s="0" customFormat="1" ht="15.75" customHeight="1"/>
    <row r="845" s="0" customFormat="1" ht="15.75" customHeight="1"/>
    <row r="846" s="0" customFormat="1" ht="15.75" customHeight="1"/>
    <row r="847" s="0" customFormat="1" ht="15.75" customHeight="1"/>
    <row r="848" s="0" customFormat="1" ht="15.75" customHeight="1"/>
    <row r="849" s="0" customFormat="1" ht="15.75" customHeight="1"/>
    <row r="850" s="0" customFormat="1" ht="15.75" customHeight="1"/>
    <row r="851" s="0" customFormat="1" ht="15.75" customHeight="1"/>
    <row r="852" s="0" customFormat="1" ht="15.75" customHeight="1"/>
    <row r="853" s="0" customFormat="1" ht="15.75" customHeight="1"/>
    <row r="854" s="0" customFormat="1" ht="15.75" customHeight="1"/>
    <row r="855" s="0" customFormat="1" ht="15.75" customHeight="1"/>
    <row r="856" s="0" customFormat="1" ht="15.75" customHeight="1"/>
    <row r="857" s="0" customFormat="1" ht="15.75" customHeight="1"/>
    <row r="858" s="0" customFormat="1" ht="15.75" customHeight="1"/>
    <row r="859" s="0" customFormat="1" ht="15.75" customHeight="1"/>
    <row r="860" s="0" customFormat="1" ht="15.75" customHeight="1"/>
    <row r="861" s="0" customFormat="1" ht="15.75" customHeight="1"/>
    <row r="862" s="0" customFormat="1" ht="15.75" customHeight="1"/>
    <row r="863" s="0" customFormat="1" ht="15.75" customHeight="1"/>
    <row r="864" s="0" customFormat="1" ht="15.75" customHeight="1"/>
    <row r="865" s="0" customFormat="1" ht="15.75" customHeight="1"/>
    <row r="866" s="0" customFormat="1" ht="15.75" customHeight="1"/>
    <row r="867" s="0" customFormat="1" ht="15.75" customHeight="1"/>
    <row r="868" s="0" customFormat="1" ht="15.75" customHeight="1"/>
    <row r="869" s="0" customFormat="1" ht="15.75" customHeight="1"/>
    <row r="870" s="0" customFormat="1" ht="15.75" customHeight="1"/>
    <row r="871" s="0" customFormat="1" ht="15.75" customHeight="1"/>
    <row r="872" s="0" customFormat="1" ht="15.75" customHeight="1"/>
    <row r="873" s="0" customFormat="1" ht="15.75" customHeight="1"/>
    <row r="874" s="0" customFormat="1" ht="15.75" customHeight="1"/>
    <row r="875" s="0" customFormat="1" ht="15.75" customHeight="1"/>
    <row r="876" s="0" customFormat="1" ht="15.75" customHeight="1"/>
    <row r="877" s="0" customFormat="1" ht="15.75" customHeight="1"/>
    <row r="878" s="0" customFormat="1" ht="15.75" customHeight="1"/>
    <row r="879" s="0" customFormat="1" ht="15.75" customHeight="1"/>
    <row r="880" s="0" customFormat="1" ht="15.75" customHeight="1"/>
    <row r="881" s="0" customFormat="1" ht="15.75" customHeight="1"/>
    <row r="882" s="0" customFormat="1" ht="15.75" customHeight="1"/>
    <row r="883" s="0" customFormat="1" ht="15.75" customHeight="1"/>
    <row r="884" s="0" customFormat="1" ht="15.75" customHeight="1"/>
    <row r="885" s="0" customFormat="1" ht="15.75" customHeight="1"/>
    <row r="886" s="0" customFormat="1" ht="15.75" customHeight="1"/>
    <row r="887" s="0" customFormat="1" ht="15.75" customHeight="1"/>
    <row r="888" s="0" customFormat="1" ht="15.75" customHeight="1"/>
    <row r="889" s="0" customFormat="1" ht="15.75" customHeight="1"/>
    <row r="890" s="0" customFormat="1" ht="15.75" customHeight="1"/>
    <row r="891" s="0" customFormat="1" ht="15.75" customHeight="1"/>
    <row r="892" s="0" customFormat="1" ht="15.75" customHeight="1"/>
    <row r="893" s="0" customFormat="1" ht="15.75" customHeight="1"/>
    <row r="894" s="0" customFormat="1" ht="15.75" customHeight="1"/>
    <row r="895" s="0" customFormat="1" ht="15.75" customHeight="1"/>
    <row r="896" s="0" customFormat="1" ht="15.75" customHeight="1"/>
    <row r="897" s="0" customFormat="1" ht="15.75" customHeight="1"/>
    <row r="898" s="0" customFormat="1" ht="15.75" customHeight="1"/>
    <row r="899" s="0" customFormat="1" ht="15.75" customHeight="1"/>
    <row r="900" s="0" customFormat="1" ht="15.75" customHeight="1"/>
    <row r="901" s="0" customFormat="1" ht="15.75" customHeight="1"/>
    <row r="902" s="0" customFormat="1" ht="15.75" customHeight="1"/>
    <row r="903" s="0" customFormat="1" ht="15.75" customHeight="1"/>
    <row r="904" s="0" customFormat="1" ht="15.75" customHeight="1"/>
    <row r="905" s="0" customFormat="1" ht="15.75" customHeight="1"/>
    <row r="906" s="0" customFormat="1" ht="15.75" customHeight="1"/>
    <row r="907" s="0" customFormat="1" ht="15.75" customHeight="1"/>
    <row r="908" s="0" customFormat="1" ht="15.75" customHeight="1"/>
    <row r="909" s="0" customFormat="1" ht="15.75" customHeight="1"/>
    <row r="910" s="0" customFormat="1" ht="15.75" customHeight="1"/>
    <row r="911" s="0" customFormat="1" ht="15.75" customHeight="1"/>
    <row r="912" s="0" customFormat="1" ht="15.75" customHeight="1"/>
    <row r="913" s="0" customFormat="1" ht="15.75" customHeight="1"/>
    <row r="914" s="0" customFormat="1" ht="15.75" customHeight="1"/>
    <row r="915" s="0" customFormat="1" ht="15.75" customHeight="1"/>
    <row r="916" s="0" customFormat="1" ht="15.75" customHeight="1"/>
    <row r="917" s="0" customFormat="1" ht="15.75" customHeight="1"/>
    <row r="918" s="0" customFormat="1" ht="15.75" customHeight="1"/>
    <row r="919" s="0" customFormat="1" ht="15.75" customHeight="1"/>
    <row r="920" s="0" customFormat="1" ht="15.75" customHeight="1"/>
    <row r="921" s="0" customFormat="1" ht="15.75" customHeight="1"/>
    <row r="922" s="0" customFormat="1" ht="15.75" customHeight="1"/>
    <row r="923" s="0" customFormat="1" ht="15.75" customHeight="1"/>
    <row r="924" s="0" customFormat="1" ht="15.75" customHeight="1"/>
    <row r="925" s="0" customFormat="1" ht="15.75" customHeight="1"/>
    <row r="926" s="0" customFormat="1" ht="15.75" customHeight="1"/>
    <row r="927" s="0" customFormat="1" ht="15.75" customHeight="1"/>
    <row r="928" s="0" customFormat="1" ht="15.75" customHeight="1"/>
    <row r="929" s="0" customFormat="1" ht="15.75" customHeight="1"/>
    <row r="930" s="0" customFormat="1" ht="15.75" customHeight="1"/>
    <row r="931" s="0" customFormat="1" ht="15.75" customHeight="1"/>
    <row r="932" s="0" customFormat="1" ht="15.75" customHeight="1"/>
    <row r="933" s="0" customFormat="1" ht="15.75" customHeight="1"/>
    <row r="934" s="0" customFormat="1" ht="15.75" customHeight="1"/>
    <row r="935" s="0" customFormat="1" ht="15.75" customHeight="1"/>
    <row r="936" s="0" customFormat="1" ht="15.75" customHeight="1"/>
    <row r="937" s="0" customFormat="1" ht="15.75" customHeight="1"/>
    <row r="938" s="0" customFormat="1" ht="15.75" customHeight="1"/>
    <row r="939" s="0" customFormat="1" ht="15.75" customHeight="1"/>
    <row r="940" s="0" customFormat="1" ht="15.75" customHeight="1"/>
    <row r="941" s="0" customFormat="1" ht="15.75" customHeight="1"/>
    <row r="942" s="0" customFormat="1" ht="15.75" customHeight="1"/>
    <row r="943" s="0" customFormat="1" ht="15.75" customHeight="1"/>
    <row r="944" s="0" customFormat="1" ht="15.75" customHeight="1"/>
    <row r="945" s="0" customFormat="1" ht="15.75" customHeight="1"/>
    <row r="946" s="0" customFormat="1" ht="15.75" customHeight="1"/>
    <row r="947" s="0" customFormat="1" ht="15.75" customHeight="1"/>
    <row r="948" s="0" customFormat="1" ht="15.75" customHeight="1"/>
    <row r="949" s="0" customFormat="1" ht="15.75" customHeight="1"/>
    <row r="950" s="0" customFormat="1" ht="15.75" customHeight="1"/>
    <row r="951" s="0" customFormat="1" ht="15.75" customHeight="1"/>
    <row r="952" s="0" customFormat="1" ht="15.75" customHeight="1"/>
    <row r="953" s="0" customFormat="1" ht="15.75" customHeight="1"/>
    <row r="954" s="0" customFormat="1" ht="15.75" customHeight="1"/>
    <row r="955" s="0" customFormat="1" ht="15.75" customHeight="1"/>
    <row r="956" s="0" customFormat="1" ht="15.75" customHeight="1"/>
    <row r="957" s="0" customFormat="1" ht="15.75" customHeight="1"/>
    <row r="958" s="0" customFormat="1" ht="15.75" customHeight="1"/>
    <row r="959" s="0" customFormat="1" ht="15.75" customHeight="1"/>
    <row r="960" s="0" customFormat="1" ht="15.75" customHeight="1"/>
    <row r="961" s="0" customFormat="1" ht="15.75" customHeight="1"/>
    <row r="962" s="0" customFormat="1" ht="15.75" customHeight="1"/>
    <row r="963" s="0" customFormat="1" ht="15.75" customHeight="1"/>
    <row r="964" s="0" customFormat="1" ht="15.75" customHeight="1"/>
    <row r="965" s="0" customFormat="1" ht="15.75" customHeight="1"/>
    <row r="966" s="0" customFormat="1" ht="15.75" customHeight="1"/>
    <row r="967" s="0" customFormat="1" ht="15.75" customHeight="1"/>
    <row r="968" s="0" customFormat="1" ht="15.75" customHeight="1"/>
    <row r="969" s="0" customFormat="1" ht="15.75" customHeight="1"/>
    <row r="970" s="0" customFormat="1" ht="15.75" customHeight="1"/>
    <row r="971" s="0" customFormat="1" ht="15.75" customHeight="1"/>
    <row r="972" s="0" customFormat="1" ht="15.75" customHeight="1"/>
    <row r="973" s="0" customFormat="1" ht="15.75" customHeight="1"/>
    <row r="974" s="0" customFormat="1" ht="15.75" customHeight="1"/>
    <row r="975" s="0" customFormat="1" ht="15.75" customHeight="1"/>
    <row r="976" s="0" customFormat="1" ht="15.75" customHeight="1"/>
    <row r="977" s="0" customFormat="1" ht="15.75" customHeight="1"/>
    <row r="978" s="0" customFormat="1" ht="15.75" customHeight="1"/>
    <row r="979" s="0" customFormat="1" ht="15.75" customHeight="1"/>
    <row r="980" s="0" customFormat="1" ht="15.75" customHeight="1"/>
    <row r="981" s="0" customFormat="1" ht="15.75" customHeight="1"/>
    <row r="982" s="0" customFormat="1" ht="15.75" customHeight="1"/>
    <row r="983" s="0" customFormat="1" ht="15.75" customHeight="1"/>
    <row r="984" s="0" customFormat="1" ht="15.75" customHeight="1"/>
    <row r="985" s="0" customFormat="1" ht="15.75" customHeight="1"/>
    <row r="986" s="0" customFormat="1" ht="15.75" customHeight="1"/>
    <row r="987" s="0" customFormat="1" ht="15.75" customHeight="1"/>
    <row r="988" s="0" customFormat="1" ht="15.75" customHeight="1"/>
    <row r="989" s="0" customFormat="1" ht="15.75" customHeight="1"/>
    <row r="990" s="0" customFormat="1" ht="15.75" customHeight="1"/>
    <row r="991" s="0" customFormat="1" ht="15.75" customHeight="1"/>
    <row r="992" s="0" customFormat="1" ht="15.75" customHeight="1"/>
    <row r="993" s="0" customFormat="1" ht="15.75" customHeight="1"/>
    <row r="994" s="0" customFormat="1" ht="15.75" customHeight="1"/>
    <row r="995" s="0" customFormat="1" ht="15.75" customHeight="1"/>
    <row r="996" s="0" customFormat="1" ht="15.75" customHeight="1"/>
    <row r="997" s="0" customFormat="1" ht="15.75" customHeight="1"/>
    <row r="998" s="0" customFormat="1" ht="15.75" customHeight="1"/>
    <row r="999" s="0" customFormat="1" ht="15.75" customHeight="1"/>
    <row r="1000" s="0" customFormat="1" ht="15.75" customHeight="1"/>
  </sheetData>
  <mergeCells count="2">
    <mergeCell ref="A1:O1"/>
    <mergeCell ref="B2:O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L3" zoomScale="55" workbookViewId="0">
      <selection activeCell="N31" activeCellId="0" sqref="N31"/>
    </sheetView>
  </sheetViews>
  <sheetFormatPr baseColWidth="10" defaultColWidth="12.59765625" defaultRowHeight="15" customHeight="1"/>
  <cols>
    <col customWidth="1" min="1" max="1" width="10"/>
    <col customWidth="1" min="2" max="2" width="35.3984375"/>
    <col customWidth="1" min="3" max="3" width="9.3984375"/>
    <col customWidth="1" min="4" max="4" width="7"/>
    <col customWidth="1" min="5" max="5" width="11.8984375"/>
    <col customWidth="1" min="6" max="6" width="13"/>
    <col customWidth="1" min="7" max="7" width="12.3984375"/>
    <col customWidth="1" min="9" max="9" width="54.3984375"/>
    <col customWidth="1" min="10" max="10" width="21.09765625"/>
  </cols>
  <sheetData>
    <row r="1" ht="14.25" customHeight="1">
      <c r="A1" s="39" t="s">
        <v>48</v>
      </c>
      <c r="B1" s="40"/>
      <c r="C1" s="40"/>
      <c r="D1" s="40"/>
      <c r="E1" s="40"/>
      <c r="F1" s="40"/>
      <c r="G1" s="40"/>
    </row>
    <row r="2" ht="14.25" customHeight="1">
      <c r="A2" s="39" t="s">
        <v>49</v>
      </c>
      <c r="B2" s="40"/>
      <c r="C2" s="40"/>
      <c r="D2" s="40"/>
      <c r="E2" s="40"/>
      <c r="F2" s="40"/>
      <c r="G2" s="40"/>
    </row>
    <row r="3" ht="14.25" customHeight="1">
      <c r="A3" s="39" t="s">
        <v>50</v>
      </c>
      <c r="B3" s="40"/>
      <c r="C3" s="40"/>
      <c r="D3" s="40"/>
      <c r="E3" s="40"/>
      <c r="F3" s="40"/>
      <c r="G3" s="40"/>
    </row>
    <row r="4" ht="14.25" customHeight="1">
      <c r="A4" s="55"/>
      <c r="B4" s="56"/>
      <c r="C4" s="57"/>
      <c r="D4" s="58"/>
      <c r="E4" s="56"/>
      <c r="F4" s="57"/>
      <c r="G4" s="56"/>
    </row>
    <row r="5" ht="14.25" customHeight="1">
      <c r="A5" s="59" t="s">
        <v>51</v>
      </c>
      <c r="B5" s="60" t="s">
        <v>52</v>
      </c>
      <c r="C5" s="61" t="s">
        <v>53</v>
      </c>
      <c r="D5" s="12"/>
      <c r="E5" s="12"/>
      <c r="F5" s="12"/>
      <c r="G5" s="12"/>
    </row>
    <row r="6" ht="29.25" customHeight="1">
      <c r="A6" s="15"/>
      <c r="B6" s="62"/>
      <c r="C6" s="63" t="s">
        <v>54</v>
      </c>
      <c r="D6" s="64" t="s">
        <v>55</v>
      </c>
      <c r="E6" s="65" t="s">
        <v>56</v>
      </c>
      <c r="F6" s="63" t="s">
        <v>57</v>
      </c>
      <c r="G6" s="66" t="s">
        <v>58</v>
      </c>
    </row>
    <row r="7" ht="14.25" customHeight="1">
      <c r="A7" s="13"/>
      <c r="B7" s="67"/>
      <c r="C7" s="68"/>
      <c r="D7" s="69"/>
      <c r="E7" s="70"/>
      <c r="F7" s="68"/>
      <c r="G7" s="71"/>
    </row>
    <row r="8" ht="14.25" customHeight="1">
      <c r="A8" s="55"/>
      <c r="B8" s="72" t="s">
        <v>21</v>
      </c>
      <c r="C8" s="73">
        <v>21735</v>
      </c>
      <c r="D8" s="74">
        <v>488.11731344362892</v>
      </c>
      <c r="E8" s="75" t="s">
        <v>42</v>
      </c>
      <c r="F8" s="73">
        <v>12131</v>
      </c>
      <c r="G8" s="76">
        <v>9604</v>
      </c>
      <c r="I8" t="s">
        <v>59</v>
      </c>
      <c r="J8" t="s">
        <v>60</v>
      </c>
    </row>
    <row r="9" ht="14.25" customHeight="1">
      <c r="A9" s="55"/>
      <c r="B9" s="77"/>
      <c r="C9" s="78"/>
      <c r="D9" s="74"/>
      <c r="E9" s="79"/>
      <c r="F9" s="73"/>
      <c r="G9" s="76"/>
      <c r="I9" s="80" t="s">
        <v>61</v>
      </c>
      <c r="J9" s="73">
        <v>3668</v>
      </c>
    </row>
    <row r="10" ht="14.25" customHeight="1">
      <c r="A10" s="81" t="s">
        <v>62</v>
      </c>
      <c r="B10" s="80" t="s">
        <v>61</v>
      </c>
      <c r="C10" s="73">
        <v>3668</v>
      </c>
      <c r="D10" s="74">
        <v>82.37470925747553</v>
      </c>
      <c r="E10" s="82">
        <v>1</v>
      </c>
      <c r="F10" s="27">
        <v>1822</v>
      </c>
      <c r="G10" s="83">
        <v>1846</v>
      </c>
      <c r="I10" s="80" t="s">
        <v>63</v>
      </c>
      <c r="J10" s="73">
        <v>2189</v>
      </c>
    </row>
    <row r="11" ht="14.25" customHeight="1">
      <c r="A11" s="84" t="s">
        <v>64</v>
      </c>
      <c r="B11" s="80" t="s">
        <v>63</v>
      </c>
      <c r="C11" s="73">
        <v>2189</v>
      </c>
      <c r="D11" s="74">
        <v>49.159825126666838</v>
      </c>
      <c r="E11" s="82">
        <v>2</v>
      </c>
      <c r="F11" s="27">
        <v>1301</v>
      </c>
      <c r="G11" s="83">
        <v>888</v>
      </c>
      <c r="I11" s="80" t="s">
        <v>65</v>
      </c>
      <c r="J11" s="73">
        <v>1877</v>
      </c>
    </row>
    <row r="12" ht="14.25" customHeight="1">
      <c r="A12" s="85" t="s">
        <v>66</v>
      </c>
      <c r="B12" s="80" t="s">
        <v>65</v>
      </c>
      <c r="C12" s="73">
        <v>1877</v>
      </c>
      <c r="D12" s="74">
        <v>42.153034153839037</v>
      </c>
      <c r="E12" s="82">
        <v>3</v>
      </c>
      <c r="F12" s="27">
        <v>1063</v>
      </c>
      <c r="G12" s="83">
        <v>814</v>
      </c>
      <c r="I12" s="80" t="s">
        <v>67</v>
      </c>
      <c r="J12" s="73">
        <v>1696</v>
      </c>
    </row>
    <row r="13" ht="14.25" customHeight="1">
      <c r="A13" s="85" t="s">
        <v>68</v>
      </c>
      <c r="B13" s="80" t="s">
        <v>67</v>
      </c>
      <c r="C13" s="73">
        <v>1696</v>
      </c>
      <c r="D13" s="74">
        <v>38.088197083063939</v>
      </c>
      <c r="E13" s="82">
        <v>4</v>
      </c>
      <c r="F13" s="27">
        <v>907</v>
      </c>
      <c r="G13" s="83">
        <v>789</v>
      </c>
      <c r="I13" s="86" t="s">
        <v>69</v>
      </c>
      <c r="J13" s="73">
        <v>1603</v>
      </c>
    </row>
    <row r="14" ht="14.25" customHeight="1">
      <c r="A14" s="81" t="s">
        <v>70</v>
      </c>
      <c r="B14" s="86" t="s">
        <v>71</v>
      </c>
      <c r="C14" s="13"/>
      <c r="D14" s="87"/>
      <c r="E14" s="82"/>
      <c r="F14" s="80"/>
      <c r="G14" s="80"/>
      <c r="I14" s="88" t="s">
        <v>72</v>
      </c>
      <c r="J14" s="73">
        <v>10702</v>
      </c>
    </row>
    <row r="15" ht="14.25" customHeight="1">
      <c r="A15" s="81"/>
      <c r="B15" s="86" t="s">
        <v>73</v>
      </c>
      <c r="C15" s="73">
        <v>1603</v>
      </c>
      <c r="D15" s="74">
        <v>35.999634389240263</v>
      </c>
      <c r="E15" s="82">
        <v>5</v>
      </c>
      <c r="F15" s="27">
        <v>1356</v>
      </c>
      <c r="G15" s="82">
        <v>247</v>
      </c>
      <c r="I15" s="88"/>
      <c r="J15" s="73"/>
    </row>
    <row r="16" ht="14.25" customHeight="1">
      <c r="A16" s="13"/>
      <c r="B16" s="88" t="s">
        <v>72</v>
      </c>
      <c r="C16" s="73">
        <v>10702</v>
      </c>
      <c r="D16" s="74">
        <v>240.34191343334328</v>
      </c>
      <c r="E16" s="82" t="s">
        <v>42</v>
      </c>
      <c r="F16" s="89">
        <v>5682</v>
      </c>
      <c r="G16" s="89">
        <v>5020</v>
      </c>
    </row>
    <row r="17" ht="14.25" customHeight="1">
      <c r="A17" s="13"/>
      <c r="B17" s="80"/>
      <c r="C17" s="78"/>
      <c r="D17" s="90"/>
      <c r="E17" s="91"/>
      <c r="F17" s="78"/>
      <c r="G17" s="92"/>
    </row>
    <row r="18" ht="14.25" customHeight="1">
      <c r="A18" s="55"/>
      <c r="B18" s="93" t="s">
        <v>74</v>
      </c>
      <c r="C18" s="73">
        <v>859</v>
      </c>
      <c r="D18" s="74">
        <v>440.5783424201548</v>
      </c>
      <c r="E18" s="94" t="s">
        <v>42</v>
      </c>
      <c r="F18" s="73">
        <v>491</v>
      </c>
      <c r="G18" s="76">
        <v>368</v>
      </c>
    </row>
    <row r="19" ht="14.25" customHeight="1">
      <c r="A19" s="55"/>
      <c r="B19" s="95"/>
      <c r="C19" s="73"/>
      <c r="D19" s="74"/>
      <c r="E19" s="94"/>
      <c r="F19" s="73"/>
      <c r="G19" s="76"/>
    </row>
    <row r="20" ht="14.25" customHeight="1">
      <c r="A20" s="81" t="s">
        <v>62</v>
      </c>
      <c r="B20" s="86" t="s">
        <v>61</v>
      </c>
      <c r="C20" s="73">
        <v>101</v>
      </c>
      <c r="D20" s="74">
        <v>51.80257576767827</v>
      </c>
      <c r="E20" s="82">
        <v>1</v>
      </c>
      <c r="F20" s="27">
        <v>60</v>
      </c>
      <c r="G20" s="83">
        <v>41</v>
      </c>
    </row>
    <row r="21" ht="14.25" customHeight="1">
      <c r="A21" s="81" t="s">
        <v>70</v>
      </c>
      <c r="B21" s="86" t="s">
        <v>71</v>
      </c>
      <c r="C21" s="73"/>
      <c r="D21" s="87"/>
      <c r="E21" s="82"/>
      <c r="F21" s="80"/>
      <c r="G21" s="80"/>
    </row>
    <row r="22" ht="14.25" customHeight="1">
      <c r="A22" s="81"/>
      <c r="B22" s="86" t="s">
        <v>73</v>
      </c>
      <c r="C22" s="73">
        <v>66</v>
      </c>
      <c r="D22" s="74">
        <v>33.851188125413529</v>
      </c>
      <c r="E22" s="82">
        <v>2</v>
      </c>
      <c r="F22" s="27">
        <v>51</v>
      </c>
      <c r="G22" s="82">
        <v>15</v>
      </c>
    </row>
    <row r="23" ht="14.25" customHeight="1">
      <c r="A23" s="96" t="s">
        <v>75</v>
      </c>
      <c r="B23" s="80" t="s">
        <v>76</v>
      </c>
      <c r="C23" s="73">
        <v>64</v>
      </c>
      <c r="D23" s="74">
        <v>32.825394545855538</v>
      </c>
      <c r="E23" s="82">
        <v>3</v>
      </c>
      <c r="F23" s="86">
        <v>27</v>
      </c>
      <c r="G23" s="13">
        <v>37</v>
      </c>
    </row>
    <row r="24" ht="14.25" customHeight="1">
      <c r="A24" s="97" t="s">
        <v>77</v>
      </c>
      <c r="B24" s="86" t="s">
        <v>78</v>
      </c>
      <c r="C24" s="73">
        <v>56</v>
      </c>
      <c r="D24" s="74">
        <v>28.722220227623598</v>
      </c>
      <c r="E24" s="82">
        <v>4</v>
      </c>
      <c r="F24" s="27">
        <v>32</v>
      </c>
      <c r="G24" s="83">
        <v>24</v>
      </c>
    </row>
    <row r="25" ht="14.25" customHeight="1">
      <c r="A25" s="96" t="s">
        <v>79</v>
      </c>
      <c r="B25" s="86" t="s">
        <v>80</v>
      </c>
      <c r="C25" s="73"/>
      <c r="D25" s="74"/>
      <c r="E25" s="82"/>
      <c r="F25" s="80"/>
      <c r="G25" s="80"/>
    </row>
    <row r="26" ht="14.25" customHeight="1">
      <c r="A26" s="96"/>
      <c r="B26" s="86" t="s">
        <v>81</v>
      </c>
      <c r="C26" s="73">
        <v>50</v>
      </c>
      <c r="D26" s="74">
        <v>25.644839488949636</v>
      </c>
      <c r="E26" s="80">
        <v>5</v>
      </c>
      <c r="F26" s="86">
        <v>42</v>
      </c>
      <c r="G26" s="13">
        <v>8</v>
      </c>
    </row>
    <row r="27" ht="14.25" customHeight="1">
      <c r="A27" s="81"/>
      <c r="B27" s="88" t="s">
        <v>72</v>
      </c>
      <c r="C27" s="73">
        <v>522</v>
      </c>
      <c r="D27" s="74">
        <v>267.73212426463419</v>
      </c>
      <c r="E27" s="94" t="s">
        <v>42</v>
      </c>
      <c r="F27" s="27">
        <v>279</v>
      </c>
      <c r="G27" s="82">
        <v>243</v>
      </c>
    </row>
    <row r="28" ht="14.25" customHeight="1">
      <c r="A28" s="81"/>
      <c r="B28" s="88"/>
      <c r="C28" s="27"/>
      <c r="D28" s="74"/>
      <c r="E28" s="82"/>
      <c r="F28" s="27"/>
      <c r="G28" s="83"/>
    </row>
    <row r="29" ht="14.25" customHeight="1">
      <c r="A29" s="55"/>
      <c r="B29" s="88" t="s">
        <v>82</v>
      </c>
      <c r="C29" s="73">
        <v>1421</v>
      </c>
      <c r="D29" s="74">
        <v>522.50715183962234</v>
      </c>
      <c r="E29" s="94" t="s">
        <v>42</v>
      </c>
      <c r="F29" s="73">
        <v>835</v>
      </c>
      <c r="G29" s="76">
        <v>586</v>
      </c>
    </row>
    <row r="30" ht="14.25" customHeight="1">
      <c r="A30" s="55"/>
      <c r="B30" s="95"/>
      <c r="C30" s="73"/>
      <c r="D30" s="74"/>
      <c r="E30" s="94"/>
      <c r="F30" s="73"/>
      <c r="G30" s="76"/>
    </row>
    <row r="31" ht="14.25" customHeight="1">
      <c r="A31" s="98" t="s">
        <v>62</v>
      </c>
      <c r="B31" s="86" t="s">
        <v>61</v>
      </c>
      <c r="C31" s="73">
        <v>241</v>
      </c>
      <c r="D31" s="74">
        <v>88.616624625861348</v>
      </c>
      <c r="E31" s="82">
        <v>1</v>
      </c>
      <c r="F31" s="27">
        <v>129</v>
      </c>
      <c r="G31" s="83">
        <v>112</v>
      </c>
    </row>
    <row r="32" ht="14.25" customHeight="1">
      <c r="A32" s="97" t="s">
        <v>66</v>
      </c>
      <c r="B32" s="86" t="s">
        <v>65</v>
      </c>
      <c r="C32" s="73">
        <v>149</v>
      </c>
      <c r="D32" s="74">
        <v>54.787871656652868</v>
      </c>
      <c r="E32" s="82">
        <v>2</v>
      </c>
      <c r="F32" s="27">
        <v>85</v>
      </c>
      <c r="G32" s="83">
        <v>64</v>
      </c>
    </row>
    <row r="33" ht="14.25" customHeight="1">
      <c r="A33" s="97" t="s">
        <v>68</v>
      </c>
      <c r="B33" s="86" t="s">
        <v>67</v>
      </c>
      <c r="C33" s="73">
        <v>115</v>
      </c>
      <c r="D33" s="74">
        <v>42.285941211510604</v>
      </c>
      <c r="E33" s="27">
        <v>3</v>
      </c>
      <c r="F33" s="27">
        <v>68</v>
      </c>
      <c r="G33" s="82">
        <v>47</v>
      </c>
    </row>
    <row r="34" ht="14.25" customHeight="1">
      <c r="A34" s="97" t="s">
        <v>64</v>
      </c>
      <c r="B34" s="86" t="s">
        <v>63</v>
      </c>
      <c r="C34" s="73">
        <v>113</v>
      </c>
      <c r="D34" s="74">
        <v>41.55053353826694</v>
      </c>
      <c r="E34" s="99">
        <v>4</v>
      </c>
      <c r="F34" s="27">
        <v>80</v>
      </c>
      <c r="G34" s="82">
        <v>33</v>
      </c>
    </row>
    <row r="35" ht="14.25" customHeight="1">
      <c r="A35" s="96" t="s">
        <v>70</v>
      </c>
      <c r="B35" s="80" t="s">
        <v>71</v>
      </c>
      <c r="C35" s="73"/>
      <c r="D35" s="87"/>
      <c r="E35" s="99"/>
      <c r="F35" s="13"/>
      <c r="G35" s="80"/>
    </row>
    <row r="36" ht="14.25" customHeight="1">
      <c r="A36" s="97"/>
      <c r="B36" s="86" t="s">
        <v>73</v>
      </c>
      <c r="C36" s="73">
        <v>89</v>
      </c>
      <c r="D36" s="74">
        <v>32.725641459342981</v>
      </c>
      <c r="E36" s="99">
        <v>5</v>
      </c>
      <c r="F36" s="27">
        <v>75</v>
      </c>
      <c r="G36" s="82">
        <v>14</v>
      </c>
    </row>
    <row r="37" ht="14.25" customHeight="1">
      <c r="A37" s="97"/>
      <c r="B37" s="88" t="s">
        <v>72</v>
      </c>
      <c r="C37" s="73">
        <v>714</v>
      </c>
      <c r="D37" s="74">
        <v>262.54053934798759</v>
      </c>
      <c r="E37" s="27" t="s">
        <v>42</v>
      </c>
      <c r="F37" s="27">
        <v>398</v>
      </c>
      <c r="G37" s="82">
        <v>316</v>
      </c>
    </row>
    <row r="38" ht="14.25" customHeight="1">
      <c r="A38" s="97"/>
      <c r="B38" s="100"/>
      <c r="C38" s="73"/>
      <c r="D38" s="87"/>
      <c r="E38" s="27"/>
      <c r="F38" s="27"/>
      <c r="G38" s="82"/>
    </row>
    <row r="39" ht="14.25" customHeight="1">
      <c r="A39" s="98"/>
      <c r="B39" s="100" t="s">
        <v>83</v>
      </c>
      <c r="C39" s="73">
        <v>1623</v>
      </c>
      <c r="D39" s="74">
        <v>522.23773883608237</v>
      </c>
      <c r="E39" s="73" t="s">
        <v>42</v>
      </c>
      <c r="F39" s="73">
        <v>962</v>
      </c>
      <c r="G39" s="94">
        <v>661</v>
      </c>
    </row>
    <row r="40" ht="14.25" customHeight="1">
      <c r="A40" s="101"/>
      <c r="B40" s="86"/>
      <c r="C40" s="99"/>
      <c r="D40" s="87"/>
      <c r="E40" s="99"/>
      <c r="F40" s="79"/>
      <c r="G40" s="79"/>
    </row>
    <row r="41" ht="14.25" customHeight="1">
      <c r="A41" s="96" t="s">
        <v>64</v>
      </c>
      <c r="B41" s="86" t="s">
        <v>63</v>
      </c>
      <c r="C41" s="73">
        <v>267</v>
      </c>
      <c r="D41" s="74">
        <v>85.913417294660491</v>
      </c>
      <c r="E41" s="27">
        <v>1</v>
      </c>
      <c r="F41" s="80">
        <v>165</v>
      </c>
      <c r="G41" s="80">
        <v>102</v>
      </c>
    </row>
    <row r="42" ht="14.25" customHeight="1">
      <c r="A42" s="81" t="s">
        <v>62</v>
      </c>
      <c r="B42" s="86" t="s">
        <v>61</v>
      </c>
      <c r="C42" s="73">
        <v>255</v>
      </c>
      <c r="D42" s="74">
        <v>82.052140112877993</v>
      </c>
      <c r="E42" s="27">
        <v>2</v>
      </c>
      <c r="F42" s="80">
        <v>116</v>
      </c>
      <c r="G42" s="80">
        <v>139</v>
      </c>
    </row>
    <row r="43" ht="14.25" customHeight="1">
      <c r="A43" s="102" t="s">
        <v>70</v>
      </c>
      <c r="B43" s="86" t="s">
        <v>73</v>
      </c>
      <c r="C43" s="73">
        <v>185</v>
      </c>
      <c r="D43" s="74">
        <v>59.528023219146789</v>
      </c>
      <c r="E43" s="27">
        <v>3</v>
      </c>
      <c r="F43" s="80">
        <v>165</v>
      </c>
      <c r="G43" s="80">
        <v>20</v>
      </c>
    </row>
    <row r="44" ht="14.25" customHeight="1">
      <c r="A44" s="97" t="s">
        <v>77</v>
      </c>
      <c r="B44" s="86" t="s">
        <v>78</v>
      </c>
      <c r="C44" s="73">
        <v>137</v>
      </c>
      <c r="D44" s="74">
        <v>44.082914492016812</v>
      </c>
      <c r="E44" s="27">
        <v>4</v>
      </c>
      <c r="F44" s="80">
        <v>82</v>
      </c>
      <c r="G44" s="80">
        <v>55</v>
      </c>
    </row>
    <row r="45" ht="14.25" customHeight="1">
      <c r="A45" s="81" t="s">
        <v>66</v>
      </c>
      <c r="B45" s="86" t="s">
        <v>65</v>
      </c>
      <c r="C45" s="73">
        <v>109</v>
      </c>
      <c r="D45" s="74">
        <v>35.073267734524322</v>
      </c>
      <c r="E45" s="27">
        <v>5</v>
      </c>
      <c r="F45" s="80">
        <v>65</v>
      </c>
      <c r="G45" s="80">
        <v>44</v>
      </c>
    </row>
    <row r="46" ht="14.25" customHeight="1">
      <c r="A46" s="13"/>
      <c r="B46" s="88" t="s">
        <v>72</v>
      </c>
      <c r="C46" s="73">
        <v>670</v>
      </c>
      <c r="D46" s="74">
        <v>215.58797598285594</v>
      </c>
      <c r="E46" s="27" t="s">
        <v>42</v>
      </c>
      <c r="F46" s="80">
        <v>369</v>
      </c>
      <c r="G46" s="80">
        <v>301</v>
      </c>
    </row>
    <row r="47" ht="14.25" customHeight="1">
      <c r="A47" s="39" t="s">
        <v>48</v>
      </c>
      <c r="B47" s="40"/>
      <c r="C47" s="40"/>
      <c r="D47" s="40"/>
      <c r="E47" s="40"/>
      <c r="F47" s="40"/>
      <c r="G47" s="40"/>
    </row>
    <row r="48" ht="14.25" customHeight="1">
      <c r="A48" s="39" t="s">
        <v>49</v>
      </c>
      <c r="B48" s="40"/>
      <c r="C48" s="40"/>
      <c r="D48" s="40"/>
      <c r="E48" s="40"/>
      <c r="F48" s="40"/>
      <c r="G48" s="40"/>
    </row>
    <row r="49" ht="14.25" customHeight="1">
      <c r="A49" s="39" t="s">
        <v>50</v>
      </c>
      <c r="B49" s="40"/>
      <c r="C49" s="40"/>
      <c r="D49" s="40"/>
      <c r="E49" s="40"/>
      <c r="F49" s="40"/>
      <c r="G49" s="40"/>
    </row>
    <row r="50" ht="14.25" customHeight="1">
      <c r="A50" s="81"/>
      <c r="B50" s="13"/>
      <c r="C50" s="103"/>
      <c r="D50" s="13"/>
      <c r="E50" s="13"/>
      <c r="F50" s="103"/>
      <c r="G50" s="13"/>
    </row>
    <row r="51" ht="14.25" customHeight="1">
      <c r="A51" s="59" t="s">
        <v>51</v>
      </c>
      <c r="B51" s="60" t="s">
        <v>52</v>
      </c>
      <c r="C51" s="61" t="s">
        <v>53</v>
      </c>
      <c r="D51" s="12"/>
      <c r="E51" s="12"/>
      <c r="F51" s="12"/>
      <c r="G51" s="12"/>
    </row>
    <row r="52" ht="14.25" customHeight="1">
      <c r="A52" s="15"/>
      <c r="B52" s="62"/>
      <c r="C52" s="63" t="s">
        <v>54</v>
      </c>
      <c r="D52" s="64" t="s">
        <v>55</v>
      </c>
      <c r="E52" s="65" t="s">
        <v>56</v>
      </c>
      <c r="F52" s="63" t="s">
        <v>57</v>
      </c>
      <c r="G52" s="66" t="s">
        <v>58</v>
      </c>
    </row>
    <row r="53" ht="14.25" customHeight="1">
      <c r="A53" s="104"/>
      <c r="B53" s="105"/>
      <c r="C53" s="106"/>
      <c r="D53" s="107"/>
      <c r="E53" s="108"/>
      <c r="F53" s="106"/>
      <c r="G53" s="109"/>
    </row>
    <row r="54" ht="14.25" customHeight="1">
      <c r="A54" s="55"/>
      <c r="B54" s="110" t="s">
        <v>84</v>
      </c>
      <c r="C54" s="73">
        <v>2696</v>
      </c>
      <c r="D54" s="74">
        <v>572.56447721635118</v>
      </c>
      <c r="E54" s="73" t="s">
        <v>42</v>
      </c>
      <c r="F54" s="73">
        <v>1475</v>
      </c>
      <c r="G54" s="94">
        <v>1221</v>
      </c>
    </row>
    <row r="55" ht="14.25" customHeight="1">
      <c r="A55" s="55"/>
      <c r="B55" s="111"/>
      <c r="C55" s="27"/>
      <c r="D55" s="74"/>
      <c r="E55" s="73"/>
      <c r="F55" s="73"/>
      <c r="G55" s="76"/>
    </row>
    <row r="56" ht="14.25" customHeight="1">
      <c r="A56" s="81" t="s">
        <v>62</v>
      </c>
      <c r="B56" s="86" t="s">
        <v>61</v>
      </c>
      <c r="C56" s="73">
        <v>456</v>
      </c>
      <c r="D56" s="74">
        <v>96.843249855584631</v>
      </c>
      <c r="E56" s="27">
        <v>1</v>
      </c>
      <c r="F56" s="27">
        <v>221</v>
      </c>
      <c r="G56" s="83">
        <v>235</v>
      </c>
    </row>
    <row r="57" ht="14.25" customHeight="1">
      <c r="A57" s="97" t="s">
        <v>68</v>
      </c>
      <c r="B57" s="86" t="s">
        <v>67</v>
      </c>
      <c r="C57" s="73">
        <v>273</v>
      </c>
      <c r="D57" s="74">
        <v>57.97852458459343</v>
      </c>
      <c r="E57" s="27">
        <v>2</v>
      </c>
      <c r="F57" s="27">
        <v>138</v>
      </c>
      <c r="G57" s="83">
        <v>135</v>
      </c>
    </row>
    <row r="58" ht="14.25" customHeight="1">
      <c r="A58" s="81" t="s">
        <v>66</v>
      </c>
      <c r="B58" s="86" t="s">
        <v>65</v>
      </c>
      <c r="C58" s="73">
        <v>255</v>
      </c>
      <c r="D58" s="74">
        <v>54.155764721872977</v>
      </c>
      <c r="E58" s="27">
        <v>3</v>
      </c>
      <c r="F58" s="27">
        <v>131</v>
      </c>
      <c r="G58" s="83">
        <v>124</v>
      </c>
    </row>
    <row r="59" ht="14.25" customHeight="1">
      <c r="A59" s="81" t="s">
        <v>75</v>
      </c>
      <c r="B59" s="80" t="s">
        <v>76</v>
      </c>
      <c r="C59" s="73">
        <v>224</v>
      </c>
      <c r="D59" s="74">
        <v>47.572122736076658</v>
      </c>
      <c r="E59" s="86">
        <v>4</v>
      </c>
      <c r="F59" s="86">
        <v>111</v>
      </c>
      <c r="G59" s="83">
        <v>113</v>
      </c>
    </row>
    <row r="60" ht="14.25" customHeight="1">
      <c r="A60" s="81" t="s">
        <v>64</v>
      </c>
      <c r="B60" s="88" t="s">
        <v>63</v>
      </c>
      <c r="C60" s="73">
        <v>159</v>
      </c>
      <c r="D60" s="74">
        <v>33.767712120697276</v>
      </c>
      <c r="E60" s="27">
        <v>5</v>
      </c>
      <c r="F60" s="27">
        <v>97</v>
      </c>
      <c r="G60" s="83">
        <v>62</v>
      </c>
    </row>
    <row r="61" ht="14.25" customHeight="1">
      <c r="A61" s="81"/>
      <c r="B61" s="88" t="s">
        <v>72</v>
      </c>
      <c r="C61" s="73">
        <v>1329</v>
      </c>
      <c r="D61" s="74">
        <v>282.2471031975262</v>
      </c>
      <c r="E61" s="27" t="s">
        <v>42</v>
      </c>
      <c r="F61" s="27">
        <v>777</v>
      </c>
      <c r="G61" s="82">
        <v>552</v>
      </c>
    </row>
    <row r="62" ht="14.25" customHeight="1">
      <c r="A62" s="13"/>
      <c r="B62" s="86"/>
      <c r="C62" s="112"/>
      <c r="D62" s="74"/>
      <c r="E62" s="112"/>
      <c r="F62" s="112"/>
      <c r="G62" s="113"/>
    </row>
    <row r="63" ht="14.25" customHeight="1">
      <c r="A63" s="55"/>
      <c r="B63" s="88" t="s">
        <v>85</v>
      </c>
      <c r="C63" s="73">
        <v>204</v>
      </c>
      <c r="D63" s="74">
        <v>341.18276692534118</v>
      </c>
      <c r="E63" s="73" t="s">
        <v>42</v>
      </c>
      <c r="F63" s="73">
        <v>141</v>
      </c>
      <c r="G63" s="94">
        <v>63</v>
      </c>
    </row>
    <row r="64" ht="14.25" customHeight="1">
      <c r="A64" s="55"/>
      <c r="B64" s="95"/>
      <c r="C64" s="27"/>
      <c r="D64" s="74"/>
      <c r="E64" s="73"/>
      <c r="F64" s="73"/>
      <c r="G64" s="94"/>
    </row>
    <row r="65" ht="14.25" customHeight="1">
      <c r="A65" s="81" t="s">
        <v>70</v>
      </c>
      <c r="B65" s="86" t="s">
        <v>71</v>
      </c>
      <c r="C65" s="114"/>
      <c r="D65" s="87"/>
      <c r="E65" s="99"/>
      <c r="F65" s="99"/>
      <c r="G65" s="79"/>
    </row>
    <row r="66" ht="14.25" customHeight="1">
      <c r="A66" s="13"/>
      <c r="B66" s="86" t="s">
        <v>73</v>
      </c>
      <c r="C66" s="73">
        <v>28</v>
      </c>
      <c r="D66" s="74">
        <v>46.82900722504683</v>
      </c>
      <c r="E66" s="99">
        <v>1</v>
      </c>
      <c r="F66" s="99">
        <v>24</v>
      </c>
      <c r="G66" s="79">
        <v>4</v>
      </c>
    </row>
    <row r="67" ht="14.25" customHeight="1">
      <c r="A67" s="98" t="s">
        <v>62</v>
      </c>
      <c r="B67" s="100" t="s">
        <v>61</v>
      </c>
      <c r="C67" s="73">
        <v>23</v>
      </c>
      <c r="D67" s="74">
        <v>38.466684506288466</v>
      </c>
      <c r="E67" s="27">
        <v>2</v>
      </c>
      <c r="F67" s="27">
        <v>18</v>
      </c>
      <c r="G67" s="82">
        <v>5</v>
      </c>
    </row>
    <row r="68" ht="14.25" customHeight="1">
      <c r="A68" s="97" t="s">
        <v>68</v>
      </c>
      <c r="B68" s="86" t="s">
        <v>67</v>
      </c>
      <c r="C68" s="73">
        <v>19</v>
      </c>
      <c r="D68" s="74">
        <v>31.776826331281775</v>
      </c>
      <c r="E68" s="27">
        <v>3</v>
      </c>
      <c r="F68" s="27">
        <v>14</v>
      </c>
      <c r="G68" s="82">
        <v>5</v>
      </c>
    </row>
    <row r="69" ht="14.25" customHeight="1">
      <c r="A69" s="97" t="s">
        <v>77</v>
      </c>
      <c r="B69" s="86" t="s">
        <v>78</v>
      </c>
      <c r="C69" s="73">
        <v>13</v>
      </c>
      <c r="D69" s="74">
        <v>21.742039068771742</v>
      </c>
      <c r="E69" s="27">
        <v>4</v>
      </c>
      <c r="F69" s="27">
        <v>7</v>
      </c>
      <c r="G69" s="83">
        <v>6</v>
      </c>
    </row>
    <row r="70" ht="14.25" customHeight="1">
      <c r="A70" s="97" t="s">
        <v>64</v>
      </c>
      <c r="B70" s="86" t="s">
        <v>63</v>
      </c>
      <c r="C70" s="73">
        <v>13</v>
      </c>
      <c r="D70" s="74">
        <v>21.742039068771742</v>
      </c>
      <c r="E70" s="27">
        <v>4</v>
      </c>
      <c r="F70" s="27">
        <v>10</v>
      </c>
      <c r="G70" s="82">
        <v>3</v>
      </c>
    </row>
    <row r="71" ht="14.25" customHeight="1">
      <c r="A71" s="98" t="s">
        <v>66</v>
      </c>
      <c r="B71" s="100" t="s">
        <v>65</v>
      </c>
      <c r="C71" s="73">
        <v>13</v>
      </c>
      <c r="D71" s="74">
        <v>21.742039068771742</v>
      </c>
      <c r="E71" s="27">
        <v>4</v>
      </c>
      <c r="F71" s="27">
        <v>9</v>
      </c>
      <c r="G71" s="83">
        <v>4</v>
      </c>
    </row>
    <row r="72" ht="14.25" customHeight="1">
      <c r="A72" s="98" t="s">
        <v>75</v>
      </c>
      <c r="B72" s="100" t="s">
        <v>76</v>
      </c>
      <c r="C72" s="73">
        <v>8</v>
      </c>
      <c r="D72" s="74">
        <v>13.37971635001338</v>
      </c>
      <c r="E72" s="27">
        <v>5</v>
      </c>
      <c r="F72" s="27">
        <v>4</v>
      </c>
      <c r="G72" s="83">
        <v>4</v>
      </c>
    </row>
    <row r="73" ht="14.25" customHeight="1">
      <c r="A73" s="98" t="s">
        <v>86</v>
      </c>
      <c r="B73" s="100" t="s">
        <v>87</v>
      </c>
      <c r="C73" s="73"/>
      <c r="D73" s="87"/>
      <c r="E73" s="27"/>
      <c r="F73" s="13"/>
      <c r="G73" s="80"/>
    </row>
    <row r="74" ht="14.25" customHeight="1">
      <c r="A74" s="97"/>
      <c r="B74" s="100" t="s">
        <v>88</v>
      </c>
      <c r="C74" s="73">
        <v>8</v>
      </c>
      <c r="D74" s="74">
        <v>13.37971635001338</v>
      </c>
      <c r="E74" s="27">
        <v>5</v>
      </c>
      <c r="F74" s="99">
        <v>5</v>
      </c>
      <c r="G74" s="81">
        <v>3</v>
      </c>
    </row>
    <row r="75" ht="14.25" customHeight="1">
      <c r="A75" s="13"/>
      <c r="B75" s="88" t="s">
        <v>72</v>
      </c>
      <c r="C75" s="73">
        <v>79</v>
      </c>
      <c r="D75" s="74">
        <v>132.1246989563821</v>
      </c>
      <c r="E75" s="73" t="s">
        <v>42</v>
      </c>
      <c r="F75" s="99">
        <v>50</v>
      </c>
      <c r="G75" s="81">
        <v>29</v>
      </c>
    </row>
    <row r="76" ht="14.25" customHeight="1">
      <c r="A76" s="13"/>
      <c r="B76" s="86"/>
      <c r="C76" s="99"/>
      <c r="D76" s="87"/>
      <c r="E76" s="99"/>
      <c r="F76" s="99"/>
      <c r="G76" s="79"/>
    </row>
    <row r="77" ht="14.25" customHeight="1">
      <c r="A77" s="115"/>
      <c r="B77" s="100" t="s">
        <v>89</v>
      </c>
      <c r="C77" s="73">
        <v>785</v>
      </c>
      <c r="D77" s="74">
        <v>659.32035410122455</v>
      </c>
      <c r="E77" s="73" t="s">
        <v>42</v>
      </c>
      <c r="F77" s="73">
        <v>409</v>
      </c>
      <c r="G77" s="94">
        <v>376</v>
      </c>
    </row>
    <row r="78" ht="14.25" customHeight="1">
      <c r="A78" s="55"/>
      <c r="B78" s="95"/>
      <c r="C78" s="27"/>
      <c r="D78" s="74"/>
      <c r="E78" s="73"/>
      <c r="F78" s="73"/>
      <c r="G78" s="94"/>
    </row>
    <row r="79" ht="14.25" customHeight="1">
      <c r="A79" s="81" t="s">
        <v>62</v>
      </c>
      <c r="B79" s="86" t="s">
        <v>61</v>
      </c>
      <c r="C79" s="73">
        <v>143</v>
      </c>
      <c r="D79" s="74">
        <v>120.10549125665621</v>
      </c>
      <c r="E79" s="27">
        <v>1</v>
      </c>
      <c r="F79" s="27">
        <v>72</v>
      </c>
      <c r="G79" s="82">
        <v>71</v>
      </c>
    </row>
    <row r="80" ht="14.25" customHeight="1">
      <c r="A80" s="96" t="s">
        <v>66</v>
      </c>
      <c r="B80" s="86" t="s">
        <v>65</v>
      </c>
      <c r="C80" s="73">
        <v>76</v>
      </c>
      <c r="D80" s="74">
        <v>63.832289059481617</v>
      </c>
      <c r="E80" s="27">
        <v>2</v>
      </c>
      <c r="F80" s="27">
        <v>40</v>
      </c>
      <c r="G80" s="82">
        <v>36</v>
      </c>
    </row>
    <row r="81" ht="14.25" customHeight="1">
      <c r="A81" s="97" t="s">
        <v>68</v>
      </c>
      <c r="B81" s="86" t="s">
        <v>67</v>
      </c>
      <c r="C81" s="73">
        <v>73</v>
      </c>
      <c r="D81" s="74">
        <v>61.312593438712604</v>
      </c>
      <c r="E81" s="27">
        <v>3</v>
      </c>
      <c r="F81" s="27">
        <v>37</v>
      </c>
      <c r="G81" s="82">
        <v>36</v>
      </c>
    </row>
    <row r="82" ht="14.25" customHeight="1">
      <c r="A82" s="96" t="s">
        <v>64</v>
      </c>
      <c r="B82" s="86" t="s">
        <v>63</v>
      </c>
      <c r="C82" s="73">
        <v>58</v>
      </c>
      <c r="D82" s="74">
        <v>48.714115334867543</v>
      </c>
      <c r="E82" s="27">
        <v>4</v>
      </c>
      <c r="F82" s="27">
        <v>36</v>
      </c>
      <c r="G82" s="83">
        <v>22</v>
      </c>
    </row>
    <row r="83" ht="14.25" customHeight="1">
      <c r="A83" s="81" t="s">
        <v>75</v>
      </c>
      <c r="B83" s="86" t="s">
        <v>76</v>
      </c>
      <c r="C83" s="73">
        <v>56</v>
      </c>
      <c r="D83" s="74">
        <v>47.034318254354879</v>
      </c>
      <c r="E83" s="27">
        <v>5</v>
      </c>
      <c r="F83" s="27">
        <v>17</v>
      </c>
      <c r="G83" s="82">
        <v>39</v>
      </c>
    </row>
    <row r="84" ht="14.25" customHeight="1">
      <c r="A84" s="13"/>
      <c r="B84" s="88" t="s">
        <v>72</v>
      </c>
      <c r="C84" s="73">
        <v>379</v>
      </c>
      <c r="D84" s="74">
        <v>318.32154675715174</v>
      </c>
      <c r="E84" s="73" t="s">
        <v>42</v>
      </c>
      <c r="F84" s="27">
        <v>207</v>
      </c>
      <c r="G84" s="82">
        <v>172</v>
      </c>
    </row>
    <row r="85" ht="14.25" customHeight="1">
      <c r="A85" s="13"/>
      <c r="B85" s="88"/>
      <c r="C85" s="73"/>
      <c r="D85" s="74"/>
      <c r="E85" s="27"/>
      <c r="F85" s="27"/>
      <c r="G85" s="82"/>
    </row>
    <row r="86" ht="14.25" customHeight="1">
      <c r="A86" s="55"/>
      <c r="B86" s="88" t="s">
        <v>90</v>
      </c>
      <c r="C86" s="73">
        <v>785</v>
      </c>
      <c r="D86" s="74">
        <v>822.23921400215784</v>
      </c>
      <c r="E86" s="73" t="s">
        <v>42</v>
      </c>
      <c r="F86" s="73">
        <v>444</v>
      </c>
      <c r="G86" s="94">
        <v>341</v>
      </c>
    </row>
    <row r="87" ht="14.25" customHeight="1">
      <c r="A87" s="55"/>
      <c r="B87" s="95"/>
      <c r="C87" s="27"/>
      <c r="D87" s="74"/>
      <c r="E87" s="73"/>
      <c r="F87" s="73"/>
      <c r="G87" s="94"/>
    </row>
    <row r="88" ht="14.25" customHeight="1">
      <c r="A88" s="81" t="s">
        <v>62</v>
      </c>
      <c r="B88" s="88" t="s">
        <v>61</v>
      </c>
      <c r="C88" s="73">
        <v>126</v>
      </c>
      <c r="D88" s="74">
        <v>131.97724963601513</v>
      </c>
      <c r="E88" s="27">
        <v>1</v>
      </c>
      <c r="F88" s="27">
        <v>67</v>
      </c>
      <c r="G88" s="82">
        <v>59</v>
      </c>
    </row>
    <row r="89" ht="14.25" customHeight="1">
      <c r="A89" s="96" t="s">
        <v>66</v>
      </c>
      <c r="B89" s="80" t="s">
        <v>65</v>
      </c>
      <c r="C89" s="73">
        <v>100</v>
      </c>
      <c r="D89" s="74">
        <v>104.74384891747232</v>
      </c>
      <c r="E89" s="27">
        <v>2</v>
      </c>
      <c r="F89" s="27">
        <v>64</v>
      </c>
      <c r="G89" s="82">
        <v>36</v>
      </c>
    </row>
    <row r="90" ht="14.25" customHeight="1">
      <c r="A90" s="97" t="s">
        <v>68</v>
      </c>
      <c r="B90" s="86" t="s">
        <v>67</v>
      </c>
      <c r="C90" s="73">
        <v>90</v>
      </c>
      <c r="D90" s="74">
        <v>94.269464025725085</v>
      </c>
      <c r="E90" s="27">
        <v>3</v>
      </c>
      <c r="F90" s="27">
        <v>39</v>
      </c>
      <c r="G90" s="82">
        <v>51</v>
      </c>
    </row>
    <row r="91" ht="14.25" customHeight="1">
      <c r="A91" s="81" t="s">
        <v>64</v>
      </c>
      <c r="B91" s="88" t="s">
        <v>63</v>
      </c>
      <c r="C91" s="73">
        <v>83</v>
      </c>
      <c r="D91" s="74">
        <v>86.937394601502021</v>
      </c>
      <c r="E91" s="27">
        <v>4</v>
      </c>
      <c r="F91" s="27">
        <v>59</v>
      </c>
      <c r="G91" s="82">
        <v>24</v>
      </c>
    </row>
    <row r="92" ht="14.25" customHeight="1">
      <c r="A92" s="81" t="s">
        <v>70</v>
      </c>
      <c r="B92" s="86" t="s">
        <v>71</v>
      </c>
      <c r="C92" s="73"/>
      <c r="D92" s="74"/>
      <c r="E92" s="80"/>
      <c r="F92" s="80"/>
      <c r="G92" s="80"/>
    </row>
    <row r="93" ht="14.25" customHeight="1">
      <c r="A93" s="13"/>
      <c r="B93" s="86" t="s">
        <v>73</v>
      </c>
      <c r="C93" s="73">
        <v>63</v>
      </c>
      <c r="D93" s="74">
        <v>65.988624818007565</v>
      </c>
      <c r="E93" s="27">
        <v>5</v>
      </c>
      <c r="F93" s="82">
        <v>50</v>
      </c>
      <c r="G93" s="82">
        <v>13</v>
      </c>
    </row>
    <row r="94" ht="14.25" customHeight="1">
      <c r="A94" s="81" t="s">
        <v>75</v>
      </c>
      <c r="B94" s="86" t="s">
        <v>76</v>
      </c>
      <c r="C94" s="73">
        <v>63</v>
      </c>
      <c r="D94" s="74">
        <v>65.988624818007565</v>
      </c>
      <c r="E94" s="82">
        <v>5</v>
      </c>
      <c r="F94" s="82">
        <v>28</v>
      </c>
      <c r="G94" s="82">
        <v>35</v>
      </c>
    </row>
    <row r="95" ht="14.25" customHeight="1">
      <c r="A95" s="81"/>
      <c r="B95" s="88" t="s">
        <v>72</v>
      </c>
      <c r="C95" s="73">
        <v>260</v>
      </c>
      <c r="D95" s="74">
        <v>272.33400718542805</v>
      </c>
      <c r="E95" s="94" t="s">
        <v>42</v>
      </c>
      <c r="F95" s="82">
        <v>137</v>
      </c>
      <c r="G95" s="82">
        <v>123</v>
      </c>
    </row>
    <row r="96" ht="14.25" customHeight="1">
      <c r="A96" s="39" t="s">
        <v>48</v>
      </c>
      <c r="B96" s="40"/>
      <c r="C96" s="40"/>
      <c r="D96" s="40"/>
      <c r="E96" s="40"/>
      <c r="F96" s="40"/>
      <c r="G96" s="40"/>
    </row>
    <row r="97" ht="14.25" customHeight="1">
      <c r="A97" s="39" t="s">
        <v>49</v>
      </c>
      <c r="B97" s="40"/>
      <c r="C97" s="40"/>
      <c r="D97" s="40"/>
      <c r="E97" s="40"/>
      <c r="F97" s="40"/>
      <c r="G97" s="40"/>
    </row>
    <row r="98" ht="14.25" customHeight="1">
      <c r="A98" s="39" t="s">
        <v>50</v>
      </c>
      <c r="B98" s="40"/>
      <c r="C98" s="40"/>
      <c r="D98" s="40"/>
      <c r="E98" s="40"/>
      <c r="F98" s="40"/>
      <c r="G98" s="40"/>
    </row>
    <row r="99" ht="14.25" customHeight="1">
      <c r="A99" s="13"/>
      <c r="B99" s="13"/>
      <c r="C99" s="103"/>
      <c r="D99" s="116"/>
      <c r="E99" s="13"/>
      <c r="F99" s="103"/>
      <c r="G99" s="13"/>
    </row>
    <row r="100" ht="14.25" customHeight="1">
      <c r="A100" s="59" t="s">
        <v>51</v>
      </c>
      <c r="B100" s="60" t="s">
        <v>52</v>
      </c>
      <c r="C100" s="61" t="s">
        <v>53</v>
      </c>
      <c r="D100" s="12"/>
      <c r="E100" s="12"/>
      <c r="F100" s="12"/>
      <c r="G100" s="12"/>
    </row>
    <row r="101" ht="14.25" customHeight="1">
      <c r="A101" s="15"/>
      <c r="B101" s="62"/>
      <c r="C101" s="63" t="s">
        <v>54</v>
      </c>
      <c r="D101" s="64" t="s">
        <v>55</v>
      </c>
      <c r="E101" s="65" t="s">
        <v>56</v>
      </c>
      <c r="F101" s="63" t="s">
        <v>57</v>
      </c>
      <c r="G101" s="66" t="s">
        <v>58</v>
      </c>
    </row>
    <row r="102" ht="14.25" customHeight="1">
      <c r="A102" s="81"/>
      <c r="B102" s="88"/>
      <c r="C102" s="117"/>
      <c r="D102" s="118"/>
      <c r="E102" s="23"/>
      <c r="F102" s="117"/>
      <c r="G102" s="103"/>
    </row>
    <row r="103" ht="14.25" customHeight="1">
      <c r="A103" s="55"/>
      <c r="B103" s="88" t="s">
        <v>91</v>
      </c>
      <c r="C103" s="73">
        <v>8095</v>
      </c>
      <c r="D103" s="74">
        <v>472.20577555204909</v>
      </c>
      <c r="E103" s="73" t="s">
        <v>42</v>
      </c>
      <c r="F103" s="73">
        <v>4334</v>
      </c>
      <c r="G103" s="76">
        <v>3761</v>
      </c>
    </row>
    <row r="104" ht="14.25" customHeight="1">
      <c r="A104" s="13"/>
      <c r="B104" s="86"/>
      <c r="C104" s="27"/>
      <c r="D104" s="74"/>
      <c r="E104" s="73"/>
      <c r="F104" s="73"/>
      <c r="G104" s="76"/>
    </row>
    <row r="105" ht="14.25" customHeight="1">
      <c r="A105" s="81" t="s">
        <v>62</v>
      </c>
      <c r="B105" s="86" t="s">
        <v>61</v>
      </c>
      <c r="C105" s="73">
        <v>1476</v>
      </c>
      <c r="D105" s="74">
        <v>86.099533627526185</v>
      </c>
      <c r="E105" s="27">
        <v>1</v>
      </c>
      <c r="F105" s="27">
        <v>694</v>
      </c>
      <c r="G105" s="83">
        <v>782</v>
      </c>
    </row>
    <row r="106" ht="14.25" customHeight="1">
      <c r="A106" s="96" t="s">
        <v>64</v>
      </c>
      <c r="B106" s="86" t="s">
        <v>63</v>
      </c>
      <c r="C106" s="73">
        <v>1034</v>
      </c>
      <c r="D106" s="74">
        <v>60.316339953158582</v>
      </c>
      <c r="E106" s="27">
        <v>2</v>
      </c>
      <c r="F106" s="27">
        <v>573</v>
      </c>
      <c r="G106" s="83">
        <v>461</v>
      </c>
    </row>
    <row r="107" ht="14.25" customHeight="1">
      <c r="A107" s="96" t="s">
        <v>66</v>
      </c>
      <c r="B107" s="88" t="s">
        <v>65</v>
      </c>
      <c r="C107" s="73">
        <v>703</v>
      </c>
      <c r="D107" s="74">
        <v>41.008111206064299</v>
      </c>
      <c r="E107" s="27">
        <v>3</v>
      </c>
      <c r="F107" s="27">
        <v>380</v>
      </c>
      <c r="G107" s="83">
        <v>323</v>
      </c>
    </row>
    <row r="108" ht="14.25" customHeight="1">
      <c r="A108" s="81" t="s">
        <v>68</v>
      </c>
      <c r="B108" s="86" t="s">
        <v>67</v>
      </c>
      <c r="C108" s="73">
        <v>633</v>
      </c>
      <c r="D108" s="74">
        <v>36.92479999066672</v>
      </c>
      <c r="E108" s="27">
        <v>4</v>
      </c>
      <c r="F108" s="27">
        <v>328</v>
      </c>
      <c r="G108" s="83">
        <v>305</v>
      </c>
    </row>
    <row r="109" ht="14.25" customHeight="1">
      <c r="A109" s="81" t="s">
        <v>70</v>
      </c>
      <c r="B109" s="86" t="s">
        <v>71</v>
      </c>
      <c r="C109" s="73"/>
      <c r="D109" s="74"/>
      <c r="E109" s="27"/>
      <c r="F109" s="13"/>
      <c r="G109" s="80"/>
    </row>
    <row r="110" ht="14.25" customHeight="1">
      <c r="A110" s="13"/>
      <c r="B110" s="86" t="s">
        <v>73</v>
      </c>
      <c r="C110" s="73">
        <v>584</v>
      </c>
      <c r="D110" s="74">
        <v>34.066482139888407</v>
      </c>
      <c r="E110" s="27">
        <v>5</v>
      </c>
      <c r="F110" s="27">
        <v>498</v>
      </c>
      <c r="G110" s="83">
        <v>86</v>
      </c>
    </row>
    <row r="111" ht="14.25" customHeight="1">
      <c r="A111" s="81"/>
      <c r="B111" s="88" t="s">
        <v>72</v>
      </c>
      <c r="C111" s="73">
        <v>3665</v>
      </c>
      <c r="D111" s="74">
        <v>213.7905086347449</v>
      </c>
      <c r="E111" s="27" t="s">
        <v>42</v>
      </c>
      <c r="F111" s="103">
        <v>1861</v>
      </c>
      <c r="G111" s="89">
        <v>1804</v>
      </c>
    </row>
    <row r="112" ht="14.25" customHeight="1">
      <c r="A112" s="13"/>
      <c r="B112" s="86"/>
      <c r="C112" s="27"/>
      <c r="D112" s="74"/>
      <c r="E112" s="27"/>
      <c r="F112" s="27"/>
      <c r="G112" s="83"/>
    </row>
    <row r="113" ht="14.25" customHeight="1">
      <c r="A113" s="55"/>
      <c r="B113" s="88" t="s">
        <v>92</v>
      </c>
      <c r="C113" s="73">
        <v>3173</v>
      </c>
      <c r="D113" s="74">
        <v>481.17459373881604</v>
      </c>
      <c r="E113" s="73" t="s">
        <v>42</v>
      </c>
      <c r="F113" s="73">
        <v>1795</v>
      </c>
      <c r="G113" s="76">
        <v>1378</v>
      </c>
    </row>
    <row r="114" ht="14.25" customHeight="1">
      <c r="A114" s="55"/>
      <c r="B114" s="95"/>
      <c r="C114" s="119"/>
      <c r="D114" s="74"/>
      <c r="E114" s="73"/>
      <c r="F114" s="73"/>
      <c r="G114" s="76"/>
    </row>
    <row r="115" ht="14.25" customHeight="1">
      <c r="A115" s="96" t="s">
        <v>62</v>
      </c>
      <c r="B115" s="88" t="s">
        <v>61</v>
      </c>
      <c r="C115" s="115">
        <v>586</v>
      </c>
      <c r="D115" s="74">
        <v>88.86489503023833</v>
      </c>
      <c r="E115" s="99">
        <v>1</v>
      </c>
      <c r="F115" s="99">
        <v>306</v>
      </c>
      <c r="G115" s="79">
        <v>280</v>
      </c>
    </row>
    <row r="116" ht="14.25" customHeight="1">
      <c r="A116" s="96" t="s">
        <v>64</v>
      </c>
      <c r="B116" s="86" t="s">
        <v>63</v>
      </c>
      <c r="C116" s="120">
        <v>355</v>
      </c>
      <c r="D116" s="74">
        <v>53.834535385212639</v>
      </c>
      <c r="E116" s="27">
        <v>2</v>
      </c>
      <c r="F116" s="27">
        <v>215</v>
      </c>
      <c r="G116" s="83">
        <v>140</v>
      </c>
    </row>
    <row r="117" ht="14.25" customHeight="1">
      <c r="A117" s="96" t="s">
        <v>66</v>
      </c>
      <c r="B117" s="88" t="s">
        <v>65</v>
      </c>
      <c r="C117" s="120">
        <v>316</v>
      </c>
      <c r="D117" s="74">
        <v>47.920318821766749</v>
      </c>
      <c r="E117" s="27">
        <v>3</v>
      </c>
      <c r="F117" s="27">
        <v>188</v>
      </c>
      <c r="G117" s="83">
        <v>128</v>
      </c>
    </row>
    <row r="118" ht="14.25" customHeight="1">
      <c r="A118" s="97" t="s">
        <v>75</v>
      </c>
      <c r="B118" s="86" t="s">
        <v>76</v>
      </c>
      <c r="C118" s="120">
        <v>214</v>
      </c>
      <c r="D118" s="74">
        <v>32.452367809677476</v>
      </c>
      <c r="E118" s="27">
        <v>4</v>
      </c>
      <c r="F118" s="27">
        <v>108</v>
      </c>
      <c r="G118" s="83">
        <v>106</v>
      </c>
    </row>
    <row r="119" ht="14.25" customHeight="1">
      <c r="A119" s="81" t="s">
        <v>68</v>
      </c>
      <c r="B119" s="86" t="s">
        <v>67</v>
      </c>
      <c r="C119" s="120">
        <v>193</v>
      </c>
      <c r="D119" s="74">
        <v>29.267789660129687</v>
      </c>
      <c r="E119" s="27">
        <v>5</v>
      </c>
      <c r="F119" s="27">
        <v>108</v>
      </c>
      <c r="G119" s="83">
        <v>85</v>
      </c>
    </row>
    <row r="120" ht="14.25" customHeight="1">
      <c r="A120" s="81"/>
      <c r="B120" s="88" t="s">
        <v>72</v>
      </c>
      <c r="C120" s="120">
        <v>1509</v>
      </c>
      <c r="D120" s="74">
        <v>228.83468703179122</v>
      </c>
      <c r="E120" s="27" t="s">
        <v>42</v>
      </c>
      <c r="F120" s="27">
        <v>870</v>
      </c>
      <c r="G120" s="83">
        <v>639</v>
      </c>
    </row>
    <row r="121" ht="14.25" customHeight="1">
      <c r="A121" s="104"/>
      <c r="B121" s="105"/>
      <c r="C121" s="27"/>
      <c r="D121" s="74"/>
      <c r="E121" s="27"/>
      <c r="F121" s="27"/>
      <c r="G121" s="121"/>
    </row>
    <row r="122" ht="14.25" customHeight="1">
      <c r="A122" s="55"/>
      <c r="B122" s="110" t="s">
        <v>93</v>
      </c>
      <c r="C122" s="73">
        <v>1391</v>
      </c>
      <c r="D122" s="74">
        <v>556.40222560890243</v>
      </c>
      <c r="E122" s="73" t="s">
        <v>42</v>
      </c>
      <c r="F122" s="73">
        <v>845</v>
      </c>
      <c r="G122" s="76">
        <v>546</v>
      </c>
    </row>
    <row r="123" ht="14.25" customHeight="1">
      <c r="A123" s="55"/>
      <c r="B123" s="111"/>
      <c r="C123" s="27"/>
      <c r="D123" s="122"/>
      <c r="E123" s="73"/>
      <c r="F123" s="73"/>
      <c r="G123" s="76"/>
    </row>
    <row r="124" ht="14.25" customHeight="1">
      <c r="A124" s="81" t="s">
        <v>62</v>
      </c>
      <c r="B124" s="80" t="s">
        <v>61</v>
      </c>
      <c r="C124" s="73">
        <v>221</v>
      </c>
      <c r="D124" s="74">
        <v>88.400353601414409</v>
      </c>
      <c r="E124" s="27">
        <v>1</v>
      </c>
      <c r="F124" s="27">
        <v>122</v>
      </c>
      <c r="G124" s="83">
        <v>99</v>
      </c>
    </row>
    <row r="125" ht="14.25" customHeight="1">
      <c r="A125" s="97" t="s">
        <v>68</v>
      </c>
      <c r="B125" s="86" t="s">
        <v>67</v>
      </c>
      <c r="C125" s="73">
        <v>171</v>
      </c>
      <c r="D125" s="74">
        <v>68.400273601094398</v>
      </c>
      <c r="E125" s="27">
        <v>2</v>
      </c>
      <c r="F125" s="27">
        <v>100</v>
      </c>
      <c r="G125" s="83">
        <v>71</v>
      </c>
    </row>
    <row r="126" ht="14.25" customHeight="1">
      <c r="A126" s="81" t="s">
        <v>70</v>
      </c>
      <c r="B126" s="86" t="s">
        <v>71</v>
      </c>
      <c r="C126" s="73"/>
      <c r="D126" s="74"/>
      <c r="E126" s="27"/>
      <c r="F126" s="56"/>
      <c r="G126" s="123"/>
    </row>
    <row r="127" ht="14.25" customHeight="1">
      <c r="A127" s="13"/>
      <c r="B127" s="86" t="s">
        <v>73</v>
      </c>
      <c r="C127" s="73">
        <v>119</v>
      </c>
      <c r="D127" s="74">
        <v>47.600190400761605</v>
      </c>
      <c r="E127" s="27">
        <v>3</v>
      </c>
      <c r="F127" s="27">
        <v>102</v>
      </c>
      <c r="G127" s="83">
        <v>17</v>
      </c>
    </row>
    <row r="128" ht="14.25" customHeight="1">
      <c r="A128" s="96" t="s">
        <v>66</v>
      </c>
      <c r="B128" s="88" t="s">
        <v>65</v>
      </c>
      <c r="C128" s="73">
        <v>115</v>
      </c>
      <c r="D128" s="74">
        <v>46.000184000736006</v>
      </c>
      <c r="E128" s="27">
        <v>4</v>
      </c>
      <c r="F128" s="27">
        <v>75</v>
      </c>
      <c r="G128" s="82">
        <v>40</v>
      </c>
    </row>
    <row r="129" ht="14.25" customHeight="1">
      <c r="A129" s="97" t="s">
        <v>75</v>
      </c>
      <c r="B129" s="86" t="s">
        <v>76</v>
      </c>
      <c r="C129" s="73">
        <v>88</v>
      </c>
      <c r="D129" s="74">
        <v>35.200140800563197</v>
      </c>
      <c r="E129" s="27">
        <v>5</v>
      </c>
      <c r="F129" s="27">
        <v>37</v>
      </c>
      <c r="G129" s="83">
        <v>51</v>
      </c>
    </row>
    <row r="130" ht="14.25" customHeight="1">
      <c r="A130" s="81"/>
      <c r="B130" s="88" t="s">
        <v>72</v>
      </c>
      <c r="C130" s="73">
        <v>677</v>
      </c>
      <c r="D130" s="74">
        <v>270.80108320433283</v>
      </c>
      <c r="E130" s="27" t="s">
        <v>42</v>
      </c>
      <c r="F130" s="99">
        <v>409</v>
      </c>
      <c r="G130" s="81">
        <v>268</v>
      </c>
    </row>
    <row r="131" ht="14.25" customHeight="1">
      <c r="A131" s="81"/>
      <c r="B131" s="88"/>
      <c r="C131" s="73"/>
      <c r="D131" s="74"/>
      <c r="E131" s="27"/>
      <c r="F131" s="27"/>
      <c r="G131" s="82"/>
    </row>
    <row r="132" ht="14.25" customHeight="1">
      <c r="A132" s="55"/>
      <c r="B132" s="88" t="s">
        <v>94</v>
      </c>
      <c r="C132" s="73">
        <v>69</v>
      </c>
      <c r="D132" s="74">
        <v>136.00346907399376</v>
      </c>
      <c r="E132" s="73" t="s">
        <v>42</v>
      </c>
      <c r="F132" s="73">
        <v>36</v>
      </c>
      <c r="G132" s="94">
        <v>33</v>
      </c>
    </row>
    <row r="133" ht="14.25" customHeight="1">
      <c r="A133" s="55"/>
      <c r="B133" s="88"/>
      <c r="C133" s="73"/>
      <c r="D133" s="74"/>
      <c r="E133" s="73"/>
      <c r="F133" s="73"/>
      <c r="G133" s="76"/>
    </row>
    <row r="134" ht="14.25" customHeight="1">
      <c r="A134" s="98" t="s">
        <v>86</v>
      </c>
      <c r="B134" s="100" t="s">
        <v>87</v>
      </c>
      <c r="C134" s="27"/>
      <c r="D134" s="74"/>
      <c r="E134" s="27"/>
      <c r="F134" s="73"/>
      <c r="G134" s="76"/>
    </row>
    <row r="135" ht="14.25" customHeight="1">
      <c r="A135" s="97"/>
      <c r="B135" s="100" t="s">
        <v>88</v>
      </c>
      <c r="C135" s="73">
        <v>5</v>
      </c>
      <c r="D135" s="74">
        <v>9.8553238459415784</v>
      </c>
      <c r="E135" s="27">
        <v>1</v>
      </c>
      <c r="F135" s="27">
        <v>3</v>
      </c>
      <c r="G135" s="83">
        <v>2</v>
      </c>
    </row>
    <row r="136" ht="14.25" customHeight="1">
      <c r="A136" s="124" t="s">
        <v>62</v>
      </c>
      <c r="B136" s="80" t="s">
        <v>61</v>
      </c>
      <c r="C136" s="73">
        <v>3</v>
      </c>
      <c r="D136" s="74">
        <v>5.9131943075649467</v>
      </c>
      <c r="E136" s="27">
        <v>2</v>
      </c>
      <c r="F136" s="27">
        <v>1</v>
      </c>
      <c r="G136" s="83">
        <v>2</v>
      </c>
    </row>
    <row r="137" ht="14.25" customHeight="1">
      <c r="A137" s="81" t="s">
        <v>95</v>
      </c>
      <c r="B137" s="86" t="s">
        <v>96</v>
      </c>
      <c r="C137" s="73">
        <v>3</v>
      </c>
      <c r="D137" s="74">
        <v>5.9131943075649467</v>
      </c>
      <c r="E137" s="27">
        <v>2</v>
      </c>
      <c r="F137" s="27">
        <v>1</v>
      </c>
      <c r="G137" s="83">
        <v>2</v>
      </c>
    </row>
    <row r="138" ht="14.25" customHeight="1">
      <c r="A138" s="97" t="s">
        <v>68</v>
      </c>
      <c r="B138" s="86" t="s">
        <v>67</v>
      </c>
      <c r="C138" s="73">
        <v>3</v>
      </c>
      <c r="D138" s="74">
        <v>5.9131943075649467</v>
      </c>
      <c r="E138" s="27">
        <v>2</v>
      </c>
      <c r="F138" s="27">
        <v>3</v>
      </c>
      <c r="G138" s="83" t="s">
        <v>97</v>
      </c>
    </row>
    <row r="139" ht="14.25" customHeight="1">
      <c r="A139" s="96" t="s">
        <v>98</v>
      </c>
      <c r="B139" s="86" t="s">
        <v>99</v>
      </c>
      <c r="C139" s="73"/>
      <c r="D139" s="74"/>
      <c r="E139" s="27"/>
      <c r="F139" s="13"/>
      <c r="G139" s="80"/>
    </row>
    <row r="140" ht="14.25" customHeight="1">
      <c r="A140" s="96"/>
      <c r="B140" s="86" t="s">
        <v>100</v>
      </c>
      <c r="C140" s="73">
        <v>3</v>
      </c>
      <c r="D140" s="74">
        <v>5.9131943075649467</v>
      </c>
      <c r="E140" s="27">
        <v>2</v>
      </c>
      <c r="F140" s="27">
        <v>2</v>
      </c>
      <c r="G140" s="83">
        <v>1</v>
      </c>
    </row>
    <row r="141" ht="14.25" customHeight="1">
      <c r="A141" s="96" t="s">
        <v>70</v>
      </c>
      <c r="B141" s="86" t="s">
        <v>71</v>
      </c>
      <c r="C141" s="73"/>
      <c r="D141" s="74"/>
      <c r="E141" s="27"/>
      <c r="F141" s="13"/>
      <c r="G141" s="80"/>
    </row>
    <row r="142" ht="14.25" customHeight="1">
      <c r="A142" s="81"/>
      <c r="B142" s="86" t="s">
        <v>73</v>
      </c>
      <c r="C142" s="73">
        <v>3</v>
      </c>
      <c r="D142" s="74">
        <v>5.9131943075649467</v>
      </c>
      <c r="E142" s="27">
        <v>2</v>
      </c>
      <c r="F142" s="27">
        <v>1</v>
      </c>
      <c r="G142" s="83">
        <v>2</v>
      </c>
    </row>
    <row r="143" ht="14.25" customHeight="1">
      <c r="A143" s="96" t="s">
        <v>101</v>
      </c>
      <c r="B143" s="86" t="s">
        <v>102</v>
      </c>
      <c r="C143" s="73"/>
      <c r="D143" s="74"/>
      <c r="E143" s="27"/>
      <c r="F143" s="13"/>
      <c r="G143" s="80"/>
    </row>
    <row r="144" ht="14.25" customHeight="1">
      <c r="A144" s="81"/>
      <c r="B144" s="86" t="s">
        <v>103</v>
      </c>
      <c r="C144" s="73">
        <v>2</v>
      </c>
      <c r="D144" s="74">
        <v>3.9421295383766308</v>
      </c>
      <c r="E144" s="27">
        <v>3</v>
      </c>
      <c r="F144" s="27">
        <v>1</v>
      </c>
      <c r="G144" s="83">
        <v>1</v>
      </c>
    </row>
    <row r="145" ht="14.25" customHeight="1">
      <c r="A145" s="96" t="s">
        <v>104</v>
      </c>
      <c r="B145" s="86" t="s">
        <v>105</v>
      </c>
      <c r="C145" s="73">
        <v>2</v>
      </c>
      <c r="D145" s="74">
        <v>3.9421295383766308</v>
      </c>
      <c r="E145" s="27">
        <v>3</v>
      </c>
      <c r="F145" s="27">
        <v>1</v>
      </c>
      <c r="G145" s="83">
        <v>1</v>
      </c>
    </row>
    <row r="146" ht="14.25" customHeight="1">
      <c r="A146" s="81"/>
      <c r="B146" s="88" t="s">
        <v>72</v>
      </c>
      <c r="C146" s="73">
        <v>45</v>
      </c>
      <c r="D146" s="74">
        <v>88.697914613474197</v>
      </c>
      <c r="E146" s="27" t="s">
        <v>42</v>
      </c>
      <c r="F146" s="27">
        <v>23</v>
      </c>
      <c r="G146" s="83">
        <v>22</v>
      </c>
    </row>
    <row r="147" ht="14.25" customHeight="1">
      <c r="A147" s="39" t="s">
        <v>48</v>
      </c>
      <c r="B147" s="40"/>
      <c r="C147" s="40"/>
      <c r="D147" s="40"/>
      <c r="E147" s="40"/>
      <c r="F147" s="40"/>
      <c r="G147" s="40"/>
    </row>
    <row r="148" ht="14.25" customHeight="1">
      <c r="A148" s="39" t="s">
        <v>49</v>
      </c>
      <c r="B148" s="40"/>
      <c r="C148" s="40"/>
      <c r="D148" s="40"/>
      <c r="E148" s="40"/>
      <c r="F148" s="40"/>
      <c r="G148" s="40"/>
    </row>
    <row r="149" ht="14.25" customHeight="1">
      <c r="A149" s="39" t="s">
        <v>50</v>
      </c>
      <c r="B149" s="40"/>
      <c r="C149" s="40"/>
      <c r="D149" s="40"/>
      <c r="E149" s="40"/>
      <c r="F149" s="40"/>
      <c r="G149" s="40"/>
    </row>
    <row r="150" ht="14.25" customHeight="1">
      <c r="A150" s="13"/>
      <c r="B150" s="13"/>
      <c r="C150" s="103"/>
      <c r="D150" s="116"/>
      <c r="E150" s="13"/>
      <c r="F150" s="103"/>
      <c r="G150" s="13"/>
    </row>
    <row r="151" ht="14.25" customHeight="1">
      <c r="A151" s="59" t="s">
        <v>51</v>
      </c>
      <c r="B151" s="60" t="s">
        <v>52</v>
      </c>
      <c r="C151" s="61" t="s">
        <v>53</v>
      </c>
      <c r="D151" s="12"/>
      <c r="E151" s="12"/>
      <c r="F151" s="12"/>
      <c r="G151" s="12"/>
    </row>
    <row r="152" ht="14.25" customHeight="1">
      <c r="A152" s="15"/>
      <c r="B152" s="62"/>
      <c r="C152" s="63" t="s">
        <v>54</v>
      </c>
      <c r="D152" s="64" t="s">
        <v>55</v>
      </c>
      <c r="E152" s="65" t="s">
        <v>56</v>
      </c>
      <c r="F152" s="63" t="s">
        <v>57</v>
      </c>
      <c r="G152" s="66" t="s">
        <v>58</v>
      </c>
    </row>
    <row r="153" ht="14.25" customHeight="1">
      <c r="A153" s="81"/>
      <c r="B153" s="110"/>
      <c r="C153" s="125"/>
      <c r="D153" s="116"/>
      <c r="E153" s="126"/>
      <c r="F153" s="125"/>
      <c r="G153" s="127"/>
    </row>
    <row r="154" ht="14.25" customHeight="1">
      <c r="A154" s="55"/>
      <c r="B154" s="88" t="s">
        <v>106</v>
      </c>
      <c r="C154" s="73">
        <v>599</v>
      </c>
      <c r="D154" s="74">
        <v>247.8453180405738</v>
      </c>
      <c r="E154" s="73" t="s">
        <v>42</v>
      </c>
      <c r="F154" s="73">
        <v>342</v>
      </c>
      <c r="G154" s="76">
        <v>257</v>
      </c>
    </row>
    <row r="155" ht="14.25" customHeight="1">
      <c r="A155" s="55"/>
      <c r="B155" s="88"/>
      <c r="C155" s="73"/>
      <c r="D155" s="128"/>
      <c r="E155" s="73"/>
      <c r="F155" s="73"/>
      <c r="G155" s="94"/>
    </row>
    <row r="156" ht="14.25" customHeight="1">
      <c r="A156" s="81" t="s">
        <v>70</v>
      </c>
      <c r="B156" s="86" t="s">
        <v>71</v>
      </c>
      <c r="C156" s="86"/>
      <c r="D156" s="86"/>
      <c r="E156" s="86"/>
      <c r="F156" s="86"/>
      <c r="G156" s="80"/>
    </row>
    <row r="157" ht="14.25" customHeight="1">
      <c r="A157" s="13"/>
      <c r="B157" s="86" t="s">
        <v>73</v>
      </c>
      <c r="C157" s="73">
        <v>69</v>
      </c>
      <c r="D157" s="74">
        <v>28.549794565608671</v>
      </c>
      <c r="E157" s="99">
        <v>1</v>
      </c>
      <c r="F157" s="27">
        <v>56</v>
      </c>
      <c r="G157" s="82">
        <v>13</v>
      </c>
    </row>
    <row r="158" ht="14.25" customHeight="1">
      <c r="A158" s="96" t="s">
        <v>79</v>
      </c>
      <c r="B158" s="86" t="s">
        <v>80</v>
      </c>
      <c r="C158" s="73"/>
      <c r="D158" s="87"/>
      <c r="E158" s="27"/>
      <c r="F158" s="13"/>
      <c r="G158" s="80"/>
    </row>
    <row r="159" ht="14.25" customHeight="1">
      <c r="A159" s="96"/>
      <c r="B159" s="86" t="s">
        <v>81</v>
      </c>
      <c r="C159" s="73">
        <v>52</v>
      </c>
      <c r="D159" s="74">
        <v>21.515787208864502</v>
      </c>
      <c r="E159" s="27">
        <v>2</v>
      </c>
      <c r="F159" s="27">
        <v>44</v>
      </c>
      <c r="G159" s="83">
        <v>8</v>
      </c>
    </row>
    <row r="160" ht="14.25" customHeight="1">
      <c r="A160" s="96" t="s">
        <v>107</v>
      </c>
      <c r="B160" s="86" t="s">
        <v>108</v>
      </c>
      <c r="C160" s="73"/>
      <c r="D160" s="87"/>
      <c r="E160" s="27"/>
      <c r="F160" s="27"/>
      <c r="G160" s="83"/>
    </row>
    <row r="161" ht="14.25" customHeight="1">
      <c r="A161" s="96"/>
      <c r="B161" s="86" t="s">
        <v>109</v>
      </c>
      <c r="C161" s="73">
        <v>47</v>
      </c>
      <c r="D161" s="74">
        <v>19.446961515704455</v>
      </c>
      <c r="E161" s="27">
        <v>3</v>
      </c>
      <c r="F161" s="27">
        <v>24</v>
      </c>
      <c r="G161" s="83">
        <v>23</v>
      </c>
    </row>
    <row r="162" ht="14.25" customHeight="1">
      <c r="A162" s="96" t="s">
        <v>104</v>
      </c>
      <c r="B162" s="86" t="s">
        <v>105</v>
      </c>
      <c r="C162" s="73">
        <v>45</v>
      </c>
      <c r="D162" s="74">
        <v>18.619431238440434</v>
      </c>
      <c r="E162" s="27">
        <v>4</v>
      </c>
      <c r="F162" s="27">
        <v>25</v>
      </c>
      <c r="G162" s="83">
        <v>20</v>
      </c>
    </row>
    <row r="163" ht="14.25" customHeight="1">
      <c r="A163" s="96" t="s">
        <v>62</v>
      </c>
      <c r="B163" s="88" t="s">
        <v>61</v>
      </c>
      <c r="C163" s="73">
        <v>35</v>
      </c>
      <c r="D163" s="74">
        <v>14.481779852120338</v>
      </c>
      <c r="E163" s="27">
        <v>5</v>
      </c>
      <c r="F163" s="27">
        <v>15</v>
      </c>
      <c r="G163" s="82">
        <v>20</v>
      </c>
    </row>
    <row r="164" ht="14.25" customHeight="1">
      <c r="A164" s="81"/>
      <c r="B164" s="88" t="s">
        <v>72</v>
      </c>
      <c r="C164" s="73">
        <v>351</v>
      </c>
      <c r="D164" s="74">
        <v>145.23156365983542</v>
      </c>
      <c r="E164" s="27" t="s">
        <v>42</v>
      </c>
      <c r="F164" s="27">
        <v>178</v>
      </c>
      <c r="G164" s="83">
        <v>173</v>
      </c>
    </row>
    <row r="165" ht="14.25" customHeight="1">
      <c r="A165" s="129"/>
      <c r="B165" s="130"/>
      <c r="C165" s="131"/>
      <c r="D165" s="132"/>
      <c r="E165" s="131"/>
      <c r="F165" s="131"/>
      <c r="G165" s="133"/>
    </row>
    <row r="166" ht="14.25" customHeight="1">
      <c r="A166" s="13"/>
      <c r="B166" s="13"/>
      <c r="C166" s="127"/>
      <c r="D166" s="134"/>
      <c r="E166" s="127"/>
      <c r="F166" s="127"/>
      <c r="G166" s="127"/>
    </row>
    <row r="167" ht="14.25" customHeight="1">
      <c r="A167" s="13" t="s">
        <v>110</v>
      </c>
      <c r="B167" s="13"/>
      <c r="C167" s="13"/>
      <c r="D167" s="116"/>
      <c r="E167" s="34"/>
      <c r="F167" s="34"/>
      <c r="G167" s="34"/>
    </row>
    <row r="168" ht="14.25" customHeight="1">
      <c r="A168" s="13" t="s">
        <v>111</v>
      </c>
      <c r="B168" s="13"/>
      <c r="C168" s="13"/>
      <c r="D168" s="116"/>
      <c r="E168" s="34"/>
      <c r="F168" s="34"/>
      <c r="G168" s="34"/>
    </row>
    <row r="169" ht="14.25" customHeight="1">
      <c r="A169" s="37" t="s">
        <v>112</v>
      </c>
      <c r="B169" s="13"/>
      <c r="C169" s="13"/>
      <c r="D169" s="116"/>
      <c r="E169" s="34"/>
      <c r="F169" s="34"/>
      <c r="G169" s="34"/>
    </row>
    <row r="170" ht="14.25" customHeight="1">
      <c r="A170" s="37" t="s">
        <v>113</v>
      </c>
      <c r="B170" s="13"/>
      <c r="C170" s="13"/>
      <c r="D170" s="116"/>
      <c r="E170" s="34"/>
      <c r="F170" s="34"/>
      <c r="G170" s="34"/>
    </row>
    <row r="171" ht="14.25" customHeight="1">
      <c r="A171" s="13" t="s">
        <v>114</v>
      </c>
      <c r="B171" s="13"/>
      <c r="C171" s="13"/>
      <c r="D171" s="116"/>
      <c r="E171" s="34"/>
      <c r="F171" s="34"/>
      <c r="G171" s="34"/>
    </row>
    <row r="172" ht="14.25" customHeight="1">
      <c r="A172" s="135" t="s">
        <v>115</v>
      </c>
      <c r="B172" s="13"/>
      <c r="C172" s="13"/>
      <c r="D172" s="116"/>
      <c r="E172" s="34"/>
      <c r="F172" s="34"/>
      <c r="G172" s="34"/>
    </row>
    <row r="173" ht="14.25" customHeight="1">
      <c r="A173" s="13" t="s">
        <v>116</v>
      </c>
      <c r="B173" s="13"/>
      <c r="C173" s="13"/>
      <c r="D173" s="116"/>
      <c r="E173" s="34"/>
      <c r="F173" s="34"/>
      <c r="G173" s="34"/>
    </row>
    <row r="174" ht="14.25" customHeight="1">
      <c r="A174" s="34" t="s">
        <v>117</v>
      </c>
      <c r="B174" s="34"/>
      <c r="C174" s="34"/>
      <c r="D174" s="136"/>
      <c r="E174" s="34"/>
      <c r="F174" s="34"/>
      <c r="G174" s="34"/>
    </row>
    <row r="175" ht="14.25" customHeight="1">
      <c r="A175" s="137" t="s">
        <v>118</v>
      </c>
      <c r="B175" s="137"/>
      <c r="C175" s="137"/>
      <c r="D175" s="13"/>
      <c r="E175" s="13"/>
      <c r="F175" s="13"/>
      <c r="G175" s="13"/>
    </row>
    <row r="176" ht="14.25" customHeight="1">
      <c r="A176" s="13"/>
      <c r="B176" s="13"/>
      <c r="C176" s="13"/>
      <c r="D176" s="13"/>
      <c r="E176" s="13"/>
      <c r="F176" s="13"/>
      <c r="G176" s="13"/>
    </row>
    <row r="177" ht="14.25" customHeight="1">
      <c r="A177" s="34"/>
      <c r="B177" s="13"/>
      <c r="C177" s="13"/>
      <c r="D177" s="13"/>
      <c r="E177" s="13"/>
      <c r="F177" s="13"/>
      <c r="G177" s="13"/>
    </row>
    <row r="178" ht="14.25" customHeight="1">
      <c r="A178" s="13"/>
      <c r="B178" s="13"/>
      <c r="C178" s="13"/>
      <c r="D178" s="13"/>
      <c r="E178" s="13"/>
      <c r="F178" s="13"/>
      <c r="G178" s="13"/>
    </row>
    <row r="179" ht="14.25" customHeight="1">
      <c r="A179" s="13"/>
      <c r="B179" s="13"/>
      <c r="C179" s="13"/>
      <c r="D179" s="13"/>
      <c r="E179" s="13"/>
      <c r="F179" s="13"/>
      <c r="G179" s="13"/>
    </row>
    <row r="180" ht="14.25" customHeight="1"/>
    <row r="181" ht="14.25" customHeight="1">
      <c r="A181" s="34"/>
      <c r="B181" s="13"/>
      <c r="C181" s="13"/>
      <c r="D181" s="13"/>
      <c r="E181" s="13"/>
      <c r="F181" s="13"/>
      <c r="G181" s="13"/>
    </row>
    <row r="182" ht="14.25" customHeight="1">
      <c r="A182" s="13"/>
      <c r="B182" s="13"/>
      <c r="C182" s="13"/>
      <c r="D182" s="116"/>
      <c r="E182" s="13"/>
      <c r="F182" s="13"/>
      <c r="G182" s="13"/>
    </row>
    <row r="183" ht="14.25" customHeight="1">
      <c r="A183" s="13"/>
      <c r="B183" s="13"/>
      <c r="C183" s="13"/>
      <c r="D183" s="116"/>
      <c r="E183" s="13"/>
      <c r="F183" s="13"/>
      <c r="G183" s="13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96:G96"/>
    <mergeCell ref="A97:G97"/>
    <mergeCell ref="A151:A152"/>
    <mergeCell ref="B151:B152"/>
    <mergeCell ref="C151:G151"/>
    <mergeCell ref="A98:G98"/>
    <mergeCell ref="A100:A101"/>
    <mergeCell ref="B100:B101"/>
    <mergeCell ref="C100:G100"/>
    <mergeCell ref="A147:G147"/>
    <mergeCell ref="A148:G148"/>
    <mergeCell ref="A149:G149"/>
    <mergeCell ref="A47:G47"/>
    <mergeCell ref="A48:G48"/>
    <mergeCell ref="A49:G49"/>
    <mergeCell ref="A51:A52"/>
    <mergeCell ref="B51:B52"/>
    <mergeCell ref="C51:G51"/>
    <mergeCell ref="A1:G1"/>
    <mergeCell ref="A2:G2"/>
    <mergeCell ref="A3:G3"/>
    <mergeCell ref="A5:A6"/>
    <mergeCell ref="B5:B6"/>
    <mergeCell ref="C5:G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" zoomScale="100" workbookViewId="0">
      <selection activeCell="L4" activeCellId="0" sqref="L4:O17"/>
    </sheetView>
  </sheetViews>
  <sheetFormatPr baseColWidth="10" defaultColWidth="12.59765625" defaultRowHeight="15" customHeight="1"/>
  <cols>
    <col customWidth="1" min="1" max="1" width="10.5"/>
    <col customWidth="1" min="2" max="2" width="14"/>
    <col customWidth="1" min="3" max="4" width="10.5"/>
    <col customWidth="1" min="5" max="14" width="9.19921875"/>
  </cols>
  <sheetData>
    <row r="1" ht="57" customHeight="1">
      <c r="A1" s="138" t="s">
        <v>119</v>
      </c>
      <c r="B1" s="139" t="s">
        <v>120</v>
      </c>
      <c r="C1" s="139" t="s">
        <v>121</v>
      </c>
    </row>
    <row r="2" ht="14.25" customHeight="1">
      <c r="A2" s="140">
        <v>44927</v>
      </c>
      <c r="B2" s="73">
        <v>627286.69900000002</v>
      </c>
      <c r="C2" s="141">
        <v>1142002.8400000001</v>
      </c>
    </row>
    <row r="3" ht="14.25" customHeight="1">
      <c r="A3" s="140">
        <v>44958</v>
      </c>
      <c r="B3" s="73">
        <v>544921.69400000002</v>
      </c>
      <c r="C3" s="141">
        <v>1031224.294</v>
      </c>
    </row>
    <row r="4" ht="14.25" customHeight="1">
      <c r="A4" s="140">
        <v>44986</v>
      </c>
      <c r="B4" s="73">
        <v>717039.37099999993</v>
      </c>
      <c r="C4" s="141">
        <v>1349043.328</v>
      </c>
    </row>
    <row r="5" ht="14.25" customHeight="1">
      <c r="A5" s="140">
        <v>45017</v>
      </c>
      <c r="B5" s="73">
        <v>733871.15399999998</v>
      </c>
      <c r="C5" s="141">
        <v>1110786.0179999999</v>
      </c>
    </row>
    <row r="6" ht="14.25" customHeight="1">
      <c r="A6" s="140">
        <v>45047</v>
      </c>
      <c r="B6" s="73">
        <v>871793.89799999993</v>
      </c>
      <c r="C6" s="141">
        <v>1355882.0220000001</v>
      </c>
    </row>
    <row r="7" ht="14.25" customHeight="1">
      <c r="A7" s="140">
        <v>45078</v>
      </c>
      <c r="B7" s="73">
        <v>809956.17000000004</v>
      </c>
      <c r="C7" s="141">
        <v>1241787.162</v>
      </c>
      <c r="M7" s="138"/>
      <c r="N7" s="138"/>
    </row>
    <row r="8" ht="14.25" customHeight="1">
      <c r="A8" s="140">
        <v>45108</v>
      </c>
      <c r="B8" s="73">
        <v>672852.44099999999</v>
      </c>
      <c r="C8" s="141">
        <v>1189262.486</v>
      </c>
      <c r="M8" s="138"/>
      <c r="N8" s="138"/>
    </row>
    <row r="9" ht="14.25" customHeight="1">
      <c r="A9" s="140">
        <v>45139</v>
      </c>
      <c r="B9" s="73">
        <v>945511.96499999997</v>
      </c>
      <c r="C9" s="141">
        <v>1395736.8130000001</v>
      </c>
    </row>
    <row r="10" ht="14.25" customHeight="1">
      <c r="A10" s="140">
        <v>45170</v>
      </c>
      <c r="B10" s="73">
        <v>684601.9360000001</v>
      </c>
      <c r="C10" s="141">
        <v>1232371.875</v>
      </c>
    </row>
    <row r="11" ht="14.25" customHeight="1">
      <c r="A11" s="140">
        <v>45200</v>
      </c>
      <c r="B11" s="73">
        <v>681891.34600000002</v>
      </c>
      <c r="C11" s="141">
        <v>1243220.04</v>
      </c>
    </row>
    <row r="12" ht="14.25" customHeight="1">
      <c r="A12" s="140">
        <v>45231</v>
      </c>
      <c r="B12" s="73">
        <v>654017.18999999994</v>
      </c>
      <c r="C12" s="141">
        <v>1024968.221</v>
      </c>
    </row>
    <row r="13" ht="14.25" customHeight="1">
      <c r="A13" s="140">
        <v>45261</v>
      </c>
      <c r="B13" s="73">
        <v>603038.00099999993</v>
      </c>
      <c r="C13" s="141">
        <v>1166199.311</v>
      </c>
    </row>
    <row r="14" ht="14.25" customHeight="1">
      <c r="A14" s="140">
        <v>45292</v>
      </c>
      <c r="B14" s="73">
        <v>553265.31099999999</v>
      </c>
      <c r="C14" s="141">
        <v>1094805.7109999999</v>
      </c>
    </row>
    <row r="15" ht="14.25" customHeight="1">
      <c r="A15" s="140">
        <v>45323</v>
      </c>
      <c r="B15" s="73">
        <v>506713.59200000006</v>
      </c>
      <c r="C15" s="141">
        <v>1024685.24</v>
      </c>
    </row>
    <row r="16" ht="14.25" customHeight="1">
      <c r="A16" s="140">
        <v>45352</v>
      </c>
      <c r="B16" s="73">
        <v>735579.21600000001</v>
      </c>
      <c r="C16" s="141">
        <v>1146787.753</v>
      </c>
    </row>
    <row r="17" ht="14.25" customHeight="1">
      <c r="A17" s="140">
        <v>45383</v>
      </c>
      <c r="B17" s="73">
        <v>642871.25</v>
      </c>
      <c r="C17" s="141">
        <v>1189182.0549999999</v>
      </c>
    </row>
    <row r="18" ht="14.25" customHeight="1">
      <c r="A18" s="140">
        <v>45413</v>
      </c>
      <c r="B18" s="73">
        <v>659569.08999999997</v>
      </c>
      <c r="C18" s="141">
        <v>1228971.675</v>
      </c>
    </row>
    <row r="19" ht="14.25" customHeight="1">
      <c r="A19" s="140">
        <v>45444</v>
      </c>
      <c r="B19" s="73">
        <v>739669.32400000002</v>
      </c>
      <c r="C19" s="141">
        <v>1123907.3430000001</v>
      </c>
    </row>
    <row r="20" ht="14.25" customHeight="1">
      <c r="A20" s="140">
        <v>45474</v>
      </c>
      <c r="B20" s="73">
        <v>661543.98200000008</v>
      </c>
      <c r="C20" s="141">
        <v>1244005.2749999999</v>
      </c>
    </row>
    <row r="21" ht="14.25" customHeight="1">
      <c r="A21" s="140">
        <v>45505</v>
      </c>
      <c r="B21" s="73">
        <v>692533.37399999995</v>
      </c>
      <c r="C21" s="141">
        <v>1213513.7709999999</v>
      </c>
    </row>
    <row r="22" ht="14.25" customHeight="1">
      <c r="A22" s="140">
        <v>45536</v>
      </c>
      <c r="B22" s="73">
        <v>628550.10899999994</v>
      </c>
      <c r="C22" s="141">
        <v>1168978.27</v>
      </c>
    </row>
    <row r="23" ht="14.25" customHeight="1">
      <c r="A23" s="140">
        <v>45566</v>
      </c>
      <c r="B23" s="142">
        <v>653666.32799999998</v>
      </c>
      <c r="C23" s="141">
        <v>1349499.0560000001</v>
      </c>
    </row>
    <row r="24" ht="14.25" customHeight="1">
      <c r="A24" s="140">
        <v>45597</v>
      </c>
      <c r="B24" s="142">
        <v>534386.69099999999</v>
      </c>
      <c r="C24" s="141">
        <v>1063825.6529999999</v>
      </c>
    </row>
    <row r="25" ht="14.25" customHeight="1">
      <c r="A25" s="140">
        <v>45627</v>
      </c>
      <c r="B25" s="142">
        <v>640902.86800000002</v>
      </c>
      <c r="C25" s="141">
        <v>1144098.0619999999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L1" zoomScale="79" workbookViewId="0">
      <selection activeCell="V38" activeCellId="0" sqref="V38"/>
    </sheetView>
  </sheetViews>
  <sheetFormatPr baseColWidth="10" defaultColWidth="12.59765625" defaultRowHeight="15" customHeight="1"/>
  <cols>
    <col customWidth="1" min="1" max="1" width="29.8984375"/>
    <col customWidth="1" min="2" max="7" width="10.5"/>
    <col customWidth="1" min="8" max="8" width="11"/>
    <col customWidth="1" min="9" max="10" width="10.5"/>
  </cols>
  <sheetData>
    <row r="1" ht="14.25" customHeight="1">
      <c r="A1" s="30" t="s">
        <v>122</v>
      </c>
      <c r="B1" s="40"/>
      <c r="C1" s="40"/>
      <c r="D1" s="40"/>
      <c r="E1" s="40"/>
      <c r="F1" s="40"/>
      <c r="G1" s="40"/>
      <c r="H1" s="40"/>
      <c r="I1" s="40"/>
      <c r="J1" s="40"/>
    </row>
    <row r="2" ht="14.25" customHeight="1">
      <c r="A2" s="39" t="s">
        <v>123</v>
      </c>
      <c r="B2" s="40"/>
      <c r="C2" s="40"/>
      <c r="D2" s="40"/>
      <c r="E2" s="40"/>
      <c r="F2" s="40"/>
      <c r="G2" s="40"/>
      <c r="H2" s="40"/>
      <c r="I2" s="40"/>
      <c r="J2" s="40"/>
    </row>
    <row r="3" ht="14.25" customHeight="1">
      <c r="A3" s="30" t="s">
        <v>124</v>
      </c>
      <c r="B3" s="40"/>
      <c r="C3" s="40"/>
      <c r="D3" s="40"/>
      <c r="E3" s="40"/>
      <c r="F3" s="40"/>
      <c r="G3" s="40"/>
      <c r="H3" s="40"/>
      <c r="I3" s="40"/>
      <c r="J3" s="40"/>
    </row>
    <row r="4" ht="14.25" customHeight="1">
      <c r="A4" s="143"/>
      <c r="B4" s="143"/>
      <c r="C4" s="143"/>
      <c r="D4" s="143"/>
      <c r="E4" s="143"/>
      <c r="F4" s="143"/>
      <c r="G4" s="143"/>
      <c r="H4" s="143"/>
      <c r="I4" s="143"/>
      <c r="J4" s="143"/>
    </row>
    <row r="5" ht="14.25" customHeight="1">
      <c r="A5" s="39" t="s">
        <v>125</v>
      </c>
      <c r="B5" s="40"/>
      <c r="C5" s="40"/>
      <c r="D5" s="40"/>
      <c r="E5" s="40"/>
      <c r="F5" s="40"/>
      <c r="G5" s="40"/>
      <c r="H5" s="40"/>
      <c r="I5" s="40"/>
      <c r="J5" s="40"/>
    </row>
    <row r="6" ht="14.25" customHeight="1">
      <c r="A6" s="39" t="s">
        <v>126</v>
      </c>
      <c r="B6" s="40"/>
      <c r="C6" s="40"/>
      <c r="D6" s="40"/>
      <c r="E6" s="40"/>
      <c r="F6" s="40"/>
      <c r="G6" s="40"/>
      <c r="H6" s="40"/>
      <c r="I6" s="40"/>
      <c r="J6" s="40"/>
    </row>
    <row r="7" ht="14.25" customHeight="1">
      <c r="A7" s="143"/>
      <c r="B7" s="143"/>
      <c r="C7" s="143"/>
      <c r="D7" s="143"/>
      <c r="E7" s="143"/>
      <c r="F7" s="143"/>
      <c r="G7" s="143"/>
      <c r="H7" s="143"/>
      <c r="I7" s="143"/>
      <c r="J7" s="143"/>
    </row>
    <row r="8" ht="14.25" customHeight="1">
      <c r="A8" s="144"/>
      <c r="B8" s="145" t="s">
        <v>127</v>
      </c>
      <c r="C8" s="146"/>
      <c r="D8" s="146"/>
      <c r="E8" s="146"/>
      <c r="F8" s="146"/>
      <c r="G8" s="146"/>
      <c r="H8" s="147"/>
      <c r="I8" s="148" t="s">
        <v>128</v>
      </c>
      <c r="J8" s="149" t="s">
        <v>129</v>
      </c>
    </row>
    <row r="9" ht="14.25" customHeight="1">
      <c r="A9" s="150" t="s">
        <v>130</v>
      </c>
      <c r="B9" s="151" t="s">
        <v>131</v>
      </c>
      <c r="C9" s="42"/>
      <c r="D9" s="42"/>
      <c r="E9" s="42"/>
      <c r="F9" s="42"/>
      <c r="G9" s="42"/>
      <c r="H9" s="15"/>
      <c r="I9" s="152" t="s">
        <v>132</v>
      </c>
      <c r="J9" s="153" t="s">
        <v>132</v>
      </c>
    </row>
    <row r="10" ht="14.25" customHeight="1">
      <c r="A10" s="154"/>
      <c r="B10" s="155">
        <v>2017</v>
      </c>
      <c r="C10" s="155">
        <v>2018</v>
      </c>
      <c r="D10" s="155">
        <v>2019</v>
      </c>
      <c r="E10" s="155" t="s">
        <v>133</v>
      </c>
      <c r="F10" s="155" t="s">
        <v>134</v>
      </c>
      <c r="G10" s="155" t="s">
        <v>135</v>
      </c>
      <c r="H10" s="155" t="s">
        <v>136</v>
      </c>
      <c r="I10" s="155" t="s">
        <v>136</v>
      </c>
      <c r="J10" s="156" t="s">
        <v>137</v>
      </c>
    </row>
    <row r="11" ht="14.25" customHeight="1">
      <c r="A11" s="157"/>
      <c r="B11" s="158"/>
      <c r="C11" s="158"/>
      <c r="D11" s="158"/>
      <c r="E11" s="158"/>
      <c r="F11" s="158"/>
      <c r="G11" s="158"/>
      <c r="H11" s="158"/>
      <c r="I11" s="158"/>
      <c r="J11" s="67"/>
    </row>
    <row r="12" ht="14.25" customHeight="1">
      <c r="A12" s="159" t="s">
        <v>138</v>
      </c>
      <c r="B12" s="160">
        <v>4281839.3098619301</v>
      </c>
      <c r="C12" s="160">
        <v>4043422.9457009351</v>
      </c>
      <c r="D12" s="160">
        <v>4391784.3892940162</v>
      </c>
      <c r="E12" s="160">
        <v>1401277.127950812</v>
      </c>
      <c r="F12" s="160">
        <v>2130444.705923947</v>
      </c>
      <c r="G12" s="160">
        <v>2313419.4943327829</v>
      </c>
      <c r="H12" s="160">
        <v>2197011.8256494859</v>
      </c>
      <c r="I12" s="161">
        <v>100</v>
      </c>
      <c r="J12" s="162">
        <v>-5.0318443744622527</v>
      </c>
    </row>
    <row r="13" ht="14.25" customHeight="1">
      <c r="A13" s="21" t="s">
        <v>139</v>
      </c>
      <c r="B13" s="160">
        <v>638585.67884686776</v>
      </c>
      <c r="C13" s="160">
        <v>1805116.4023314912</v>
      </c>
      <c r="D13" s="160">
        <v>8598493.6871862262</v>
      </c>
      <c r="E13" s="160">
        <v>1422280.1662502107</v>
      </c>
      <c r="F13" s="160">
        <v>1105642.6701881688</v>
      </c>
      <c r="G13" s="160">
        <v>1594610.6025933155</v>
      </c>
      <c r="H13" s="160">
        <v>1804387.9466874038</v>
      </c>
      <c r="I13" s="161">
        <v>82.129186817371192</v>
      </c>
      <c r="J13" s="162">
        <v>13.15539629254485</v>
      </c>
    </row>
    <row r="14" ht="14.25" customHeight="1">
      <c r="A14" s="101" t="s">
        <v>140</v>
      </c>
      <c r="B14" s="163">
        <v>-25058.910418168511</v>
      </c>
      <c r="C14" s="163">
        <v>895866.54547793744</v>
      </c>
      <c r="D14" s="163">
        <v>687047.86196024669</v>
      </c>
      <c r="E14" s="163">
        <v>968808.35791091586</v>
      </c>
      <c r="F14" s="163">
        <v>216027.96968751965</v>
      </c>
      <c r="G14" s="163">
        <v>593928.47682783578</v>
      </c>
      <c r="H14" s="163">
        <v>434442.08276993135</v>
      </c>
      <c r="I14" s="164">
        <v>19.774225959912645</v>
      </c>
      <c r="J14" s="165">
        <v>-26.852794617580756</v>
      </c>
    </row>
    <row r="15" ht="14.25" customHeight="1">
      <c r="A15" s="101" t="s">
        <v>141</v>
      </c>
      <c r="B15" s="163">
        <v>12871.148800701812</v>
      </c>
      <c r="C15" s="163">
        <v>474311.77179113089</v>
      </c>
      <c r="D15" s="163">
        <v>182862.22932614823</v>
      </c>
      <c r="E15" s="163">
        <v>123700.98075381739</v>
      </c>
      <c r="F15" s="163">
        <v>-3062.2801784841358</v>
      </c>
      <c r="G15" s="163">
        <v>-29493.849490643413</v>
      </c>
      <c r="H15" s="163">
        <v>255005.51661733011</v>
      </c>
      <c r="I15" s="164">
        <v>11.606925080703412</v>
      </c>
      <c r="J15" s="165">
        <v>-964.60574330328677</v>
      </c>
    </row>
    <row r="16" ht="14.25" customHeight="1">
      <c r="A16" s="101" t="s">
        <v>142</v>
      </c>
      <c r="B16" s="163">
        <v>546453.64442443394</v>
      </c>
      <c r="C16" s="163">
        <v>1322.1705856948829</v>
      </c>
      <c r="D16" s="163">
        <v>-8486.6727916847867</v>
      </c>
      <c r="E16" s="163">
        <v>-102613.30466996635</v>
      </c>
      <c r="F16" s="163">
        <v>409696.87709453114</v>
      </c>
      <c r="G16" s="163">
        <v>304470.27490208828</v>
      </c>
      <c r="H16" s="163">
        <v>246416.57788856234</v>
      </c>
      <c r="I16" s="164">
        <v>11.215987779934506</v>
      </c>
      <c r="J16" s="165">
        <v>-19.067114854543647</v>
      </c>
    </row>
    <row r="17" ht="14.25" customHeight="1">
      <c r="A17" s="101" t="s">
        <v>143</v>
      </c>
      <c r="B17" s="163">
        <v>345792.06035835185</v>
      </c>
      <c r="C17" s="163">
        <v>863748.9050156622</v>
      </c>
      <c r="D17" s="163">
        <v>778277.51836089417</v>
      </c>
      <c r="E17" s="163">
        <v>370645.01228322729</v>
      </c>
      <c r="F17" s="163">
        <v>516225.63000451145</v>
      </c>
      <c r="G17" s="163">
        <v>772575.27538470796</v>
      </c>
      <c r="H17" s="163">
        <v>170622.95173063892</v>
      </c>
      <c r="I17" s="164">
        <v>7.7661371567810722</v>
      </c>
      <c r="J17" s="165">
        <v>-77.915038551333879</v>
      </c>
    </row>
    <row r="18" ht="14.25" customHeight="1">
      <c r="A18" s="101" t="s">
        <v>144</v>
      </c>
      <c r="B18" s="163">
        <v>-3761.3045907100736</v>
      </c>
      <c r="C18" s="163">
        <v>117314.17321576737</v>
      </c>
      <c r="D18" s="163">
        <v>-56685.340707760828</v>
      </c>
      <c r="E18" s="163">
        <v>73514.556476669604</v>
      </c>
      <c r="F18" s="163">
        <v>24637.054105172007</v>
      </c>
      <c r="G18" s="163">
        <v>13943.955096173853</v>
      </c>
      <c r="H18" s="163">
        <v>151777.8010049334</v>
      </c>
      <c r="I18" s="164">
        <v>6.9083743306690888</v>
      </c>
      <c r="J18" s="165">
        <v>988.48457957656797</v>
      </c>
    </row>
    <row r="19" ht="14.25" customHeight="1">
      <c r="A19" s="101" t="s">
        <v>145</v>
      </c>
      <c r="B19" s="163">
        <v>-50101.742406011879</v>
      </c>
      <c r="C19" s="163">
        <v>-162772.71802491529</v>
      </c>
      <c r="D19" s="163">
        <v>76608.327481052198</v>
      </c>
      <c r="E19" s="163">
        <v>-228586.97322721034</v>
      </c>
      <c r="F19" s="163">
        <v>27771.286528673969</v>
      </c>
      <c r="G19" s="163">
        <v>148529.70162336406</v>
      </c>
      <c r="H19" s="163">
        <v>148356.89563916926</v>
      </c>
      <c r="I19" s="164">
        <v>6.7526671412117514</v>
      </c>
      <c r="J19" s="165">
        <v>-0.11634439597339963</v>
      </c>
    </row>
    <row r="20" ht="14.25" customHeight="1">
      <c r="A20" s="101" t="s">
        <v>146</v>
      </c>
      <c r="B20" s="163">
        <v>51241.577177288927</v>
      </c>
      <c r="C20" s="163">
        <v>94662.57061546453</v>
      </c>
      <c r="D20" s="163">
        <v>115302.49454538421</v>
      </c>
      <c r="E20" s="163">
        <v>-61629.487183597033</v>
      </c>
      <c r="F20" s="163">
        <v>32265.418263688458</v>
      </c>
      <c r="G20" s="163">
        <v>6573.9337665702551</v>
      </c>
      <c r="H20" s="163">
        <v>113401.85292577161</v>
      </c>
      <c r="I20" s="164">
        <v>5.1616405338304219</v>
      </c>
      <c r="J20" s="165">
        <v>1625.0227482126807</v>
      </c>
    </row>
    <row r="21" ht="14.25" customHeight="1">
      <c r="A21" s="101" t="s">
        <v>147</v>
      </c>
      <c r="B21" s="163">
        <v>-188573.41594258064</v>
      </c>
      <c r="C21" s="163">
        <v>243889.54345746367</v>
      </c>
      <c r="D21" s="163">
        <v>162310.03738537899</v>
      </c>
      <c r="E21" s="163">
        <v>300618.014657653</v>
      </c>
      <c r="F21" s="163">
        <v>-39149.540528130405</v>
      </c>
      <c r="G21" s="163">
        <v>-35730.764880853785</v>
      </c>
      <c r="H21" s="163">
        <v>99477.322509166086</v>
      </c>
      <c r="I21" s="164">
        <v>4.5278464752805032</v>
      </c>
      <c r="J21" s="165">
        <v>-378.4080409162209</v>
      </c>
    </row>
    <row r="22" ht="14.25" customHeight="1">
      <c r="A22" s="101" t="s">
        <v>148</v>
      </c>
      <c r="B22" s="163">
        <v>-48853.37174149241</v>
      </c>
      <c r="C22" s="163">
        <v>-724028.21508884523</v>
      </c>
      <c r="D22" s="163">
        <v>53452.911803200856</v>
      </c>
      <c r="E22" s="163">
        <v>-185249.46206091763</v>
      </c>
      <c r="F22" s="163">
        <v>-95859.259278942714</v>
      </c>
      <c r="G22" s="163">
        <v>53106.309672197902</v>
      </c>
      <c r="H22" s="163">
        <v>95339.576171917375</v>
      </c>
      <c r="I22" s="164">
        <v>4.3395112879619049</v>
      </c>
      <c r="J22" s="165">
        <v>79.525892046363253</v>
      </c>
    </row>
    <row r="23" ht="14.25" customHeight="1">
      <c r="A23" s="101" t="s">
        <v>149</v>
      </c>
      <c r="B23" s="163">
        <v>-1424.0068149451838</v>
      </c>
      <c r="C23" s="163">
        <v>801.65528613075014</v>
      </c>
      <c r="D23" s="163">
        <v>6607804.3198233657</v>
      </c>
      <c r="E23" s="163">
        <v>163072.47130961885</v>
      </c>
      <c r="F23" s="163">
        <v>17089.514489629448</v>
      </c>
      <c r="G23" s="163">
        <v>-233292.71030812516</v>
      </c>
      <c r="H23" s="163">
        <v>89547.369429983373</v>
      </c>
      <c r="I23" s="164">
        <v>4.0758710710858903</v>
      </c>
      <c r="J23" s="165">
        <v>-138.38412666718656</v>
      </c>
    </row>
    <row r="24" ht="14.25" customHeight="1">
      <c r="A24" s="101" t="s">
        <v>150</v>
      </c>
      <c r="B24" s="163">
        <v>3643253.6310150623</v>
      </c>
      <c r="C24" s="163">
        <v>2238306.5433694441</v>
      </c>
      <c r="D24" s="163">
        <v>-4206709.2978922101</v>
      </c>
      <c r="E24" s="163">
        <v>-21003.03829939873</v>
      </c>
      <c r="F24" s="163">
        <v>1024802.0357357783</v>
      </c>
      <c r="G24" s="163">
        <v>718808.89173946739</v>
      </c>
      <c r="H24" s="163">
        <v>392623.87896208209</v>
      </c>
      <c r="I24" s="164">
        <v>17.870813182628805</v>
      </c>
      <c r="J24" s="165">
        <v>-45.378544495747732</v>
      </c>
    </row>
    <row r="25" ht="14.25" customHeight="1">
      <c r="A25" s="166"/>
      <c r="B25" s="130"/>
      <c r="C25" s="130"/>
      <c r="D25" s="130"/>
      <c r="E25" s="130"/>
      <c r="F25" s="130"/>
      <c r="G25" s="130"/>
      <c r="H25" s="130"/>
      <c r="I25" s="130"/>
      <c r="J25" s="167"/>
    </row>
    <row r="26" ht="14.25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</row>
    <row r="27" ht="14.25" customHeight="1">
      <c r="A27" s="13" t="s">
        <v>151</v>
      </c>
      <c r="B27" s="143"/>
      <c r="C27" s="143"/>
      <c r="D27" s="143"/>
      <c r="E27" s="143"/>
      <c r="F27" s="143"/>
      <c r="G27" s="143"/>
      <c r="H27" s="143"/>
      <c r="I27" s="143"/>
      <c r="J27" s="143"/>
    </row>
    <row r="28" ht="14.25" customHeight="1">
      <c r="A28" s="13" t="s">
        <v>152</v>
      </c>
      <c r="B28" s="143"/>
      <c r="C28" s="143"/>
      <c r="D28" s="143"/>
      <c r="E28" s="143"/>
      <c r="F28" s="143"/>
      <c r="G28" s="143"/>
      <c r="H28" s="143"/>
      <c r="I28" s="143"/>
      <c r="J28" s="143"/>
    </row>
    <row r="29" ht="14.25" customHeight="1">
      <c r="A29" s="13" t="s">
        <v>35</v>
      </c>
      <c r="B29" s="143"/>
      <c r="C29" s="143"/>
      <c r="D29" s="143"/>
      <c r="E29" s="143"/>
      <c r="F29" s="143"/>
      <c r="G29" s="143"/>
      <c r="H29" s="143"/>
      <c r="I29" s="143"/>
      <c r="J29" s="143"/>
    </row>
    <row r="30" ht="14.25" customHeight="1"/>
    <row r="31" ht="14.25" customHeight="1"/>
    <row r="32" ht="14.25" customHeight="1"/>
    <row r="33" s="0" customFormat="1" ht="14.25" customHeight="1"/>
    <row r="34" s="0" customFormat="1" ht="14.25" customHeight="1"/>
    <row r="35" s="0" customFormat="1" ht="14.25" customHeight="1"/>
    <row r="36" s="0" customFormat="1" ht="14.25" customHeight="1"/>
    <row r="37" s="0" customFormat="1" ht="14.25" customHeight="1"/>
    <row r="38" s="0" customFormat="1" ht="14.25" customHeight="1"/>
    <row r="39" s="0" customFormat="1" ht="14.25" customHeight="1"/>
    <row r="40" s="0" customFormat="1" ht="14.25" customHeight="1"/>
    <row r="41" s="0" customFormat="1" ht="14.25" customHeight="1"/>
    <row r="42" s="0" customFormat="1" ht="14.25" customHeight="1"/>
    <row r="43" s="0" customFormat="1" ht="14.25" customHeight="1"/>
    <row r="44" s="0" customFormat="1" ht="14.25" customHeight="1"/>
    <row r="45" s="0" customFormat="1" ht="14.25" customHeight="1"/>
    <row r="46" s="0" customFormat="1" ht="14.25" customHeight="1"/>
    <row r="47" s="0" customFormat="1" ht="14.25" customHeight="1"/>
    <row r="48" s="0" customFormat="1" ht="14.25" customHeight="1"/>
    <row r="49" s="0" customFormat="1" ht="14.25" customHeight="1"/>
    <row r="50" s="0" customFormat="1" ht="14.25" customHeight="1"/>
    <row r="51" s="0" customFormat="1" ht="14.25" customHeight="1"/>
    <row r="52" s="0" customFormat="1" ht="14.25" customHeight="1"/>
    <row r="53" s="0" customFormat="1" ht="14.25" customHeight="1"/>
    <row r="54" s="0" customFormat="1" ht="14.25" customHeight="1"/>
    <row r="55" s="0" customFormat="1" ht="14.25" customHeight="1"/>
    <row r="56" s="0" customFormat="1" ht="14.25" customHeight="1"/>
    <row r="57" s="0" customFormat="1" ht="14.25" customHeight="1"/>
    <row r="58" s="0" customFormat="1" ht="14.25" customHeight="1"/>
    <row r="59" s="0" customFormat="1" ht="14.25" customHeight="1"/>
    <row r="60" s="0" customFormat="1" ht="14.25" customHeight="1"/>
    <row r="61" s="0" customFormat="1" ht="14.25" customHeight="1"/>
    <row r="62" s="0" customFormat="1" ht="14.25" customHeight="1"/>
    <row r="63" s="0" customFormat="1" ht="14.25" customHeight="1"/>
    <row r="64" s="0" customFormat="1" ht="14.25" customHeight="1"/>
    <row r="65" s="0" customFormat="1" ht="14.25" customHeight="1"/>
    <row r="66" s="0" customFormat="1" ht="14.25" customHeight="1"/>
    <row r="67" s="0" customFormat="1" ht="14.25" customHeight="1"/>
    <row r="68" s="0" customFormat="1" ht="14.25" customHeight="1"/>
    <row r="69" s="0" customFormat="1" ht="14.25" customHeight="1"/>
    <row r="70" s="0" customFormat="1" ht="14.25" customHeight="1"/>
    <row r="71" s="0" customFormat="1" ht="14.25" customHeight="1"/>
    <row r="72" s="0" customFormat="1" ht="14.25" customHeight="1"/>
    <row r="73" s="0" customFormat="1" ht="14.25" customHeight="1"/>
    <row r="74" s="0" customFormat="1" ht="14.25" customHeight="1"/>
    <row r="75" s="0" customFormat="1" ht="14.25" customHeight="1"/>
    <row r="76" s="0" customFormat="1" ht="14.25" customHeight="1"/>
    <row r="77" s="0" customFormat="1" ht="14.25" customHeight="1"/>
    <row r="78" s="0" customFormat="1" ht="14.25" customHeight="1"/>
    <row r="79" s="0" customFormat="1" ht="14.25" customHeight="1"/>
    <row r="80" s="0" customFormat="1" ht="14.25" customHeight="1"/>
    <row r="81" s="0" customFormat="1" ht="14.25" customHeight="1"/>
    <row r="82" s="0" customFormat="1" ht="14.25" customHeight="1"/>
    <row r="83" s="0" customFormat="1" ht="14.25" customHeight="1"/>
    <row r="84" s="0" customFormat="1" ht="14.25" customHeight="1"/>
    <row r="85" s="0" customFormat="1" ht="14.25" customHeight="1"/>
    <row r="86" s="0" customFormat="1" ht="14.25" customHeight="1"/>
    <row r="87" s="0" customFormat="1" ht="14.25" customHeight="1"/>
    <row r="88" s="0" customFormat="1" ht="14.25" customHeight="1"/>
    <row r="89" s="0" customFormat="1" ht="14.25" customHeight="1"/>
    <row r="90" s="0" customFormat="1" ht="14.25" customHeight="1"/>
    <row r="91" s="0" customFormat="1" ht="14.25" customHeight="1"/>
    <row r="92" s="0" customFormat="1" ht="14.25" customHeight="1"/>
    <row r="93" s="0" customFormat="1" ht="14.25" customHeight="1"/>
    <row r="94" s="0" customFormat="1" ht="14.25" customHeight="1"/>
    <row r="95" s="0" customFormat="1" ht="14.25" customHeight="1"/>
    <row r="96" s="0" customFormat="1" ht="14.25" customHeight="1"/>
    <row r="97" s="0" customFormat="1" ht="14.25" customHeight="1"/>
    <row r="98" s="0" customFormat="1" ht="14.25" customHeight="1"/>
    <row r="99" s="0" customFormat="1" ht="14.25" customHeight="1"/>
    <row r="100" s="0" customFormat="1" ht="14.25" customHeight="1"/>
    <row r="101" s="0" customFormat="1" ht="14.25" customHeight="1"/>
    <row r="102" s="0" customFormat="1" ht="14.25" customHeight="1"/>
    <row r="103" s="0" customFormat="1" ht="14.25" customHeight="1"/>
    <row r="104" s="0" customFormat="1" ht="14.25" customHeight="1"/>
    <row r="105" s="0" customFormat="1" ht="14.25" customHeight="1"/>
    <row r="106" s="0" customFormat="1" ht="14.25" customHeight="1"/>
    <row r="107" s="0" customFormat="1" ht="14.25" customHeight="1"/>
    <row r="108" s="0" customFormat="1" ht="14.25" customHeight="1"/>
    <row r="109" s="0" customFormat="1" ht="14.25" customHeight="1"/>
    <row r="110" s="0" customFormat="1" ht="14.25" customHeight="1"/>
    <row r="111" s="0" customFormat="1" ht="14.25" customHeight="1"/>
    <row r="112" s="0" customFormat="1" ht="14.25" customHeight="1"/>
    <row r="113" s="0" customFormat="1" ht="14.25" customHeight="1"/>
    <row r="114" s="0" customFormat="1" ht="14.25" customHeight="1"/>
    <row r="115" s="0" customFormat="1" ht="14.25" customHeight="1"/>
    <row r="116" s="0" customFormat="1" ht="14.25" customHeight="1"/>
    <row r="117" s="0" customFormat="1" ht="14.25" customHeight="1"/>
    <row r="118" s="0" customFormat="1" ht="14.25" customHeight="1"/>
    <row r="119" s="0" customFormat="1" ht="14.25" customHeight="1"/>
    <row r="120" s="0" customFormat="1" ht="14.25" customHeight="1"/>
    <row r="121" s="0" customFormat="1" ht="14.25" customHeight="1"/>
    <row r="122" s="0" customFormat="1" ht="14.25" customHeight="1"/>
    <row r="123" s="0" customFormat="1" ht="14.25" customHeight="1"/>
    <row r="124" s="0" customFormat="1" ht="14.25" customHeight="1"/>
    <row r="125" s="0" customFormat="1" ht="14.25" customHeight="1"/>
    <row r="126" s="0" customFormat="1" ht="14.25" customHeight="1"/>
    <row r="127" s="0" customFormat="1" ht="14.25" customHeight="1"/>
    <row r="128" s="0" customFormat="1" ht="14.25" customHeight="1"/>
    <row r="129" s="0" customFormat="1" ht="14.25" customHeight="1"/>
    <row r="130" s="0" customFormat="1" ht="14.25" customHeight="1"/>
    <row r="131" s="0" customFormat="1" ht="14.25" customHeight="1"/>
    <row r="132" s="0" customFormat="1" ht="14.25" customHeight="1"/>
    <row r="133" s="0" customFormat="1" ht="14.25" customHeight="1"/>
    <row r="134" s="0" customFormat="1" ht="14.25" customHeight="1"/>
    <row r="135" s="0" customFormat="1" ht="14.25" customHeight="1"/>
    <row r="136" s="0" customFormat="1" ht="14.25" customHeight="1"/>
    <row r="137" s="0" customFormat="1" ht="14.25" customHeight="1"/>
    <row r="138" s="0" customFormat="1" ht="14.25" customHeight="1"/>
    <row r="139" s="0" customFormat="1" ht="14.25" customHeight="1"/>
    <row r="140" s="0" customFormat="1" ht="14.25" customHeight="1"/>
    <row r="141" s="0" customFormat="1" ht="14.25" customHeight="1"/>
    <row r="142" s="0" customFormat="1" ht="14.25" customHeight="1"/>
    <row r="143" s="0" customFormat="1" ht="14.25" customHeight="1"/>
    <row r="144" s="0" customFormat="1" ht="14.25" customHeight="1"/>
    <row r="145" s="0" customFormat="1" ht="14.25" customHeight="1"/>
    <row r="146" s="0" customFormat="1" ht="14.25" customHeight="1"/>
    <row r="147" s="0" customFormat="1" ht="14.25" customHeight="1"/>
    <row r="148" s="0" customFormat="1" ht="14.25" customHeight="1"/>
    <row r="149" s="0" customFormat="1" ht="14.25" customHeight="1"/>
    <row r="150" s="0" customFormat="1" ht="14.25" customHeight="1"/>
    <row r="151" s="0" customFormat="1" ht="14.25" customHeight="1"/>
    <row r="152" s="0" customFormat="1" ht="14.25" customHeight="1"/>
    <row r="153" s="0" customFormat="1" ht="14.25" customHeight="1"/>
    <row r="154" s="0" customFormat="1" ht="14.25" customHeight="1"/>
    <row r="155" s="0" customFormat="1" ht="14.25" customHeight="1"/>
    <row r="156" s="0" customFormat="1" ht="14.25" customHeight="1"/>
    <row r="157" s="0" customFormat="1" ht="14.25" customHeight="1"/>
    <row r="158" s="0" customFormat="1" ht="14.25" customHeight="1"/>
    <row r="159" s="0" customFormat="1" ht="14.25" customHeight="1"/>
    <row r="160" s="0" customFormat="1" ht="14.25" customHeight="1"/>
    <row r="161" s="0" customFormat="1" ht="14.25" customHeight="1"/>
    <row r="162" s="0" customFormat="1" ht="14.25" customHeight="1"/>
    <row r="163" s="0" customFormat="1" ht="14.25" customHeight="1"/>
    <row r="164" s="0" customFormat="1" ht="14.25" customHeight="1"/>
    <row r="165" s="0" customFormat="1" ht="14.25" customHeight="1"/>
    <row r="166" s="0" customFormat="1" ht="14.25" customHeight="1"/>
    <row r="167" s="0" customFormat="1" ht="14.25" customHeight="1"/>
    <row r="168" s="0" customFormat="1" ht="14.25" customHeight="1"/>
    <row r="169" s="0" customFormat="1" ht="14.25" customHeight="1"/>
    <row r="170" s="0" customFormat="1" ht="14.25" customHeight="1"/>
    <row r="171" s="0" customFormat="1" ht="14.25" customHeight="1"/>
    <row r="172" s="0" customFormat="1" ht="14.25" customHeight="1"/>
    <row r="173" s="0" customFormat="1" ht="14.25" customHeight="1"/>
    <row r="174" s="0" customFormat="1" ht="14.25" customHeight="1"/>
    <row r="175" s="0" customFormat="1" ht="14.25" customHeight="1"/>
    <row r="176" s="0" customFormat="1" ht="14.25" customHeight="1"/>
    <row r="177" s="0" customFormat="1" ht="14.25" customHeight="1"/>
    <row r="178" s="0" customFormat="1" ht="14.25" customHeight="1"/>
    <row r="179" s="0" customFormat="1" ht="14.25" customHeight="1"/>
    <row r="180" s="0" customFormat="1" ht="14.25" customHeight="1"/>
    <row r="181" s="0" customFormat="1" ht="14.25" customHeight="1"/>
    <row r="182" s="0" customFormat="1" ht="14.25" customHeight="1"/>
    <row r="183" s="0" customFormat="1" ht="14.25" customHeight="1"/>
    <row r="184" s="0" customFormat="1" ht="14.25" customHeight="1"/>
    <row r="185" s="0" customFormat="1" ht="14.25" customHeight="1"/>
    <row r="186" s="0" customFormat="1" ht="14.25" customHeight="1"/>
    <row r="187" s="0" customFormat="1" ht="14.25" customHeight="1"/>
    <row r="188" s="0" customFormat="1" ht="14.25" customHeight="1"/>
    <row r="189" s="0" customFormat="1" ht="14.25" customHeight="1"/>
    <row r="190" s="0" customFormat="1" ht="14.25" customHeight="1"/>
    <row r="191" s="0" customFormat="1" ht="14.25" customHeight="1"/>
    <row r="192" s="0" customFormat="1" ht="14.25" customHeight="1"/>
    <row r="193" s="0" customFormat="1" ht="14.25" customHeight="1"/>
    <row r="194" s="0" customFormat="1" ht="14.25" customHeight="1"/>
    <row r="195" s="0" customFormat="1" ht="14.25" customHeight="1"/>
    <row r="196" s="0" customFormat="1" ht="14.25" customHeight="1"/>
    <row r="197" s="0" customFormat="1" ht="14.25" customHeight="1"/>
    <row r="198" s="0" customFormat="1" ht="14.25" customHeight="1"/>
    <row r="199" s="0" customFormat="1" ht="14.25" customHeight="1"/>
    <row r="200" s="0" customFormat="1" ht="14.25" customHeight="1"/>
    <row r="201" s="0" customFormat="1" ht="14.25" customHeight="1"/>
    <row r="202" s="0" customFormat="1" ht="14.25" customHeight="1"/>
    <row r="203" s="0" customFormat="1" ht="14.25" customHeight="1"/>
    <row r="204" s="0" customFormat="1" ht="14.25" customHeight="1"/>
    <row r="205" s="0" customFormat="1" ht="14.25" customHeight="1"/>
    <row r="206" s="0" customFormat="1" ht="14.25" customHeight="1"/>
    <row r="207" s="0" customFormat="1" ht="14.25" customHeight="1"/>
    <row r="208" s="0" customFormat="1" ht="14.25" customHeight="1"/>
    <row r="209" s="0" customFormat="1" ht="14.25" customHeight="1"/>
    <row r="210" s="0" customFormat="1" ht="14.25" customHeight="1"/>
    <row r="211" s="0" customFormat="1" ht="14.25" customHeight="1"/>
    <row r="212" s="0" customFormat="1" ht="14.25" customHeight="1"/>
    <row r="213" s="0" customFormat="1" ht="14.25" customHeight="1"/>
    <row r="214" s="0" customFormat="1" ht="14.25" customHeight="1"/>
    <row r="215" s="0" customFormat="1" ht="14.25" customHeight="1"/>
    <row r="216" s="0" customFormat="1" ht="14.25" customHeight="1"/>
    <row r="217" s="0" customFormat="1" ht="14.25" customHeight="1"/>
    <row r="218" s="0" customFormat="1" ht="14.25" customHeight="1"/>
    <row r="219" s="0" customFormat="1" ht="14.25" customHeight="1"/>
    <row r="220" s="0" customFormat="1" ht="14.25" customHeight="1"/>
    <row r="221" s="0" customFormat="1" ht="14.25" customHeight="1"/>
    <row r="222" s="0" customFormat="1" ht="14.25" customHeight="1"/>
    <row r="223" s="0" customFormat="1" ht="14.25" customHeight="1"/>
    <row r="224" s="0" customFormat="1" ht="14.25" customHeight="1"/>
    <row r="225" s="0" customFormat="1" ht="14.25" customHeight="1"/>
    <row r="226" s="0" customFormat="1" ht="14.25" customHeight="1"/>
    <row r="227" s="0" customFormat="1" ht="14.25" customHeight="1"/>
    <row r="228" s="0" customFormat="1" ht="14.25" customHeight="1"/>
    <row r="229" s="0" customFormat="1" ht="14.25" customHeight="1"/>
    <row r="230" s="0" customFormat="1" ht="15.75" customHeight="1"/>
    <row r="231" s="0" customFormat="1" ht="15.75" customHeight="1"/>
    <row r="232" s="0" customFormat="1" ht="15.75" customHeight="1"/>
    <row r="233" s="0" customFormat="1" ht="15.75" customHeight="1"/>
    <row r="234" s="0" customFormat="1" ht="15.75" customHeight="1"/>
    <row r="235" s="0" customFormat="1" ht="15.75" customHeight="1"/>
    <row r="236" s="0" customFormat="1" ht="15.75" customHeight="1"/>
    <row r="237" s="0" customFormat="1" ht="15.75" customHeight="1"/>
    <row r="238" s="0" customFormat="1" ht="15.75" customHeight="1"/>
    <row r="239" s="0" customFormat="1" ht="15.75" customHeight="1"/>
    <row r="240" s="0" customFormat="1" ht="15.75" customHeight="1"/>
    <row r="241" s="0" customFormat="1" ht="15.75" customHeight="1"/>
    <row r="242" s="0" customFormat="1" ht="15.75" customHeight="1"/>
    <row r="243" s="0" customFormat="1" ht="15.75" customHeight="1"/>
    <row r="244" s="0" customFormat="1" ht="15.75" customHeight="1"/>
    <row r="245" s="0" customFormat="1" ht="15.75" customHeight="1"/>
    <row r="246" s="0" customFormat="1" ht="15.75" customHeight="1"/>
    <row r="247" s="0" customFormat="1" ht="15.75" customHeight="1"/>
    <row r="248" s="0" customFormat="1" ht="15.75" customHeight="1"/>
    <row r="249" s="0" customFormat="1" ht="15.75" customHeight="1"/>
    <row r="250" s="0" customFormat="1" ht="15.75" customHeight="1"/>
    <row r="251" s="0" customFormat="1" ht="15.75" customHeight="1"/>
    <row r="252" s="0" customFormat="1" ht="15.75" customHeight="1"/>
    <row r="253" s="0" customFormat="1" ht="15.75" customHeight="1"/>
    <row r="254" s="0" customFormat="1" ht="15.75" customHeight="1"/>
    <row r="255" s="0" customFormat="1" ht="15.75" customHeight="1"/>
    <row r="256" s="0" customFormat="1" ht="15.75" customHeight="1"/>
    <row r="257" s="0" customFormat="1" ht="15.75" customHeight="1"/>
    <row r="258" s="0" customFormat="1" ht="15.75" customHeight="1"/>
    <row r="259" s="0" customFormat="1" ht="15.75" customHeight="1"/>
    <row r="260" s="0" customFormat="1" ht="15.75" customHeight="1"/>
    <row r="261" s="0" customFormat="1" ht="15.75" customHeight="1"/>
    <row r="262" s="0" customFormat="1" ht="15.75" customHeight="1"/>
    <row r="263" s="0" customFormat="1" ht="15.75" customHeight="1"/>
    <row r="264" s="0" customFormat="1" ht="15.75" customHeight="1"/>
    <row r="265" s="0" customFormat="1" ht="15.75" customHeight="1"/>
    <row r="266" s="0" customFormat="1" ht="15.75" customHeight="1"/>
    <row r="267" s="0" customFormat="1" ht="15.75" customHeight="1"/>
    <row r="268" s="0" customFormat="1" ht="15.75" customHeight="1"/>
    <row r="269" s="0" customFormat="1" ht="15.75" customHeight="1"/>
    <row r="270" s="0" customFormat="1" ht="15.75" customHeight="1"/>
    <row r="271" s="0" customFormat="1" ht="15.75" customHeight="1"/>
    <row r="272" s="0" customFormat="1" ht="15.75" customHeight="1"/>
    <row r="273" s="0" customFormat="1" ht="15.75" customHeight="1"/>
    <row r="274" s="0" customFormat="1" ht="15.75" customHeight="1"/>
    <row r="275" s="0" customFormat="1" ht="15.75" customHeight="1"/>
    <row r="276" s="0" customFormat="1" ht="15.75" customHeight="1"/>
    <row r="277" s="0" customFormat="1" ht="15.75" customHeight="1"/>
    <row r="278" s="0" customFormat="1" ht="15.75" customHeight="1"/>
    <row r="279" s="0" customFormat="1" ht="15.75" customHeight="1"/>
    <row r="280" s="0" customFormat="1" ht="15.75" customHeight="1"/>
    <row r="281" s="0" customFormat="1" ht="15.75" customHeight="1"/>
    <row r="282" s="0" customFormat="1" ht="15.75" customHeight="1"/>
    <row r="283" s="0" customFormat="1" ht="15.75" customHeight="1"/>
    <row r="284" s="0" customFormat="1" ht="15.75" customHeight="1"/>
    <row r="285" s="0" customFormat="1" ht="15.75" customHeight="1"/>
    <row r="286" s="0" customFormat="1" ht="15.75" customHeight="1"/>
    <row r="287" s="0" customFormat="1" ht="15.75" customHeight="1"/>
    <row r="288" s="0" customFormat="1" ht="15.75" customHeight="1"/>
    <row r="289" s="0" customFormat="1" ht="15.75" customHeight="1"/>
    <row r="290" s="0" customFormat="1" ht="15.75" customHeight="1"/>
    <row r="291" s="0" customFormat="1" ht="15.75" customHeight="1"/>
    <row r="292" s="0" customFormat="1" ht="15.75" customHeight="1"/>
    <row r="293" s="0" customFormat="1" ht="15.75" customHeight="1"/>
    <row r="294" s="0" customFormat="1" ht="15.75" customHeight="1"/>
    <row r="295" s="0" customFormat="1" ht="15.75" customHeight="1"/>
    <row r="296" s="0" customFormat="1" ht="15.75" customHeight="1"/>
    <row r="297" s="0" customFormat="1" ht="15.75" customHeight="1"/>
    <row r="298" s="0" customFormat="1" ht="15.75" customHeight="1"/>
    <row r="299" s="0" customFormat="1" ht="15.75" customHeight="1"/>
    <row r="300" s="0" customFormat="1" ht="15.75" customHeight="1"/>
    <row r="301" s="0" customFormat="1" ht="15.75" customHeight="1"/>
    <row r="302" s="0" customFormat="1" ht="15.75" customHeight="1"/>
    <row r="303" s="0" customFormat="1" ht="15.75" customHeight="1"/>
    <row r="304" s="0" customFormat="1" ht="15.75" customHeight="1"/>
    <row r="305" s="0" customFormat="1" ht="15.75" customHeight="1"/>
    <row r="306" s="0" customFormat="1" ht="15.75" customHeight="1"/>
    <row r="307" s="0" customFormat="1" ht="15.75" customHeight="1"/>
    <row r="308" s="0" customFormat="1" ht="15.75" customHeight="1"/>
    <row r="309" s="0" customFormat="1" ht="15.75" customHeight="1"/>
    <row r="310" s="0" customFormat="1" ht="15.75" customHeight="1"/>
    <row r="311" s="0" customFormat="1" ht="15.75" customHeight="1"/>
    <row r="312" s="0" customFormat="1" ht="15.75" customHeight="1"/>
    <row r="313" s="0" customFormat="1" ht="15.75" customHeight="1"/>
    <row r="314" s="0" customFormat="1" ht="15.75" customHeight="1"/>
    <row r="315" s="0" customFormat="1" ht="15.75" customHeight="1"/>
    <row r="316" s="0" customFormat="1" ht="15.75" customHeight="1"/>
    <row r="317" s="0" customFormat="1" ht="15.75" customHeight="1"/>
    <row r="318" s="0" customFormat="1" ht="15.75" customHeight="1"/>
    <row r="319" s="0" customFormat="1" ht="15.75" customHeight="1"/>
    <row r="320" s="0" customFormat="1" ht="15.75" customHeight="1"/>
    <row r="321" s="0" customFormat="1" ht="15.75" customHeight="1"/>
    <row r="322" s="0" customFormat="1" ht="15.75" customHeight="1"/>
    <row r="323" s="0" customFormat="1" ht="15.75" customHeight="1"/>
    <row r="324" s="0" customFormat="1" ht="15.75" customHeight="1"/>
    <row r="325" s="0" customFormat="1" ht="15.75" customHeight="1"/>
    <row r="326" s="0" customFormat="1" ht="15.75" customHeight="1"/>
    <row r="327" s="0" customFormat="1" ht="15.75" customHeight="1"/>
    <row r="328" s="0" customFormat="1" ht="15.75" customHeight="1"/>
    <row r="329" s="0" customFormat="1" ht="15.75" customHeight="1"/>
    <row r="330" s="0" customFormat="1" ht="15.75" customHeight="1"/>
    <row r="331" s="0" customFormat="1" ht="15.75" customHeight="1"/>
    <row r="332" s="0" customFormat="1" ht="15.75" customHeight="1"/>
    <row r="333" s="0" customFormat="1" ht="15.75" customHeight="1"/>
    <row r="334" s="0" customFormat="1" ht="15.75" customHeight="1"/>
    <row r="335" s="0" customFormat="1" ht="15.75" customHeight="1"/>
    <row r="336" s="0" customFormat="1" ht="15.75" customHeight="1"/>
    <row r="337" s="0" customFormat="1" ht="15.75" customHeight="1"/>
    <row r="338" s="0" customFormat="1" ht="15.75" customHeight="1"/>
    <row r="339" s="0" customFormat="1" ht="15.75" customHeight="1"/>
    <row r="340" s="0" customFormat="1" ht="15.75" customHeight="1"/>
    <row r="341" s="0" customFormat="1" ht="15.75" customHeight="1"/>
    <row r="342" s="0" customFormat="1" ht="15.75" customHeight="1"/>
    <row r="343" s="0" customFormat="1" ht="15.75" customHeight="1"/>
    <row r="344" s="0" customFormat="1" ht="15.75" customHeight="1"/>
    <row r="345" s="0" customFormat="1" ht="15.75" customHeight="1"/>
    <row r="346" s="0" customFormat="1" ht="15.75" customHeight="1"/>
    <row r="347" s="0" customFormat="1" ht="15.75" customHeight="1"/>
    <row r="348" s="0" customFormat="1" ht="15.75" customHeight="1"/>
    <row r="349" s="0" customFormat="1" ht="15.75" customHeight="1"/>
    <row r="350" s="0" customFormat="1" ht="15.75" customHeight="1"/>
    <row r="351" s="0" customFormat="1" ht="15.75" customHeight="1"/>
    <row r="352" s="0" customFormat="1" ht="15.75" customHeight="1"/>
    <row r="353" s="0" customFormat="1" ht="15.75" customHeight="1"/>
    <row r="354" s="0" customFormat="1" ht="15.75" customHeight="1"/>
    <row r="355" s="0" customFormat="1" ht="15.75" customHeight="1"/>
    <row r="356" s="0" customFormat="1" ht="15.75" customHeight="1"/>
    <row r="357" s="0" customFormat="1" ht="15.75" customHeight="1"/>
    <row r="358" s="0" customFormat="1" ht="15.75" customHeight="1"/>
    <row r="359" s="0" customFormat="1" ht="15.75" customHeight="1"/>
    <row r="360" s="0" customFormat="1" ht="15.75" customHeight="1"/>
    <row r="361" s="0" customFormat="1" ht="15.75" customHeight="1"/>
    <row r="362" s="0" customFormat="1" ht="15.75" customHeight="1"/>
    <row r="363" s="0" customFormat="1" ht="15.75" customHeight="1"/>
    <row r="364" s="0" customFormat="1" ht="15.75" customHeight="1"/>
    <row r="365" s="0" customFormat="1" ht="15.75" customHeight="1"/>
    <row r="366" s="0" customFormat="1" ht="15.75" customHeight="1"/>
    <row r="367" s="0" customFormat="1" ht="15.75" customHeight="1"/>
    <row r="368" s="0" customFormat="1" ht="15.75" customHeight="1"/>
    <row r="369" s="0" customFormat="1" ht="15.75" customHeight="1"/>
    <row r="370" s="0" customFormat="1" ht="15.75" customHeight="1"/>
    <row r="371" s="0" customFormat="1" ht="15.75" customHeight="1"/>
    <row r="372" s="0" customFormat="1" ht="15.75" customHeight="1"/>
    <row r="373" s="0" customFormat="1" ht="15.75" customHeight="1"/>
    <row r="374" s="0" customFormat="1" ht="15.75" customHeight="1"/>
    <row r="375" s="0" customFormat="1" ht="15.75" customHeight="1"/>
    <row r="376" s="0" customFormat="1" ht="15.75" customHeight="1"/>
    <row r="377" s="0" customFormat="1" ht="15.75" customHeight="1"/>
    <row r="378" s="0" customFormat="1" ht="15.75" customHeight="1"/>
    <row r="379" s="0" customFormat="1" ht="15.75" customHeight="1"/>
    <row r="380" s="0" customFormat="1" ht="15.75" customHeight="1"/>
    <row r="381" s="0" customFormat="1" ht="15.75" customHeight="1"/>
    <row r="382" s="0" customFormat="1" ht="15.75" customHeight="1"/>
    <row r="383" s="0" customFormat="1" ht="15.75" customHeight="1"/>
    <row r="384" s="0" customFormat="1" ht="15.75" customHeight="1"/>
    <row r="385" s="0" customFormat="1" ht="15.75" customHeight="1"/>
    <row r="386" s="0" customFormat="1" ht="15.75" customHeight="1"/>
    <row r="387" s="0" customFormat="1" ht="15.75" customHeight="1"/>
    <row r="388" s="0" customFormat="1" ht="15.75" customHeight="1"/>
    <row r="389" s="0" customFormat="1" ht="15.75" customHeight="1"/>
    <row r="390" s="0" customFormat="1" ht="15.75" customHeight="1"/>
    <row r="391" s="0" customFormat="1" ht="15.75" customHeight="1"/>
    <row r="392" s="0" customFormat="1" ht="15.75" customHeight="1"/>
    <row r="393" s="0" customFormat="1" ht="15.75" customHeight="1"/>
    <row r="394" s="0" customFormat="1" ht="15.75" customHeight="1"/>
    <row r="395" s="0" customFormat="1" ht="15.75" customHeight="1"/>
    <row r="396" s="0" customFormat="1" ht="15.75" customHeight="1"/>
    <row r="397" s="0" customFormat="1" ht="15.75" customHeight="1"/>
    <row r="398" s="0" customFormat="1" ht="15.75" customHeight="1"/>
    <row r="399" s="0" customFormat="1" ht="15.75" customHeight="1"/>
    <row r="400" s="0" customFormat="1" ht="15.75" customHeight="1"/>
    <row r="401" s="0" customFormat="1" ht="15.75" customHeight="1"/>
    <row r="402" s="0" customFormat="1" ht="15.75" customHeight="1"/>
    <row r="403" s="0" customFormat="1" ht="15.75" customHeight="1"/>
    <row r="404" s="0" customFormat="1" ht="15.75" customHeight="1"/>
    <row r="405" s="0" customFormat="1" ht="15.75" customHeight="1"/>
    <row r="406" s="0" customFormat="1" ht="15.75" customHeight="1"/>
    <row r="407" s="0" customFormat="1" ht="15.75" customHeight="1"/>
    <row r="408" s="0" customFormat="1" ht="15.75" customHeight="1"/>
    <row r="409" s="0" customFormat="1" ht="15.75" customHeight="1"/>
    <row r="410" s="0" customFormat="1" ht="15.75" customHeight="1"/>
    <row r="411" s="0" customFormat="1" ht="15.75" customHeight="1"/>
    <row r="412" s="0" customFormat="1" ht="15.75" customHeight="1"/>
    <row r="413" s="0" customFormat="1" ht="15.75" customHeight="1"/>
    <row r="414" s="0" customFormat="1" ht="15.75" customHeight="1"/>
    <row r="415" s="0" customFormat="1" ht="15.75" customHeight="1"/>
    <row r="416" s="0" customFormat="1" ht="15.75" customHeight="1"/>
    <row r="417" s="0" customFormat="1" ht="15.75" customHeight="1"/>
    <row r="418" s="0" customFormat="1" ht="15.75" customHeight="1"/>
    <row r="419" s="0" customFormat="1" ht="15.75" customHeight="1"/>
    <row r="420" s="0" customFormat="1" ht="15.75" customHeight="1"/>
    <row r="421" s="0" customFormat="1" ht="15.75" customHeight="1"/>
    <row r="422" s="0" customFormat="1" ht="15.75" customHeight="1"/>
    <row r="423" s="0" customFormat="1" ht="15.75" customHeight="1"/>
    <row r="424" s="0" customFormat="1" ht="15.75" customHeight="1"/>
    <row r="425" s="0" customFormat="1" ht="15.75" customHeight="1"/>
    <row r="426" s="0" customFormat="1" ht="15.75" customHeight="1"/>
    <row r="427" s="0" customFormat="1" ht="15.75" customHeight="1"/>
    <row r="428" s="0" customFormat="1" ht="15.75" customHeight="1"/>
    <row r="429" s="0" customFormat="1" ht="15.75" customHeight="1"/>
    <row r="430" s="0" customFormat="1" ht="15.75" customHeight="1"/>
    <row r="431" s="0" customFormat="1" ht="15.75" customHeight="1"/>
    <row r="432" s="0" customFormat="1" ht="15.75" customHeight="1"/>
    <row r="433" s="0" customFormat="1" ht="15.75" customHeight="1"/>
    <row r="434" s="0" customFormat="1" ht="15.75" customHeight="1"/>
    <row r="435" s="0" customFormat="1" ht="15.75" customHeight="1"/>
    <row r="436" s="0" customFormat="1" ht="15.75" customHeight="1"/>
    <row r="437" s="0" customFormat="1" ht="15.75" customHeight="1"/>
    <row r="438" s="0" customFormat="1" ht="15.75" customHeight="1"/>
    <row r="439" s="0" customFormat="1" ht="15.75" customHeight="1"/>
    <row r="440" s="0" customFormat="1" ht="15.75" customHeight="1"/>
    <row r="441" s="0" customFormat="1" ht="15.75" customHeight="1"/>
    <row r="442" s="0" customFormat="1" ht="15.75" customHeight="1"/>
    <row r="443" s="0" customFormat="1" ht="15.75" customHeight="1"/>
    <row r="444" s="0" customFormat="1" ht="15.75" customHeight="1"/>
    <row r="445" s="0" customFormat="1" ht="15.75" customHeight="1"/>
    <row r="446" s="0" customFormat="1" ht="15.75" customHeight="1"/>
    <row r="447" s="0" customFormat="1" ht="15.75" customHeight="1"/>
    <row r="448" s="0" customFormat="1" ht="15.75" customHeight="1"/>
    <row r="449" s="0" customFormat="1" ht="15.75" customHeight="1"/>
    <row r="450" s="0" customFormat="1" ht="15.75" customHeight="1"/>
    <row r="451" s="0" customFormat="1" ht="15.75" customHeight="1"/>
    <row r="452" s="0" customFormat="1" ht="15.75" customHeight="1"/>
    <row r="453" s="0" customFormat="1" ht="15.75" customHeight="1"/>
    <row r="454" s="0" customFormat="1" ht="15.75" customHeight="1"/>
    <row r="455" s="0" customFormat="1" ht="15.75" customHeight="1"/>
    <row r="456" s="0" customFormat="1" ht="15.75" customHeight="1"/>
    <row r="457" s="0" customFormat="1" ht="15.75" customHeight="1"/>
    <row r="458" s="0" customFormat="1" ht="15.75" customHeight="1"/>
    <row r="459" s="0" customFormat="1" ht="15.75" customHeight="1"/>
    <row r="460" s="0" customFormat="1" ht="15.75" customHeight="1"/>
    <row r="461" s="0" customFormat="1" ht="15.75" customHeight="1"/>
    <row r="462" s="0" customFormat="1" ht="15.75" customHeight="1"/>
    <row r="463" s="0" customFormat="1" ht="15.75" customHeight="1"/>
    <row r="464" s="0" customFormat="1" ht="15.75" customHeight="1"/>
    <row r="465" s="0" customFormat="1" ht="15.75" customHeight="1"/>
    <row r="466" s="0" customFormat="1" ht="15.75" customHeight="1"/>
    <row r="467" s="0" customFormat="1" ht="15.75" customHeight="1"/>
    <row r="468" s="0" customFormat="1" ht="15.75" customHeight="1"/>
    <row r="469" s="0" customFormat="1" ht="15.75" customHeight="1"/>
    <row r="470" s="0" customFormat="1" ht="15.75" customHeight="1"/>
    <row r="471" s="0" customFormat="1" ht="15.75" customHeight="1"/>
    <row r="472" s="0" customFormat="1" ht="15.75" customHeight="1"/>
    <row r="473" s="0" customFormat="1" ht="15.75" customHeight="1"/>
    <row r="474" s="0" customFormat="1" ht="15.75" customHeight="1"/>
    <row r="475" s="0" customFormat="1" ht="15.75" customHeight="1"/>
    <row r="476" s="0" customFormat="1" ht="15.75" customHeight="1"/>
    <row r="477" s="0" customFormat="1" ht="15.75" customHeight="1"/>
    <row r="478" s="0" customFormat="1" ht="15.75" customHeight="1"/>
    <row r="479" s="0" customFormat="1" ht="15.75" customHeight="1"/>
    <row r="480" s="0" customFormat="1" ht="15.75" customHeight="1"/>
    <row r="481" s="0" customFormat="1" ht="15.75" customHeight="1"/>
    <row r="482" s="0" customFormat="1" ht="15.75" customHeight="1"/>
    <row r="483" s="0" customFormat="1" ht="15.75" customHeight="1"/>
    <row r="484" s="0" customFormat="1" ht="15.75" customHeight="1"/>
    <row r="485" s="0" customFormat="1" ht="15.75" customHeight="1"/>
    <row r="486" s="0" customFormat="1" ht="15.75" customHeight="1"/>
    <row r="487" s="0" customFormat="1" ht="15.75" customHeight="1"/>
    <row r="488" s="0" customFormat="1" ht="15.75" customHeight="1"/>
    <row r="489" s="0" customFormat="1" ht="15.75" customHeight="1"/>
    <row r="490" s="0" customFormat="1" ht="15.75" customHeight="1"/>
    <row r="491" s="0" customFormat="1" ht="15.75" customHeight="1"/>
    <row r="492" s="0" customFormat="1" ht="15.75" customHeight="1"/>
    <row r="493" s="0" customFormat="1" ht="15.75" customHeight="1"/>
    <row r="494" s="0" customFormat="1" ht="15.75" customHeight="1"/>
    <row r="495" s="0" customFormat="1" ht="15.75" customHeight="1"/>
    <row r="496" s="0" customFormat="1" ht="15.75" customHeight="1"/>
    <row r="497" s="0" customFormat="1" ht="15.75" customHeight="1"/>
    <row r="498" s="0" customFormat="1" ht="15.75" customHeight="1"/>
    <row r="499" s="0" customFormat="1" ht="15.75" customHeight="1"/>
    <row r="500" s="0" customFormat="1" ht="15.75" customHeight="1"/>
    <row r="501" s="0" customFormat="1" ht="15.75" customHeight="1"/>
    <row r="502" s="0" customFormat="1" ht="15.75" customHeight="1"/>
    <row r="503" s="0" customFormat="1" ht="15.75" customHeight="1"/>
    <row r="504" s="0" customFormat="1" ht="15.75" customHeight="1"/>
    <row r="505" s="0" customFormat="1" ht="15.75" customHeight="1"/>
    <row r="506" s="0" customFormat="1" ht="15.75" customHeight="1"/>
    <row r="507" s="0" customFormat="1" ht="15.75" customHeight="1"/>
    <row r="508" s="0" customFormat="1" ht="15.75" customHeight="1"/>
    <row r="509" s="0" customFormat="1" ht="15.75" customHeight="1"/>
    <row r="510" s="0" customFormat="1" ht="15.75" customHeight="1"/>
    <row r="511" s="0" customFormat="1" ht="15.75" customHeight="1"/>
    <row r="512" s="0" customFormat="1" ht="15.75" customHeight="1"/>
    <row r="513" s="0" customFormat="1" ht="15.75" customHeight="1"/>
    <row r="514" s="0" customFormat="1" ht="15.75" customHeight="1"/>
    <row r="515" s="0" customFormat="1" ht="15.75" customHeight="1"/>
    <row r="516" s="0" customFormat="1" ht="15.75" customHeight="1"/>
    <row r="517" s="0" customFormat="1" ht="15.75" customHeight="1"/>
    <row r="518" s="0" customFormat="1" ht="15.75" customHeight="1"/>
    <row r="519" s="0" customFormat="1" ht="15.75" customHeight="1"/>
    <row r="520" s="0" customFormat="1" ht="15.75" customHeight="1"/>
    <row r="521" s="0" customFormat="1" ht="15.75" customHeight="1"/>
    <row r="522" s="0" customFormat="1" ht="15.75" customHeight="1"/>
    <row r="523" s="0" customFormat="1" ht="15.75" customHeight="1"/>
    <row r="524" s="0" customFormat="1" ht="15.75" customHeight="1"/>
    <row r="525" s="0" customFormat="1" ht="15.75" customHeight="1"/>
    <row r="526" s="0" customFormat="1" ht="15.75" customHeight="1"/>
    <row r="527" s="0" customFormat="1" ht="15.75" customHeight="1"/>
    <row r="528" s="0" customFormat="1" ht="15.75" customHeight="1"/>
    <row r="529" s="0" customFormat="1" ht="15.75" customHeight="1"/>
    <row r="530" s="0" customFormat="1" ht="15.75" customHeight="1"/>
    <row r="531" s="0" customFormat="1" ht="15.75" customHeight="1"/>
    <row r="532" s="0" customFormat="1" ht="15.75" customHeight="1"/>
    <row r="533" s="0" customFormat="1" ht="15.75" customHeight="1"/>
    <row r="534" s="0" customFormat="1" ht="15.75" customHeight="1"/>
    <row r="535" s="0" customFormat="1" ht="15.75" customHeight="1"/>
    <row r="536" s="0" customFormat="1" ht="15.75" customHeight="1"/>
    <row r="537" s="0" customFormat="1" ht="15.75" customHeight="1"/>
    <row r="538" s="0" customFormat="1" ht="15.75" customHeight="1"/>
    <row r="539" s="0" customFormat="1" ht="15.75" customHeight="1"/>
    <row r="540" s="0" customFormat="1" ht="15.75" customHeight="1"/>
    <row r="541" s="0" customFormat="1" ht="15.75" customHeight="1"/>
    <row r="542" s="0" customFormat="1" ht="15.75" customHeight="1"/>
    <row r="543" s="0" customFormat="1" ht="15.75" customHeight="1"/>
    <row r="544" s="0" customFormat="1" ht="15.75" customHeight="1"/>
    <row r="545" s="0" customFormat="1" ht="15.75" customHeight="1"/>
    <row r="546" s="0" customFormat="1" ht="15.75" customHeight="1"/>
    <row r="547" s="0" customFormat="1" ht="15.75" customHeight="1"/>
    <row r="548" s="0" customFormat="1" ht="15.75" customHeight="1"/>
    <row r="549" s="0" customFormat="1" ht="15.75" customHeight="1"/>
    <row r="550" s="0" customFormat="1" ht="15.75" customHeight="1"/>
    <row r="551" s="0" customFormat="1" ht="15.75" customHeight="1"/>
    <row r="552" s="0" customFormat="1" ht="15.75" customHeight="1"/>
    <row r="553" s="0" customFormat="1" ht="15.75" customHeight="1"/>
    <row r="554" s="0" customFormat="1" ht="15.75" customHeight="1"/>
    <row r="555" s="0" customFormat="1" ht="15.75" customHeight="1"/>
    <row r="556" s="0" customFormat="1" ht="15.75" customHeight="1"/>
    <row r="557" s="0" customFormat="1" ht="15.75" customHeight="1"/>
    <row r="558" s="0" customFormat="1" ht="15.75" customHeight="1"/>
    <row r="559" s="0" customFormat="1" ht="15.75" customHeight="1"/>
    <row r="560" s="0" customFormat="1" ht="15.75" customHeight="1"/>
    <row r="561" s="0" customFormat="1" ht="15.75" customHeight="1"/>
    <row r="562" s="0" customFormat="1" ht="15.75" customHeight="1"/>
    <row r="563" s="0" customFormat="1" ht="15.75" customHeight="1"/>
    <row r="564" s="0" customFormat="1" ht="15.75" customHeight="1"/>
    <row r="565" s="0" customFormat="1" ht="15.75" customHeight="1"/>
    <row r="566" s="0" customFormat="1" ht="15.75" customHeight="1"/>
    <row r="567" s="0" customFormat="1" ht="15.75" customHeight="1"/>
    <row r="568" s="0" customFormat="1" ht="15.75" customHeight="1"/>
    <row r="569" s="0" customFormat="1" ht="15.75" customHeight="1"/>
    <row r="570" s="0" customFormat="1" ht="15.75" customHeight="1"/>
    <row r="571" s="0" customFormat="1" ht="15.75" customHeight="1"/>
    <row r="572" s="0" customFormat="1" ht="15.75" customHeight="1"/>
    <row r="573" s="0" customFormat="1" ht="15.75" customHeight="1"/>
    <row r="574" s="0" customFormat="1" ht="15.75" customHeight="1"/>
    <row r="575" s="0" customFormat="1" ht="15.75" customHeight="1"/>
    <row r="576" s="0" customFormat="1" ht="15.75" customHeight="1"/>
    <row r="577" s="0" customFormat="1" ht="15.75" customHeight="1"/>
    <row r="578" s="0" customFormat="1" ht="15.75" customHeight="1"/>
    <row r="579" s="0" customFormat="1" ht="15.75" customHeight="1"/>
    <row r="580" s="0" customFormat="1" ht="15.75" customHeight="1"/>
    <row r="581" s="0" customFormat="1" ht="15.75" customHeight="1"/>
    <row r="582" s="0" customFormat="1" ht="15.75" customHeight="1"/>
    <row r="583" s="0" customFormat="1" ht="15.75" customHeight="1"/>
    <row r="584" s="0" customFormat="1" ht="15.75" customHeight="1"/>
    <row r="585" s="0" customFormat="1" ht="15.75" customHeight="1"/>
    <row r="586" s="0" customFormat="1" ht="15.75" customHeight="1"/>
    <row r="587" s="0" customFormat="1" ht="15.75" customHeight="1"/>
    <row r="588" s="0" customFormat="1" ht="15.75" customHeight="1"/>
    <row r="589" s="0" customFormat="1" ht="15.75" customHeight="1"/>
    <row r="590" s="0" customFormat="1" ht="15.75" customHeight="1"/>
    <row r="591" s="0" customFormat="1" ht="15.75" customHeight="1"/>
    <row r="592" s="0" customFormat="1" ht="15.75" customHeight="1"/>
    <row r="593" s="0" customFormat="1" ht="15.75" customHeight="1"/>
    <row r="594" s="0" customFormat="1" ht="15.75" customHeight="1"/>
    <row r="595" s="0" customFormat="1" ht="15.75" customHeight="1"/>
    <row r="596" s="0" customFormat="1" ht="15.75" customHeight="1"/>
    <row r="597" s="0" customFormat="1" ht="15.75" customHeight="1"/>
    <row r="598" s="0" customFormat="1" ht="15.75" customHeight="1"/>
    <row r="599" s="0" customFormat="1" ht="15.75" customHeight="1"/>
    <row r="600" s="0" customFormat="1" ht="15.75" customHeight="1"/>
    <row r="601" s="0" customFormat="1" ht="15.75" customHeight="1"/>
    <row r="602" s="0" customFormat="1" ht="15.75" customHeight="1"/>
    <row r="603" s="0" customFormat="1" ht="15.75" customHeight="1"/>
    <row r="604" s="0" customFormat="1" ht="15.75" customHeight="1"/>
    <row r="605" s="0" customFormat="1" ht="15.75" customHeight="1"/>
    <row r="606" s="0" customFormat="1" ht="15.75" customHeight="1"/>
    <row r="607" s="0" customFormat="1" ht="15.75" customHeight="1"/>
    <row r="608" s="0" customFormat="1" ht="15.75" customHeight="1"/>
    <row r="609" s="0" customFormat="1" ht="15.75" customHeight="1"/>
    <row r="610" s="0" customFormat="1" ht="15.75" customHeight="1"/>
    <row r="611" s="0" customFormat="1" ht="15.75" customHeight="1"/>
    <row r="612" s="0" customFormat="1" ht="15.75" customHeight="1"/>
    <row r="613" s="0" customFormat="1" ht="15.75" customHeight="1"/>
    <row r="614" s="0" customFormat="1" ht="15.75" customHeight="1"/>
    <row r="615" s="0" customFormat="1" ht="15.75" customHeight="1"/>
    <row r="616" s="0" customFormat="1" ht="15.75" customHeight="1"/>
    <row r="617" s="0" customFormat="1" ht="15.75" customHeight="1"/>
    <row r="618" s="0" customFormat="1" ht="15.75" customHeight="1"/>
    <row r="619" s="0" customFormat="1" ht="15.75" customHeight="1"/>
    <row r="620" s="0" customFormat="1" ht="15.75" customHeight="1"/>
    <row r="621" s="0" customFormat="1" ht="15.75" customHeight="1"/>
    <row r="622" s="0" customFormat="1" ht="15.75" customHeight="1"/>
    <row r="623" s="0" customFormat="1" ht="15.75" customHeight="1"/>
    <row r="624" s="0" customFormat="1" ht="15.75" customHeight="1"/>
    <row r="625" s="0" customFormat="1" ht="15.75" customHeight="1"/>
    <row r="626" s="0" customFormat="1" ht="15.75" customHeight="1"/>
    <row r="627" s="0" customFormat="1" ht="15.75" customHeight="1"/>
    <row r="628" s="0" customFormat="1" ht="15.75" customHeight="1"/>
    <row r="629" s="0" customFormat="1" ht="15.75" customHeight="1"/>
    <row r="630" s="0" customFormat="1" ht="15.75" customHeight="1"/>
    <row r="631" s="0" customFormat="1" ht="15.75" customHeight="1"/>
    <row r="632" s="0" customFormat="1" ht="15.75" customHeight="1"/>
    <row r="633" s="0" customFormat="1" ht="15.75" customHeight="1"/>
    <row r="634" s="0" customFormat="1" ht="15.75" customHeight="1"/>
    <row r="635" s="0" customFormat="1" ht="15.75" customHeight="1"/>
    <row r="636" s="0" customFormat="1" ht="15.75" customHeight="1"/>
    <row r="637" s="0" customFormat="1" ht="15.75" customHeight="1"/>
    <row r="638" s="0" customFormat="1" ht="15.75" customHeight="1"/>
    <row r="639" s="0" customFormat="1" ht="15.75" customHeight="1"/>
    <row r="640" s="0" customFormat="1" ht="15.75" customHeight="1"/>
    <row r="641" s="0" customFormat="1" ht="15.75" customHeight="1"/>
    <row r="642" s="0" customFormat="1" ht="15.75" customHeight="1"/>
    <row r="643" s="0" customFormat="1" ht="15.75" customHeight="1"/>
    <row r="644" s="0" customFormat="1" ht="15.75" customHeight="1"/>
    <row r="645" s="0" customFormat="1" ht="15.75" customHeight="1"/>
    <row r="646" s="0" customFormat="1" ht="15.75" customHeight="1"/>
    <row r="647" s="0" customFormat="1" ht="15.75" customHeight="1"/>
    <row r="648" s="0" customFormat="1" ht="15.75" customHeight="1"/>
    <row r="649" s="0" customFormat="1" ht="15.75" customHeight="1"/>
    <row r="650" s="0" customFormat="1" ht="15.75" customHeight="1"/>
    <row r="651" s="0" customFormat="1" ht="15.75" customHeight="1"/>
    <row r="652" s="0" customFormat="1" ht="15.75" customHeight="1"/>
    <row r="653" s="0" customFormat="1" ht="15.75" customHeight="1"/>
    <row r="654" s="0" customFormat="1" ht="15.75" customHeight="1"/>
    <row r="655" s="0" customFormat="1" ht="15.75" customHeight="1"/>
    <row r="656" s="0" customFormat="1" ht="15.75" customHeight="1"/>
    <row r="657" s="0" customFormat="1" ht="15.75" customHeight="1"/>
    <row r="658" s="0" customFormat="1" ht="15.75" customHeight="1"/>
    <row r="659" s="0" customFormat="1" ht="15.75" customHeight="1"/>
    <row r="660" s="0" customFormat="1" ht="15.75" customHeight="1"/>
    <row r="661" s="0" customFormat="1" ht="15.75" customHeight="1"/>
    <row r="662" s="0" customFormat="1" ht="15.75" customHeight="1"/>
    <row r="663" s="0" customFormat="1" ht="15.75" customHeight="1"/>
    <row r="664" s="0" customFormat="1" ht="15.75" customHeight="1"/>
    <row r="665" s="0" customFormat="1" ht="15.75" customHeight="1"/>
    <row r="666" s="0" customFormat="1" ht="15.75" customHeight="1"/>
    <row r="667" s="0" customFormat="1" ht="15.75" customHeight="1"/>
    <row r="668" s="0" customFormat="1" ht="15.75" customHeight="1"/>
    <row r="669" s="0" customFormat="1" ht="15.75" customHeight="1"/>
    <row r="670" s="0" customFormat="1" ht="15.75" customHeight="1"/>
    <row r="671" s="0" customFormat="1" ht="15.75" customHeight="1"/>
    <row r="672" s="0" customFormat="1" ht="15.75" customHeight="1"/>
    <row r="673" s="0" customFormat="1" ht="15.75" customHeight="1"/>
    <row r="674" s="0" customFormat="1" ht="15.75" customHeight="1"/>
    <row r="675" s="0" customFormat="1" ht="15.75" customHeight="1"/>
    <row r="676" s="0" customFormat="1" ht="15.75" customHeight="1"/>
    <row r="677" s="0" customFormat="1" ht="15.75" customHeight="1"/>
    <row r="678" s="0" customFormat="1" ht="15.75" customHeight="1"/>
    <row r="679" s="0" customFormat="1" ht="15.75" customHeight="1"/>
    <row r="680" s="0" customFormat="1" ht="15.75" customHeight="1"/>
    <row r="681" s="0" customFormat="1" ht="15.75" customHeight="1"/>
    <row r="682" s="0" customFormat="1" ht="15.75" customHeight="1"/>
    <row r="683" s="0" customFormat="1" ht="15.75" customHeight="1"/>
    <row r="684" s="0" customFormat="1" ht="15.75" customHeight="1"/>
    <row r="685" s="0" customFormat="1" ht="15.75" customHeight="1"/>
    <row r="686" s="0" customFormat="1" ht="15.75" customHeight="1"/>
    <row r="687" s="0" customFormat="1" ht="15.75" customHeight="1"/>
    <row r="688" s="0" customFormat="1" ht="15.75" customHeight="1"/>
    <row r="689" s="0" customFormat="1" ht="15.75" customHeight="1"/>
    <row r="690" s="0" customFormat="1" ht="15.75" customHeight="1"/>
    <row r="691" s="0" customFormat="1" ht="15.75" customHeight="1"/>
    <row r="692" s="0" customFormat="1" ht="15.75" customHeight="1"/>
    <row r="693" s="0" customFormat="1" ht="15.75" customHeight="1"/>
    <row r="694" s="0" customFormat="1" ht="15.75" customHeight="1"/>
    <row r="695" s="0" customFormat="1" ht="15.75" customHeight="1"/>
    <row r="696" s="0" customFormat="1" ht="15.75" customHeight="1"/>
    <row r="697" s="0" customFormat="1" ht="15.75" customHeight="1"/>
    <row r="698" s="0" customFormat="1" ht="15.75" customHeight="1"/>
    <row r="699" s="0" customFormat="1" ht="15.75" customHeight="1"/>
    <row r="700" s="0" customFormat="1" ht="15.75" customHeight="1"/>
    <row r="701" s="0" customFormat="1" ht="15.75" customHeight="1"/>
    <row r="702" s="0" customFormat="1" ht="15.75" customHeight="1"/>
    <row r="703" s="0" customFormat="1" ht="15.75" customHeight="1"/>
    <row r="704" s="0" customFormat="1" ht="15.75" customHeight="1"/>
    <row r="705" s="0" customFormat="1" ht="15.75" customHeight="1"/>
    <row r="706" s="0" customFormat="1" ht="15.75" customHeight="1"/>
    <row r="707" s="0" customFormat="1" ht="15.75" customHeight="1"/>
    <row r="708" s="0" customFormat="1" ht="15.75" customHeight="1"/>
    <row r="709" s="0" customFormat="1" ht="15.75" customHeight="1"/>
    <row r="710" s="0" customFormat="1" ht="15.75" customHeight="1"/>
    <row r="711" s="0" customFormat="1" ht="15.75" customHeight="1"/>
    <row r="712" s="0" customFormat="1" ht="15.75" customHeight="1"/>
    <row r="713" s="0" customFormat="1" ht="15.75" customHeight="1"/>
    <row r="714" s="0" customFormat="1" ht="15.75" customHeight="1"/>
    <row r="715" s="0" customFormat="1" ht="15.75" customHeight="1"/>
    <row r="716" s="0" customFormat="1" ht="15.75" customHeight="1"/>
    <row r="717" s="0" customFormat="1" ht="15.75" customHeight="1"/>
    <row r="718" s="0" customFormat="1" ht="15.75" customHeight="1"/>
    <row r="719" s="0" customFormat="1" ht="15.75" customHeight="1"/>
    <row r="720" s="0" customFormat="1" ht="15.75" customHeight="1"/>
    <row r="721" s="0" customFormat="1" ht="15.75" customHeight="1"/>
    <row r="722" s="0" customFormat="1" ht="15.75" customHeight="1"/>
    <row r="723" s="0" customFormat="1" ht="15.75" customHeight="1"/>
    <row r="724" s="0" customFormat="1" ht="15.75" customHeight="1"/>
    <row r="725" s="0" customFormat="1" ht="15.75" customHeight="1"/>
    <row r="726" s="0" customFormat="1" ht="15.75" customHeight="1"/>
    <row r="727" s="0" customFormat="1" ht="15.75" customHeight="1"/>
    <row r="728" s="0" customFormat="1" ht="15.75" customHeight="1"/>
    <row r="729" s="0" customFormat="1" ht="15.75" customHeight="1"/>
    <row r="730" s="0" customFormat="1" ht="15.75" customHeight="1"/>
    <row r="731" s="0" customFormat="1" ht="15.75" customHeight="1"/>
    <row r="732" s="0" customFormat="1" ht="15.75" customHeight="1"/>
    <row r="733" s="0" customFormat="1" ht="15.75" customHeight="1"/>
    <row r="734" s="0" customFormat="1" ht="15.75" customHeight="1"/>
    <row r="735" s="0" customFormat="1" ht="15.75" customHeight="1"/>
    <row r="736" s="0" customFormat="1" ht="15.75" customHeight="1"/>
    <row r="737" s="0" customFormat="1" ht="15.75" customHeight="1"/>
    <row r="738" s="0" customFormat="1" ht="15.75" customHeight="1"/>
    <row r="739" s="0" customFormat="1" ht="15.75" customHeight="1"/>
    <row r="740" s="0" customFormat="1" ht="15.75" customHeight="1"/>
    <row r="741" s="0" customFormat="1" ht="15.75" customHeight="1"/>
    <row r="742" s="0" customFormat="1" ht="15.75" customHeight="1"/>
    <row r="743" s="0" customFormat="1" ht="15.75" customHeight="1"/>
    <row r="744" s="0" customFormat="1" ht="15.75" customHeight="1"/>
    <row r="745" s="0" customFormat="1" ht="15.75" customHeight="1"/>
    <row r="746" s="0" customFormat="1" ht="15.75" customHeight="1"/>
    <row r="747" s="0" customFormat="1" ht="15.75" customHeight="1"/>
    <row r="748" s="0" customFormat="1" ht="15.75" customHeight="1"/>
    <row r="749" s="0" customFormat="1" ht="15.75" customHeight="1"/>
    <row r="750" s="0" customFormat="1" ht="15.75" customHeight="1"/>
    <row r="751" s="0" customFormat="1" ht="15.75" customHeight="1"/>
    <row r="752" s="0" customFormat="1" ht="15.75" customHeight="1"/>
    <row r="753" s="0" customFormat="1" ht="15.75" customHeight="1"/>
    <row r="754" s="0" customFormat="1" ht="15.75" customHeight="1"/>
    <row r="755" s="0" customFormat="1" ht="15.75" customHeight="1"/>
    <row r="756" s="0" customFormat="1" ht="15.75" customHeight="1"/>
    <row r="757" s="0" customFormat="1" ht="15.75" customHeight="1"/>
    <row r="758" s="0" customFormat="1" ht="15.75" customHeight="1"/>
    <row r="759" s="0" customFormat="1" ht="15.75" customHeight="1"/>
    <row r="760" s="0" customFormat="1" ht="15.75" customHeight="1"/>
    <row r="761" s="0" customFormat="1" ht="15.75" customHeight="1"/>
    <row r="762" s="0" customFormat="1" ht="15.75" customHeight="1"/>
    <row r="763" s="0" customFormat="1" ht="15.75" customHeight="1"/>
    <row r="764" s="0" customFormat="1" ht="15.75" customHeight="1"/>
    <row r="765" s="0" customFormat="1" ht="15.75" customHeight="1"/>
    <row r="766" s="0" customFormat="1" ht="15.75" customHeight="1"/>
    <row r="767" s="0" customFormat="1" ht="15.75" customHeight="1"/>
    <row r="768" s="0" customFormat="1" ht="15.75" customHeight="1"/>
    <row r="769" s="0" customFormat="1" ht="15.75" customHeight="1"/>
    <row r="770" s="0" customFormat="1" ht="15.75" customHeight="1"/>
    <row r="771" s="0" customFormat="1" ht="15.75" customHeight="1"/>
    <row r="772" s="0" customFormat="1" ht="15.75" customHeight="1"/>
    <row r="773" s="0" customFormat="1" ht="15.75" customHeight="1"/>
    <row r="774" s="0" customFormat="1" ht="15.75" customHeight="1"/>
    <row r="775" s="0" customFormat="1" ht="15.75" customHeight="1"/>
    <row r="776" s="0" customFormat="1" ht="15.75" customHeight="1"/>
    <row r="777" s="0" customFormat="1" ht="15.75" customHeight="1"/>
    <row r="778" s="0" customFormat="1" ht="15.75" customHeight="1"/>
    <row r="779" s="0" customFormat="1" ht="15.75" customHeight="1"/>
    <row r="780" s="0" customFormat="1" ht="15.75" customHeight="1"/>
    <row r="781" s="0" customFormat="1" ht="15.75" customHeight="1"/>
    <row r="782" s="0" customFormat="1" ht="15.75" customHeight="1"/>
    <row r="783" s="0" customFormat="1" ht="15.75" customHeight="1"/>
    <row r="784" s="0" customFormat="1" ht="15.75" customHeight="1"/>
    <row r="785" s="0" customFormat="1" ht="15.75" customHeight="1"/>
    <row r="786" s="0" customFormat="1" ht="15.75" customHeight="1"/>
    <row r="787" s="0" customFormat="1" ht="15.75" customHeight="1"/>
    <row r="788" s="0" customFormat="1" ht="15.75" customHeight="1"/>
    <row r="789" s="0" customFormat="1" ht="15.75" customHeight="1"/>
    <row r="790" s="0" customFormat="1" ht="15.75" customHeight="1"/>
    <row r="791" s="0" customFormat="1" ht="15.75" customHeight="1"/>
    <row r="792" s="0" customFormat="1" ht="15.75" customHeight="1"/>
    <row r="793" s="0" customFormat="1" ht="15.75" customHeight="1"/>
    <row r="794" s="0" customFormat="1" ht="15.75" customHeight="1"/>
    <row r="795" s="0" customFormat="1" ht="15.75" customHeight="1"/>
    <row r="796" s="0" customFormat="1" ht="15.75" customHeight="1"/>
    <row r="797" s="0" customFormat="1" ht="15.75" customHeight="1"/>
    <row r="798" s="0" customFormat="1" ht="15.75" customHeight="1"/>
    <row r="799" s="0" customFormat="1" ht="15.75" customHeight="1"/>
    <row r="800" s="0" customFormat="1" ht="15.75" customHeight="1"/>
    <row r="801" s="0" customFormat="1" ht="15.75" customHeight="1"/>
    <row r="802" s="0" customFormat="1" ht="15.75" customHeight="1"/>
    <row r="803" s="0" customFormat="1" ht="15.75" customHeight="1"/>
    <row r="804" s="0" customFormat="1" ht="15.75" customHeight="1"/>
    <row r="805" s="0" customFormat="1" ht="15.75" customHeight="1"/>
    <row r="806" s="0" customFormat="1" ht="15.75" customHeight="1"/>
    <row r="807" s="0" customFormat="1" ht="15.75" customHeight="1"/>
    <row r="808" s="0" customFormat="1" ht="15.75" customHeight="1"/>
    <row r="809" s="0" customFormat="1" ht="15.75" customHeight="1"/>
    <row r="810" s="0" customFormat="1" ht="15.75" customHeight="1"/>
    <row r="811" s="0" customFormat="1" ht="15.75" customHeight="1"/>
    <row r="812" s="0" customFormat="1" ht="15.75" customHeight="1"/>
    <row r="813" s="0" customFormat="1" ht="15.75" customHeight="1"/>
    <row r="814" s="0" customFormat="1" ht="15.75" customHeight="1"/>
    <row r="815" s="0" customFormat="1" ht="15.75" customHeight="1"/>
    <row r="816" s="0" customFormat="1" ht="15.75" customHeight="1"/>
    <row r="817" s="0" customFormat="1" ht="15.75" customHeight="1"/>
    <row r="818" s="0" customFormat="1" ht="15.75" customHeight="1"/>
    <row r="819" s="0" customFormat="1" ht="15.75" customHeight="1"/>
    <row r="820" s="0" customFormat="1" ht="15.75" customHeight="1"/>
    <row r="821" s="0" customFormat="1" ht="15.75" customHeight="1"/>
    <row r="822" s="0" customFormat="1" ht="15.75" customHeight="1"/>
    <row r="823" s="0" customFormat="1" ht="15.75" customHeight="1"/>
    <row r="824" s="0" customFormat="1" ht="15.75" customHeight="1"/>
    <row r="825" s="0" customFormat="1" ht="15.75" customHeight="1"/>
    <row r="826" s="0" customFormat="1" ht="15.75" customHeight="1"/>
    <row r="827" s="0" customFormat="1" ht="15.75" customHeight="1"/>
    <row r="828" s="0" customFormat="1" ht="15.75" customHeight="1"/>
    <row r="829" s="0" customFormat="1" ht="15.75" customHeight="1"/>
    <row r="830" s="0" customFormat="1" ht="15.75" customHeight="1"/>
    <row r="831" s="0" customFormat="1" ht="15.75" customHeight="1"/>
    <row r="832" s="0" customFormat="1" ht="15.75" customHeight="1"/>
    <row r="833" s="0" customFormat="1" ht="15.75" customHeight="1"/>
    <row r="834" s="0" customFormat="1" ht="15.75" customHeight="1"/>
    <row r="835" s="0" customFormat="1" ht="15.75" customHeight="1"/>
    <row r="836" s="0" customFormat="1" ht="15.75" customHeight="1"/>
    <row r="837" s="0" customFormat="1" ht="15.75" customHeight="1"/>
    <row r="838" s="0" customFormat="1" ht="15.75" customHeight="1"/>
    <row r="839" s="0" customFormat="1" ht="15.75" customHeight="1"/>
    <row r="840" s="0" customFormat="1" ht="15.75" customHeight="1"/>
    <row r="841" s="0" customFormat="1" ht="15.75" customHeight="1"/>
    <row r="842" s="0" customFormat="1" ht="15.75" customHeight="1"/>
    <row r="843" s="0" customFormat="1" ht="15.75" customHeight="1"/>
    <row r="844" s="0" customFormat="1" ht="15.75" customHeight="1"/>
    <row r="845" s="0" customFormat="1" ht="15.75" customHeight="1"/>
    <row r="846" s="0" customFormat="1" ht="15.75" customHeight="1"/>
    <row r="847" s="0" customFormat="1" ht="15.75" customHeight="1"/>
    <row r="848" s="0" customFormat="1" ht="15.75" customHeight="1"/>
    <row r="849" s="0" customFormat="1" ht="15.75" customHeight="1"/>
    <row r="850" s="0" customFormat="1" ht="15.75" customHeight="1"/>
    <row r="851" s="0" customFormat="1" ht="15.75" customHeight="1"/>
    <row r="852" s="0" customFormat="1" ht="15.75" customHeight="1"/>
    <row r="853" s="0" customFormat="1" ht="15.75" customHeight="1"/>
    <row r="854" s="0" customFormat="1" ht="15.75" customHeight="1"/>
    <row r="855" s="0" customFormat="1" ht="15.75" customHeight="1"/>
    <row r="856" s="0" customFormat="1" ht="15.75" customHeight="1"/>
    <row r="857" s="0" customFormat="1" ht="15.75" customHeight="1"/>
    <row r="858" s="0" customFormat="1" ht="15.75" customHeight="1"/>
    <row r="859" s="0" customFormat="1" ht="15.75" customHeight="1"/>
    <row r="860" s="0" customFormat="1" ht="15.75" customHeight="1"/>
    <row r="861" s="0" customFormat="1" ht="15.75" customHeight="1"/>
    <row r="862" s="0" customFormat="1" ht="15.75" customHeight="1"/>
    <row r="863" s="0" customFormat="1" ht="15.75" customHeight="1"/>
    <row r="864" s="0" customFormat="1" ht="15.75" customHeight="1"/>
    <row r="865" s="0" customFormat="1" ht="15.75" customHeight="1"/>
    <row r="866" s="0" customFormat="1" ht="15.75" customHeight="1"/>
    <row r="867" s="0" customFormat="1" ht="15.75" customHeight="1"/>
    <row r="868" s="0" customFormat="1" ht="15.75" customHeight="1"/>
    <row r="869" s="0" customFormat="1" ht="15.75" customHeight="1"/>
    <row r="870" s="0" customFormat="1" ht="15.75" customHeight="1"/>
    <row r="871" s="0" customFormat="1" ht="15.75" customHeight="1"/>
    <row r="872" s="0" customFormat="1" ht="15.75" customHeight="1"/>
    <row r="873" s="0" customFormat="1" ht="15.75" customHeight="1"/>
    <row r="874" s="0" customFormat="1" ht="15.75" customHeight="1"/>
    <row r="875" s="0" customFormat="1" ht="15.75" customHeight="1"/>
    <row r="876" s="0" customFormat="1" ht="15.75" customHeight="1"/>
    <row r="877" s="0" customFormat="1" ht="15.75" customHeight="1"/>
    <row r="878" s="0" customFormat="1" ht="15.75" customHeight="1"/>
    <row r="879" s="0" customFormat="1" ht="15.75" customHeight="1"/>
    <row r="880" s="0" customFormat="1" ht="15.75" customHeight="1"/>
    <row r="881" s="0" customFormat="1" ht="15.75" customHeight="1"/>
    <row r="882" s="0" customFormat="1" ht="15.75" customHeight="1"/>
    <row r="883" s="0" customFormat="1" ht="15.75" customHeight="1"/>
    <row r="884" s="0" customFormat="1" ht="15.75" customHeight="1"/>
    <row r="885" s="0" customFormat="1" ht="15.75" customHeight="1"/>
    <row r="886" s="0" customFormat="1" ht="15.75" customHeight="1"/>
    <row r="887" s="0" customFormat="1" ht="15.75" customHeight="1"/>
    <row r="888" s="0" customFormat="1" ht="15.75" customHeight="1"/>
    <row r="889" s="0" customFormat="1" ht="15.75" customHeight="1"/>
    <row r="890" s="0" customFormat="1" ht="15.75" customHeight="1"/>
    <row r="891" s="0" customFormat="1" ht="15.75" customHeight="1"/>
    <row r="892" s="0" customFormat="1" ht="15.75" customHeight="1"/>
    <row r="893" s="0" customFormat="1" ht="15.75" customHeight="1"/>
    <row r="894" s="0" customFormat="1" ht="15.75" customHeight="1"/>
    <row r="895" s="0" customFormat="1" ht="15.75" customHeight="1"/>
    <row r="896" s="0" customFormat="1" ht="15.75" customHeight="1"/>
    <row r="897" s="0" customFormat="1" ht="15.75" customHeight="1"/>
    <row r="898" s="0" customFormat="1" ht="15.75" customHeight="1"/>
    <row r="899" s="0" customFormat="1" ht="15.75" customHeight="1"/>
    <row r="900" s="0" customFormat="1" ht="15.75" customHeight="1"/>
    <row r="901" s="0" customFormat="1" ht="15.75" customHeight="1"/>
    <row r="902" s="0" customFormat="1" ht="15.75" customHeight="1"/>
    <row r="903" s="0" customFormat="1" ht="15.75" customHeight="1"/>
    <row r="904" s="0" customFormat="1" ht="15.75" customHeight="1"/>
    <row r="905" s="0" customFormat="1" ht="15.75" customHeight="1"/>
    <row r="906" s="0" customFormat="1" ht="15.75" customHeight="1"/>
    <row r="907" s="0" customFormat="1" ht="15.75" customHeight="1"/>
    <row r="908" s="0" customFormat="1" ht="15.75" customHeight="1"/>
    <row r="909" s="0" customFormat="1" ht="15.75" customHeight="1"/>
    <row r="910" s="0" customFormat="1" ht="15.75" customHeight="1"/>
    <row r="911" s="0" customFormat="1" ht="15.75" customHeight="1"/>
    <row r="912" s="0" customFormat="1" ht="15.75" customHeight="1"/>
    <row r="913" s="0" customFormat="1" ht="15.75" customHeight="1"/>
    <row r="914" s="0" customFormat="1" ht="15.75" customHeight="1"/>
    <row r="915" s="0" customFormat="1" ht="15.75" customHeight="1"/>
    <row r="916" s="0" customFormat="1" ht="15.75" customHeight="1"/>
    <row r="917" s="0" customFormat="1" ht="15.75" customHeight="1"/>
    <row r="918" s="0" customFormat="1" ht="15.75" customHeight="1"/>
    <row r="919" s="0" customFormat="1" ht="15.75" customHeight="1"/>
    <row r="920" s="0" customFormat="1" ht="15.75" customHeight="1"/>
    <row r="921" s="0" customFormat="1" ht="15.75" customHeight="1"/>
    <row r="922" s="0" customFormat="1" ht="15.75" customHeight="1"/>
    <row r="923" s="0" customFormat="1" ht="15.75" customHeight="1"/>
    <row r="924" s="0" customFormat="1" ht="15.75" customHeight="1"/>
    <row r="925" s="0" customFormat="1" ht="15.75" customHeight="1"/>
    <row r="926" s="0" customFormat="1" ht="15.75" customHeight="1"/>
    <row r="927" s="0" customFormat="1" ht="15.75" customHeight="1"/>
    <row r="928" s="0" customFormat="1" ht="15.75" customHeight="1"/>
    <row r="929" s="0" customFormat="1" ht="15.75" customHeight="1"/>
    <row r="930" s="0" customFormat="1" ht="15.75" customHeight="1"/>
    <row r="931" s="0" customFormat="1" ht="15.75" customHeight="1"/>
    <row r="932" s="0" customFormat="1" ht="15.75" customHeight="1"/>
    <row r="933" s="0" customFormat="1" ht="15.75" customHeight="1"/>
    <row r="934" s="0" customFormat="1" ht="15.75" customHeight="1"/>
    <row r="935" s="0" customFormat="1" ht="15.75" customHeight="1"/>
    <row r="936" s="0" customFormat="1" ht="15.75" customHeight="1"/>
    <row r="937" s="0" customFormat="1" ht="15.75" customHeight="1"/>
    <row r="938" s="0" customFormat="1" ht="15.75" customHeight="1"/>
    <row r="939" s="0" customFormat="1" ht="15.75" customHeight="1"/>
    <row r="940" s="0" customFormat="1" ht="15.75" customHeight="1"/>
    <row r="941" s="0" customFormat="1" ht="15.75" customHeight="1"/>
    <row r="942" s="0" customFormat="1" ht="15.75" customHeight="1"/>
    <row r="943" s="0" customFormat="1" ht="15.75" customHeight="1"/>
    <row r="944" s="0" customFormat="1" ht="15.75" customHeight="1"/>
    <row r="945" s="0" customFormat="1" ht="15.75" customHeight="1"/>
    <row r="946" s="0" customFormat="1" ht="15.75" customHeight="1"/>
    <row r="947" s="0" customFormat="1" ht="15.75" customHeight="1"/>
    <row r="948" s="0" customFormat="1" ht="15.75" customHeight="1"/>
    <row r="949" s="0" customFormat="1" ht="15.75" customHeight="1"/>
    <row r="950" s="0" customFormat="1" ht="15.75" customHeight="1"/>
    <row r="951" s="0" customFormat="1" ht="15.75" customHeight="1"/>
    <row r="952" s="0" customFormat="1" ht="15.75" customHeight="1"/>
    <row r="953" s="0" customFormat="1" ht="15.75" customHeight="1"/>
    <row r="954" s="0" customFormat="1" ht="15.75" customHeight="1"/>
    <row r="955" s="0" customFormat="1" ht="15.75" customHeight="1"/>
    <row r="956" s="0" customFormat="1" ht="15.75" customHeight="1"/>
    <row r="957" s="0" customFormat="1" ht="15.75" customHeight="1"/>
    <row r="958" s="0" customFormat="1" ht="15.75" customHeight="1"/>
    <row r="959" s="0" customFormat="1" ht="15.75" customHeight="1"/>
    <row r="960" s="0" customFormat="1" ht="15.75" customHeight="1"/>
    <row r="961" s="0" customFormat="1" ht="15.75" customHeight="1"/>
    <row r="962" s="0" customFormat="1" ht="15.75" customHeight="1"/>
    <row r="963" s="0" customFormat="1" ht="15.75" customHeight="1"/>
    <row r="964" s="0" customFormat="1" ht="15.75" customHeight="1"/>
    <row r="965" s="0" customFormat="1" ht="15.75" customHeight="1"/>
    <row r="966" s="0" customFormat="1" ht="15.75" customHeight="1"/>
    <row r="967" s="0" customFormat="1" ht="15.75" customHeight="1"/>
    <row r="968" s="0" customFormat="1" ht="15.75" customHeight="1"/>
    <row r="969" s="0" customFormat="1" ht="15.75" customHeight="1"/>
    <row r="970" s="0" customFormat="1" ht="15.75" customHeight="1"/>
    <row r="971" s="0" customFormat="1" ht="15.75" customHeight="1"/>
    <row r="972" s="0" customFormat="1" ht="15.75" customHeight="1"/>
    <row r="973" s="0" customFormat="1" ht="15.75" customHeight="1"/>
    <row r="974" s="0" customFormat="1" ht="15.75" customHeight="1"/>
    <row r="975" s="0" customFormat="1" ht="15.75" customHeight="1"/>
    <row r="976" s="0" customFormat="1" ht="15.75" customHeight="1"/>
    <row r="977" s="0" customFormat="1" ht="15.75" customHeight="1"/>
    <row r="978" s="0" customFormat="1" ht="15.75" customHeight="1"/>
    <row r="979" s="0" customFormat="1" ht="15.75" customHeight="1"/>
    <row r="980" s="0" customFormat="1" ht="15.75" customHeight="1"/>
    <row r="981" s="0" customFormat="1" ht="15.75" customHeight="1"/>
    <row r="982" s="0" customFormat="1" ht="15.75" customHeight="1"/>
    <row r="983" s="0" customFormat="1" ht="15.75" customHeight="1"/>
    <row r="984" s="0" customFormat="1" ht="15.75" customHeight="1"/>
    <row r="985" s="0" customFormat="1" ht="15.75" customHeight="1"/>
    <row r="986" s="0" customFormat="1" ht="15.75" customHeight="1"/>
    <row r="987" s="0" customFormat="1" ht="15.75" customHeight="1"/>
    <row r="988" s="0" customFormat="1" ht="15.75" customHeight="1"/>
    <row r="989" s="0" customFormat="1" ht="15.75" customHeight="1"/>
    <row r="990" s="0" customFormat="1" ht="15.75" customHeight="1"/>
    <row r="991" s="0" customFormat="1" ht="15.75" customHeight="1"/>
    <row r="992" s="0" customFormat="1" ht="15.75" customHeight="1"/>
    <row r="993" s="0" customFormat="1" ht="15.75" customHeight="1"/>
    <row r="994" s="0" customFormat="1" ht="15.75" customHeight="1"/>
    <row r="995" s="0" customFormat="1" ht="15.75" customHeight="1"/>
    <row r="996" s="0" customFormat="1" ht="15.75" customHeight="1"/>
    <row r="997" s="0" customFormat="1" ht="15.75" customHeight="1"/>
    <row r="998" s="0" customFormat="1" ht="15.75" customHeight="1"/>
    <row r="999" s="0" customFormat="1" ht="15.75" customHeight="1"/>
    <row r="1000" s="0" customFormat="1" ht="15.75" customHeight="1"/>
  </sheetData>
  <mergeCells count="7">
    <mergeCell ref="A1:J1"/>
    <mergeCell ref="A2:J2"/>
    <mergeCell ref="A3:J3"/>
    <mergeCell ref="A5:J5"/>
    <mergeCell ref="A6:J6"/>
    <mergeCell ref="B8:H8"/>
    <mergeCell ref="B9:H9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12.59765625" defaultRowHeight="15" customHeight="1"/>
  <cols>
    <col customWidth="1" min="1" max="9" width="10.5"/>
  </cols>
  <sheetData>
    <row r="1" ht="14.25" customHeight="1">
      <c r="A1" s="168" t="s">
        <v>153</v>
      </c>
      <c r="B1" s="168" t="s">
        <v>154</v>
      </c>
      <c r="C1" s="168" t="s">
        <v>155</v>
      </c>
      <c r="D1" s="168" t="s">
        <v>156</v>
      </c>
      <c r="E1" s="168" t="s">
        <v>157</v>
      </c>
      <c r="F1" s="168" t="s">
        <v>158</v>
      </c>
    </row>
    <row r="2" ht="14.25" customHeight="1">
      <c r="A2" s="169">
        <v>45663</v>
      </c>
      <c r="B2" s="170">
        <v>224358</v>
      </c>
      <c r="C2" s="171">
        <v>485.19999999999999</v>
      </c>
      <c r="D2" s="171">
        <v>487.5</v>
      </c>
      <c r="E2" s="171">
        <v>483.89999999999998</v>
      </c>
      <c r="F2" s="171">
        <v>486</v>
      </c>
    </row>
    <row r="3" ht="14.25" customHeight="1">
      <c r="A3" s="169">
        <v>45694</v>
      </c>
      <c r="B3" s="170">
        <v>148555</v>
      </c>
      <c r="C3" s="171">
        <v>486</v>
      </c>
      <c r="D3" s="171">
        <v>488.10000000000002</v>
      </c>
      <c r="E3" s="171">
        <v>484.69999999999999</v>
      </c>
      <c r="F3" s="171">
        <v>487.30000000000001</v>
      </c>
    </row>
    <row r="4" ht="14.25" customHeight="1">
      <c r="A4" s="169">
        <v>45722</v>
      </c>
      <c r="B4" s="170">
        <v>117159</v>
      </c>
      <c r="C4" s="171">
        <v>487.30000000000001</v>
      </c>
      <c r="D4" s="171">
        <v>489.5</v>
      </c>
      <c r="E4" s="171">
        <v>486.10000000000002</v>
      </c>
      <c r="F4" s="171">
        <v>488.80000000000001</v>
      </c>
    </row>
    <row r="5" ht="14.25" customHeight="1">
      <c r="A5" s="169">
        <v>45753</v>
      </c>
      <c r="B5" s="170">
        <v>210510</v>
      </c>
      <c r="C5" s="171">
        <v>488.80000000000001</v>
      </c>
      <c r="D5" s="171">
        <v>490</v>
      </c>
      <c r="E5" s="171">
        <v>487</v>
      </c>
      <c r="F5" s="171">
        <v>489.19999999999999</v>
      </c>
    </row>
    <row r="6" ht="14.25" customHeight="1">
      <c r="A6" s="169">
        <v>45783</v>
      </c>
      <c r="B6" s="170">
        <v>206530</v>
      </c>
      <c r="C6" s="171">
        <v>489.19999999999999</v>
      </c>
      <c r="D6" s="171">
        <v>491.19999999999999</v>
      </c>
      <c r="E6" s="171">
        <v>488.5</v>
      </c>
      <c r="F6" s="171">
        <v>490.69999999999999</v>
      </c>
    </row>
    <row r="7" ht="14.25" customHeight="1">
      <c r="A7" s="169">
        <v>45814</v>
      </c>
      <c r="B7" s="170">
        <v>180077</v>
      </c>
      <c r="C7" s="171">
        <v>490.69999999999999</v>
      </c>
      <c r="D7" s="171">
        <v>492</v>
      </c>
      <c r="E7" s="171">
        <v>489.30000000000001</v>
      </c>
      <c r="F7" s="171">
        <v>491.39999999999998</v>
      </c>
    </row>
    <row r="8" ht="14.25" customHeight="1">
      <c r="A8" s="169">
        <v>45844</v>
      </c>
      <c r="B8" s="170">
        <v>135920</v>
      </c>
      <c r="C8" s="171">
        <v>491.39999999999998</v>
      </c>
      <c r="D8" s="171">
        <v>493</v>
      </c>
      <c r="E8" s="171">
        <v>490.19999999999999</v>
      </c>
      <c r="F8" s="171">
        <v>492.5</v>
      </c>
    </row>
    <row r="9" ht="14.25" customHeight="1">
      <c r="A9" s="169">
        <v>45875</v>
      </c>
      <c r="B9" s="170">
        <v>298193</v>
      </c>
      <c r="C9" s="171">
        <v>492.5</v>
      </c>
      <c r="D9" s="171">
        <v>494.10000000000002</v>
      </c>
      <c r="E9" s="171">
        <v>491</v>
      </c>
      <c r="F9" s="171">
        <v>493.80000000000001</v>
      </c>
    </row>
    <row r="10" ht="14.25" customHeight="1">
      <c r="A10" s="169">
        <v>45906</v>
      </c>
      <c r="B10" s="170">
        <v>119457</v>
      </c>
      <c r="C10" s="171">
        <v>493.80000000000001</v>
      </c>
      <c r="D10" s="171">
        <v>495.5</v>
      </c>
      <c r="E10" s="171">
        <v>492.69999999999999</v>
      </c>
      <c r="F10" s="171">
        <v>494.89999999999998</v>
      </c>
    </row>
    <row r="11" ht="14.25" customHeight="1">
      <c r="A11" s="169">
        <v>45936</v>
      </c>
      <c r="B11" s="170">
        <v>297629</v>
      </c>
      <c r="C11" s="171">
        <v>494.89999999999998</v>
      </c>
      <c r="D11" s="171">
        <v>496.19999999999999</v>
      </c>
      <c r="E11" s="171">
        <v>493.60000000000002</v>
      </c>
      <c r="F11" s="171">
        <v>495.69999999999999</v>
      </c>
    </row>
    <row r="12" ht="14.25" customHeight="1"/>
    <row r="13" ht="14.25" customHeight="1"/>
    <row r="14" ht="14.25" customHeight="1"/>
    <row r="15" ht="14.25" customHeight="1"/>
    <row r="16" ht="14.25" customHeight="1">
      <c r="D16" s="168"/>
      <c r="E16" s="168"/>
      <c r="F16" s="168"/>
      <c r="G16" s="168"/>
      <c r="H16" s="168"/>
      <c r="I16" s="168"/>
    </row>
    <row r="17" ht="14.25" customHeight="1">
      <c r="D17" s="169"/>
      <c r="E17" s="171"/>
      <c r="F17" s="171"/>
      <c r="G17" s="171"/>
      <c r="H17" s="171"/>
      <c r="I17" s="170"/>
    </row>
    <row r="18" ht="14.25" customHeight="1">
      <c r="D18" s="169"/>
      <c r="E18" s="171"/>
      <c r="F18" s="171"/>
      <c r="G18" s="171"/>
      <c r="H18" s="171"/>
      <c r="I18" s="170"/>
    </row>
    <row r="19" ht="14.25" customHeight="1">
      <c r="D19" s="169"/>
      <c r="E19" s="171"/>
      <c r="F19" s="171"/>
      <c r="G19" s="171"/>
      <c r="H19" s="171"/>
      <c r="I19" s="170"/>
    </row>
    <row r="20" ht="14.25" customHeight="1">
      <c r="D20" s="169"/>
      <c r="E20" s="171"/>
      <c r="F20" s="171"/>
      <c r="G20" s="171"/>
      <c r="H20" s="171"/>
      <c r="I20" s="170"/>
    </row>
    <row r="21" ht="14.25" customHeight="1">
      <c r="D21" s="169"/>
      <c r="E21" s="171"/>
      <c r="F21" s="171"/>
      <c r="G21" s="171"/>
      <c r="H21" s="171"/>
      <c r="I21" s="170"/>
    </row>
    <row r="22" ht="14.25" customHeight="1">
      <c r="D22" s="169"/>
      <c r="E22" s="171"/>
      <c r="F22" s="171"/>
      <c r="G22" s="171"/>
      <c r="H22" s="171"/>
      <c r="I22" s="170"/>
    </row>
    <row r="23" ht="14.25" customHeight="1">
      <c r="D23" s="169"/>
      <c r="E23" s="171"/>
      <c r="F23" s="171"/>
      <c r="G23" s="171"/>
      <c r="H23" s="171"/>
      <c r="I23" s="170"/>
    </row>
    <row r="24" ht="14.25" customHeight="1">
      <c r="D24" s="169"/>
      <c r="E24" s="171"/>
      <c r="F24" s="171"/>
      <c r="G24" s="171"/>
      <c r="H24" s="171"/>
      <c r="I24" s="170"/>
    </row>
    <row r="25" ht="14.25" customHeight="1">
      <c r="D25" s="169"/>
      <c r="E25" s="171"/>
      <c r="F25" s="171"/>
      <c r="G25" s="171"/>
      <c r="H25" s="171"/>
      <c r="I25" s="170"/>
    </row>
    <row r="26" ht="14.25" customHeight="1">
      <c r="D26" s="169"/>
      <c r="E26" s="171"/>
      <c r="F26" s="171"/>
      <c r="G26" s="171"/>
      <c r="H26" s="171"/>
      <c r="I26" s="17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0"/>
    <outlinePr applyStyles="0" summaryBelow="1" summaryRight="1" showOutlineSymbols="1"/>
    <pageSetUpPr autoPageBreaks="1" fitToPage="1"/>
  </sheetPr>
  <sheetViews>
    <sheetView showGridLines="0" zoomScale="100" workbookViewId="0">
      <selection activeCell="C2" activeCellId="0" sqref="C2"/>
    </sheetView>
  </sheetViews>
  <sheetFormatPr baseColWidth="10" defaultColWidth="12.59765625" defaultRowHeight="15" customHeight="1"/>
  <cols>
    <col customWidth="1" min="1" max="1" width="13.3984375"/>
    <col customWidth="1" min="2" max="2" width="9.5"/>
    <col customWidth="1" min="3" max="3" width="12"/>
    <col customWidth="1" min="4" max="4" width="12.5"/>
    <col customWidth="1" min="5" max="5" width="13.3984375"/>
    <col customWidth="1" min="6" max="6" width="10.5"/>
    <col customWidth="1" min="7" max="7" width="9.3984375"/>
    <col customWidth="1" min="8" max="8" width="8.8984375"/>
    <col customWidth="1" min="9" max="26" width="11"/>
  </cols>
  <sheetData>
    <row r="1" ht="36" customHeight="1">
      <c r="A1" s="172"/>
      <c r="B1" s="173" t="s">
        <v>159</v>
      </c>
      <c r="C1" s="174"/>
      <c r="D1" s="174"/>
      <c r="E1" s="174"/>
      <c r="F1" s="174"/>
      <c r="G1" s="174"/>
      <c r="H1" s="175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72.75" customHeight="1">
      <c r="A2" s="176" t="s">
        <v>18</v>
      </c>
      <c r="B2" s="177" t="s">
        <v>160</v>
      </c>
      <c r="C2" s="177" t="s">
        <v>161</v>
      </c>
      <c r="D2" s="177" t="s">
        <v>162</v>
      </c>
      <c r="E2" s="177" t="s">
        <v>163</v>
      </c>
      <c r="F2" s="177" t="s">
        <v>164</v>
      </c>
      <c r="G2" s="177" t="s">
        <v>165</v>
      </c>
      <c r="H2" s="177" t="s">
        <v>166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8" customHeight="1">
      <c r="A3" s="21">
        <v>2020</v>
      </c>
      <c r="B3" s="23">
        <v>156138.34617029937</v>
      </c>
      <c r="C3" s="23">
        <v>24368.488247999998</v>
      </c>
      <c r="D3" s="23">
        <v>95659.96480099998</v>
      </c>
      <c r="E3" s="23">
        <v>155930.25388</v>
      </c>
      <c r="F3" s="178">
        <v>12642.203</v>
      </c>
      <c r="G3" s="23">
        <v>154585</v>
      </c>
      <c r="H3" s="23">
        <v>24957.575056689344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8" customHeight="1">
      <c r="A4" s="21">
        <v>2021</v>
      </c>
      <c r="B4" s="27">
        <v>168884.39194623247</v>
      </c>
      <c r="C4" s="27">
        <v>20339.174999999999</v>
      </c>
      <c r="D4" s="27">
        <v>96184.813909000004</v>
      </c>
      <c r="E4" s="27">
        <v>157647.95398000002</v>
      </c>
      <c r="F4" s="27">
        <v>10828.311999999998</v>
      </c>
      <c r="G4" s="27">
        <v>137439.27775119999</v>
      </c>
      <c r="H4" s="27">
        <v>23860.770975056694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8" customHeight="1">
      <c r="A5" s="30">
        <v>2022</v>
      </c>
      <c r="B5" s="27">
        <v>172478.22562790758</v>
      </c>
      <c r="C5" s="27">
        <v>16561.435000000001</v>
      </c>
      <c r="D5" s="27">
        <v>89126.886639060001</v>
      </c>
      <c r="E5" s="27">
        <v>147690.28918840003</v>
      </c>
      <c r="F5" s="179">
        <v>12932.636</v>
      </c>
      <c r="G5" s="27">
        <v>158337.99999999997</v>
      </c>
      <c r="H5" s="27">
        <v>22741.953287981862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7" customHeight="1">
      <c r="A6" s="31">
        <v>2023</v>
      </c>
      <c r="B6" s="33">
        <v>173733.26396308842</v>
      </c>
      <c r="C6" s="33">
        <v>14512.143</v>
      </c>
      <c r="D6" s="33">
        <v>79415.192869999999</v>
      </c>
      <c r="E6" s="33">
        <v>135216.12781999999</v>
      </c>
      <c r="F6" s="33">
        <v>12523.984</v>
      </c>
      <c r="G6" s="33">
        <v>148344</v>
      </c>
      <c r="H6" s="33">
        <v>30004.036281179138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27" customHeight="1">
      <c r="A7" s="31" t="s">
        <v>29</v>
      </c>
      <c r="B7" s="33">
        <v>179581.02908321869</v>
      </c>
      <c r="C7" s="33">
        <v>17186.148432000002</v>
      </c>
      <c r="D7" s="33">
        <v>83094.520760000014</v>
      </c>
      <c r="E7" s="33">
        <v>141326.692121</v>
      </c>
      <c r="F7" s="33">
        <v>14064.137056760001</v>
      </c>
      <c r="G7" s="33">
        <v>167428</v>
      </c>
      <c r="H7" s="33">
        <v>471.82499999999999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8" customHeight="1">
      <c r="A8" s="30"/>
      <c r="B8" s="35"/>
      <c r="C8" s="35"/>
      <c r="D8" s="35"/>
      <c r="E8" s="35"/>
      <c r="F8" s="35"/>
      <c r="G8" s="35"/>
      <c r="H8" s="35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8" customHeight="1">
      <c r="A9" s="13" t="s">
        <v>30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8" customHeight="1">
      <c r="A10" s="13" t="s">
        <v>31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8" customHeight="1">
      <c r="A11" s="13" t="s">
        <v>32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8" customHeight="1">
      <c r="A12" s="13" t="s">
        <v>33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8" customHeight="1">
      <c r="A13" s="36" t="s">
        <v>34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8" customHeight="1">
      <c r="A14" s="13" t="s">
        <v>35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8" customHeight="1">
      <c r="A15" s="13" t="s">
        <v>36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8" customHeight="1">
      <c r="A16" s="37" t="s">
        <v>37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8" customHeight="1">
      <c r="A17" s="38"/>
      <c r="B17" s="30"/>
      <c r="C17" s="30"/>
      <c r="D17" s="30"/>
      <c r="E17" s="30"/>
      <c r="F17" s="30"/>
      <c r="G17" s="30"/>
      <c r="H17" s="3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8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8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8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8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8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8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8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8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8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8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8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8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8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8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8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8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8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8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8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8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8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8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8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8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8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8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8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8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8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8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8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8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8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8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8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8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8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8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8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8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8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8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8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8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8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8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8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8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8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8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8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8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8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8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8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8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8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8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8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8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8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8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8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8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8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8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8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8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8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8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8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8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8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8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8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8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8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8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8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8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8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8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8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8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8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8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8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8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8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8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8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8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8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8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8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8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8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8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8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8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8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8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8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8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8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8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8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8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8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8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8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8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8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8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8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8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8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8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8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8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8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8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8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8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8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8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8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8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8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8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8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8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8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8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8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8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8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8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8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8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8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8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8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8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8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8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8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8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8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8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8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8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8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8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8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8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8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8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8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8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8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8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8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8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8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8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8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8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8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8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8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8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8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8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8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8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8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8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8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8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8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8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8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8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8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8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8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8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8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8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8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8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8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8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8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8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8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8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8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8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8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8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printOptions headings="0" gridLines="0"/>
  <pageMargins left="0.5" right="0.5" top="0.5" bottom="0.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L17" activeCellId="0" sqref="L17"/>
    </sheetView>
  </sheetViews>
  <sheetFormatPr baseColWidth="10" defaultColWidth="12.59765625" defaultRowHeight="15" customHeight="1"/>
  <cols>
    <col customWidth="1" min="1" max="1" width="29.59765625"/>
    <col customWidth="1" min="2" max="3" width="11"/>
    <col customWidth="1" min="4" max="4" width="10.5"/>
    <col customWidth="1" min="5" max="6" width="9.19921875"/>
  </cols>
  <sheetData>
    <row r="1" ht="14.25" customHeight="1">
      <c r="A1" s="168" t="s">
        <v>167</v>
      </c>
      <c r="B1" s="168" t="s">
        <v>168</v>
      </c>
      <c r="C1" s="168" t="s">
        <v>169</v>
      </c>
    </row>
    <row r="2" ht="14.25" customHeight="1">
      <c r="A2" s="171" t="s">
        <v>170</v>
      </c>
      <c r="B2" s="180">
        <v>0.84999999999999998</v>
      </c>
      <c r="C2" s="180">
        <v>0.65000000000000002</v>
      </c>
    </row>
    <row r="3" ht="14.25" customHeight="1">
      <c r="A3" s="171" t="s">
        <v>171</v>
      </c>
      <c r="B3" s="180">
        <v>0.90000000000000002</v>
      </c>
      <c r="C3" s="180">
        <v>0.78000000000000003</v>
      </c>
    </row>
    <row r="4" ht="14.25" customHeight="1">
      <c r="A4" s="171" t="s">
        <v>172</v>
      </c>
      <c r="B4" s="180">
        <v>0.80000000000000004</v>
      </c>
      <c r="C4" s="180">
        <v>0.59999999999999998</v>
      </c>
    </row>
    <row r="5" ht="14.25" customHeight="1">
      <c r="A5" s="171" t="s">
        <v>173</v>
      </c>
      <c r="B5" s="180">
        <v>0.75</v>
      </c>
      <c r="C5" s="180">
        <v>0.69999999999999996</v>
      </c>
    </row>
    <row r="6" ht="14.25" customHeight="1">
      <c r="A6" s="171" t="s">
        <v>174</v>
      </c>
      <c r="B6" s="180">
        <v>0.88</v>
      </c>
      <c r="C6" s="180">
        <v>0.66000000000000003</v>
      </c>
    </row>
    <row r="7" ht="14.25" customHeight="1">
      <c r="B7" s="181"/>
      <c r="C7" s="181"/>
    </row>
    <row r="8" ht="14.25" customHeight="1">
      <c r="B8" s="1"/>
      <c r="C8" s="1"/>
    </row>
    <row r="9" ht="14.25" customHeight="1">
      <c r="B9" s="1"/>
      <c r="C9" s="1"/>
    </row>
    <row r="10" ht="14.25" customHeight="1">
      <c r="B10" s="1"/>
      <c r="C10" s="1"/>
    </row>
    <row r="11" ht="14.25" customHeight="1">
      <c r="B11" s="1"/>
      <c r="C11" s="1"/>
    </row>
    <row r="12" ht="14.25" customHeight="1">
      <c r="B12" s="1"/>
      <c r="C12" s="1"/>
    </row>
    <row r="13" ht="14.25" customHeight="1">
      <c r="B13" s="1"/>
      <c r="C13" s="1"/>
    </row>
    <row r="14" ht="14.25" customHeight="1">
      <c r="B14" s="1"/>
      <c r="C14" s="1"/>
    </row>
    <row r="15" ht="14.25" customHeight="1">
      <c r="B15" s="1"/>
      <c r="C15" s="1"/>
    </row>
    <row r="16" ht="14.25" customHeight="1">
      <c r="B16" s="1"/>
      <c r="C16" s="1"/>
    </row>
    <row r="17" ht="14.25" customHeight="1">
      <c r="B17" s="1"/>
      <c r="C17" s="1"/>
    </row>
    <row r="18" ht="14.25" customHeight="1">
      <c r="B18" s="1"/>
      <c r="C18" s="1"/>
    </row>
    <row r="19" ht="14.25" customHeight="1">
      <c r="B19" s="1"/>
      <c r="C19" s="1"/>
    </row>
    <row r="20" ht="14.25" customHeight="1">
      <c r="B20" s="1"/>
      <c r="C20" s="1"/>
    </row>
    <row r="21" ht="14.25" customHeight="1">
      <c r="B21" s="1"/>
      <c r="C21" s="1"/>
    </row>
    <row r="22" ht="14.25" customHeight="1">
      <c r="B22" s="1"/>
      <c r="C22" s="1"/>
    </row>
    <row r="23" ht="14.25" customHeight="1">
      <c r="B23" s="1"/>
      <c r="C23" s="1"/>
    </row>
    <row r="24" ht="14.25" customHeight="1">
      <c r="B24" s="1"/>
      <c r="C24" s="1"/>
    </row>
    <row r="25" ht="14.25" customHeight="1">
      <c r="B25" s="1"/>
      <c r="C25" s="1"/>
    </row>
    <row r="26" ht="14.25" customHeight="1">
      <c r="B26" s="1"/>
      <c r="C26" s="1"/>
    </row>
    <row r="27" ht="14.25" customHeight="1">
      <c r="B27" s="1"/>
      <c r="C27" s="1"/>
    </row>
    <row r="28" ht="14.25" customHeight="1">
      <c r="B28" s="1"/>
      <c r="C28" s="1"/>
    </row>
    <row r="29" ht="14.25" customHeight="1">
      <c r="B29" s="1"/>
      <c r="C29" s="1"/>
    </row>
    <row r="30" ht="14.25" customHeight="1">
      <c r="B30" s="1"/>
      <c r="C30" s="1"/>
    </row>
    <row r="31" ht="14.25" customHeight="1">
      <c r="B31" s="1"/>
      <c r="C31" s="1"/>
    </row>
    <row r="32" ht="14.25" customHeight="1">
      <c r="B32" s="1"/>
      <c r="C32" s="1"/>
    </row>
    <row r="33" ht="14.25" customHeight="1">
      <c r="B33" s="1"/>
      <c r="C33" s="1"/>
    </row>
    <row r="34" ht="14.25" customHeight="1">
      <c r="B34" s="1"/>
      <c r="C34" s="1"/>
    </row>
    <row r="35" ht="14.25" customHeight="1">
      <c r="B35" s="1"/>
      <c r="C35" s="1"/>
    </row>
    <row r="36" ht="14.25" customHeight="1">
      <c r="B36" s="1"/>
      <c r="C36" s="1"/>
    </row>
    <row r="37" ht="14.25" customHeight="1">
      <c r="B37" s="1"/>
      <c r="C37" s="1"/>
    </row>
    <row r="38" ht="14.25" customHeight="1">
      <c r="B38" s="1"/>
      <c r="C38" s="1"/>
    </row>
    <row r="39" ht="14.25" customHeight="1">
      <c r="B39" s="1"/>
      <c r="C39" s="1"/>
    </row>
    <row r="40" ht="14.25" customHeight="1">
      <c r="B40" s="1"/>
      <c r="C40" s="1"/>
    </row>
    <row r="41" ht="14.25" customHeight="1">
      <c r="B41" s="1"/>
      <c r="C41" s="1"/>
    </row>
    <row r="42" ht="14.25" customHeight="1">
      <c r="B42" s="1"/>
      <c r="C42" s="1"/>
    </row>
    <row r="43" ht="14.25" customHeight="1">
      <c r="B43" s="1"/>
      <c r="C43" s="1"/>
    </row>
    <row r="44" ht="14.25" customHeight="1">
      <c r="B44" s="1"/>
      <c r="C44" s="1"/>
    </row>
    <row r="45" ht="14.25" customHeight="1">
      <c r="B45" s="1"/>
      <c r="C45" s="1"/>
    </row>
    <row r="46" ht="14.25" customHeight="1">
      <c r="B46" s="1"/>
      <c r="C46" s="1"/>
    </row>
    <row r="47" ht="14.25" customHeight="1">
      <c r="B47" s="1"/>
      <c r="C47" s="1"/>
    </row>
    <row r="48" ht="14.25" customHeight="1">
      <c r="B48" s="1"/>
      <c r="C48" s="1"/>
    </row>
    <row r="49" ht="14.25" customHeight="1">
      <c r="B49" s="1"/>
      <c r="C49" s="1"/>
    </row>
    <row r="50" ht="14.25" customHeight="1">
      <c r="B50" s="1"/>
      <c r="C50" s="1"/>
    </row>
    <row r="51" ht="14.25" customHeight="1">
      <c r="B51" s="1"/>
      <c r="C51" s="1"/>
    </row>
    <row r="52" ht="14.25" customHeight="1">
      <c r="B52" s="1"/>
      <c r="C52" s="1"/>
    </row>
    <row r="53" ht="14.25" customHeight="1">
      <c r="B53" s="1"/>
      <c r="C53" s="1"/>
    </row>
    <row r="54" ht="14.25" customHeight="1">
      <c r="B54" s="1"/>
      <c r="C54" s="1"/>
    </row>
    <row r="55" ht="14.25" customHeight="1">
      <c r="B55" s="1"/>
      <c r="C55" s="1"/>
    </row>
    <row r="56" ht="14.25" customHeight="1">
      <c r="B56" s="1"/>
      <c r="C56" s="1"/>
    </row>
    <row r="57" ht="14.25" customHeight="1">
      <c r="B57" s="1"/>
      <c r="C57" s="1"/>
    </row>
    <row r="58" ht="14.25" customHeight="1">
      <c r="B58" s="1"/>
      <c r="C58" s="1"/>
    </row>
    <row r="59" ht="14.25" customHeight="1">
      <c r="B59" s="1"/>
      <c r="C59" s="1"/>
    </row>
    <row r="60" ht="14.25" customHeight="1">
      <c r="B60" s="1"/>
      <c r="C60" s="1"/>
    </row>
    <row r="61" ht="14.25" customHeight="1">
      <c r="B61" s="1"/>
      <c r="C61" s="1"/>
    </row>
    <row r="62" ht="14.25" customHeight="1">
      <c r="B62" s="1"/>
      <c r="C62" s="1"/>
    </row>
    <row r="63" ht="14.25" customHeight="1">
      <c r="B63" s="1"/>
      <c r="C63" s="1"/>
    </row>
    <row r="64" ht="14.25" customHeight="1">
      <c r="B64" s="1"/>
      <c r="C64" s="1"/>
    </row>
    <row r="65" ht="14.25" customHeight="1">
      <c r="B65" s="1"/>
      <c r="C65" s="1"/>
    </row>
    <row r="66" ht="14.25" customHeight="1">
      <c r="B66" s="1"/>
      <c r="C66" s="1"/>
    </row>
    <row r="67" ht="14.25" customHeight="1">
      <c r="B67" s="1"/>
      <c r="C67" s="1"/>
    </row>
    <row r="68" ht="14.25" customHeight="1">
      <c r="B68" s="1"/>
      <c r="C68" s="1"/>
    </row>
    <row r="69" ht="14.25" customHeight="1">
      <c r="B69" s="1"/>
      <c r="C69" s="1"/>
    </row>
    <row r="70" ht="14.25" customHeight="1">
      <c r="B70" s="1"/>
      <c r="C70" s="1"/>
    </row>
    <row r="71" ht="14.25" customHeight="1">
      <c r="B71" s="1"/>
      <c r="C71" s="1"/>
    </row>
    <row r="72" ht="14.25" customHeight="1">
      <c r="B72" s="1"/>
      <c r="C72" s="1"/>
    </row>
    <row r="73" ht="14.25" customHeight="1">
      <c r="B73" s="1"/>
      <c r="C73" s="1"/>
    </row>
    <row r="74" ht="14.25" customHeight="1">
      <c r="B74" s="1"/>
      <c r="C74" s="1"/>
    </row>
    <row r="75" ht="14.25" customHeight="1">
      <c r="B75" s="1"/>
      <c r="C75" s="1"/>
    </row>
    <row r="76" ht="14.25" customHeight="1">
      <c r="B76" s="1"/>
      <c r="C76" s="1"/>
    </row>
    <row r="77" ht="14.25" customHeight="1">
      <c r="B77" s="1"/>
      <c r="C77" s="1"/>
    </row>
    <row r="78" ht="14.25" customHeight="1">
      <c r="B78" s="1"/>
      <c r="C78" s="1"/>
    </row>
    <row r="79" ht="14.25" customHeight="1">
      <c r="B79" s="1"/>
      <c r="C79" s="1"/>
    </row>
    <row r="80" ht="14.25" customHeight="1">
      <c r="B80" s="1"/>
      <c r="C80" s="1"/>
    </row>
    <row r="81" ht="14.25" customHeight="1">
      <c r="B81" s="1"/>
      <c r="C81" s="1"/>
    </row>
    <row r="82" ht="14.25" customHeight="1">
      <c r="B82" s="1"/>
      <c r="C82" s="1"/>
    </row>
    <row r="83" ht="14.25" customHeight="1">
      <c r="B83" s="1"/>
      <c r="C83" s="1"/>
    </row>
    <row r="84" ht="14.25" customHeight="1">
      <c r="B84" s="1"/>
      <c r="C84" s="1"/>
    </row>
    <row r="85" ht="14.25" customHeight="1">
      <c r="B85" s="1"/>
      <c r="C85" s="1"/>
    </row>
    <row r="86" ht="14.25" customHeight="1">
      <c r="B86" s="1"/>
      <c r="C86" s="1"/>
    </row>
    <row r="87" ht="14.25" customHeight="1">
      <c r="B87" s="1"/>
      <c r="C87" s="1"/>
    </row>
    <row r="88" ht="14.25" customHeight="1">
      <c r="B88" s="1"/>
      <c r="C88" s="1"/>
    </row>
    <row r="89" ht="14.25" customHeight="1">
      <c r="B89" s="1"/>
      <c r="C89" s="1"/>
    </row>
    <row r="90" ht="14.25" customHeight="1">
      <c r="B90" s="1"/>
      <c r="C90" s="1"/>
    </row>
    <row r="91" ht="14.25" customHeight="1">
      <c r="B91" s="1"/>
      <c r="C91" s="1"/>
    </row>
    <row r="92" ht="14.25" customHeight="1">
      <c r="B92" s="1"/>
      <c r="C92" s="1"/>
    </row>
    <row r="93" ht="14.25" customHeight="1">
      <c r="B93" s="1"/>
      <c r="C93" s="1"/>
    </row>
    <row r="94" ht="14.25" customHeight="1">
      <c r="B94" s="1"/>
      <c r="C94" s="1"/>
    </row>
    <row r="95" ht="14.25" customHeight="1">
      <c r="B95" s="1"/>
      <c r="C95" s="1"/>
    </row>
    <row r="96" ht="14.25" customHeight="1">
      <c r="B96" s="1"/>
      <c r="C96" s="1"/>
    </row>
    <row r="97" ht="14.25" customHeight="1">
      <c r="B97" s="1"/>
      <c r="C97" s="1"/>
    </row>
    <row r="98" ht="14.25" customHeight="1">
      <c r="B98" s="1"/>
      <c r="C98" s="1"/>
    </row>
    <row r="99" ht="14.25" customHeight="1">
      <c r="B99" s="1"/>
      <c r="C99" s="1"/>
    </row>
    <row r="100" ht="14.25" customHeight="1">
      <c r="B100" s="1"/>
      <c r="C100" s="1"/>
    </row>
    <row r="101" ht="14.25" customHeight="1">
      <c r="B101" s="1"/>
      <c r="C101" s="1"/>
    </row>
    <row r="102" ht="14.25" customHeight="1">
      <c r="B102" s="1"/>
      <c r="C102" s="1"/>
    </row>
    <row r="103" ht="14.25" customHeight="1">
      <c r="B103" s="1"/>
      <c r="C103" s="1"/>
    </row>
    <row r="104" ht="14.25" customHeight="1">
      <c r="B104" s="1"/>
      <c r="C104" s="1"/>
    </row>
    <row r="105" ht="14.25" customHeight="1">
      <c r="B105" s="1"/>
      <c r="C105" s="1"/>
    </row>
    <row r="106" ht="14.25" customHeight="1">
      <c r="B106" s="1"/>
      <c r="C106" s="1"/>
    </row>
    <row r="107" ht="14.25" customHeight="1">
      <c r="B107" s="1"/>
      <c r="C107" s="1"/>
    </row>
    <row r="108" ht="14.25" customHeight="1">
      <c r="B108" s="1"/>
      <c r="C108" s="1"/>
    </row>
    <row r="109" ht="14.25" customHeight="1">
      <c r="B109" s="1"/>
      <c r="C109" s="1"/>
    </row>
    <row r="110" ht="14.25" customHeight="1">
      <c r="B110" s="1"/>
      <c r="C110" s="1"/>
    </row>
    <row r="111" ht="14.25" customHeight="1">
      <c r="B111" s="1"/>
      <c r="C111" s="1"/>
    </row>
    <row r="112" ht="14.25" customHeight="1">
      <c r="B112" s="1"/>
      <c r="C112" s="1"/>
    </row>
    <row r="113" ht="14.25" customHeight="1">
      <c r="B113" s="1"/>
      <c r="C113" s="1"/>
    </row>
    <row r="114" ht="14.25" customHeight="1">
      <c r="B114" s="1"/>
      <c r="C114" s="1"/>
    </row>
    <row r="115" ht="14.25" customHeight="1">
      <c r="B115" s="1"/>
      <c r="C115" s="1"/>
    </row>
    <row r="116" ht="14.25" customHeight="1">
      <c r="B116" s="1"/>
      <c r="C116" s="1"/>
    </row>
    <row r="117" ht="14.25" customHeight="1">
      <c r="B117" s="1"/>
      <c r="C117" s="1"/>
    </row>
    <row r="118" ht="14.25" customHeight="1">
      <c r="B118" s="1"/>
      <c r="C118" s="1"/>
    </row>
    <row r="119" ht="14.25" customHeight="1">
      <c r="B119" s="1"/>
      <c r="C119" s="1"/>
    </row>
    <row r="120" ht="14.25" customHeight="1">
      <c r="B120" s="1"/>
      <c r="C120" s="1"/>
    </row>
    <row r="121" ht="14.25" customHeight="1">
      <c r="B121" s="1"/>
      <c r="C121" s="1"/>
    </row>
    <row r="122" ht="14.25" customHeight="1">
      <c r="B122" s="1"/>
      <c r="C122" s="1"/>
    </row>
    <row r="123" ht="14.25" customHeight="1">
      <c r="B123" s="1"/>
      <c r="C123" s="1"/>
    </row>
    <row r="124" ht="14.25" customHeight="1">
      <c r="B124" s="1"/>
      <c r="C124" s="1"/>
    </row>
    <row r="125" ht="14.25" customHeight="1">
      <c r="B125" s="1"/>
      <c r="C125" s="1"/>
    </row>
    <row r="126" ht="14.25" customHeight="1">
      <c r="B126" s="1"/>
      <c r="C126" s="1"/>
    </row>
    <row r="127" ht="14.25" customHeight="1">
      <c r="B127" s="1"/>
      <c r="C127" s="1"/>
    </row>
    <row r="128" ht="14.25" customHeight="1">
      <c r="B128" s="1"/>
      <c r="C128" s="1"/>
    </row>
    <row r="129" ht="14.25" customHeight="1">
      <c r="B129" s="1"/>
      <c r="C129" s="1"/>
    </row>
    <row r="130" ht="14.25" customHeight="1">
      <c r="B130" s="1"/>
      <c r="C130" s="1"/>
    </row>
    <row r="131" ht="14.25" customHeight="1">
      <c r="B131" s="1"/>
      <c r="C131" s="1"/>
    </row>
    <row r="132" ht="14.25" customHeight="1">
      <c r="B132" s="1"/>
      <c r="C132" s="1"/>
    </row>
    <row r="133" ht="14.25" customHeight="1">
      <c r="B133" s="1"/>
      <c r="C133" s="1"/>
    </row>
    <row r="134" ht="14.25" customHeight="1">
      <c r="B134" s="1"/>
      <c r="C134" s="1"/>
    </row>
    <row r="135" ht="14.25" customHeight="1">
      <c r="B135" s="1"/>
      <c r="C135" s="1"/>
    </row>
    <row r="136" ht="14.25" customHeight="1">
      <c r="B136" s="1"/>
      <c r="C136" s="1"/>
    </row>
    <row r="137" ht="14.25" customHeight="1">
      <c r="B137" s="1"/>
      <c r="C137" s="1"/>
    </row>
    <row r="138" ht="14.25" customHeight="1">
      <c r="B138" s="1"/>
      <c r="C138" s="1"/>
    </row>
    <row r="139" ht="14.25" customHeight="1">
      <c r="B139" s="1"/>
      <c r="C139" s="1"/>
    </row>
    <row r="140" ht="14.25" customHeight="1">
      <c r="B140" s="1"/>
      <c r="C140" s="1"/>
    </row>
    <row r="141" ht="14.25" customHeight="1">
      <c r="B141" s="1"/>
      <c r="C141" s="1"/>
    </row>
    <row r="142" ht="14.25" customHeight="1">
      <c r="B142" s="1"/>
      <c r="C142" s="1"/>
    </row>
    <row r="143" ht="14.25" customHeight="1">
      <c r="B143" s="1"/>
      <c r="C143" s="1"/>
    </row>
    <row r="144" ht="14.25" customHeight="1">
      <c r="B144" s="1"/>
      <c r="C144" s="1"/>
    </row>
    <row r="145" ht="14.25" customHeight="1">
      <c r="B145" s="1"/>
      <c r="C145" s="1"/>
    </row>
    <row r="146" ht="14.25" customHeight="1">
      <c r="B146" s="1"/>
      <c r="C146" s="1"/>
    </row>
    <row r="147" ht="14.25" customHeight="1">
      <c r="B147" s="1"/>
      <c r="C147" s="1"/>
    </row>
    <row r="148" ht="14.25" customHeight="1">
      <c r="B148" s="1"/>
      <c r="C148" s="1"/>
    </row>
    <row r="149" ht="14.25" customHeight="1">
      <c r="B149" s="1"/>
      <c r="C149" s="1"/>
    </row>
    <row r="150" ht="14.25" customHeight="1">
      <c r="B150" s="1"/>
      <c r="C150" s="1"/>
    </row>
    <row r="151" ht="14.25" customHeight="1">
      <c r="B151" s="1"/>
      <c r="C151" s="1"/>
    </row>
    <row r="152" ht="14.25" customHeight="1">
      <c r="B152" s="1"/>
      <c r="C152" s="1"/>
    </row>
    <row r="153" ht="14.25" customHeight="1">
      <c r="B153" s="1"/>
      <c r="C153" s="1"/>
    </row>
    <row r="154" ht="14.25" customHeight="1">
      <c r="B154" s="1"/>
      <c r="C154" s="1"/>
    </row>
    <row r="155" ht="14.25" customHeight="1">
      <c r="B155" s="1"/>
      <c r="C155" s="1"/>
    </row>
    <row r="156" ht="14.25" customHeight="1">
      <c r="B156" s="1"/>
      <c r="C156" s="1"/>
    </row>
    <row r="157" ht="14.25" customHeight="1">
      <c r="B157" s="1"/>
      <c r="C157" s="1"/>
    </row>
    <row r="158" ht="14.25" customHeight="1">
      <c r="B158" s="1"/>
      <c r="C158" s="1"/>
    </row>
    <row r="159" ht="14.25" customHeight="1">
      <c r="B159" s="1"/>
      <c r="C159" s="1"/>
    </row>
    <row r="160" ht="14.25" customHeight="1">
      <c r="B160" s="1"/>
      <c r="C160" s="1"/>
    </row>
    <row r="161" ht="14.25" customHeight="1">
      <c r="B161" s="1"/>
      <c r="C161" s="1"/>
    </row>
    <row r="162" ht="14.25" customHeight="1">
      <c r="B162" s="1"/>
      <c r="C162" s="1"/>
    </row>
    <row r="163" ht="14.25" customHeight="1">
      <c r="B163" s="1"/>
      <c r="C163" s="1"/>
    </row>
    <row r="164" ht="14.25" customHeight="1">
      <c r="B164" s="1"/>
      <c r="C164" s="1"/>
    </row>
    <row r="165" ht="14.25" customHeight="1">
      <c r="B165" s="1"/>
      <c r="C165" s="1"/>
    </row>
    <row r="166" ht="14.25" customHeight="1">
      <c r="B166" s="1"/>
      <c r="C166" s="1"/>
    </row>
    <row r="167" ht="14.25" customHeight="1">
      <c r="B167" s="1"/>
      <c r="C167" s="1"/>
    </row>
    <row r="168" ht="14.25" customHeight="1">
      <c r="B168" s="1"/>
      <c r="C168" s="1"/>
    </row>
    <row r="169" ht="14.25" customHeight="1">
      <c r="B169" s="1"/>
      <c r="C169" s="1"/>
    </row>
    <row r="170" ht="14.25" customHeight="1">
      <c r="B170" s="1"/>
      <c r="C170" s="1"/>
    </row>
    <row r="171" ht="14.25" customHeight="1">
      <c r="B171" s="1"/>
      <c r="C171" s="1"/>
    </row>
    <row r="172" ht="14.25" customHeight="1">
      <c r="B172" s="1"/>
      <c r="C172" s="1"/>
    </row>
    <row r="173" ht="14.25" customHeight="1">
      <c r="B173" s="1"/>
      <c r="C173" s="1"/>
    </row>
    <row r="174" ht="14.25" customHeight="1">
      <c r="B174" s="1"/>
      <c r="C174" s="1"/>
    </row>
    <row r="175" ht="14.25" customHeight="1">
      <c r="B175" s="1"/>
      <c r="C175" s="1"/>
    </row>
    <row r="176" ht="14.25" customHeight="1">
      <c r="B176" s="1"/>
      <c r="C176" s="1"/>
    </row>
    <row r="177" ht="14.25" customHeight="1">
      <c r="B177" s="1"/>
      <c r="C177" s="1"/>
    </row>
    <row r="178" ht="14.25" customHeight="1">
      <c r="B178" s="1"/>
      <c r="C178" s="1"/>
    </row>
    <row r="179" ht="14.25" customHeight="1">
      <c r="B179" s="1"/>
      <c r="C179" s="1"/>
    </row>
    <row r="180" ht="14.25" customHeight="1">
      <c r="B180" s="1"/>
      <c r="C180" s="1"/>
    </row>
    <row r="181" ht="14.25" customHeight="1">
      <c r="B181" s="1"/>
      <c r="C181" s="1"/>
    </row>
    <row r="182" ht="14.25" customHeight="1">
      <c r="B182" s="1"/>
      <c r="C182" s="1"/>
    </row>
    <row r="183" ht="14.25" customHeight="1">
      <c r="B183" s="1"/>
      <c r="C183" s="1"/>
    </row>
    <row r="184" ht="14.25" customHeight="1">
      <c r="B184" s="1"/>
      <c r="C184" s="1"/>
    </row>
    <row r="185" ht="14.25" customHeight="1">
      <c r="B185" s="1"/>
      <c r="C185" s="1"/>
    </row>
    <row r="186" ht="14.25" customHeight="1">
      <c r="B186" s="1"/>
      <c r="C186" s="1"/>
    </row>
    <row r="187" ht="14.25" customHeight="1">
      <c r="B187" s="1"/>
      <c r="C187" s="1"/>
    </row>
    <row r="188" ht="14.25" customHeight="1">
      <c r="B188" s="1"/>
      <c r="C188" s="1"/>
    </row>
    <row r="189" ht="14.25" customHeight="1">
      <c r="B189" s="1"/>
      <c r="C189" s="1"/>
    </row>
    <row r="190" ht="14.25" customHeight="1">
      <c r="B190" s="1"/>
      <c r="C190" s="1"/>
    </row>
    <row r="191" ht="14.25" customHeight="1">
      <c r="B191" s="1"/>
      <c r="C191" s="1"/>
    </row>
    <row r="192" ht="14.25" customHeight="1">
      <c r="B192" s="1"/>
      <c r="C192" s="1"/>
    </row>
    <row r="193" ht="14.25" customHeight="1">
      <c r="B193" s="1"/>
      <c r="C193" s="1"/>
    </row>
    <row r="194" ht="14.25" customHeight="1">
      <c r="B194" s="1"/>
      <c r="C194" s="1"/>
    </row>
    <row r="195" ht="14.25" customHeight="1">
      <c r="B195" s="1"/>
      <c r="C195" s="1"/>
    </row>
    <row r="196" ht="14.25" customHeight="1">
      <c r="B196" s="1"/>
      <c r="C196" s="1"/>
    </row>
    <row r="197" ht="14.25" customHeight="1">
      <c r="B197" s="1"/>
      <c r="C197" s="1"/>
    </row>
    <row r="198" ht="14.25" customHeight="1">
      <c r="B198" s="1"/>
      <c r="C198" s="1"/>
    </row>
    <row r="199" ht="14.25" customHeight="1">
      <c r="B199" s="1"/>
      <c r="C199" s="1"/>
    </row>
    <row r="200" ht="14.25" customHeight="1">
      <c r="B200" s="1"/>
      <c r="C200" s="1"/>
    </row>
    <row r="201" ht="14.25" customHeight="1">
      <c r="B201" s="1"/>
      <c r="C201" s="1"/>
    </row>
    <row r="202" ht="14.25" customHeight="1">
      <c r="B202" s="1"/>
      <c r="C202" s="1"/>
    </row>
    <row r="203" ht="14.25" customHeight="1">
      <c r="B203" s="1"/>
      <c r="C203" s="1"/>
    </row>
    <row r="204" ht="14.25" customHeight="1">
      <c r="B204" s="1"/>
      <c r="C204" s="1"/>
    </row>
    <row r="205" ht="14.25" customHeight="1">
      <c r="B205" s="1"/>
      <c r="C205" s="1"/>
    </row>
    <row r="206" ht="14.25" customHeight="1">
      <c r="B206" s="1"/>
      <c r="C206" s="1"/>
    </row>
    <row r="207" ht="14.25" customHeight="1">
      <c r="B207" s="1"/>
      <c r="C207" s="1"/>
    </row>
    <row r="208" ht="14.25" customHeight="1">
      <c r="B208" s="1"/>
      <c r="C208" s="1"/>
    </row>
    <row r="209" ht="14.25" customHeight="1">
      <c r="B209" s="1"/>
      <c r="C209" s="1"/>
    </row>
    <row r="210" ht="14.25" customHeight="1">
      <c r="B210" s="1"/>
      <c r="C210" s="1"/>
    </row>
    <row r="211" ht="14.25" customHeight="1">
      <c r="B211" s="1"/>
      <c r="C211" s="1"/>
    </row>
    <row r="212" ht="14.25" customHeight="1">
      <c r="B212" s="1"/>
      <c r="C212" s="1"/>
    </row>
    <row r="213" ht="14.25" customHeight="1">
      <c r="B213" s="1"/>
      <c r="C213" s="1"/>
    </row>
    <row r="214" ht="14.25" customHeight="1">
      <c r="B214" s="1"/>
      <c r="C214" s="1"/>
    </row>
    <row r="215" ht="14.25" customHeight="1">
      <c r="B215" s="1"/>
      <c r="C215" s="1"/>
    </row>
    <row r="216" ht="14.25" customHeight="1">
      <c r="B216" s="1"/>
      <c r="C216" s="1"/>
    </row>
    <row r="217" ht="14.25" customHeight="1">
      <c r="B217" s="1"/>
      <c r="C217" s="1"/>
    </row>
    <row r="218" ht="14.25" customHeight="1">
      <c r="B218" s="1"/>
      <c r="C218" s="1"/>
    </row>
    <row r="219" ht="14.25" customHeight="1">
      <c r="B219" s="1"/>
      <c r="C219" s="1"/>
    </row>
    <row r="220" ht="14.25" customHeight="1">
      <c r="B220" s="1"/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8" activeCellId="0" sqref="K8"/>
    </sheetView>
  </sheetViews>
  <sheetFormatPr baseColWidth="10" defaultColWidth="12.59765625" defaultRowHeight="15" customHeight="1"/>
  <cols>
    <col customWidth="1" min="1" max="5" width="10.5"/>
    <col customWidth="1" min="6" max="6" width="9.19921875"/>
  </cols>
  <sheetData>
    <row r="1" ht="14.25" customHeight="1">
      <c r="A1" s="168" t="s">
        <v>175</v>
      </c>
      <c r="B1" s="168" t="s">
        <v>176</v>
      </c>
      <c r="C1" s="168" t="s">
        <v>177</v>
      </c>
      <c r="D1" s="168" t="s">
        <v>178</v>
      </c>
    </row>
    <row r="2" ht="14.25" customHeight="1">
      <c r="A2" s="171" t="s">
        <v>179</v>
      </c>
      <c r="B2" s="171" t="s">
        <v>180</v>
      </c>
      <c r="C2" s="171">
        <v>500</v>
      </c>
      <c r="D2" s="182">
        <v>3.2000000000000002</v>
      </c>
    </row>
    <row r="3" ht="14.25" customHeight="1">
      <c r="A3" s="171" t="s">
        <v>179</v>
      </c>
      <c r="B3" s="171" t="s">
        <v>181</v>
      </c>
      <c r="C3" s="171">
        <v>300</v>
      </c>
      <c r="D3" s="182">
        <v>1.5</v>
      </c>
    </row>
    <row r="4" ht="14.25" customHeight="1">
      <c r="A4" s="171" t="s">
        <v>182</v>
      </c>
      <c r="B4" s="171" t="s">
        <v>183</v>
      </c>
      <c r="C4" s="171">
        <v>800</v>
      </c>
      <c r="D4" s="182">
        <v>2</v>
      </c>
    </row>
    <row r="5" ht="14.25" customHeight="1">
      <c r="A5" s="171" t="s">
        <v>182</v>
      </c>
      <c r="B5" s="171" t="s">
        <v>184</v>
      </c>
      <c r="C5" s="171">
        <v>700</v>
      </c>
      <c r="D5" s="182">
        <v>-1</v>
      </c>
    </row>
    <row r="6" ht="14.25" customHeight="1">
      <c r="A6" s="171" t="s">
        <v>185</v>
      </c>
      <c r="B6" s="171" t="s">
        <v>186</v>
      </c>
      <c r="C6" s="171">
        <v>450</v>
      </c>
      <c r="D6" s="182">
        <v>4.5</v>
      </c>
    </row>
    <row r="7" ht="14.25" customHeight="1">
      <c r="A7" s="171" t="s">
        <v>185</v>
      </c>
      <c r="B7" s="171" t="s">
        <v>187</v>
      </c>
      <c r="C7" s="171">
        <v>600</v>
      </c>
      <c r="D7" s="182">
        <v>2.7999999999999998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0" activeCellId="0" sqref="N10"/>
    </sheetView>
  </sheetViews>
  <sheetFormatPr baseColWidth="10" defaultColWidth="12.59765625" defaultRowHeight="15" customHeight="1"/>
  <cols>
    <col customWidth="1" min="1" max="6" width="10.5"/>
  </cols>
  <sheetData>
    <row r="1" ht="14.25" customHeight="1">
      <c r="A1" s="168" t="s">
        <v>188</v>
      </c>
      <c r="B1" s="168" t="s">
        <v>189</v>
      </c>
      <c r="C1" s="168" t="s">
        <v>190</v>
      </c>
      <c r="D1" s="168" t="s">
        <v>191</v>
      </c>
      <c r="E1" s="168" t="s">
        <v>192</v>
      </c>
    </row>
    <row r="2" ht="14.25" customHeight="1">
      <c r="A2" s="171" t="s">
        <v>193</v>
      </c>
      <c r="B2" s="171" t="s">
        <v>194</v>
      </c>
      <c r="C2" s="171">
        <v>300</v>
      </c>
      <c r="D2" s="138">
        <f t="shared" ref="D2:D18" ca="1" si="1">SUMIF($A$2:$C$18,A2,$C$2:$C$18)</f>
        <v>800</v>
      </c>
      <c r="E2" s="183">
        <f t="shared" ref="E2:E18" ca="1" si="2">(C2/D2)*100</f>
        <v>37.5</v>
      </c>
    </row>
    <row r="3" ht="14.25" customHeight="1">
      <c r="A3" s="171" t="s">
        <v>193</v>
      </c>
      <c r="B3" s="171" t="s">
        <v>195</v>
      </c>
      <c r="C3" s="171">
        <v>180</v>
      </c>
      <c r="D3" s="138">
        <f t="shared" ca="1" si="1"/>
        <v>800</v>
      </c>
      <c r="E3" s="183">
        <f t="shared" ca="1" si="2"/>
        <v>22.5</v>
      </c>
    </row>
    <row r="4" ht="14.25" customHeight="1">
      <c r="A4" s="171" t="s">
        <v>193</v>
      </c>
      <c r="B4" s="171" t="s">
        <v>196</v>
      </c>
      <c r="C4" s="171">
        <v>120</v>
      </c>
      <c r="D4" s="138">
        <f t="shared" ca="1" si="1"/>
        <v>800</v>
      </c>
      <c r="E4" s="183">
        <f t="shared" ca="1" si="2"/>
        <v>15</v>
      </c>
    </row>
    <row r="5" ht="14.25" customHeight="1">
      <c r="A5" s="171" t="s">
        <v>193</v>
      </c>
      <c r="B5" s="171" t="s">
        <v>197</v>
      </c>
      <c r="C5" s="171">
        <v>200</v>
      </c>
      <c r="D5" s="138">
        <f t="shared" ca="1" si="1"/>
        <v>800</v>
      </c>
      <c r="E5" s="183">
        <f t="shared" ca="1" si="2"/>
        <v>25</v>
      </c>
    </row>
    <row r="6" ht="14.25" customHeight="1">
      <c r="A6" s="171" t="s">
        <v>198</v>
      </c>
      <c r="B6" s="171" t="s">
        <v>199</v>
      </c>
      <c r="C6" s="171">
        <v>160</v>
      </c>
      <c r="D6" s="138">
        <f t="shared" ca="1" si="1"/>
        <v>400</v>
      </c>
      <c r="E6" s="183">
        <f t="shared" ca="1" si="2"/>
        <v>40</v>
      </c>
    </row>
    <row r="7" ht="14.25" customHeight="1">
      <c r="A7" s="171" t="s">
        <v>198</v>
      </c>
      <c r="B7" s="171" t="s">
        <v>200</v>
      </c>
      <c r="C7" s="171">
        <v>140</v>
      </c>
      <c r="D7" s="138">
        <f t="shared" ca="1" si="1"/>
        <v>400</v>
      </c>
      <c r="E7" s="183">
        <f t="shared" ca="1" si="2"/>
        <v>35</v>
      </c>
    </row>
    <row r="8" ht="14.25" customHeight="1">
      <c r="A8" s="171" t="s">
        <v>198</v>
      </c>
      <c r="B8" s="171" t="s">
        <v>201</v>
      </c>
      <c r="C8" s="171">
        <v>100</v>
      </c>
      <c r="D8" s="138">
        <f t="shared" ca="1" si="1"/>
        <v>400</v>
      </c>
      <c r="E8" s="183">
        <f t="shared" ca="1" si="2"/>
        <v>25</v>
      </c>
    </row>
    <row r="9" ht="14.25" customHeight="1">
      <c r="A9" s="171" t="s">
        <v>202</v>
      </c>
      <c r="B9" s="171" t="s">
        <v>203</v>
      </c>
      <c r="C9" s="171">
        <v>250</v>
      </c>
      <c r="D9" s="138">
        <f t="shared" ca="1" si="1"/>
        <v>450</v>
      </c>
      <c r="E9" s="183">
        <f t="shared" ca="1" si="2"/>
        <v>55.555555555555557</v>
      </c>
    </row>
    <row r="10" ht="14.25" customHeight="1">
      <c r="A10" s="171" t="s">
        <v>202</v>
      </c>
      <c r="B10" s="171" t="s">
        <v>204</v>
      </c>
      <c r="C10" s="171">
        <v>200</v>
      </c>
      <c r="D10" s="138">
        <f t="shared" ca="1" si="1"/>
        <v>450</v>
      </c>
      <c r="E10" s="183">
        <f t="shared" ca="1" si="2"/>
        <v>44.444444444444443</v>
      </c>
    </row>
    <row r="11" ht="14.25" customHeight="1">
      <c r="A11" s="171" t="s">
        <v>205</v>
      </c>
      <c r="B11" s="171" t="s">
        <v>206</v>
      </c>
      <c r="C11" s="171">
        <v>180</v>
      </c>
      <c r="D11" s="138">
        <f t="shared" ca="1" si="1"/>
        <v>500</v>
      </c>
      <c r="E11" s="183">
        <f t="shared" ca="1" si="2"/>
        <v>36</v>
      </c>
    </row>
    <row r="12" ht="14.25" customHeight="1">
      <c r="A12" s="171" t="s">
        <v>205</v>
      </c>
      <c r="B12" s="171" t="s">
        <v>207</v>
      </c>
      <c r="C12" s="171">
        <v>170</v>
      </c>
      <c r="D12" s="138">
        <f t="shared" ca="1" si="1"/>
        <v>500</v>
      </c>
      <c r="E12" s="183">
        <f t="shared" ca="1" si="2"/>
        <v>34</v>
      </c>
    </row>
    <row r="13" ht="14.25" customHeight="1">
      <c r="A13" s="171" t="s">
        <v>205</v>
      </c>
      <c r="B13" s="171" t="s">
        <v>208</v>
      </c>
      <c r="C13" s="171">
        <v>150</v>
      </c>
      <c r="D13" s="138">
        <f t="shared" ca="1" si="1"/>
        <v>500</v>
      </c>
      <c r="E13" s="183">
        <f t="shared" ca="1" si="2"/>
        <v>30</v>
      </c>
    </row>
    <row r="14" ht="14.25" customHeight="1">
      <c r="A14" s="171" t="s">
        <v>209</v>
      </c>
      <c r="B14" s="171" t="s">
        <v>210</v>
      </c>
      <c r="C14" s="171">
        <v>200</v>
      </c>
      <c r="D14" s="138">
        <f t="shared" ca="1" si="1"/>
        <v>420</v>
      </c>
      <c r="E14" s="183">
        <f t="shared" ca="1" si="2"/>
        <v>47.619047619047613</v>
      </c>
    </row>
    <row r="15" ht="14.25" customHeight="1">
      <c r="A15" s="171" t="s">
        <v>209</v>
      </c>
      <c r="B15" s="171" t="s">
        <v>211</v>
      </c>
      <c r="C15" s="171">
        <v>100</v>
      </c>
      <c r="D15" s="138">
        <f t="shared" ca="1" si="1"/>
        <v>420</v>
      </c>
      <c r="E15" s="183">
        <f t="shared" ca="1" si="2"/>
        <v>23.809523809523807</v>
      </c>
    </row>
    <row r="16" ht="14.25" customHeight="1">
      <c r="A16" s="171" t="s">
        <v>209</v>
      </c>
      <c r="B16" s="171" t="s">
        <v>212</v>
      </c>
      <c r="C16" s="171">
        <v>120</v>
      </c>
      <c r="D16" s="138">
        <f t="shared" ca="1" si="1"/>
        <v>420</v>
      </c>
      <c r="E16" s="183">
        <f t="shared" ca="1" si="2"/>
        <v>28.571428571428569</v>
      </c>
    </row>
    <row r="17" ht="14.25" customHeight="1">
      <c r="A17" s="171" t="s">
        <v>143</v>
      </c>
      <c r="B17" s="171" t="s">
        <v>213</v>
      </c>
      <c r="C17" s="171">
        <v>160</v>
      </c>
      <c r="D17" s="138">
        <f t="shared" ca="1" si="1"/>
        <v>300</v>
      </c>
      <c r="E17" s="183">
        <f t="shared" ca="1" si="2"/>
        <v>53.333333333333336</v>
      </c>
    </row>
    <row r="18" ht="14.25" customHeight="1">
      <c r="A18" s="171" t="s">
        <v>143</v>
      </c>
      <c r="B18" s="171" t="s">
        <v>214</v>
      </c>
      <c r="C18" s="171">
        <v>140</v>
      </c>
      <c r="D18" s="138">
        <f t="shared" ca="1" si="1"/>
        <v>300</v>
      </c>
      <c r="E18" s="183">
        <f t="shared" ca="1" si="2"/>
        <v>46.666666666666664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J19" activeCellId="0" sqref="J19"/>
    </sheetView>
  </sheetViews>
  <sheetFormatPr baseColWidth="10" defaultColWidth="12.59765625" defaultRowHeight="15" customHeight="1"/>
  <cols>
    <col customWidth="1" min="1" max="1" width="8.69921875"/>
    <col customWidth="1" min="2" max="2" width="7.3984375"/>
    <col customWidth="1" min="3" max="3" width="10.5"/>
    <col customWidth="1" min="4" max="6" width="9.19921875"/>
  </cols>
  <sheetData>
    <row r="1" ht="14.25" customHeight="1">
      <c r="A1" s="184" t="s">
        <v>215</v>
      </c>
      <c r="B1" s="185" t="s">
        <v>216</v>
      </c>
    </row>
    <row r="2" ht="14.25" customHeight="1">
      <c r="A2" s="186">
        <v>1.1399999999999999</v>
      </c>
      <c r="B2" s="187">
        <v>100</v>
      </c>
    </row>
    <row r="3" ht="14.25" customHeight="1">
      <c r="A3" s="186">
        <v>1.3</v>
      </c>
      <c r="B3" s="187">
        <v>160</v>
      </c>
    </row>
    <row r="4" ht="14.25" customHeight="1">
      <c r="A4" s="186">
        <v>1.47</v>
      </c>
      <c r="B4" s="187">
        <v>128</v>
      </c>
    </row>
    <row r="5" ht="14.25" customHeight="1">
      <c r="A5" s="186">
        <v>1.47</v>
      </c>
      <c r="B5" s="187">
        <v>180</v>
      </c>
    </row>
    <row r="6" ht="14.25" customHeight="1">
      <c r="A6" s="186">
        <v>1.5</v>
      </c>
      <c r="B6" s="187">
        <v>124</v>
      </c>
    </row>
    <row r="7" ht="14.25" customHeight="1">
      <c r="A7" s="186">
        <v>1.5</v>
      </c>
      <c r="B7" s="187">
        <v>180</v>
      </c>
    </row>
    <row r="8" ht="14.25" customHeight="1">
      <c r="A8" s="186">
        <v>1.5</v>
      </c>
      <c r="B8" s="187">
        <v>105</v>
      </c>
    </row>
    <row r="9" ht="14.25" customHeight="1">
      <c r="A9" s="186">
        <v>1.5</v>
      </c>
      <c r="B9" s="187">
        <v>100</v>
      </c>
    </row>
    <row r="10" ht="14.25" customHeight="1">
      <c r="A10" s="186">
        <v>1.5</v>
      </c>
      <c r="B10" s="187">
        <v>110</v>
      </c>
    </row>
    <row r="11" ht="14.25" customHeight="1">
      <c r="A11" s="186">
        <v>1.5</v>
      </c>
      <c r="B11" s="187">
        <v>164</v>
      </c>
    </row>
    <row r="12" ht="14.25" customHeight="1">
      <c r="A12" s="186">
        <v>1.52</v>
      </c>
      <c r="B12" s="187">
        <v>135</v>
      </c>
    </row>
    <row r="13" ht="14.25" customHeight="1">
      <c r="A13" s="186">
        <v>1.52</v>
      </c>
      <c r="B13" s="187">
        <v>120</v>
      </c>
    </row>
    <row r="14" ht="14.25" customHeight="1">
      <c r="A14" s="186">
        <v>1.52</v>
      </c>
      <c r="B14" s="187">
        <v>121</v>
      </c>
    </row>
    <row r="15" ht="14.25" customHeight="1">
      <c r="A15" s="186">
        <v>1.53</v>
      </c>
      <c r="B15" s="187">
        <v>100</v>
      </c>
    </row>
    <row r="16" ht="14.25" customHeight="1">
      <c r="A16" s="186">
        <v>1.53</v>
      </c>
      <c r="B16" s="187">
        <v>180</v>
      </c>
    </row>
    <row r="17" ht="14.25" customHeight="1">
      <c r="A17" s="186">
        <v>1.53</v>
      </c>
      <c r="B17" s="187">
        <v>105</v>
      </c>
    </row>
    <row r="18" ht="14.25" customHeight="1">
      <c r="A18" s="186">
        <v>1.53</v>
      </c>
      <c r="B18" s="187">
        <v>126</v>
      </c>
    </row>
    <row r="19" ht="14.25" customHeight="1">
      <c r="A19" s="186">
        <v>1.53</v>
      </c>
      <c r="B19" s="187">
        <v>150</v>
      </c>
    </row>
    <row r="20" ht="14.25" customHeight="1">
      <c r="A20" s="186">
        <v>1.54</v>
      </c>
      <c r="B20" s="187">
        <v>140</v>
      </c>
    </row>
    <row r="21" ht="14.25" customHeight="1">
      <c r="A21" s="186">
        <v>1.54</v>
      </c>
      <c r="B21" s="187">
        <v>120</v>
      </c>
    </row>
    <row r="22" ht="14.25" customHeight="1">
      <c r="A22" s="186">
        <v>1.54</v>
      </c>
      <c r="B22" s="187">
        <v>112</v>
      </c>
    </row>
    <row r="23" ht="14.25" customHeight="1">
      <c r="A23" s="186">
        <v>1.54</v>
      </c>
      <c r="B23" s="187">
        <v>100</v>
      </c>
    </row>
    <row r="24" ht="14.25" customHeight="1">
      <c r="A24" s="186">
        <v>1.54</v>
      </c>
      <c r="B24" s="187">
        <v>110</v>
      </c>
    </row>
    <row r="25" ht="14.25" customHeight="1">
      <c r="A25" s="186">
        <v>1.55</v>
      </c>
      <c r="B25" s="187">
        <v>130</v>
      </c>
    </row>
    <row r="26" ht="14.25" customHeight="1">
      <c r="A26" s="186">
        <v>1.55</v>
      </c>
      <c r="B26" s="187">
        <v>192</v>
      </c>
    </row>
    <row r="27" ht="14.25" customHeight="1">
      <c r="A27" s="186">
        <v>1.55</v>
      </c>
      <c r="B27" s="187">
        <v>140</v>
      </c>
    </row>
    <row r="28" ht="14.25" customHeight="1">
      <c r="A28" s="186">
        <v>1.55</v>
      </c>
      <c r="B28" s="187">
        <v>188</v>
      </c>
    </row>
    <row r="29" ht="14.25" customHeight="1">
      <c r="A29" s="186">
        <v>1.55</v>
      </c>
      <c r="B29" s="187">
        <v>120</v>
      </c>
    </row>
    <row r="30" ht="14.25" customHeight="1">
      <c r="A30" s="186">
        <v>1.55</v>
      </c>
      <c r="B30" s="187">
        <v>115</v>
      </c>
    </row>
    <row r="31" ht="14.25" customHeight="1">
      <c r="A31" s="186">
        <v>1.55</v>
      </c>
      <c r="B31" s="187">
        <v>118</v>
      </c>
    </row>
    <row r="32" ht="14.25" customHeight="1">
      <c r="A32" s="186">
        <v>1.5600000000000001</v>
      </c>
      <c r="B32" s="187">
        <v>190</v>
      </c>
    </row>
    <row r="33" ht="14.25" customHeight="1">
      <c r="A33" s="186">
        <v>1.5600000000000001</v>
      </c>
      <c r="B33" s="187">
        <v>190</v>
      </c>
    </row>
    <row r="34" ht="14.25" customHeight="1">
      <c r="A34" s="186">
        <v>1.5600000000000001</v>
      </c>
      <c r="B34" s="187">
        <v>140</v>
      </c>
    </row>
    <row r="35" ht="14.25" customHeight="1">
      <c r="A35" s="186">
        <v>1.5600000000000001</v>
      </c>
      <c r="B35" s="187">
        <v>190</v>
      </c>
    </row>
    <row r="36" ht="14.25" customHeight="1">
      <c r="A36" s="186">
        <v>1.5700000000000001</v>
      </c>
      <c r="B36" s="187">
        <v>150</v>
      </c>
    </row>
    <row r="37" ht="14.25" customHeight="1">
      <c r="A37" s="186">
        <v>1.5700000000000001</v>
      </c>
      <c r="B37" s="187">
        <v>180</v>
      </c>
    </row>
    <row r="38" ht="14.25" customHeight="1">
      <c r="A38" s="186">
        <v>1.5700000000000001</v>
      </c>
      <c r="B38" s="187">
        <v>120</v>
      </c>
    </row>
    <row r="39" ht="14.25" customHeight="1">
      <c r="A39" s="186">
        <v>1.5700000000000001</v>
      </c>
      <c r="B39" s="187">
        <v>130</v>
      </c>
    </row>
    <row r="40" ht="14.25" customHeight="1">
      <c r="A40" s="186">
        <v>1.5700000000000001</v>
      </c>
      <c r="B40" s="187">
        <v>180</v>
      </c>
    </row>
    <row r="41" ht="14.25" customHeight="1">
      <c r="A41" s="186">
        <v>1.5700000000000001</v>
      </c>
      <c r="B41" s="187">
        <v>105</v>
      </c>
    </row>
    <row r="42" ht="14.25" customHeight="1">
      <c r="A42" s="186">
        <v>1.5700000000000001</v>
      </c>
      <c r="B42" s="187">
        <v>100</v>
      </c>
    </row>
    <row r="43" ht="14.25" customHeight="1">
      <c r="A43" s="186">
        <v>1.5800000000000001</v>
      </c>
      <c r="B43" s="187">
        <v>115</v>
      </c>
    </row>
    <row r="44" ht="14.25" customHeight="1">
      <c r="A44" s="186">
        <v>1.5800000000000001</v>
      </c>
      <c r="B44" s="187">
        <v>120</v>
      </c>
    </row>
    <row r="45" ht="14.25" customHeight="1">
      <c r="A45" s="186">
        <v>1.5800000000000001</v>
      </c>
      <c r="B45" s="187">
        <v>110</v>
      </c>
    </row>
    <row r="46" ht="14.25" customHeight="1">
      <c r="A46" s="186">
        <v>1.5800000000000001</v>
      </c>
      <c r="B46" s="187">
        <v>130</v>
      </c>
    </row>
    <row r="47" ht="14.25" customHeight="1">
      <c r="A47" s="186">
        <v>1.5800000000000001</v>
      </c>
      <c r="B47" s="187">
        <v>190</v>
      </c>
    </row>
    <row r="48" ht="14.25" customHeight="1">
      <c r="A48" s="186">
        <v>1.5800000000000001</v>
      </c>
      <c r="B48" s="187">
        <v>137</v>
      </c>
    </row>
    <row r="49" ht="14.25" customHeight="1">
      <c r="A49" s="186">
        <v>1.5800000000000001</v>
      </c>
      <c r="B49" s="187">
        <v>160</v>
      </c>
    </row>
    <row r="50" ht="14.25" customHeight="1">
      <c r="A50" s="186">
        <v>1.5800000000000001</v>
      </c>
      <c r="B50" s="187">
        <v>130</v>
      </c>
    </row>
    <row r="51" ht="14.25" customHeight="1">
      <c r="A51" s="186">
        <v>1.5900000000000001</v>
      </c>
      <c r="B51" s="187">
        <v>100</v>
      </c>
    </row>
    <row r="52" ht="14.25" customHeight="1">
      <c r="A52" s="186">
        <v>1.5900000000000001</v>
      </c>
      <c r="B52" s="187">
        <v>179</v>
      </c>
    </row>
    <row r="53" ht="14.25" customHeight="1">
      <c r="A53" s="186">
        <v>1.5900000000000001</v>
      </c>
      <c r="B53" s="187">
        <v>110</v>
      </c>
    </row>
    <row r="54" ht="14.25" customHeight="1">
      <c r="A54" s="186">
        <v>1.5900000000000001</v>
      </c>
      <c r="B54" s="187">
        <v>130</v>
      </c>
    </row>
    <row r="55" ht="14.25" customHeight="1">
      <c r="A55" s="186">
        <v>1.6000000000000001</v>
      </c>
      <c r="B55" s="187">
        <v>157</v>
      </c>
    </row>
    <row r="56" ht="14.25" customHeight="1">
      <c r="A56" s="186">
        <v>1.6000000000000001</v>
      </c>
      <c r="B56" s="187">
        <v>145</v>
      </c>
    </row>
    <row r="57" ht="14.25" customHeight="1">
      <c r="A57" s="186">
        <v>1.6000000000000001</v>
      </c>
      <c r="B57" s="187">
        <v>178</v>
      </c>
    </row>
    <row r="58" ht="14.25" customHeight="1">
      <c r="A58" s="186">
        <v>1.6000000000000001</v>
      </c>
      <c r="B58" s="187">
        <v>178</v>
      </c>
    </row>
    <row r="59" ht="14.25" customHeight="1">
      <c r="A59" s="186">
        <v>1.6000000000000001</v>
      </c>
      <c r="B59" s="187">
        <v>180</v>
      </c>
    </row>
    <row r="60" ht="14.25" customHeight="1">
      <c r="A60" s="186">
        <v>1.6000000000000001</v>
      </c>
      <c r="B60" s="187">
        <v>170</v>
      </c>
    </row>
    <row r="61" ht="14.25" customHeight="1">
      <c r="A61" s="186">
        <v>1.6000000000000001</v>
      </c>
      <c r="B61" s="187">
        <v>133</v>
      </c>
    </row>
    <row r="62" ht="14.25" customHeight="1">
      <c r="A62" s="186">
        <v>1.6000000000000001</v>
      </c>
      <c r="B62" s="187">
        <v>100</v>
      </c>
    </row>
    <row r="63" ht="14.25" customHeight="1">
      <c r="A63" s="186">
        <v>1.6000000000000001</v>
      </c>
      <c r="B63" s="187">
        <v>142</v>
      </c>
    </row>
    <row r="64" ht="14.25" customHeight="1">
      <c r="A64" s="186">
        <v>1.6000000000000001</v>
      </c>
      <c r="B64" s="187">
        <v>140</v>
      </c>
    </row>
    <row r="65" ht="14.25" customHeight="1">
      <c r="A65" s="186">
        <v>1.6000000000000001</v>
      </c>
      <c r="B65" s="187">
        <v>140</v>
      </c>
    </row>
    <row r="66" ht="14.25" customHeight="1">
      <c r="A66" s="186">
        <v>1.6000000000000001</v>
      </c>
      <c r="B66" s="187">
        <v>140</v>
      </c>
    </row>
    <row r="67" ht="14.25" customHeight="1">
      <c r="A67" s="186">
        <v>1.6000000000000001</v>
      </c>
      <c r="B67" s="187">
        <v>100</v>
      </c>
    </row>
    <row r="68" ht="14.25" customHeight="1">
      <c r="A68" s="186">
        <v>1.6000000000000001</v>
      </c>
      <c r="B68" s="187">
        <v>250</v>
      </c>
    </row>
    <row r="69" ht="14.25" customHeight="1">
      <c r="A69" s="186">
        <v>1.6000000000000001</v>
      </c>
      <c r="B69" s="187">
        <v>160</v>
      </c>
    </row>
    <row r="70" ht="14.25" customHeight="1">
      <c r="A70" s="186">
        <v>1.6100000000000001</v>
      </c>
      <c r="B70" s="187">
        <v>122</v>
      </c>
    </row>
    <row r="71" ht="14.25" customHeight="1">
      <c r="A71" s="186">
        <v>1.6100000000000001</v>
      </c>
      <c r="B71" s="187">
        <v>167</v>
      </c>
    </row>
    <row r="72" ht="14.25" customHeight="1">
      <c r="A72" s="186">
        <v>1.6100000000000001</v>
      </c>
      <c r="B72" s="187">
        <v>105</v>
      </c>
    </row>
    <row r="73" ht="14.25" customHeight="1">
      <c r="A73" s="186">
        <v>1.6100000000000001</v>
      </c>
      <c r="B73" s="187">
        <v>160</v>
      </c>
    </row>
    <row r="74" ht="14.25" customHeight="1">
      <c r="A74" s="186">
        <v>1.6100000000000001</v>
      </c>
      <c r="B74" s="187">
        <v>140</v>
      </c>
    </row>
    <row r="75" ht="14.25" customHeight="1">
      <c r="A75" s="186">
        <v>1.6100000000000001</v>
      </c>
      <c r="B75" s="187">
        <v>130</v>
      </c>
    </row>
    <row r="76" ht="14.25" customHeight="1">
      <c r="A76" s="186">
        <v>1.6200000000000001</v>
      </c>
      <c r="B76" s="187">
        <v>182</v>
      </c>
    </row>
    <row r="77" ht="14.25" customHeight="1">
      <c r="A77" s="186">
        <v>1.6200000000000001</v>
      </c>
      <c r="B77" s="187">
        <v>105</v>
      </c>
    </row>
    <row r="78" ht="14.25" customHeight="1">
      <c r="A78" s="186">
        <v>1.6200000000000001</v>
      </c>
      <c r="B78" s="187">
        <v>146</v>
      </c>
    </row>
    <row r="79" ht="14.25" customHeight="1">
      <c r="A79" s="186">
        <v>1.6200000000000001</v>
      </c>
      <c r="B79" s="187">
        <v>120</v>
      </c>
    </row>
    <row r="80" ht="14.25" customHeight="1">
      <c r="A80" s="186">
        <v>1.6200000000000001</v>
      </c>
      <c r="B80" s="187">
        <v>180</v>
      </c>
    </row>
    <row r="81" ht="14.25" customHeight="1">
      <c r="A81" s="186">
        <v>1.6200000000000001</v>
      </c>
      <c r="B81" s="187">
        <v>180</v>
      </c>
    </row>
    <row r="82" ht="14.25" customHeight="1">
      <c r="A82" s="186">
        <v>1.6299999999999999</v>
      </c>
      <c r="B82" s="187">
        <v>129</v>
      </c>
    </row>
    <row r="83" ht="14.25" customHeight="1">
      <c r="A83" s="186">
        <v>1.6299999999999999</v>
      </c>
      <c r="B83" s="187">
        <v>105</v>
      </c>
    </row>
    <row r="84" ht="14.25" customHeight="1">
      <c r="A84" s="186">
        <v>1.6399999999999999</v>
      </c>
      <c r="B84" s="187">
        <v>160</v>
      </c>
    </row>
    <row r="85" ht="14.25" customHeight="1">
      <c r="A85" s="186">
        <v>1.6399999999999999</v>
      </c>
      <c r="B85" s="187">
        <v>100</v>
      </c>
    </row>
    <row r="86" ht="14.25" customHeight="1">
      <c r="A86" s="186">
        <v>1.6499999999999999</v>
      </c>
      <c r="B86" s="187">
        <v>170</v>
      </c>
    </row>
    <row r="87" ht="14.25" customHeight="1">
      <c r="A87" s="186">
        <v>1.6499999999999999</v>
      </c>
      <c r="B87" s="187">
        <v>130</v>
      </c>
    </row>
    <row r="88" ht="14.25" customHeight="1">
      <c r="A88" s="186">
        <v>1.6499999999999999</v>
      </c>
      <c r="B88" s="187">
        <v>120</v>
      </c>
    </row>
    <row r="89" ht="14.25" customHeight="1">
      <c r="A89" s="186">
        <v>1.6499999999999999</v>
      </c>
      <c r="B89" s="187">
        <v>120</v>
      </c>
    </row>
    <row r="90" ht="14.25" customHeight="1">
      <c r="A90" s="186">
        <v>1.6499999999999999</v>
      </c>
      <c r="B90" s="187">
        <v>130</v>
      </c>
    </row>
    <row r="91" ht="14.25" customHeight="1">
      <c r="A91" s="186">
        <v>1.6499999999999999</v>
      </c>
      <c r="B91" s="187">
        <v>131</v>
      </c>
    </row>
    <row r="92" ht="14.25" customHeight="1">
      <c r="A92" s="186">
        <v>1.6499999999999999</v>
      </c>
      <c r="B92" s="187">
        <v>139</v>
      </c>
    </row>
    <row r="93" ht="14.25" customHeight="1">
      <c r="A93" s="186">
        <v>1.6499999999999999</v>
      </c>
      <c r="B93" s="187">
        <v>150</v>
      </c>
    </row>
    <row r="94" ht="14.25" customHeight="1">
      <c r="A94" s="186">
        <v>1.6499999999999999</v>
      </c>
      <c r="B94" s="187">
        <v>139</v>
      </c>
    </row>
    <row r="95" ht="14.25" customHeight="1">
      <c r="A95" s="186">
        <v>1.6499999999999999</v>
      </c>
      <c r="B95" s="187">
        <v>116</v>
      </c>
    </row>
    <row r="96" ht="14.25" customHeight="1">
      <c r="A96" s="186">
        <v>1.6499999999999999</v>
      </c>
      <c r="B96" s="187">
        <v>110</v>
      </c>
    </row>
    <row r="97" ht="14.25" customHeight="1">
      <c r="A97" s="186">
        <v>1.6499999999999999</v>
      </c>
      <c r="B97" s="187">
        <v>120</v>
      </c>
    </row>
    <row r="98" ht="14.25" customHeight="1">
      <c r="A98" s="186">
        <v>1.6499999999999999</v>
      </c>
      <c r="B98" s="187">
        <v>133</v>
      </c>
    </row>
    <row r="99" ht="14.25" customHeight="1">
      <c r="A99" s="186">
        <v>1.6499999999999999</v>
      </c>
      <c r="B99" s="187">
        <v>135</v>
      </c>
    </row>
    <row r="100" ht="14.25" customHeight="1">
      <c r="A100" s="186">
        <v>1.6499999999999999</v>
      </c>
      <c r="B100" s="187">
        <v>145</v>
      </c>
    </row>
    <row r="101" ht="14.25" customHeight="1">
      <c r="A101" s="186">
        <v>1.6499999999999999</v>
      </c>
      <c r="B101" s="187">
        <v>120</v>
      </c>
    </row>
    <row r="102" ht="14.25" customHeight="1">
      <c r="A102" s="186">
        <v>1.6499999999999999</v>
      </c>
      <c r="B102" s="187">
        <v>130</v>
      </c>
    </row>
    <row r="103" ht="14.25" customHeight="1">
      <c r="A103" s="186">
        <v>1.6499999999999999</v>
      </c>
      <c r="B103" s="187">
        <v>105</v>
      </c>
    </row>
    <row r="104" ht="14.25" customHeight="1">
      <c r="A104" s="186">
        <v>1.6499999999999999</v>
      </c>
      <c r="B104" s="187">
        <v>147</v>
      </c>
    </row>
    <row r="105" ht="14.25" customHeight="1">
      <c r="A105" s="186">
        <v>1.6499999999999999</v>
      </c>
      <c r="B105" s="187">
        <v>140</v>
      </c>
    </row>
    <row r="106" ht="14.25" customHeight="1">
      <c r="A106" s="186">
        <v>1.6499999999999999</v>
      </c>
      <c r="B106" s="187">
        <v>120</v>
      </c>
    </row>
    <row r="107" ht="14.25" customHeight="1">
      <c r="A107" s="186">
        <v>1.6499999999999999</v>
      </c>
      <c r="B107" s="187">
        <v>130</v>
      </c>
    </row>
    <row r="108" ht="14.25" customHeight="1">
      <c r="A108" s="186">
        <v>1.6499999999999999</v>
      </c>
      <c r="B108" s="187">
        <v>131</v>
      </c>
    </row>
    <row r="109" ht="14.25" customHeight="1">
      <c r="A109" s="186">
        <v>1.6499999999999999</v>
      </c>
      <c r="B109" s="187">
        <v>120</v>
      </c>
    </row>
    <row r="110" ht="14.25" customHeight="1">
      <c r="A110" s="186">
        <v>1.6699999999999999</v>
      </c>
      <c r="B110" s="187">
        <v>215</v>
      </c>
    </row>
    <row r="111" ht="14.25" customHeight="1">
      <c r="A111" s="186">
        <v>1.6699999999999999</v>
      </c>
      <c r="B111" s="187">
        <v>150</v>
      </c>
    </row>
    <row r="112" ht="14.25" customHeight="1">
      <c r="A112" s="186">
        <v>1.6699999999999999</v>
      </c>
      <c r="B112" s="187">
        <v>160</v>
      </c>
    </row>
    <row r="113" ht="14.25" customHeight="1">
      <c r="A113" s="186">
        <v>1.6699999999999999</v>
      </c>
      <c r="B113" s="187">
        <v>126</v>
      </c>
    </row>
    <row r="114" ht="14.25" customHeight="1">
      <c r="A114" s="186">
        <v>1.6699999999999999</v>
      </c>
      <c r="B114" s="187">
        <v>135</v>
      </c>
    </row>
    <row r="115" ht="14.25" customHeight="1">
      <c r="A115" s="186">
        <v>1.6699999999999999</v>
      </c>
      <c r="B115" s="187">
        <v>170</v>
      </c>
    </row>
    <row r="116" ht="14.25" customHeight="1">
      <c r="A116" s="186">
        <v>1.6699999999999999</v>
      </c>
      <c r="B116" s="187">
        <v>147</v>
      </c>
    </row>
    <row r="117" ht="14.25" customHeight="1">
      <c r="A117" s="186">
        <v>1.6799999999999999</v>
      </c>
      <c r="B117" s="187">
        <v>182</v>
      </c>
    </row>
    <row r="118" ht="14.25" customHeight="1">
      <c r="A118" s="186">
        <v>1.6799999999999999</v>
      </c>
      <c r="B118" s="187">
        <v>170</v>
      </c>
    </row>
    <row r="119" ht="14.25" customHeight="1">
      <c r="A119" s="186">
        <v>1.6799999999999999</v>
      </c>
      <c r="B119" s="187">
        <v>150</v>
      </c>
    </row>
    <row r="120" ht="14.25" customHeight="1">
      <c r="A120" s="186">
        <v>1.6799999999999999</v>
      </c>
      <c r="B120" s="187">
        <v>160</v>
      </c>
    </row>
    <row r="121" ht="14.25" customHeight="1">
      <c r="A121" s="186">
        <v>1.6799999999999999</v>
      </c>
      <c r="B121" s="187">
        <v>120</v>
      </c>
    </row>
    <row r="122" ht="14.25" customHeight="1">
      <c r="A122" s="186">
        <v>1.6799999999999999</v>
      </c>
      <c r="B122" s="187">
        <v>140</v>
      </c>
    </row>
    <row r="123" ht="14.25" customHeight="1">
      <c r="A123" s="186">
        <v>1.6799999999999999</v>
      </c>
      <c r="B123" s="187">
        <v>132</v>
      </c>
    </row>
    <row r="124" ht="14.25" customHeight="1">
      <c r="A124" s="186">
        <v>1.6799999999999999</v>
      </c>
      <c r="B124" s="187">
        <v>140</v>
      </c>
    </row>
    <row r="125" ht="14.25" customHeight="1">
      <c r="A125" s="186">
        <v>1.6799999999999999</v>
      </c>
      <c r="B125" s="187">
        <v>140</v>
      </c>
    </row>
    <row r="126" ht="14.25" customHeight="1">
      <c r="A126" s="186">
        <v>1.6799999999999999</v>
      </c>
      <c r="B126" s="187">
        <v>120</v>
      </c>
    </row>
    <row r="127" ht="14.25" customHeight="1">
      <c r="A127" s="186">
        <v>1.6799999999999999</v>
      </c>
      <c r="B127" s="187">
        <v>142</v>
      </c>
    </row>
    <row r="128" ht="14.25" customHeight="1">
      <c r="A128" s="186">
        <v>1.6799999999999999</v>
      </c>
      <c r="B128" s="187">
        <v>145</v>
      </c>
    </row>
    <row r="129" ht="14.25" customHeight="1">
      <c r="A129" s="186">
        <v>1.6799999999999999</v>
      </c>
      <c r="B129" s="187">
        <v>160</v>
      </c>
    </row>
    <row r="130" ht="14.25" customHeight="1">
      <c r="A130" s="186">
        <v>1.6799999999999999</v>
      </c>
      <c r="B130" s="187">
        <v>120</v>
      </c>
    </row>
    <row r="131" ht="14.25" customHeight="1">
      <c r="A131" s="186">
        <v>1.6799999999999999</v>
      </c>
      <c r="B131" s="187">
        <v>140</v>
      </c>
    </row>
    <row r="132" ht="14.25" customHeight="1">
      <c r="A132" s="186">
        <v>1.6799999999999999</v>
      </c>
      <c r="B132" s="187">
        <v>185</v>
      </c>
    </row>
    <row r="133" ht="14.25" customHeight="1">
      <c r="A133" s="186">
        <v>1.6799999999999999</v>
      </c>
      <c r="B133" s="187">
        <v>150</v>
      </c>
    </row>
    <row r="134" ht="14.25" customHeight="1">
      <c r="A134" s="186">
        <v>1.6799999999999999</v>
      </c>
      <c r="B134" s="187">
        <v>115</v>
      </c>
    </row>
    <row r="135" ht="14.25" customHeight="1">
      <c r="A135" s="186">
        <v>1.6799999999999999</v>
      </c>
      <c r="B135" s="187">
        <v>200</v>
      </c>
    </row>
    <row r="136" ht="14.25" customHeight="1">
      <c r="A136" s="186">
        <v>1.6799999999999999</v>
      </c>
      <c r="B136" s="187">
        <v>177</v>
      </c>
    </row>
    <row r="137" ht="14.25" customHeight="1">
      <c r="A137" s="186">
        <v>1.6899999999999999</v>
      </c>
      <c r="B137" s="187">
        <v>125</v>
      </c>
    </row>
    <row r="138" ht="14.25" customHeight="1">
      <c r="A138" s="186">
        <v>1.6899999999999999</v>
      </c>
      <c r="B138" s="187">
        <v>148</v>
      </c>
    </row>
    <row r="139" ht="14.25" customHeight="1">
      <c r="A139" s="186">
        <v>1.6899999999999999</v>
      </c>
      <c r="B139" s="187">
        <v>170</v>
      </c>
    </row>
    <row r="140" ht="14.25" customHeight="1">
      <c r="A140" s="186">
        <v>1.6899999999999999</v>
      </c>
      <c r="B140" s="187">
        <v>125</v>
      </c>
    </row>
    <row r="141" ht="14.25" customHeight="1">
      <c r="A141" s="186">
        <v>1.6899999999999999</v>
      </c>
      <c r="B141" s="187">
        <v>130</v>
      </c>
    </row>
    <row r="142" ht="14.25" customHeight="1">
      <c r="A142" s="186">
        <v>1.6899999999999999</v>
      </c>
      <c r="B142" s="187">
        <v>124</v>
      </c>
    </row>
    <row r="143" ht="14.25" customHeight="1">
      <c r="A143" s="186">
        <v>1.6899999999999999</v>
      </c>
      <c r="B143" s="187">
        <v>135</v>
      </c>
    </row>
    <row r="144" ht="14.25" customHeight="1">
      <c r="A144" s="186">
        <v>1.7</v>
      </c>
      <c r="B144" s="187">
        <v>184</v>
      </c>
    </row>
    <row r="145" ht="14.25" customHeight="1">
      <c r="A145" s="186">
        <v>1.7</v>
      </c>
      <c r="B145" s="187">
        <v>158</v>
      </c>
    </row>
    <row r="146" ht="14.25" customHeight="1">
      <c r="A146" s="186">
        <v>1.7</v>
      </c>
      <c r="B146" s="187">
        <v>170</v>
      </c>
    </row>
    <row r="147" ht="14.25" customHeight="1">
      <c r="A147" s="186">
        <v>1.7</v>
      </c>
      <c r="B147" s="187">
        <v>150</v>
      </c>
    </row>
    <row r="148" ht="14.25" customHeight="1">
      <c r="A148" s="186">
        <v>1.7</v>
      </c>
      <c r="B148" s="187">
        <v>132</v>
      </c>
    </row>
    <row r="149" ht="14.25" customHeight="1">
      <c r="A149" s="186">
        <v>1.7</v>
      </c>
      <c r="B149" s="187">
        <v>128</v>
      </c>
    </row>
    <row r="150" ht="14.25" customHeight="1">
      <c r="A150" s="186">
        <v>1.7</v>
      </c>
      <c r="B150" s="187">
        <v>160</v>
      </c>
    </row>
    <row r="151" ht="14.25" customHeight="1">
      <c r="A151" s="186">
        <v>1.7</v>
      </c>
      <c r="B151" s="187">
        <v>120</v>
      </c>
    </row>
    <row r="152" ht="14.25" customHeight="1">
      <c r="A152" s="186">
        <v>1.7</v>
      </c>
      <c r="B152" s="187">
        <v>210</v>
      </c>
    </row>
    <row r="153" ht="14.25" customHeight="1">
      <c r="A153" s="186">
        <v>1.7</v>
      </c>
      <c r="B153" s="187">
        <v>150</v>
      </c>
    </row>
    <row r="154" ht="14.25" customHeight="1">
      <c r="A154" s="186">
        <v>1.7</v>
      </c>
      <c r="B154" s="187">
        <v>146</v>
      </c>
    </row>
    <row r="155" ht="14.25" customHeight="1">
      <c r="A155" s="186">
        <v>1.7</v>
      </c>
      <c r="B155" s="187">
        <v>140</v>
      </c>
    </row>
    <row r="156" ht="14.25" customHeight="1">
      <c r="A156" s="186">
        <v>1.7</v>
      </c>
      <c r="B156" s="187">
        <v>140</v>
      </c>
    </row>
    <row r="157" ht="14.25" customHeight="1">
      <c r="A157" s="186">
        <v>1.7</v>
      </c>
      <c r="B157" s="187">
        <v>180</v>
      </c>
    </row>
    <row r="158" ht="14.25" customHeight="1">
      <c r="A158" s="186">
        <v>1.7</v>
      </c>
      <c r="B158" s="187">
        <v>140</v>
      </c>
    </row>
    <row r="159" ht="14.25" customHeight="1">
      <c r="A159" s="186">
        <v>1.7</v>
      </c>
      <c r="B159" s="187">
        <v>140</v>
      </c>
    </row>
    <row r="160" ht="14.25" customHeight="1">
      <c r="A160" s="186">
        <v>1.7</v>
      </c>
      <c r="B160" s="187">
        <v>140</v>
      </c>
    </row>
    <row r="161" ht="14.25" customHeight="1">
      <c r="A161" s="186">
        <v>1.7</v>
      </c>
      <c r="B161" s="187">
        <v>140</v>
      </c>
    </row>
    <row r="162" ht="14.25" customHeight="1">
      <c r="A162" s="186">
        <v>1.7</v>
      </c>
      <c r="B162" s="187">
        <v>178</v>
      </c>
    </row>
    <row r="163" ht="14.25" customHeight="1">
      <c r="A163" s="186">
        <v>1.7</v>
      </c>
      <c r="B163" s="187">
        <v>130</v>
      </c>
    </row>
    <row r="164" ht="14.25" customHeight="1">
      <c r="A164" s="186">
        <v>1.7</v>
      </c>
      <c r="B164" s="187">
        <v>192</v>
      </c>
    </row>
    <row r="165" ht="14.25" customHeight="1">
      <c r="A165" s="186">
        <v>1.7</v>
      </c>
      <c r="B165" s="187">
        <v>130</v>
      </c>
    </row>
    <row r="166" ht="14.25" customHeight="1">
      <c r="A166" s="186">
        <v>1.7</v>
      </c>
      <c r="B166" s="187">
        <v>140</v>
      </c>
    </row>
    <row r="167" ht="14.25" customHeight="1">
      <c r="A167" s="186">
        <v>1.7</v>
      </c>
      <c r="B167" s="187">
        <v>120</v>
      </c>
    </row>
    <row r="168" ht="14.25" customHeight="1">
      <c r="A168" s="186">
        <v>1.7</v>
      </c>
      <c r="B168" s="187">
        <v>179</v>
      </c>
    </row>
    <row r="169" ht="14.25" customHeight="1">
      <c r="A169" s="186">
        <v>1.7</v>
      </c>
      <c r="B169" s="187">
        <v>120</v>
      </c>
    </row>
    <row r="170" ht="14.25" customHeight="1">
      <c r="A170" s="186">
        <v>1.7</v>
      </c>
      <c r="B170" s="187">
        <v>120</v>
      </c>
    </row>
    <row r="171" ht="14.25" customHeight="1">
      <c r="A171" s="186">
        <v>1.7</v>
      </c>
      <c r="B171" s="187">
        <v>140</v>
      </c>
    </row>
    <row r="172" ht="14.25" customHeight="1">
      <c r="A172" s="186">
        <v>1.7</v>
      </c>
      <c r="B172" s="187">
        <v>180</v>
      </c>
    </row>
    <row r="173" ht="14.25" customHeight="1">
      <c r="A173" s="186">
        <v>1.71</v>
      </c>
      <c r="B173" s="187">
        <v>180</v>
      </c>
    </row>
    <row r="174" ht="14.25" customHeight="1">
      <c r="A174" s="186">
        <v>1.71</v>
      </c>
      <c r="B174" s="187">
        <v>180</v>
      </c>
    </row>
    <row r="175" ht="14.25" customHeight="1">
      <c r="A175" s="186">
        <v>1.71</v>
      </c>
      <c r="B175" s="187">
        <v>147</v>
      </c>
    </row>
    <row r="176" ht="14.25" customHeight="1">
      <c r="A176" s="186">
        <v>1.71</v>
      </c>
      <c r="B176" s="187">
        <v>160</v>
      </c>
    </row>
    <row r="177" ht="14.25" customHeight="1">
      <c r="A177" s="186">
        <v>1.71</v>
      </c>
      <c r="B177" s="187">
        <v>115</v>
      </c>
    </row>
    <row r="178" ht="14.25" customHeight="1">
      <c r="A178" s="186">
        <v>1.71</v>
      </c>
      <c r="B178" s="187">
        <v>200</v>
      </c>
    </row>
    <row r="179" ht="14.25" customHeight="1">
      <c r="A179" s="186">
        <v>1.71</v>
      </c>
      <c r="B179" s="187">
        <v>120</v>
      </c>
    </row>
    <row r="180" ht="14.25" customHeight="1">
      <c r="A180" s="186">
        <v>1.71</v>
      </c>
      <c r="B180" s="187">
        <v>129</v>
      </c>
    </row>
    <row r="181" ht="14.25" customHeight="1">
      <c r="A181" s="186">
        <v>1.72</v>
      </c>
      <c r="B181" s="187">
        <v>182</v>
      </c>
    </row>
    <row r="182" ht="14.25" customHeight="1">
      <c r="A182" s="186">
        <v>1.72</v>
      </c>
      <c r="B182" s="187">
        <v>150</v>
      </c>
    </row>
    <row r="183" ht="14.25" customHeight="1">
      <c r="A183" s="186">
        <v>1.72</v>
      </c>
      <c r="B183" s="187">
        <v>154</v>
      </c>
    </row>
    <row r="184" ht="14.25" customHeight="1">
      <c r="A184" s="186">
        <v>1.72</v>
      </c>
      <c r="B184" s="187">
        <v>136</v>
      </c>
    </row>
    <row r="185" ht="14.25" customHeight="1">
      <c r="A185" s="186">
        <v>1.72</v>
      </c>
      <c r="B185" s="187">
        <v>104</v>
      </c>
    </row>
    <row r="186" ht="14.25" customHeight="1">
      <c r="A186" s="186">
        <v>1.72</v>
      </c>
      <c r="B186" s="187">
        <v>103</v>
      </c>
    </row>
    <row r="187" ht="14.25" customHeight="1">
      <c r="A187" s="186">
        <v>1.72</v>
      </c>
      <c r="B187" s="187">
        <v>129</v>
      </c>
    </row>
    <row r="188" ht="14.25" customHeight="1">
      <c r="A188" s="186">
        <v>1.72</v>
      </c>
      <c r="B188" s="187">
        <v>150</v>
      </c>
    </row>
    <row r="189" ht="14.25" customHeight="1">
      <c r="A189" s="186">
        <v>1.72</v>
      </c>
      <c r="B189" s="187">
        <v>160</v>
      </c>
    </row>
    <row r="190" ht="14.25" customHeight="1">
      <c r="A190" s="186">
        <v>1.72</v>
      </c>
      <c r="B190" s="187">
        <v>180</v>
      </c>
    </row>
    <row r="191" ht="14.25" customHeight="1">
      <c r="A191" s="186">
        <v>1.72</v>
      </c>
      <c r="B191" s="187">
        <v>188</v>
      </c>
    </row>
    <row r="192" ht="14.25" customHeight="1">
      <c r="A192" s="186">
        <v>1.72</v>
      </c>
      <c r="B192" s="187">
        <v>156</v>
      </c>
    </row>
    <row r="193" ht="14.25" customHeight="1">
      <c r="A193" s="186">
        <v>1.72</v>
      </c>
      <c r="B193" s="187">
        <v>135</v>
      </c>
    </row>
    <row r="194" ht="14.25" customHeight="1">
      <c r="A194" s="186">
        <v>1.72</v>
      </c>
      <c r="B194" s="187">
        <v>180</v>
      </c>
    </row>
    <row r="195" ht="14.25" customHeight="1">
      <c r="A195" s="186">
        <v>1.72</v>
      </c>
      <c r="B195" s="187">
        <v>135</v>
      </c>
    </row>
    <row r="196" ht="14.25" customHeight="1">
      <c r="A196" s="186">
        <v>1.72</v>
      </c>
      <c r="B196" s="187">
        <v>130</v>
      </c>
    </row>
    <row r="197" ht="14.25" customHeight="1">
      <c r="A197" s="186">
        <v>1.72</v>
      </c>
      <c r="B197" s="187">
        <v>135</v>
      </c>
    </row>
    <row r="198" ht="14.25" customHeight="1">
      <c r="A198" s="186">
        <v>1.72</v>
      </c>
      <c r="B198" s="187">
        <v>135</v>
      </c>
    </row>
    <row r="199" ht="14.25" customHeight="1">
      <c r="A199" s="186">
        <v>1.72</v>
      </c>
      <c r="B199" s="187">
        <v>129</v>
      </c>
    </row>
    <row r="200" ht="14.25" customHeight="1">
      <c r="A200" s="186">
        <v>1.73</v>
      </c>
      <c r="B200" s="187">
        <v>169</v>
      </c>
    </row>
    <row r="201" ht="14.25" customHeight="1">
      <c r="A201" s="186">
        <v>1.73</v>
      </c>
      <c r="B201" s="187">
        <v>170</v>
      </c>
    </row>
    <row r="202" ht="14.25" customHeight="1">
      <c r="A202" s="186">
        <v>1.73</v>
      </c>
      <c r="B202" s="187">
        <v>180</v>
      </c>
    </row>
    <row r="203" ht="14.25" customHeight="1">
      <c r="A203" s="186">
        <v>1.73</v>
      </c>
      <c r="B203" s="187">
        <v>150</v>
      </c>
    </row>
    <row r="204" ht="14.25" customHeight="1">
      <c r="A204" s="186">
        <v>1.73</v>
      </c>
      <c r="B204" s="187">
        <v>169</v>
      </c>
    </row>
    <row r="205" ht="14.25" customHeight="1">
      <c r="A205" s="186">
        <v>1.73</v>
      </c>
      <c r="B205" s="187">
        <v>121</v>
      </c>
    </row>
    <row r="206" ht="14.25" customHeight="1">
      <c r="A206" s="186">
        <v>1.73</v>
      </c>
      <c r="B206" s="187">
        <v>140</v>
      </c>
    </row>
    <row r="207" ht="14.25" customHeight="1">
      <c r="A207" s="186">
        <v>1.73</v>
      </c>
      <c r="B207" s="187">
        <v>210</v>
      </c>
    </row>
    <row r="208" ht="14.25" customHeight="1">
      <c r="A208" s="186">
        <v>1.73</v>
      </c>
      <c r="B208" s="187">
        <v>130</v>
      </c>
    </row>
    <row r="209" ht="14.25" customHeight="1">
      <c r="A209" s="186">
        <v>1.73</v>
      </c>
      <c r="B209" s="187">
        <v>129</v>
      </c>
    </row>
    <row r="210" ht="14.25" customHeight="1">
      <c r="A210" s="186">
        <v>1.73</v>
      </c>
      <c r="B210" s="187">
        <v>175</v>
      </c>
    </row>
    <row r="211" ht="14.25" customHeight="1">
      <c r="A211" s="186">
        <v>1.73</v>
      </c>
      <c r="B211" s="187">
        <v>145</v>
      </c>
    </row>
    <row r="212" ht="14.25" customHeight="1">
      <c r="A212" s="186">
        <v>1.73</v>
      </c>
      <c r="B212" s="187">
        <v>135</v>
      </c>
    </row>
    <row r="213" ht="14.25" customHeight="1">
      <c r="A213" s="186">
        <v>1.73</v>
      </c>
      <c r="B213" s="187">
        <v>168</v>
      </c>
    </row>
    <row r="214" ht="14.25" customHeight="1">
      <c r="A214" s="186">
        <v>1.73</v>
      </c>
      <c r="B214" s="187">
        <v>138</v>
      </c>
    </row>
    <row r="215" ht="14.25" customHeight="1">
      <c r="A215" s="186">
        <v>1.74</v>
      </c>
      <c r="B215" s="187">
        <v>144</v>
      </c>
    </row>
    <row r="216" ht="14.25" customHeight="1">
      <c r="A216" s="186">
        <v>1.74</v>
      </c>
      <c r="B216" s="187">
        <v>172</v>
      </c>
    </row>
    <row r="217" ht="14.25" customHeight="1">
      <c r="A217" s="186">
        <v>1.74</v>
      </c>
      <c r="B217" s="187">
        <v>168</v>
      </c>
    </row>
    <row r="218" ht="14.25" customHeight="1">
      <c r="A218" s="186">
        <v>1.74</v>
      </c>
      <c r="B218" s="187">
        <v>130</v>
      </c>
    </row>
    <row r="219" ht="14.25" customHeight="1">
      <c r="A219" s="186">
        <v>1.74</v>
      </c>
      <c r="B219" s="187">
        <v>128</v>
      </c>
    </row>
    <row r="220" ht="14.25" customHeight="1">
      <c r="A220" s="186">
        <v>1.75</v>
      </c>
      <c r="B220" s="187">
        <v>170</v>
      </c>
    </row>
    <row r="221" ht="14.25" customHeight="1">
      <c r="A221" s="186">
        <v>1.75</v>
      </c>
      <c r="B221" s="187">
        <v>138</v>
      </c>
    </row>
    <row r="222" ht="14.25" customHeight="1">
      <c r="A222" s="186">
        <v>1.75</v>
      </c>
      <c r="B222" s="187">
        <v>140</v>
      </c>
    </row>
    <row r="223" ht="14.25" customHeight="1">
      <c r="A223" s="186">
        <v>1.75</v>
      </c>
      <c r="B223" s="187">
        <v>130</v>
      </c>
    </row>
    <row r="224" ht="14.25" customHeight="1">
      <c r="A224" s="186">
        <v>1.75</v>
      </c>
      <c r="B224" s="187">
        <v>183</v>
      </c>
    </row>
    <row r="225" ht="14.25" customHeight="1">
      <c r="A225" s="186">
        <v>1.75</v>
      </c>
      <c r="B225" s="187">
        <v>110</v>
      </c>
    </row>
    <row r="226" ht="14.25" customHeight="1">
      <c r="A226" s="186">
        <v>1.75</v>
      </c>
      <c r="B226" s="187">
        <v>200</v>
      </c>
    </row>
    <row r="227" ht="14.25" customHeight="1">
      <c r="A227" s="186">
        <v>1.75</v>
      </c>
      <c r="B227" s="187">
        <v>160</v>
      </c>
    </row>
    <row r="228" ht="14.25" customHeight="1">
      <c r="A228" s="186">
        <v>1.75</v>
      </c>
      <c r="B228" s="187">
        <v>180</v>
      </c>
    </row>
    <row r="229" ht="14.25" customHeight="1">
      <c r="A229" s="186">
        <v>1.75</v>
      </c>
      <c r="B229" s="187">
        <v>150</v>
      </c>
    </row>
    <row r="230" ht="14.25" customHeight="1">
      <c r="A230" s="186">
        <v>1.75</v>
      </c>
      <c r="B230" s="187">
        <v>150</v>
      </c>
    </row>
    <row r="231" ht="14.25" customHeight="1">
      <c r="A231" s="186">
        <v>1.75</v>
      </c>
      <c r="B231" s="187">
        <v>140</v>
      </c>
    </row>
    <row r="232" ht="14.25" customHeight="1">
      <c r="A232" s="186">
        <v>1.75</v>
      </c>
      <c r="B232" s="187">
        <v>110</v>
      </c>
    </row>
    <row r="233" ht="14.25" customHeight="1">
      <c r="A233" s="186">
        <v>1.75</v>
      </c>
      <c r="B233" s="187">
        <v>115</v>
      </c>
    </row>
    <row r="234" ht="14.25" customHeight="1">
      <c r="A234" s="186">
        <v>1.75</v>
      </c>
      <c r="B234" s="187">
        <v>156</v>
      </c>
    </row>
    <row r="235" ht="14.25" customHeight="1">
      <c r="A235" s="186">
        <v>1.75</v>
      </c>
      <c r="B235" s="187">
        <v>145</v>
      </c>
    </row>
    <row r="236" ht="14.25" customHeight="1">
      <c r="A236" s="186">
        <v>1.75</v>
      </c>
      <c r="B236" s="187">
        <v>140</v>
      </c>
    </row>
    <row r="237" ht="14.25" customHeight="1">
      <c r="A237" s="186">
        <v>1.76</v>
      </c>
      <c r="B237" s="187">
        <v>120</v>
      </c>
    </row>
    <row r="238" ht="14.25" customHeight="1">
      <c r="A238" s="186">
        <v>1.76</v>
      </c>
      <c r="B238" s="187">
        <v>120</v>
      </c>
    </row>
    <row r="239" ht="14.25" customHeight="1">
      <c r="A239" s="186">
        <v>1.76</v>
      </c>
      <c r="B239" s="187">
        <v>150</v>
      </c>
    </row>
    <row r="240" ht="14.25" customHeight="1">
      <c r="A240" s="186">
        <v>1.76</v>
      </c>
      <c r="B240" s="187">
        <v>138</v>
      </c>
    </row>
    <row r="241" ht="14.25" customHeight="1">
      <c r="A241" s="186">
        <v>1.76</v>
      </c>
      <c r="B241" s="187">
        <v>124</v>
      </c>
    </row>
    <row r="242" ht="14.25" customHeight="1">
      <c r="A242" s="186">
        <v>1.76</v>
      </c>
      <c r="B242" s="187">
        <v>150</v>
      </c>
    </row>
    <row r="243" ht="14.25" customHeight="1">
      <c r="A243" s="186">
        <v>1.77</v>
      </c>
      <c r="B243" s="187">
        <v>190</v>
      </c>
    </row>
    <row r="244" ht="14.25" customHeight="1">
      <c r="A244" s="186">
        <v>1.77</v>
      </c>
      <c r="B244" s="187">
        <v>130</v>
      </c>
    </row>
    <row r="245" ht="14.25" customHeight="1">
      <c r="A245" s="186">
        <v>1.77</v>
      </c>
      <c r="B245" s="187">
        <v>169</v>
      </c>
    </row>
    <row r="246" ht="14.25" customHeight="1">
      <c r="A246" s="186">
        <v>1.77</v>
      </c>
      <c r="B246" s="187">
        <v>165</v>
      </c>
    </row>
    <row r="247" ht="14.25" customHeight="1">
      <c r="A247" s="186">
        <v>1.77</v>
      </c>
      <c r="B247" s="187">
        <v>125</v>
      </c>
    </row>
    <row r="248" ht="14.25" customHeight="1">
      <c r="A248" s="186">
        <v>1.78</v>
      </c>
      <c r="B248" s="187">
        <v>168</v>
      </c>
    </row>
    <row r="249" ht="14.25" customHeight="1">
      <c r="A249" s="186">
        <v>1.78</v>
      </c>
      <c r="B249" s="187">
        <v>128</v>
      </c>
    </row>
    <row r="250" ht="14.25" customHeight="1">
      <c r="A250" s="186">
        <v>1.78</v>
      </c>
      <c r="B250" s="187">
        <v>106</v>
      </c>
    </row>
    <row r="251" ht="14.25" customHeight="1">
      <c r="A251" s="186">
        <v>1.78</v>
      </c>
      <c r="B251" s="187">
        <v>120</v>
      </c>
    </row>
    <row r="252" ht="14.25" customHeight="1">
      <c r="A252" s="186">
        <v>1.78</v>
      </c>
      <c r="B252" s="187">
        <v>260</v>
      </c>
    </row>
    <row r="253" ht="14.25" customHeight="1">
      <c r="A253" s="186">
        <v>1.78</v>
      </c>
      <c r="B253" s="187">
        <v>138</v>
      </c>
    </row>
    <row r="254" ht="14.25" customHeight="1">
      <c r="A254" s="186">
        <v>1.78</v>
      </c>
      <c r="B254" s="187">
        <v>130</v>
      </c>
    </row>
    <row r="255" ht="14.25" customHeight="1">
      <c r="A255" s="186">
        <v>1.78</v>
      </c>
      <c r="B255" s="187">
        <v>170</v>
      </c>
    </row>
    <row r="256" ht="14.25" customHeight="1">
      <c r="A256" s="186">
        <v>1.78</v>
      </c>
      <c r="B256" s="187">
        <v>132</v>
      </c>
    </row>
    <row r="257" ht="14.25" customHeight="1">
      <c r="A257" s="186">
        <v>1.78</v>
      </c>
      <c r="B257" s="187">
        <v>120</v>
      </c>
    </row>
    <row r="258" ht="14.25" customHeight="1">
      <c r="A258" s="186">
        <v>1.79</v>
      </c>
      <c r="B258" s="187">
        <v>140</v>
      </c>
    </row>
    <row r="259" ht="14.25" customHeight="1">
      <c r="A259" s="186">
        <v>1.79</v>
      </c>
      <c r="B259" s="187">
        <v>144</v>
      </c>
    </row>
    <row r="260" ht="14.25" customHeight="1">
      <c r="A260" s="186">
        <v>1.8</v>
      </c>
      <c r="B260" s="187">
        <v>150</v>
      </c>
    </row>
    <row r="261" ht="14.25" customHeight="1">
      <c r="A261" s="186">
        <v>1.8</v>
      </c>
      <c r="B261" s="187">
        <v>169</v>
      </c>
    </row>
    <row r="262" ht="14.25" customHeight="1">
      <c r="A262" s="186">
        <v>1.8</v>
      </c>
      <c r="B262" s="187">
        <v>109</v>
      </c>
    </row>
    <row r="263" ht="14.25" customHeight="1">
      <c r="A263" s="186">
        <v>1.8</v>
      </c>
      <c r="B263" s="187">
        <v>200</v>
      </c>
    </row>
    <row r="264" ht="14.25" customHeight="1">
      <c r="A264" s="186">
        <v>1.8</v>
      </c>
      <c r="B264" s="187">
        <v>160</v>
      </c>
    </row>
    <row r="265" ht="14.25" customHeight="1">
      <c r="A265" s="186">
        <v>1.8</v>
      </c>
      <c r="B265" s="187">
        <v>160</v>
      </c>
    </row>
    <row r="266" ht="14.25" customHeight="1">
      <c r="A266" s="186">
        <v>1.8</v>
      </c>
      <c r="B266" s="187">
        <v>180</v>
      </c>
    </row>
    <row r="267" ht="14.25" customHeight="1">
      <c r="A267" s="186">
        <v>1.8</v>
      </c>
      <c r="B267" s="187">
        <v>160</v>
      </c>
    </row>
    <row r="268" ht="14.25" customHeight="1">
      <c r="A268" s="186">
        <v>1.8100000000000001</v>
      </c>
      <c r="B268" s="187">
        <v>172</v>
      </c>
    </row>
    <row r="269" ht="14.25" customHeight="1">
      <c r="A269" s="186">
        <v>1.8200000000000001</v>
      </c>
      <c r="B269" s="187">
        <v>257</v>
      </c>
    </row>
    <row r="270" ht="14.25" customHeight="1">
      <c r="A270" s="186">
        <v>1.8200000000000001</v>
      </c>
      <c r="B270" s="187">
        <v>220</v>
      </c>
    </row>
    <row r="271" ht="14.25" customHeight="1">
      <c r="A271" s="186">
        <v>1.8300000000000001</v>
      </c>
      <c r="B271" s="187">
        <v>160</v>
      </c>
    </row>
    <row r="272" ht="14.25" customHeight="1">
      <c r="A272" s="186">
        <v>1.8300000000000001</v>
      </c>
      <c r="B272" s="187">
        <v>130</v>
      </c>
    </row>
    <row r="273" ht="14.25" customHeight="1">
      <c r="A273" s="186">
        <v>1.8300000000000001</v>
      </c>
      <c r="B273" s="187">
        <v>100</v>
      </c>
    </row>
    <row r="274" ht="14.25" customHeight="1">
      <c r="A274" s="186">
        <v>1.8400000000000001</v>
      </c>
      <c r="B274" s="187">
        <v>200</v>
      </c>
    </row>
    <row r="275" ht="14.25" customHeight="1">
      <c r="A275" s="186">
        <v>1.8500000000000001</v>
      </c>
      <c r="B275" s="187">
        <v>150</v>
      </c>
    </row>
    <row r="276" ht="14.25" customHeight="1">
      <c r="A276" s="186">
        <v>1.8600000000000001</v>
      </c>
      <c r="B276" s="187">
        <v>185</v>
      </c>
    </row>
    <row r="277" ht="14.25" customHeight="1">
      <c r="A277" s="186">
        <v>1.8700000000000001</v>
      </c>
      <c r="B277" s="187">
        <v>286</v>
      </c>
    </row>
    <row r="278" ht="14.25" customHeight="1">
      <c r="A278" s="186">
        <v>1.8700000000000001</v>
      </c>
      <c r="B278" s="187">
        <v>287</v>
      </c>
    </row>
    <row r="279" ht="14.25" customHeight="1">
      <c r="A279" s="186">
        <v>1.8799999999999999</v>
      </c>
      <c r="B279" s="187">
        <v>150</v>
      </c>
    </row>
    <row r="280" ht="14.25" customHeight="1">
      <c r="A280" s="186">
        <v>1.8899999999999999</v>
      </c>
      <c r="B280" s="187">
        <v>180</v>
      </c>
    </row>
    <row r="281" ht="14.25" customHeight="1">
      <c r="A281" s="186">
        <v>1.8999999999999999</v>
      </c>
      <c r="B281" s="187">
        <v>126</v>
      </c>
    </row>
    <row r="282" ht="14.25" customHeight="1">
      <c r="A282" s="186">
        <v>1.8999999999999999</v>
      </c>
      <c r="B282" s="187">
        <v>215</v>
      </c>
    </row>
    <row r="283" ht="14.25" customHeight="1">
      <c r="A283" s="186">
        <v>1.8999999999999999</v>
      </c>
      <c r="B283" s="187">
        <v>190</v>
      </c>
    </row>
    <row r="284" ht="14.25" customHeight="1">
      <c r="A284" s="186">
        <v>1.8999999999999999</v>
      </c>
      <c r="B284" s="187">
        <v>180</v>
      </c>
    </row>
    <row r="285" ht="14.25" customHeight="1">
      <c r="A285" s="186">
        <v>1.6499999999999999</v>
      </c>
      <c r="B285" s="187">
        <v>156</v>
      </c>
    </row>
    <row r="286" ht="14.25" customHeight="1">
      <c r="A286" s="186">
        <v>1.6499999999999999</v>
      </c>
      <c r="B286" s="187">
        <v>154</v>
      </c>
    </row>
    <row r="287" ht="14.25" customHeight="1">
      <c r="A287" s="186">
        <v>1.72</v>
      </c>
      <c r="B287" s="187">
        <v>158</v>
      </c>
    </row>
    <row r="288" ht="14.25" customHeight="1">
      <c r="A288" s="186">
        <v>1.76</v>
      </c>
      <c r="B288" s="187">
        <v>150</v>
      </c>
    </row>
    <row r="289" ht="14.25" customHeight="1">
      <c r="A289" s="186">
        <v>1.78</v>
      </c>
      <c r="B289" s="187">
        <v>157</v>
      </c>
    </row>
    <row r="290" ht="14.25" customHeight="1">
      <c r="A290" s="186">
        <v>1.8</v>
      </c>
      <c r="B290" s="187">
        <v>155</v>
      </c>
    </row>
    <row r="291" ht="14.25" customHeight="1">
      <c r="A291" s="181"/>
      <c r="B291" s="13"/>
    </row>
    <row r="292" ht="14.25" customHeight="1">
      <c r="A292" s="181"/>
      <c r="B292" s="13"/>
    </row>
    <row r="293" ht="14.25" customHeight="1">
      <c r="A293" s="181"/>
      <c r="B293" s="13"/>
    </row>
    <row r="294" ht="14.25" customHeight="1">
      <c r="A294" s="13"/>
      <c r="B294" s="13"/>
    </row>
    <row r="295" ht="14.25" customHeight="1">
      <c r="A295" s="181"/>
      <c r="B295" s="13"/>
    </row>
    <row r="296" ht="14.25" customHeight="1">
      <c r="A296" s="181"/>
      <c r="B296" s="13"/>
    </row>
    <row r="297" ht="14.25" customHeight="1"/>
    <row r="298" ht="14.25" customHeight="1"/>
    <row r="299" ht="14.25" customHeight="1">
      <c r="A299" s="181"/>
      <c r="B299" s="13"/>
    </row>
    <row r="300" ht="14.25" customHeight="1">
      <c r="A300" s="13"/>
      <c r="B300" s="13"/>
    </row>
    <row r="301" ht="14.25" customHeight="1">
      <c r="A301" s="181"/>
      <c r="B301" s="13"/>
    </row>
    <row r="302" ht="14.25" customHeight="1">
      <c r="A302" s="181"/>
      <c r="B302" s="13"/>
    </row>
    <row r="303" ht="14.25" customHeight="1">
      <c r="A303" s="181"/>
      <c r="B303" s="13"/>
    </row>
    <row r="304" ht="14.25" customHeight="1">
      <c r="A304" s="181"/>
      <c r="B304" s="13"/>
    </row>
    <row r="305" ht="14.25" customHeight="1">
      <c r="A305" s="181"/>
      <c r="B305" s="13"/>
    </row>
    <row r="306" ht="14.25" customHeight="1">
      <c r="A306" s="181"/>
      <c r="B306" s="13"/>
    </row>
    <row r="307" ht="14.25" customHeight="1">
      <c r="A307" s="181"/>
      <c r="B307" s="13"/>
    </row>
    <row r="308" ht="14.25" customHeight="1">
      <c r="A308" s="181"/>
      <c r="B308" s="13"/>
    </row>
    <row r="309" ht="14.25" customHeight="1">
      <c r="A309" s="181"/>
      <c r="B309" s="13"/>
    </row>
    <row r="310" ht="14.25" customHeight="1">
      <c r="A310" s="181"/>
      <c r="B310" s="13"/>
    </row>
    <row r="311" ht="14.25" customHeight="1">
      <c r="A311" s="181"/>
      <c r="B311" s="13"/>
    </row>
    <row r="312" ht="14.25" customHeight="1">
      <c r="A312" s="181"/>
      <c r="B312" s="13"/>
    </row>
    <row r="313" ht="14.25" customHeight="1">
      <c r="A313" s="181"/>
      <c r="B313" s="13"/>
    </row>
    <row r="314" ht="14.25" customHeight="1">
      <c r="A314" s="181"/>
      <c r="B314" s="13"/>
    </row>
    <row r="315" ht="14.25" customHeight="1">
      <c r="A315" s="181"/>
      <c r="B315" s="13"/>
    </row>
    <row r="316" ht="14.25" customHeight="1">
      <c r="A316" s="181"/>
      <c r="B316" s="13"/>
    </row>
    <row r="317" ht="14.25" customHeight="1">
      <c r="A317" s="181"/>
      <c r="B317" s="13"/>
    </row>
    <row r="318" ht="14.25" customHeight="1">
      <c r="A318" s="181"/>
      <c r="B318" s="13"/>
    </row>
    <row r="319" ht="14.25" customHeight="1">
      <c r="A319" s="181"/>
      <c r="B319" s="13"/>
    </row>
    <row r="320" ht="14.25" customHeight="1">
      <c r="A320" s="181"/>
      <c r="B320" s="13"/>
    </row>
    <row r="321" ht="14.25" customHeight="1">
      <c r="A321" s="181"/>
      <c r="B321" s="13"/>
    </row>
    <row r="322" ht="14.25" customHeight="1">
      <c r="A322" s="181"/>
      <c r="B322" s="13"/>
    </row>
    <row r="323" ht="14.25" customHeight="1">
      <c r="A323" s="181"/>
      <c r="B323" s="13"/>
    </row>
    <row r="324" ht="14.25" customHeight="1">
      <c r="A324" s="181"/>
      <c r="B324" s="13"/>
    </row>
    <row r="325" ht="14.25" customHeight="1">
      <c r="A325" s="181"/>
      <c r="B325" s="13"/>
    </row>
    <row r="326" ht="14.25" customHeight="1">
      <c r="A326" s="181"/>
      <c r="B326" s="13"/>
    </row>
    <row r="327" ht="14.25" customHeight="1">
      <c r="A327" s="181"/>
      <c r="B327" s="13"/>
    </row>
    <row r="328" ht="14.25" customHeight="1">
      <c r="A328" s="181"/>
      <c r="B328" s="13"/>
    </row>
    <row r="329" ht="14.25" customHeight="1">
      <c r="A329" s="181"/>
      <c r="B329" s="13"/>
    </row>
    <row r="330" ht="14.25" customHeight="1">
      <c r="A330" s="181"/>
      <c r="B330" s="13"/>
    </row>
    <row r="331" ht="14.25" customHeight="1">
      <c r="A331" s="181"/>
      <c r="B331" s="13"/>
    </row>
    <row r="332" ht="14.25" customHeight="1">
      <c r="A332" s="181"/>
      <c r="B332" s="13"/>
    </row>
    <row r="333" ht="14.25" customHeight="1">
      <c r="A333" s="181"/>
      <c r="B333" s="13"/>
    </row>
    <row r="334" ht="14.25" customHeight="1">
      <c r="A334" s="181"/>
      <c r="B334" s="13"/>
    </row>
    <row r="335" ht="14.25" customHeight="1">
      <c r="A335" s="181"/>
      <c r="B335" s="13"/>
    </row>
    <row r="336" ht="14.25" customHeight="1">
      <c r="A336" s="181"/>
      <c r="B336" s="13"/>
    </row>
    <row r="337" ht="14.25" customHeight="1">
      <c r="A337" s="181"/>
      <c r="B337" s="13"/>
    </row>
    <row r="338" ht="14.25" customHeight="1">
      <c r="A338" s="181"/>
      <c r="B338" s="13"/>
    </row>
    <row r="339" ht="14.25" customHeight="1">
      <c r="A339" s="181"/>
      <c r="B339" s="13"/>
    </row>
    <row r="340" ht="14.25" customHeight="1">
      <c r="A340" s="181"/>
      <c r="B340" s="13"/>
    </row>
    <row r="341" ht="14.25" customHeight="1">
      <c r="A341" s="181"/>
      <c r="B341" s="13"/>
    </row>
    <row r="342" ht="14.25" customHeight="1">
      <c r="A342" s="181"/>
      <c r="B342" s="13"/>
    </row>
    <row r="343" ht="14.25" customHeight="1">
      <c r="A343" s="181"/>
      <c r="B343" s="13"/>
    </row>
    <row r="344" ht="14.25" customHeight="1">
      <c r="A344" s="181"/>
      <c r="B344" s="13"/>
    </row>
    <row r="345" ht="14.25" customHeight="1">
      <c r="A345" s="181"/>
      <c r="B345" s="13"/>
    </row>
    <row r="346" ht="14.25" customHeight="1">
      <c r="A346" s="181"/>
      <c r="B346" s="13"/>
    </row>
    <row r="347" ht="14.25" customHeight="1">
      <c r="A347" s="181"/>
      <c r="B347" s="13"/>
    </row>
    <row r="348" ht="14.25" customHeight="1">
      <c r="A348" s="181"/>
      <c r="B348" s="13"/>
    </row>
    <row r="349" ht="14.25" customHeight="1">
      <c r="A349" s="181"/>
      <c r="B349" s="13"/>
    </row>
    <row r="350" ht="14.25" customHeight="1">
      <c r="A350" s="181"/>
      <c r="B350" s="13"/>
    </row>
    <row r="351" ht="14.25" customHeight="1">
      <c r="A351" s="181"/>
      <c r="B351" s="13"/>
    </row>
    <row r="352" ht="14.25" customHeight="1">
      <c r="A352" s="181"/>
      <c r="B352" s="13"/>
    </row>
    <row r="353" ht="14.25" customHeight="1">
      <c r="A353" s="181"/>
      <c r="B353" s="13"/>
    </row>
    <row r="354" ht="14.25" customHeight="1">
      <c r="A354" s="181"/>
      <c r="B354" s="13"/>
    </row>
    <row r="355" ht="14.25" customHeight="1">
      <c r="A355" s="181"/>
      <c r="B355" s="13"/>
    </row>
    <row r="356" ht="14.25" customHeight="1">
      <c r="A356" s="181"/>
      <c r="B356" s="13"/>
    </row>
    <row r="357" ht="14.25" customHeight="1">
      <c r="A357" s="181"/>
      <c r="B357" s="13"/>
    </row>
    <row r="358" ht="14.25" customHeight="1">
      <c r="A358" s="181"/>
      <c r="B358" s="13"/>
    </row>
    <row r="359" ht="14.25" customHeight="1">
      <c r="A359" s="181"/>
      <c r="B359" s="13"/>
    </row>
    <row r="360" ht="14.25" customHeight="1">
      <c r="A360" s="181"/>
      <c r="B360" s="13"/>
    </row>
    <row r="361" ht="14.25" customHeight="1">
      <c r="A361" s="181"/>
      <c r="B361" s="13"/>
    </row>
    <row r="362" ht="14.25" customHeight="1">
      <c r="A362" s="181"/>
      <c r="B362" s="13"/>
    </row>
    <row r="363" ht="14.25" customHeight="1">
      <c r="A363" s="181"/>
      <c r="B363" s="13"/>
    </row>
    <row r="364" ht="14.25" customHeight="1">
      <c r="A364" s="181"/>
      <c r="B364" s="13"/>
    </row>
    <row r="365" ht="14.25" customHeight="1">
      <c r="A365" s="181"/>
      <c r="B365" s="13"/>
    </row>
    <row r="366" ht="14.25" customHeight="1">
      <c r="A366" s="181"/>
      <c r="B366" s="13"/>
    </row>
    <row r="367" ht="14.25" customHeight="1">
      <c r="A367" s="181"/>
      <c r="B367" s="13"/>
    </row>
    <row r="368" ht="14.25" customHeight="1">
      <c r="A368" s="181"/>
      <c r="B368" s="13"/>
    </row>
    <row r="369" ht="14.25" customHeight="1">
      <c r="A369" s="181"/>
      <c r="B369" s="13"/>
    </row>
    <row r="370" ht="14.25" customHeight="1">
      <c r="A370" s="181"/>
      <c r="B370" s="13"/>
    </row>
    <row r="371" ht="14.25" customHeight="1">
      <c r="A371" s="181"/>
      <c r="B371" s="13"/>
    </row>
    <row r="372" ht="14.25" customHeight="1">
      <c r="A372" s="181"/>
      <c r="B372" s="13"/>
    </row>
    <row r="373" ht="14.25" customHeight="1">
      <c r="A373" s="181"/>
      <c r="B373" s="13"/>
    </row>
    <row r="374" ht="14.25" customHeight="1">
      <c r="A374" s="181"/>
      <c r="B374" s="13"/>
    </row>
    <row r="375" ht="14.25" customHeight="1">
      <c r="A375" s="181"/>
      <c r="B375" s="13"/>
    </row>
    <row r="376" ht="14.25" customHeight="1">
      <c r="A376" s="181"/>
      <c r="B376" s="13"/>
    </row>
    <row r="377" ht="14.25" customHeight="1">
      <c r="A377" s="181"/>
      <c r="B377" s="13"/>
    </row>
    <row r="378" ht="14.25" customHeight="1">
      <c r="A378" s="181"/>
      <c r="B378" s="13"/>
    </row>
    <row r="379" ht="14.25" customHeight="1">
      <c r="A379" s="181"/>
      <c r="B379" s="13"/>
    </row>
    <row r="380" ht="14.25" customHeight="1">
      <c r="A380" s="181"/>
      <c r="B380" s="13"/>
    </row>
    <row r="381" ht="14.25" customHeight="1">
      <c r="A381" s="181"/>
      <c r="B381" s="13"/>
    </row>
    <row r="382" ht="14.25" customHeight="1">
      <c r="A382" s="181"/>
      <c r="B382" s="13"/>
    </row>
    <row r="383" ht="14.25" customHeight="1">
      <c r="A383" s="181"/>
      <c r="B383" s="13"/>
    </row>
    <row r="384" ht="14.25" customHeight="1">
      <c r="A384" s="181"/>
      <c r="B384" s="13"/>
    </row>
    <row r="385" ht="14.25" customHeight="1">
      <c r="A385" s="181"/>
      <c r="B385" s="13"/>
    </row>
    <row r="386" ht="14.25" customHeight="1">
      <c r="A386" s="181"/>
      <c r="B386" s="13"/>
    </row>
    <row r="387" ht="14.25" customHeight="1">
      <c r="A387" s="181"/>
      <c r="B387" s="13"/>
    </row>
    <row r="388" ht="14.25" customHeight="1">
      <c r="A388" s="181"/>
      <c r="B388" s="13"/>
    </row>
    <row r="389" ht="14.25" customHeight="1">
      <c r="A389" s="181"/>
      <c r="B389" s="13"/>
    </row>
    <row r="390" ht="14.25" customHeight="1">
      <c r="A390" s="181"/>
      <c r="B390" s="13"/>
    </row>
    <row r="391" ht="14.25" customHeight="1">
      <c r="A391" s="181"/>
      <c r="B391" s="13"/>
    </row>
    <row r="392" ht="14.25" customHeight="1">
      <c r="A392" s="181"/>
      <c r="B392" s="13"/>
    </row>
    <row r="393" ht="14.25" customHeight="1">
      <c r="A393" s="181"/>
      <c r="B393" s="13"/>
    </row>
    <row r="394" ht="14.25" customHeight="1">
      <c r="A394" s="181"/>
      <c r="B394" s="13"/>
    </row>
    <row r="395" ht="14.25" customHeight="1">
      <c r="A395" s="181"/>
      <c r="B395" s="13"/>
    </row>
    <row r="396" ht="14.25" customHeight="1">
      <c r="A396" s="181"/>
      <c r="B396" s="13"/>
    </row>
    <row r="397" ht="14.25" customHeight="1">
      <c r="A397" s="181"/>
      <c r="B397" s="13"/>
    </row>
    <row r="398" ht="14.25" customHeight="1">
      <c r="A398" s="181"/>
      <c r="B398" s="13"/>
    </row>
    <row r="399" ht="14.25" customHeight="1">
      <c r="A399" s="181"/>
      <c r="B399" s="13"/>
    </row>
    <row r="400" ht="14.25" customHeight="1">
      <c r="A400" s="181"/>
      <c r="B400" s="13"/>
    </row>
    <row r="401" ht="14.25" customHeight="1">
      <c r="A401" s="181"/>
      <c r="B401" s="13"/>
    </row>
    <row r="402" ht="14.25" customHeight="1">
      <c r="A402" s="181"/>
      <c r="B402" s="13"/>
    </row>
    <row r="403" ht="14.25" customHeight="1">
      <c r="A403" s="181"/>
      <c r="B403" s="13"/>
    </row>
    <row r="404" ht="14.25" customHeight="1">
      <c r="A404" s="181"/>
      <c r="B404" s="13"/>
    </row>
    <row r="405" ht="14.25" customHeight="1">
      <c r="A405" s="181"/>
      <c r="B405" s="13"/>
    </row>
    <row r="406" ht="14.25" customHeight="1">
      <c r="A406" s="181"/>
      <c r="B406" s="13"/>
    </row>
    <row r="407" ht="14.25" customHeight="1">
      <c r="A407" s="181"/>
      <c r="B407" s="13"/>
    </row>
    <row r="408" ht="14.25" customHeight="1">
      <c r="A408" s="181"/>
      <c r="B408" s="13"/>
    </row>
    <row r="409" ht="14.25" customHeight="1">
      <c r="A409" s="181"/>
      <c r="B409" s="13"/>
    </row>
    <row r="410" ht="14.25" customHeight="1">
      <c r="A410" s="181"/>
      <c r="B410" s="13"/>
    </row>
    <row r="411" ht="14.25" customHeight="1">
      <c r="A411" s="181"/>
      <c r="B411" s="13"/>
    </row>
    <row r="412" ht="14.25" customHeight="1">
      <c r="A412" s="181"/>
      <c r="B412" s="13"/>
    </row>
    <row r="413" ht="14.25" customHeight="1">
      <c r="A413" s="181"/>
      <c r="B413" s="13"/>
    </row>
    <row r="414" ht="14.25" customHeight="1">
      <c r="A414" s="181"/>
      <c r="B414" s="13"/>
    </row>
    <row r="415" ht="14.25" customHeight="1">
      <c r="A415" s="181"/>
      <c r="B415" s="13"/>
    </row>
    <row r="416" ht="14.25" customHeight="1">
      <c r="A416" s="181"/>
      <c r="B416" s="13"/>
    </row>
    <row r="417" ht="14.25" customHeight="1">
      <c r="A417" s="181"/>
      <c r="B417" s="13"/>
    </row>
    <row r="418" ht="14.25" customHeight="1">
      <c r="A418" s="181"/>
      <c r="B418" s="13"/>
    </row>
    <row r="419" ht="14.25" customHeight="1">
      <c r="A419" s="181"/>
      <c r="B419" s="13"/>
    </row>
    <row r="420" ht="14.25" customHeight="1">
      <c r="A420" s="181"/>
      <c r="B420" s="13"/>
    </row>
    <row r="421" ht="14.25" customHeight="1">
      <c r="A421" s="181"/>
      <c r="B421" s="13"/>
    </row>
    <row r="422" ht="14.25" customHeight="1">
      <c r="A422" s="181"/>
      <c r="B422" s="13"/>
    </row>
    <row r="423" ht="14.25" customHeight="1">
      <c r="A423" s="181"/>
      <c r="B423" s="13"/>
    </row>
    <row r="424" ht="14.25" customHeight="1">
      <c r="A424" s="181"/>
      <c r="B424" s="13"/>
    </row>
    <row r="425" ht="14.25" customHeight="1">
      <c r="A425" s="181"/>
      <c r="B425" s="13"/>
    </row>
    <row r="426" ht="14.25" customHeight="1">
      <c r="A426" s="181"/>
      <c r="B426" s="13"/>
    </row>
    <row r="427" ht="14.25" customHeight="1">
      <c r="A427" s="181"/>
      <c r="B427" s="13"/>
    </row>
    <row r="428" ht="14.25" customHeight="1">
      <c r="A428" s="181"/>
      <c r="B428" s="13"/>
    </row>
    <row r="429" ht="14.25" customHeight="1">
      <c r="A429" s="181"/>
      <c r="B429" s="13"/>
    </row>
    <row r="430" ht="14.25" customHeight="1">
      <c r="A430" s="181"/>
      <c r="B430" s="13"/>
    </row>
    <row r="431" ht="14.25" customHeight="1">
      <c r="A431" s="181"/>
      <c r="B431" s="13"/>
    </row>
    <row r="432" ht="14.25" customHeight="1">
      <c r="A432" s="181"/>
      <c r="B432" s="13"/>
    </row>
    <row r="433" ht="14.25" customHeight="1">
      <c r="A433" s="181"/>
      <c r="B433" s="13"/>
    </row>
    <row r="434" ht="14.25" customHeight="1">
      <c r="A434" s="181"/>
      <c r="B434" s="13"/>
    </row>
    <row r="435" ht="14.25" customHeight="1">
      <c r="A435" s="181"/>
      <c r="B435" s="13"/>
    </row>
    <row r="436" ht="14.25" customHeight="1">
      <c r="A436" s="181"/>
      <c r="B436" s="13"/>
    </row>
    <row r="437" ht="14.25" customHeight="1">
      <c r="A437" s="181"/>
      <c r="B437" s="13"/>
    </row>
    <row r="438" ht="14.25" customHeight="1">
      <c r="A438" s="181"/>
      <c r="B438" s="13"/>
    </row>
    <row r="439" ht="14.25" customHeight="1">
      <c r="A439" s="181"/>
      <c r="B439" s="13"/>
    </row>
    <row r="440" ht="14.25" customHeight="1">
      <c r="A440" s="181"/>
      <c r="B440" s="13"/>
    </row>
    <row r="441" ht="14.25" customHeight="1">
      <c r="A441" s="181"/>
      <c r="B441" s="13"/>
    </row>
    <row r="442" ht="14.25" customHeight="1">
      <c r="A442" s="181"/>
      <c r="B442" s="13"/>
    </row>
    <row r="443" ht="14.25" customHeight="1">
      <c r="A443" s="181"/>
      <c r="B443" s="13"/>
    </row>
    <row r="444" ht="14.25" customHeight="1">
      <c r="A444" s="181"/>
      <c r="B444" s="13"/>
    </row>
    <row r="445" ht="14.25" customHeight="1">
      <c r="A445" s="181"/>
      <c r="B445" s="13"/>
    </row>
    <row r="446" ht="14.25" customHeight="1">
      <c r="A446" s="181"/>
      <c r="B446" s="13"/>
    </row>
    <row r="447" ht="14.25" customHeight="1">
      <c r="A447" s="181"/>
      <c r="B447" s="13"/>
    </row>
    <row r="448" ht="14.25" customHeight="1">
      <c r="A448" s="181"/>
      <c r="B448" s="13"/>
    </row>
    <row r="449" ht="14.25" customHeight="1">
      <c r="A449" s="181"/>
      <c r="B449" s="13"/>
    </row>
    <row r="450" ht="14.25" customHeight="1">
      <c r="A450" s="181"/>
      <c r="B450" s="13"/>
    </row>
    <row r="451" ht="14.25" customHeight="1">
      <c r="A451" s="181"/>
      <c r="B451" s="13"/>
    </row>
    <row r="452" ht="14.25" customHeight="1">
      <c r="A452" s="181"/>
      <c r="B452" s="13"/>
    </row>
    <row r="453" ht="14.25" customHeight="1">
      <c r="A453" s="181"/>
      <c r="B453" s="13"/>
    </row>
    <row r="454" ht="14.25" customHeight="1">
      <c r="A454" s="181"/>
      <c r="B454" s="13"/>
    </row>
    <row r="455" ht="14.25" customHeight="1">
      <c r="A455" s="181"/>
      <c r="B455" s="13"/>
    </row>
    <row r="456" ht="14.25" customHeight="1">
      <c r="A456" s="181"/>
      <c r="B456" s="13"/>
    </row>
    <row r="457" ht="14.25" customHeight="1">
      <c r="A457" s="181"/>
      <c r="B457" s="13"/>
    </row>
    <row r="458" ht="14.25" customHeight="1">
      <c r="A458" s="181"/>
      <c r="B458" s="13"/>
    </row>
    <row r="459" ht="14.25" customHeight="1">
      <c r="A459" s="181"/>
      <c r="B459" s="13"/>
    </row>
    <row r="460" ht="14.25" customHeight="1">
      <c r="A460" s="181"/>
      <c r="B460" s="13"/>
    </row>
    <row r="461" ht="14.25" customHeight="1">
      <c r="A461" s="181"/>
      <c r="B461" s="13"/>
    </row>
    <row r="462" ht="14.25" customHeight="1">
      <c r="A462" s="181"/>
      <c r="B462" s="13"/>
    </row>
    <row r="463" ht="14.25" customHeight="1">
      <c r="A463" s="181"/>
      <c r="B463" s="13"/>
    </row>
    <row r="464" ht="14.25" customHeight="1">
      <c r="A464" s="181"/>
      <c r="B464" s="13"/>
    </row>
    <row r="465" ht="14.25" customHeight="1">
      <c r="A465" s="181"/>
      <c r="B465" s="13"/>
    </row>
    <row r="466" ht="14.25" customHeight="1">
      <c r="A466" s="181"/>
      <c r="B466" s="13"/>
    </row>
    <row r="467" ht="14.25" customHeight="1">
      <c r="A467" s="181"/>
      <c r="B467" s="13"/>
    </row>
    <row r="468" ht="14.25" customHeight="1">
      <c r="A468" s="181"/>
      <c r="B468" s="13"/>
    </row>
    <row r="469" ht="14.25" customHeight="1">
      <c r="A469" s="181"/>
      <c r="B469" s="13"/>
    </row>
    <row r="470" ht="14.25" customHeight="1">
      <c r="A470" s="181"/>
      <c r="B470" s="13"/>
    </row>
    <row r="471" ht="14.25" customHeight="1">
      <c r="A471" s="181"/>
      <c r="B471" s="13"/>
    </row>
    <row r="472" ht="14.25" customHeight="1">
      <c r="A472" s="181"/>
      <c r="B472" s="13"/>
    </row>
    <row r="473" ht="14.25" customHeight="1">
      <c r="A473" s="181"/>
      <c r="B473" s="13"/>
    </row>
    <row r="474" ht="14.25" customHeight="1">
      <c r="A474" s="181"/>
      <c r="B474" s="13"/>
    </row>
    <row r="475" ht="14.25" customHeight="1">
      <c r="A475" s="181"/>
      <c r="B475" s="13"/>
    </row>
    <row r="476" ht="14.25" customHeight="1">
      <c r="A476" s="181"/>
      <c r="B476" s="13"/>
    </row>
    <row r="477" ht="14.25" customHeight="1">
      <c r="A477" s="181"/>
      <c r="B477" s="13"/>
    </row>
    <row r="478" ht="14.25" customHeight="1">
      <c r="A478" s="181"/>
      <c r="B478" s="13"/>
    </row>
    <row r="479" ht="14.25" customHeight="1">
      <c r="A479" s="181"/>
      <c r="B479" s="13"/>
    </row>
    <row r="480" ht="14.25" customHeight="1">
      <c r="A480" s="181"/>
      <c r="B480" s="13"/>
    </row>
    <row r="481" ht="14.25" customHeight="1">
      <c r="A481" s="181"/>
      <c r="B481" s="13"/>
    </row>
    <row r="482" ht="14.25" customHeight="1">
      <c r="A482" s="181"/>
      <c r="B482" s="13"/>
    </row>
    <row r="483" ht="14.25" customHeight="1">
      <c r="A483" s="181"/>
      <c r="B483" s="13"/>
    </row>
    <row r="484" ht="14.25" customHeight="1">
      <c r="A484" s="181"/>
      <c r="B484" s="13"/>
    </row>
    <row r="485" ht="14.25" customHeight="1">
      <c r="A485" s="181"/>
      <c r="B485" s="13"/>
    </row>
    <row r="486" ht="14.25" customHeight="1">
      <c r="A486" s="181"/>
      <c r="B486" s="13"/>
    </row>
    <row r="487" ht="14.25" customHeight="1">
      <c r="A487" s="181"/>
      <c r="B487" s="13"/>
    </row>
    <row r="488" ht="14.25" customHeight="1">
      <c r="A488" s="181"/>
      <c r="B488" s="13"/>
    </row>
    <row r="489" ht="14.25" customHeight="1">
      <c r="A489" s="181"/>
      <c r="B489" s="13"/>
    </row>
    <row r="490" ht="14.25" customHeight="1">
      <c r="A490" s="181"/>
      <c r="B490" s="13"/>
    </row>
    <row r="491" ht="14.25" customHeight="1">
      <c r="A491" s="181"/>
      <c r="B491" s="13"/>
    </row>
    <row r="492" ht="14.25" customHeight="1">
      <c r="A492" s="181"/>
      <c r="B492" s="13"/>
    </row>
    <row r="493" ht="14.25" customHeight="1">
      <c r="A493" s="181"/>
      <c r="B493" s="13"/>
    </row>
    <row r="494" ht="14.25" customHeight="1">
      <c r="A494" s="181"/>
      <c r="B494" s="13"/>
    </row>
    <row r="495" ht="14.25" customHeight="1">
      <c r="A495" s="181"/>
      <c r="B495" s="13"/>
    </row>
    <row r="496" ht="14.25" customHeight="1">
      <c r="A496" s="181"/>
      <c r="B496" s="13"/>
    </row>
    <row r="497" ht="14.25" customHeight="1">
      <c r="A497" s="181"/>
      <c r="B497" s="13"/>
    </row>
    <row r="498" ht="14.25" customHeight="1">
      <c r="A498" s="181"/>
      <c r="B498" s="13"/>
    </row>
    <row r="499" ht="14.25" customHeight="1">
      <c r="A499" s="181"/>
      <c r="B499" s="13"/>
    </row>
    <row r="500" ht="14.25" customHeight="1">
      <c r="A500" s="181"/>
      <c r="B500" s="13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9" activeCellId="0" sqref="G19"/>
    </sheetView>
  </sheetViews>
  <sheetFormatPr baseColWidth="10" defaultColWidth="12.59765625" defaultRowHeight="15" customHeight="1"/>
  <cols>
    <col customWidth="1" min="1" max="3" width="10.5"/>
    <col customWidth="1" min="4" max="6" width="9.19921875"/>
  </cols>
  <sheetData>
    <row r="1" ht="14.25" customHeight="1">
      <c r="A1" s="168" t="s">
        <v>217</v>
      </c>
      <c r="B1" s="168" t="s">
        <v>218</v>
      </c>
    </row>
    <row r="2" ht="14.25" customHeight="1">
      <c r="A2" s="171" t="s">
        <v>219</v>
      </c>
      <c r="B2" s="171">
        <v>1000</v>
      </c>
    </row>
    <row r="3" ht="14.25" customHeight="1">
      <c r="A3" s="171" t="s">
        <v>220</v>
      </c>
      <c r="B3" s="171">
        <v>300</v>
      </c>
    </row>
    <row r="4" ht="14.25" customHeight="1">
      <c r="A4" s="171" t="s">
        <v>221</v>
      </c>
      <c r="B4" s="171">
        <v>-100</v>
      </c>
    </row>
    <row r="5" ht="14.25" customHeight="1">
      <c r="A5" s="171" t="s">
        <v>222</v>
      </c>
      <c r="B5" s="171">
        <v>-250</v>
      </c>
    </row>
    <row r="6" ht="14.25" customHeight="1">
      <c r="A6" s="171" t="s">
        <v>223</v>
      </c>
      <c r="B6" s="171">
        <v>-200</v>
      </c>
    </row>
    <row r="7" ht="14.25" customHeight="1">
      <c r="A7" s="171" t="s">
        <v>224</v>
      </c>
      <c r="B7" s="171">
        <v>-100</v>
      </c>
    </row>
    <row r="8" ht="14.25" customHeight="1">
      <c r="A8" s="171" t="s">
        <v>225</v>
      </c>
      <c r="B8" s="171">
        <v>650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2" activeCellId="0" sqref="N12"/>
    </sheetView>
  </sheetViews>
  <sheetFormatPr baseColWidth="10" defaultColWidth="12.59765625" defaultRowHeight="15" customHeight="1"/>
  <cols>
    <col customWidth="1" min="1" max="3" width="10.5"/>
    <col customWidth="1" min="4" max="6" width="9.19921875"/>
  </cols>
  <sheetData>
    <row r="1" ht="75" customHeight="1">
      <c r="A1" s="185" t="s">
        <v>226</v>
      </c>
      <c r="B1" s="185" t="s">
        <v>227</v>
      </c>
    </row>
    <row r="2" ht="14.25" customHeight="1">
      <c r="A2" s="187" t="s">
        <v>228</v>
      </c>
      <c r="B2" s="187">
        <v>120</v>
      </c>
    </row>
    <row r="3" ht="14.25" customHeight="1">
      <c r="A3" s="187" t="s">
        <v>229</v>
      </c>
      <c r="B3" s="187">
        <v>180</v>
      </c>
    </row>
    <row r="4" ht="14.25" customHeight="1">
      <c r="A4" s="187" t="s">
        <v>228</v>
      </c>
      <c r="B4" s="187">
        <v>180</v>
      </c>
    </row>
    <row r="5" ht="14.25" customHeight="1">
      <c r="A5" s="187" t="s">
        <v>229</v>
      </c>
      <c r="B5" s="187">
        <v>120</v>
      </c>
    </row>
    <row r="6" ht="14.25" customHeight="1">
      <c r="A6" s="187" t="s">
        <v>228</v>
      </c>
      <c r="B6" s="187">
        <v>40</v>
      </c>
    </row>
    <row r="7" ht="14.25" customHeight="1">
      <c r="A7" s="187" t="s">
        <v>228</v>
      </c>
      <c r="B7" s="187">
        <v>90</v>
      </c>
    </row>
    <row r="8" ht="14.25" customHeight="1">
      <c r="A8" s="187" t="s">
        <v>228</v>
      </c>
      <c r="B8" s="187">
        <v>60</v>
      </c>
    </row>
    <row r="9" ht="14.25" customHeight="1">
      <c r="A9" s="187" t="s">
        <v>228</v>
      </c>
      <c r="B9" s="187">
        <v>120</v>
      </c>
    </row>
    <row r="10" ht="14.25" customHeight="1">
      <c r="A10" s="187" t="s">
        <v>228</v>
      </c>
      <c r="B10" s="187">
        <v>80</v>
      </c>
    </row>
    <row r="11" ht="14.25" customHeight="1">
      <c r="A11" s="187" t="s">
        <v>228</v>
      </c>
      <c r="B11" s="187">
        <v>180</v>
      </c>
    </row>
    <row r="12" ht="14.25" customHeight="1">
      <c r="A12" s="187" t="s">
        <v>228</v>
      </c>
      <c r="B12" s="187">
        <v>60</v>
      </c>
    </row>
    <row r="13" ht="14.25" customHeight="1">
      <c r="A13" s="187" t="s">
        <v>229</v>
      </c>
      <c r="B13" s="187">
        <v>60</v>
      </c>
    </row>
    <row r="14" ht="14.25" customHeight="1">
      <c r="A14" s="187" t="s">
        <v>228</v>
      </c>
      <c r="B14" s="187">
        <v>90</v>
      </c>
    </row>
    <row r="15" ht="14.25" customHeight="1">
      <c r="A15" s="187" t="s">
        <v>228</v>
      </c>
      <c r="B15" s="187">
        <v>120</v>
      </c>
    </row>
    <row r="16" ht="14.25" customHeight="1">
      <c r="A16" s="187" t="s">
        <v>228</v>
      </c>
      <c r="B16" s="187">
        <v>35</v>
      </c>
    </row>
    <row r="17" ht="14.25" customHeight="1">
      <c r="A17" s="187" t="s">
        <v>228</v>
      </c>
      <c r="B17" s="187">
        <v>120</v>
      </c>
    </row>
    <row r="18" ht="14.25" customHeight="1">
      <c r="A18" s="187" t="s">
        <v>229</v>
      </c>
      <c r="B18" s="187">
        <v>150</v>
      </c>
    </row>
    <row r="19" ht="14.25" customHeight="1">
      <c r="A19" s="187" t="s">
        <v>228</v>
      </c>
      <c r="B19" s="187">
        <v>180</v>
      </c>
    </row>
    <row r="20" ht="14.25" customHeight="1">
      <c r="A20" s="187" t="s">
        <v>228</v>
      </c>
      <c r="B20" s="187">
        <v>40</v>
      </c>
    </row>
    <row r="21" ht="14.25" customHeight="1">
      <c r="A21" s="187" t="s">
        <v>228</v>
      </c>
      <c r="B21" s="187">
        <v>60</v>
      </c>
    </row>
    <row r="22" ht="14.25" customHeight="1">
      <c r="A22" s="187" t="s">
        <v>229</v>
      </c>
      <c r="B22" s="187">
        <v>60</v>
      </c>
    </row>
    <row r="23" ht="14.25" customHeight="1">
      <c r="A23" s="187" t="s">
        <v>228</v>
      </c>
      <c r="B23" s="187">
        <v>60</v>
      </c>
    </row>
    <row r="24" ht="14.25" customHeight="1">
      <c r="A24" s="187" t="s">
        <v>228</v>
      </c>
      <c r="B24" s="187">
        <v>180</v>
      </c>
    </row>
    <row r="25" ht="14.25" customHeight="1">
      <c r="A25" s="187" t="s">
        <v>228</v>
      </c>
      <c r="B25" s="187">
        <v>30</v>
      </c>
    </row>
    <row r="26" ht="14.25" customHeight="1">
      <c r="A26" s="187" t="s">
        <v>229</v>
      </c>
      <c r="B26" s="187">
        <v>90</v>
      </c>
    </row>
    <row r="27" ht="14.25" customHeight="1">
      <c r="A27" s="187" t="s">
        <v>228</v>
      </c>
      <c r="B27" s="187">
        <v>60</v>
      </c>
    </row>
    <row r="28" ht="14.25" customHeight="1">
      <c r="A28" s="187" t="s">
        <v>228</v>
      </c>
      <c r="B28" s="187">
        <v>60</v>
      </c>
    </row>
    <row r="29" ht="14.25" customHeight="1">
      <c r="A29" s="187" t="s">
        <v>228</v>
      </c>
      <c r="B29" s="187">
        <v>120</v>
      </c>
    </row>
    <row r="30" ht="14.25" customHeight="1">
      <c r="A30" s="187" t="s">
        <v>228</v>
      </c>
      <c r="B30" s="187">
        <v>90</v>
      </c>
    </row>
    <row r="31" ht="14.25" customHeight="1">
      <c r="A31" s="187" t="s">
        <v>229</v>
      </c>
      <c r="B31" s="187">
        <v>120</v>
      </c>
    </row>
    <row r="32" ht="14.25" customHeight="1">
      <c r="A32" s="187" t="s">
        <v>229</v>
      </c>
      <c r="B32" s="187">
        <v>180</v>
      </c>
    </row>
    <row r="33" ht="14.25" customHeight="1">
      <c r="A33" s="187" t="s">
        <v>229</v>
      </c>
      <c r="B33" s="187">
        <v>180</v>
      </c>
    </row>
    <row r="34" ht="14.25" customHeight="1">
      <c r="A34" s="187" t="s">
        <v>228</v>
      </c>
      <c r="B34" s="187">
        <v>45</v>
      </c>
    </row>
    <row r="35" ht="14.25" customHeight="1">
      <c r="A35" s="187" t="s">
        <v>228</v>
      </c>
      <c r="B35" s="187">
        <v>120</v>
      </c>
    </row>
    <row r="36" ht="14.25" customHeight="1">
      <c r="A36" s="187" t="s">
        <v>228</v>
      </c>
      <c r="B36" s="187">
        <v>60</v>
      </c>
    </row>
    <row r="37" ht="14.25" customHeight="1">
      <c r="A37" s="187" t="s">
        <v>228</v>
      </c>
      <c r="B37" s="187">
        <v>120</v>
      </c>
    </row>
    <row r="38" ht="14.25" customHeight="1">
      <c r="A38" s="187" t="s">
        <v>228</v>
      </c>
      <c r="B38" s="187">
        <v>30</v>
      </c>
    </row>
    <row r="39" ht="14.25" customHeight="1">
      <c r="A39" s="187" t="s">
        <v>229</v>
      </c>
      <c r="B39" s="187">
        <v>60</v>
      </c>
    </row>
    <row r="40" ht="14.25" customHeight="1">
      <c r="A40" s="187" t="s">
        <v>228</v>
      </c>
      <c r="B40" s="187">
        <v>180</v>
      </c>
    </row>
    <row r="41" ht="14.25" customHeight="1">
      <c r="A41" s="187" t="s">
        <v>228</v>
      </c>
      <c r="B41" s="187">
        <v>120</v>
      </c>
    </row>
    <row r="42" ht="14.25" customHeight="1">
      <c r="A42" s="187" t="s">
        <v>228</v>
      </c>
      <c r="B42" s="187">
        <v>60</v>
      </c>
    </row>
    <row r="43" ht="14.25" customHeight="1">
      <c r="A43" s="187" t="s">
        <v>229</v>
      </c>
      <c r="B43" s="187">
        <v>120</v>
      </c>
    </row>
    <row r="44" ht="14.25" customHeight="1">
      <c r="A44" s="187" t="s">
        <v>228</v>
      </c>
      <c r="B44" s="187">
        <v>90</v>
      </c>
    </row>
    <row r="45" ht="14.25" customHeight="1">
      <c r="A45" s="187" t="s">
        <v>229</v>
      </c>
      <c r="B45" s="187">
        <v>60</v>
      </c>
    </row>
    <row r="46" ht="14.25" customHeight="1">
      <c r="A46" s="187" t="s">
        <v>228</v>
      </c>
      <c r="B46" s="187">
        <v>150</v>
      </c>
    </row>
    <row r="47" ht="14.25" customHeight="1">
      <c r="A47" s="187" t="s">
        <v>229</v>
      </c>
      <c r="B47" s="187">
        <v>120</v>
      </c>
    </row>
    <row r="48" ht="14.25" customHeight="1">
      <c r="A48" s="187" t="s">
        <v>228</v>
      </c>
      <c r="B48" s="187">
        <v>160</v>
      </c>
    </row>
    <row r="49" ht="14.25" customHeight="1">
      <c r="A49" s="187" t="s">
        <v>228</v>
      </c>
      <c r="B49" s="187">
        <v>120</v>
      </c>
    </row>
    <row r="50" ht="14.25" customHeight="1">
      <c r="A50" s="187" t="s">
        <v>228</v>
      </c>
      <c r="B50" s="187">
        <v>45</v>
      </c>
    </row>
    <row r="51" ht="14.25" customHeight="1">
      <c r="A51" s="187" t="s">
        <v>229</v>
      </c>
      <c r="B51" s="187">
        <v>45</v>
      </c>
    </row>
    <row r="52" ht="14.25" customHeight="1">
      <c r="A52" s="187" t="s">
        <v>228</v>
      </c>
      <c r="B52" s="187">
        <v>90</v>
      </c>
    </row>
    <row r="53" ht="14.25" customHeight="1">
      <c r="A53" s="187" t="s">
        <v>229</v>
      </c>
      <c r="B53" s="187">
        <v>120</v>
      </c>
    </row>
    <row r="54" ht="14.25" customHeight="1">
      <c r="A54" s="187" t="s">
        <v>228</v>
      </c>
      <c r="B54" s="187">
        <v>60</v>
      </c>
    </row>
    <row r="55" ht="14.25" customHeight="1">
      <c r="A55" s="187" t="s">
        <v>229</v>
      </c>
      <c r="B55" s="187">
        <v>60</v>
      </c>
    </row>
    <row r="56" ht="14.25" customHeight="1">
      <c r="A56" s="187" t="s">
        <v>228</v>
      </c>
      <c r="B56" s="187">
        <v>90</v>
      </c>
    </row>
    <row r="57" ht="14.25" customHeight="1">
      <c r="A57" s="187" t="s">
        <v>228</v>
      </c>
      <c r="B57" s="187">
        <v>120</v>
      </c>
    </row>
    <row r="58" ht="14.25" customHeight="1">
      <c r="A58" s="187" t="s">
        <v>228</v>
      </c>
      <c r="B58" s="187">
        <v>120</v>
      </c>
    </row>
    <row r="59" ht="14.25" customHeight="1">
      <c r="A59" s="187" t="s">
        <v>228</v>
      </c>
      <c r="B59" s="187">
        <v>120</v>
      </c>
    </row>
    <row r="60" ht="14.25" customHeight="1">
      <c r="A60" s="187" t="s">
        <v>228</v>
      </c>
      <c r="B60" s="187">
        <v>60</v>
      </c>
    </row>
    <row r="61" ht="14.25" customHeight="1">
      <c r="A61" s="187" t="s">
        <v>229</v>
      </c>
      <c r="B61" s="187">
        <v>50</v>
      </c>
    </row>
    <row r="62" ht="14.25" customHeight="1">
      <c r="A62" s="187" t="s">
        <v>229</v>
      </c>
      <c r="B62" s="187">
        <v>40</v>
      </c>
    </row>
    <row r="63" ht="14.25" customHeight="1">
      <c r="A63" s="187" t="s">
        <v>228</v>
      </c>
      <c r="B63" s="187">
        <v>60</v>
      </c>
    </row>
    <row r="64" ht="14.25" customHeight="1">
      <c r="A64" s="187" t="s">
        <v>228</v>
      </c>
      <c r="B64" s="187">
        <v>40</v>
      </c>
    </row>
    <row r="65" ht="14.25" customHeight="1">
      <c r="A65" s="187" t="s">
        <v>228</v>
      </c>
      <c r="B65" s="187">
        <v>40</v>
      </c>
    </row>
    <row r="66" ht="14.25" customHeight="1">
      <c r="A66" s="187" t="s">
        <v>228</v>
      </c>
      <c r="B66" s="187">
        <v>40</v>
      </c>
    </row>
    <row r="67" ht="14.25" customHeight="1">
      <c r="A67" s="187" t="s">
        <v>228</v>
      </c>
      <c r="B67" s="187">
        <v>60</v>
      </c>
    </row>
    <row r="68" ht="14.25" customHeight="1">
      <c r="A68" s="187" t="s">
        <v>228</v>
      </c>
      <c r="B68" s="187">
        <v>60</v>
      </c>
    </row>
    <row r="69" ht="14.25" customHeight="1">
      <c r="A69" s="187" t="s">
        <v>228</v>
      </c>
      <c r="B69" s="187">
        <v>90</v>
      </c>
    </row>
    <row r="70" ht="14.25" customHeight="1">
      <c r="A70" s="187" t="s">
        <v>228</v>
      </c>
      <c r="B70" s="187">
        <v>105</v>
      </c>
    </row>
    <row r="71" ht="14.25" customHeight="1">
      <c r="A71" s="187" t="s">
        <v>228</v>
      </c>
      <c r="B71" s="187">
        <v>120</v>
      </c>
    </row>
    <row r="72" ht="14.25" customHeight="1">
      <c r="A72" s="187" t="s">
        <v>228</v>
      </c>
      <c r="B72" s="187">
        <v>120</v>
      </c>
    </row>
    <row r="73" ht="14.25" customHeight="1">
      <c r="A73" s="187" t="s">
        <v>229</v>
      </c>
      <c r="B73" s="187">
        <v>90</v>
      </c>
    </row>
    <row r="74" ht="14.25" customHeight="1">
      <c r="A74" s="187" t="s">
        <v>228</v>
      </c>
      <c r="B74" s="187">
        <v>120</v>
      </c>
    </row>
    <row r="75" ht="14.25" customHeight="1">
      <c r="A75" s="187" t="s">
        <v>229</v>
      </c>
      <c r="B75" s="187">
        <v>40</v>
      </c>
    </row>
    <row r="76" ht="14.25" customHeight="1">
      <c r="A76" s="187" t="s">
        <v>229</v>
      </c>
      <c r="B76" s="187">
        <v>35</v>
      </c>
    </row>
    <row r="77" ht="14.25" customHeight="1">
      <c r="A77" s="187" t="s">
        <v>228</v>
      </c>
      <c r="B77" s="187">
        <v>160</v>
      </c>
    </row>
    <row r="78" ht="14.25" customHeight="1">
      <c r="A78" s="187" t="s">
        <v>228</v>
      </c>
      <c r="B78" s="187">
        <v>90</v>
      </c>
    </row>
    <row r="79" ht="14.25" customHeight="1">
      <c r="A79" s="187" t="s">
        <v>228</v>
      </c>
      <c r="B79" s="187">
        <v>60</v>
      </c>
    </row>
    <row r="80" ht="14.25" customHeight="1">
      <c r="A80" s="187" t="s">
        <v>228</v>
      </c>
      <c r="B80" s="187">
        <v>120</v>
      </c>
    </row>
    <row r="81" ht="14.25" customHeight="1">
      <c r="A81" s="187" t="s">
        <v>228</v>
      </c>
      <c r="B81" s="187">
        <v>120</v>
      </c>
    </row>
    <row r="82" ht="14.25" customHeight="1">
      <c r="A82" s="187" t="s">
        <v>228</v>
      </c>
      <c r="B82" s="187">
        <v>60</v>
      </c>
    </row>
    <row r="83" ht="14.25" customHeight="1">
      <c r="A83" s="187" t="s">
        <v>229</v>
      </c>
      <c r="B83" s="187">
        <v>110</v>
      </c>
    </row>
    <row r="84" ht="14.25" customHeight="1">
      <c r="A84" s="187" t="s">
        <v>228</v>
      </c>
      <c r="B84" s="187">
        <v>120</v>
      </c>
    </row>
    <row r="85" ht="14.25" customHeight="1">
      <c r="A85" s="187" t="s">
        <v>228</v>
      </c>
      <c r="B85" s="187">
        <v>90</v>
      </c>
    </row>
    <row r="86" ht="14.25" customHeight="1">
      <c r="A86" s="187" t="s">
        <v>228</v>
      </c>
      <c r="B86" s="187">
        <v>150</v>
      </c>
    </row>
    <row r="87" ht="14.25" customHeight="1">
      <c r="A87" s="187" t="s">
        <v>228</v>
      </c>
      <c r="B87" s="187">
        <v>35</v>
      </c>
    </row>
    <row r="88" ht="14.25" customHeight="1">
      <c r="A88" s="187" t="s">
        <v>228</v>
      </c>
      <c r="B88" s="187">
        <v>90</v>
      </c>
    </row>
    <row r="89" ht="14.25" customHeight="1">
      <c r="A89" s="187" t="s">
        <v>228</v>
      </c>
      <c r="B89" s="187">
        <v>90</v>
      </c>
    </row>
    <row r="90" ht="14.25" customHeight="1">
      <c r="A90" s="187" t="s">
        <v>228</v>
      </c>
      <c r="B90" s="187">
        <v>120</v>
      </c>
    </row>
    <row r="91" ht="14.25" customHeight="1">
      <c r="A91" s="187" t="s">
        <v>228</v>
      </c>
      <c r="B91" s="187">
        <v>45</v>
      </c>
    </row>
    <row r="92" ht="14.25" customHeight="1">
      <c r="A92" s="187" t="s">
        <v>228</v>
      </c>
      <c r="B92" s="187">
        <v>120</v>
      </c>
    </row>
    <row r="93" ht="14.25" customHeight="1">
      <c r="A93" s="187" t="s">
        <v>228</v>
      </c>
      <c r="B93" s="187">
        <v>180</v>
      </c>
    </row>
    <row r="94" ht="14.25" customHeight="1">
      <c r="A94" s="187" t="s">
        <v>229</v>
      </c>
      <c r="B94" s="187">
        <v>35</v>
      </c>
    </row>
    <row r="95" ht="14.25" customHeight="1">
      <c r="A95" s="187" t="s">
        <v>228</v>
      </c>
      <c r="B95" s="187">
        <v>120</v>
      </c>
    </row>
    <row r="96" ht="14.25" customHeight="1">
      <c r="A96" s="187" t="s">
        <v>228</v>
      </c>
      <c r="B96" s="187">
        <v>60</v>
      </c>
    </row>
    <row r="97" ht="14.25" customHeight="1">
      <c r="A97" s="187" t="s">
        <v>228</v>
      </c>
      <c r="B97" s="187">
        <v>120</v>
      </c>
    </row>
    <row r="98" ht="14.25" customHeight="1">
      <c r="A98" s="187" t="s">
        <v>228</v>
      </c>
      <c r="B98" s="187">
        <v>120</v>
      </c>
    </row>
    <row r="99" ht="14.25" customHeight="1">
      <c r="A99" s="187" t="s">
        <v>228</v>
      </c>
      <c r="B99" s="187">
        <v>190</v>
      </c>
    </row>
    <row r="100" ht="14.25" customHeight="1">
      <c r="A100" s="187" t="s">
        <v>228</v>
      </c>
      <c r="B100" s="187">
        <v>40</v>
      </c>
    </row>
    <row r="101" ht="14.25" customHeight="1">
      <c r="A101" s="187" t="s">
        <v>229</v>
      </c>
      <c r="B101" s="187">
        <v>90</v>
      </c>
    </row>
    <row r="102" ht="14.25" customHeight="1">
      <c r="A102" s="187" t="s">
        <v>228</v>
      </c>
      <c r="B102" s="187">
        <v>60</v>
      </c>
    </row>
    <row r="103" ht="14.25" customHeight="1">
      <c r="A103" s="187" t="s">
        <v>228</v>
      </c>
      <c r="B103" s="187">
        <v>60</v>
      </c>
    </row>
    <row r="104" ht="14.25" customHeight="1">
      <c r="A104" s="187" t="s">
        <v>228</v>
      </c>
      <c r="B104" s="187">
        <v>150</v>
      </c>
    </row>
    <row r="105" ht="14.25" customHeight="1">
      <c r="A105" s="187" t="s">
        <v>228</v>
      </c>
      <c r="B105" s="187">
        <v>120</v>
      </c>
    </row>
    <row r="106" ht="14.25" customHeight="1">
      <c r="A106" s="187" t="s">
        <v>228</v>
      </c>
      <c r="B106" s="187">
        <v>120</v>
      </c>
    </row>
    <row r="107" ht="14.25" customHeight="1">
      <c r="A107" s="187" t="s">
        <v>228</v>
      </c>
      <c r="B107" s="187">
        <v>60</v>
      </c>
    </row>
    <row r="108" ht="14.25" customHeight="1">
      <c r="A108" s="187" t="s">
        <v>228</v>
      </c>
      <c r="B108" s="187">
        <v>25</v>
      </c>
    </row>
    <row r="109" ht="14.25" customHeight="1">
      <c r="A109" s="187" t="s">
        <v>229</v>
      </c>
      <c r="B109" s="187">
        <v>60</v>
      </c>
    </row>
    <row r="110" ht="14.25" customHeight="1">
      <c r="A110" s="187" t="s">
        <v>229</v>
      </c>
      <c r="B110" s="187">
        <v>135</v>
      </c>
    </row>
    <row r="111" ht="14.25" customHeight="1">
      <c r="A111" s="187" t="s">
        <v>229</v>
      </c>
      <c r="B111" s="187">
        <v>90</v>
      </c>
    </row>
    <row r="112" ht="14.25" customHeight="1">
      <c r="A112" s="187" t="s">
        <v>228</v>
      </c>
      <c r="B112" s="187">
        <v>60</v>
      </c>
    </row>
    <row r="113" ht="14.25" customHeight="1">
      <c r="A113" s="187" t="s">
        <v>228</v>
      </c>
      <c r="B113" s="187">
        <v>120</v>
      </c>
    </row>
    <row r="114" ht="14.25" customHeight="1">
      <c r="A114" s="187" t="s">
        <v>228</v>
      </c>
      <c r="B114" s="187">
        <v>80</v>
      </c>
    </row>
    <row r="115" ht="14.25" customHeight="1">
      <c r="A115" s="187" t="s">
        <v>228</v>
      </c>
      <c r="B115" s="187">
        <v>120</v>
      </c>
    </row>
    <row r="116" ht="14.25" customHeight="1">
      <c r="A116" s="187" t="s">
        <v>228</v>
      </c>
      <c r="B116" s="187">
        <v>90</v>
      </c>
    </row>
    <row r="117" ht="14.25" customHeight="1">
      <c r="A117" s="187" t="s">
        <v>228</v>
      </c>
      <c r="B117" s="187">
        <v>80</v>
      </c>
    </row>
    <row r="118" ht="14.25" customHeight="1">
      <c r="A118" s="187" t="s">
        <v>229</v>
      </c>
      <c r="B118" s="187">
        <v>120</v>
      </c>
    </row>
    <row r="119" ht="14.25" customHeight="1">
      <c r="A119" s="187" t="s">
        <v>229</v>
      </c>
      <c r="B119" s="187">
        <v>120</v>
      </c>
    </row>
    <row r="120" ht="14.25" customHeight="1">
      <c r="A120" s="187" t="s">
        <v>229</v>
      </c>
      <c r="B120" s="187">
        <v>60</v>
      </c>
    </row>
    <row r="121" ht="14.25" customHeight="1">
      <c r="A121" s="187" t="s">
        <v>228</v>
      </c>
      <c r="B121" s="187">
        <v>130</v>
      </c>
    </row>
    <row r="122" ht="14.25" customHeight="1">
      <c r="A122" s="187" t="s">
        <v>229</v>
      </c>
      <c r="B122" s="187">
        <v>60</v>
      </c>
    </row>
    <row r="123" ht="14.25" customHeight="1">
      <c r="A123" s="187" t="s">
        <v>228</v>
      </c>
      <c r="B123" s="187">
        <v>60</v>
      </c>
    </row>
    <row r="124" ht="14.25" customHeight="1">
      <c r="A124" s="187" t="s">
        <v>228</v>
      </c>
      <c r="B124" s="187">
        <v>120</v>
      </c>
    </row>
    <row r="125" ht="14.25" customHeight="1">
      <c r="A125" s="187" t="s">
        <v>229</v>
      </c>
      <c r="B125" s="187">
        <v>90</v>
      </c>
    </row>
    <row r="126" ht="14.25" customHeight="1">
      <c r="A126" s="187" t="s">
        <v>229</v>
      </c>
      <c r="B126" s="187">
        <v>30</v>
      </c>
    </row>
    <row r="127" ht="14.25" customHeight="1">
      <c r="A127" s="187" t="s">
        <v>228</v>
      </c>
      <c r="B127" s="187">
        <v>60</v>
      </c>
    </row>
    <row r="128" ht="14.25" customHeight="1">
      <c r="A128" s="187" t="s">
        <v>228</v>
      </c>
      <c r="B128" s="187">
        <v>90</v>
      </c>
    </row>
    <row r="129" ht="14.25" customHeight="1">
      <c r="A129" s="187" t="s">
        <v>228</v>
      </c>
      <c r="B129" s="187">
        <v>120</v>
      </c>
    </row>
    <row r="130" ht="14.25" customHeight="1">
      <c r="A130" s="187" t="s">
        <v>228</v>
      </c>
      <c r="B130" s="187">
        <v>60</v>
      </c>
    </row>
    <row r="131" ht="14.25" customHeight="1">
      <c r="A131" s="187" t="s">
        <v>229</v>
      </c>
      <c r="B131" s="187">
        <v>120</v>
      </c>
    </row>
    <row r="132" ht="14.25" customHeight="1">
      <c r="A132" s="187" t="s">
        <v>228</v>
      </c>
      <c r="B132" s="187">
        <v>100</v>
      </c>
    </row>
    <row r="133" ht="14.25" customHeight="1">
      <c r="A133" s="187" t="s">
        <v>229</v>
      </c>
      <c r="B133" s="187">
        <v>10</v>
      </c>
    </row>
    <row r="134" ht="14.25" customHeight="1">
      <c r="A134" s="187" t="s">
        <v>228</v>
      </c>
      <c r="B134" s="187">
        <v>40</v>
      </c>
    </row>
    <row r="135" ht="14.25" customHeight="1">
      <c r="A135" s="187" t="s">
        <v>229</v>
      </c>
      <c r="B135" s="187">
        <v>180</v>
      </c>
    </row>
    <row r="136" ht="14.25" customHeight="1">
      <c r="A136" s="187" t="s">
        <v>228</v>
      </c>
      <c r="B136" s="187">
        <v>80</v>
      </c>
    </row>
    <row r="137" ht="14.25" customHeight="1">
      <c r="A137" s="187" t="s">
        <v>228</v>
      </c>
      <c r="B137" s="187">
        <v>90</v>
      </c>
    </row>
    <row r="138" ht="14.25" customHeight="1">
      <c r="A138" s="187" t="s">
        <v>228</v>
      </c>
      <c r="B138" s="187">
        <v>60</v>
      </c>
    </row>
    <row r="139" ht="14.25" customHeight="1">
      <c r="A139" s="187" t="s">
        <v>228</v>
      </c>
      <c r="B139" s="187">
        <v>180</v>
      </c>
    </row>
    <row r="140" ht="14.25" customHeight="1">
      <c r="A140" s="187" t="s">
        <v>229</v>
      </c>
      <c r="B140" s="187">
        <v>120</v>
      </c>
    </row>
    <row r="141" ht="14.25" customHeight="1">
      <c r="A141" s="187" t="s">
        <v>228</v>
      </c>
      <c r="B141" s="187">
        <v>45</v>
      </c>
    </row>
    <row r="142" ht="14.25" customHeight="1">
      <c r="A142" s="187" t="s">
        <v>228</v>
      </c>
      <c r="B142" s="187">
        <v>120</v>
      </c>
    </row>
    <row r="143" ht="14.25" customHeight="1">
      <c r="A143" s="187" t="s">
        <v>228</v>
      </c>
      <c r="B143" s="187">
        <v>180</v>
      </c>
    </row>
    <row r="144" ht="14.25" customHeight="1">
      <c r="A144" s="187" t="s">
        <v>228</v>
      </c>
      <c r="B144" s="187">
        <v>90</v>
      </c>
    </row>
    <row r="145" ht="14.25" customHeight="1">
      <c r="A145" s="187" t="s">
        <v>229</v>
      </c>
      <c r="B145" s="187">
        <v>90</v>
      </c>
    </row>
    <row r="146" ht="14.25" customHeight="1">
      <c r="A146" s="187" t="s">
        <v>229</v>
      </c>
      <c r="B146" s="187">
        <v>110</v>
      </c>
    </row>
    <row r="147" ht="14.25" customHeight="1">
      <c r="A147" s="187" t="s">
        <v>228</v>
      </c>
      <c r="B147" s="187">
        <v>20</v>
      </c>
    </row>
    <row r="148" ht="14.25" customHeight="1">
      <c r="A148" s="187" t="s">
        <v>228</v>
      </c>
      <c r="B148" s="187">
        <v>300</v>
      </c>
    </row>
    <row r="149" ht="14.25" customHeight="1">
      <c r="A149" s="187" t="s">
        <v>228</v>
      </c>
      <c r="B149" s="187">
        <v>90</v>
      </c>
    </row>
    <row r="150" ht="14.25" customHeight="1">
      <c r="A150" s="187" t="s">
        <v>229</v>
      </c>
      <c r="B150" s="187">
        <v>45</v>
      </c>
    </row>
    <row r="151" ht="14.25" customHeight="1">
      <c r="A151" s="187" t="s">
        <v>229</v>
      </c>
      <c r="B151" s="187">
        <v>90</v>
      </c>
    </row>
    <row r="152" ht="14.25" customHeight="1">
      <c r="A152" s="187" t="s">
        <v>228</v>
      </c>
      <c r="B152" s="187">
        <v>120</v>
      </c>
    </row>
    <row r="153" ht="14.25" customHeight="1">
      <c r="A153" s="187" t="s">
        <v>229</v>
      </c>
      <c r="B153" s="187">
        <v>70</v>
      </c>
    </row>
    <row r="154" ht="14.25" customHeight="1">
      <c r="A154" s="187" t="s">
        <v>228</v>
      </c>
      <c r="B154" s="187">
        <v>60</v>
      </c>
    </row>
    <row r="155" ht="14.25" customHeight="1">
      <c r="A155" s="187" t="s">
        <v>228</v>
      </c>
      <c r="B155" s="187">
        <v>120</v>
      </c>
    </row>
    <row r="156" ht="14.25" customHeight="1">
      <c r="A156" s="187" t="s">
        <v>228</v>
      </c>
      <c r="B156" s="187">
        <v>120</v>
      </c>
    </row>
    <row r="157" ht="14.25" customHeight="1">
      <c r="A157" s="187" t="s">
        <v>229</v>
      </c>
      <c r="B157" s="187">
        <v>90</v>
      </c>
    </row>
    <row r="158" ht="14.25" customHeight="1">
      <c r="A158" s="187" t="s">
        <v>228</v>
      </c>
      <c r="B158" s="187">
        <v>180</v>
      </c>
    </row>
    <row r="159" ht="14.25" customHeight="1">
      <c r="A159" s="187" t="s">
        <v>229</v>
      </c>
      <c r="B159" s="187">
        <v>120</v>
      </c>
    </row>
    <row r="160" ht="14.25" customHeight="1">
      <c r="A160" s="187" t="s">
        <v>229</v>
      </c>
      <c r="B160" s="187">
        <v>60</v>
      </c>
    </row>
    <row r="161" ht="14.25" customHeight="1">
      <c r="A161" s="187" t="s">
        <v>228</v>
      </c>
      <c r="B161" s="187">
        <v>90</v>
      </c>
    </row>
    <row r="162" ht="14.25" customHeight="1">
      <c r="A162" s="187" t="s">
        <v>229</v>
      </c>
      <c r="B162" s="187">
        <v>60</v>
      </c>
    </row>
    <row r="163" ht="14.25" customHeight="1">
      <c r="A163" s="187" t="s">
        <v>228</v>
      </c>
      <c r="B163" s="187">
        <v>120</v>
      </c>
    </row>
    <row r="164" ht="14.25" customHeight="1">
      <c r="A164" s="187" t="s">
        <v>228</v>
      </c>
      <c r="B164" s="187">
        <v>60</v>
      </c>
    </row>
    <row r="165" ht="14.25" customHeight="1">
      <c r="A165" s="187" t="s">
        <v>228</v>
      </c>
      <c r="B165" s="187">
        <v>120</v>
      </c>
    </row>
    <row r="166" ht="14.25" customHeight="1">
      <c r="A166" s="187" t="s">
        <v>229</v>
      </c>
      <c r="B166" s="187">
        <v>120</v>
      </c>
    </row>
    <row r="167" ht="14.25" customHeight="1">
      <c r="A167" s="187" t="s">
        <v>228</v>
      </c>
      <c r="B167" s="187">
        <v>60</v>
      </c>
    </row>
    <row r="168" ht="14.25" customHeight="1">
      <c r="A168" s="187" t="s">
        <v>229</v>
      </c>
      <c r="B168" s="187">
        <v>120</v>
      </c>
    </row>
    <row r="169" ht="14.25" customHeight="1">
      <c r="A169" s="187" t="s">
        <v>228</v>
      </c>
      <c r="B169" s="187">
        <v>120</v>
      </c>
    </row>
    <row r="170" ht="14.25" customHeight="1">
      <c r="A170" s="187" t="s">
        <v>229</v>
      </c>
      <c r="B170" s="187">
        <v>90</v>
      </c>
    </row>
    <row r="171" ht="14.25" customHeight="1">
      <c r="A171" s="187" t="s">
        <v>229</v>
      </c>
      <c r="B171" s="187">
        <v>95</v>
      </c>
    </row>
    <row r="172" ht="14.25" customHeight="1">
      <c r="A172" s="187" t="s">
        <v>229</v>
      </c>
      <c r="B172" s="187">
        <v>120</v>
      </c>
    </row>
    <row r="173" ht="14.25" customHeight="1">
      <c r="A173" s="187" t="s">
        <v>229</v>
      </c>
      <c r="B173" s="187">
        <v>80</v>
      </c>
    </row>
    <row r="174" ht="14.25" customHeight="1">
      <c r="A174" s="187" t="s">
        <v>228</v>
      </c>
      <c r="B174" s="187">
        <v>90</v>
      </c>
    </row>
    <row r="175" ht="14.25" customHeight="1">
      <c r="A175" s="187" t="s">
        <v>229</v>
      </c>
      <c r="B175" s="187">
        <v>60</v>
      </c>
    </row>
    <row r="176" ht="14.25" customHeight="1">
      <c r="A176" s="187" t="s">
        <v>229</v>
      </c>
      <c r="B176" s="187">
        <v>120</v>
      </c>
    </row>
    <row r="177" ht="14.25" customHeight="1">
      <c r="A177" s="187" t="s">
        <v>228</v>
      </c>
      <c r="B177" s="187">
        <v>50</v>
      </c>
    </row>
    <row r="178" ht="14.25" customHeight="1">
      <c r="A178" s="187" t="s">
        <v>229</v>
      </c>
      <c r="B178" s="187">
        <v>30</v>
      </c>
    </row>
    <row r="179" ht="14.25" customHeight="1">
      <c r="A179" s="187" t="s">
        <v>228</v>
      </c>
      <c r="B179" s="187">
        <v>120</v>
      </c>
    </row>
    <row r="180" ht="14.25" customHeight="1">
      <c r="A180" s="187" t="s">
        <v>229</v>
      </c>
      <c r="B180" s="187">
        <v>120</v>
      </c>
    </row>
    <row r="181" ht="14.25" customHeight="1">
      <c r="A181" s="187" t="s">
        <v>228</v>
      </c>
      <c r="B181" s="187">
        <v>120</v>
      </c>
    </row>
    <row r="182" ht="14.25" customHeight="1">
      <c r="A182" s="187" t="s">
        <v>228</v>
      </c>
      <c r="B182" s="187">
        <v>120</v>
      </c>
    </row>
    <row r="183" ht="14.25" customHeight="1">
      <c r="A183" s="187" t="s">
        <v>229</v>
      </c>
      <c r="B183" s="187">
        <v>240</v>
      </c>
    </row>
    <row r="184" ht="14.25" customHeight="1">
      <c r="A184" s="187" t="s">
        <v>229</v>
      </c>
      <c r="B184" s="187">
        <v>60</v>
      </c>
    </row>
    <row r="185" ht="14.25" customHeight="1">
      <c r="A185" s="187" t="s">
        <v>229</v>
      </c>
      <c r="B185" s="187">
        <v>25</v>
      </c>
    </row>
    <row r="186" ht="14.25" customHeight="1">
      <c r="A186" s="187" t="s">
        <v>228</v>
      </c>
      <c r="B186" s="187">
        <v>90</v>
      </c>
    </row>
    <row r="187" ht="14.25" customHeight="1">
      <c r="A187" s="187" t="s">
        <v>229</v>
      </c>
      <c r="B187" s="187">
        <v>120</v>
      </c>
    </row>
    <row r="188" ht="14.25" customHeight="1">
      <c r="A188" s="187" t="s">
        <v>228</v>
      </c>
      <c r="B188" s="187">
        <v>120</v>
      </c>
    </row>
    <row r="189" ht="14.25" customHeight="1">
      <c r="A189" s="187" t="s">
        <v>228</v>
      </c>
      <c r="B189" s="187">
        <v>70</v>
      </c>
    </row>
    <row r="190" ht="14.25" customHeight="1">
      <c r="A190" s="187" t="s">
        <v>228</v>
      </c>
      <c r="B190" s="187">
        <v>50</v>
      </c>
    </row>
    <row r="191" ht="14.25" customHeight="1">
      <c r="A191" s="187" t="s">
        <v>228</v>
      </c>
      <c r="B191" s="187">
        <v>60</v>
      </c>
    </row>
    <row r="192" ht="14.25" customHeight="1">
      <c r="A192" s="187" t="s">
        <v>228</v>
      </c>
      <c r="B192" s="187">
        <v>45</v>
      </c>
    </row>
    <row r="193" ht="14.25" customHeight="1">
      <c r="A193" s="187" t="s">
        <v>228</v>
      </c>
      <c r="B193" s="187">
        <v>120</v>
      </c>
    </row>
    <row r="194" ht="14.25" customHeight="1">
      <c r="A194" s="187" t="s">
        <v>228</v>
      </c>
      <c r="B194" s="187">
        <v>50</v>
      </c>
    </row>
    <row r="195" ht="14.25" customHeight="1">
      <c r="A195" s="187" t="s">
        <v>228</v>
      </c>
      <c r="B195" s="187">
        <v>60</v>
      </c>
    </row>
    <row r="196" ht="14.25" customHeight="1">
      <c r="A196" s="187" t="s">
        <v>228</v>
      </c>
      <c r="B196" s="187">
        <v>60</v>
      </c>
    </row>
    <row r="197" ht="14.25" customHeight="1">
      <c r="A197" s="187" t="s">
        <v>228</v>
      </c>
      <c r="B197" s="187">
        <v>60</v>
      </c>
    </row>
    <row r="198" ht="14.25" customHeight="1">
      <c r="A198" s="187" t="s">
        <v>228</v>
      </c>
      <c r="B198" s="187">
        <v>60</v>
      </c>
    </row>
    <row r="199" ht="14.25" customHeight="1">
      <c r="A199" s="187" t="s">
        <v>229</v>
      </c>
      <c r="B199" s="187">
        <v>90</v>
      </c>
    </row>
    <row r="200" ht="14.25" customHeight="1">
      <c r="A200" s="187" t="s">
        <v>229</v>
      </c>
      <c r="B200" s="187">
        <v>90</v>
      </c>
    </row>
    <row r="201" ht="14.25" customHeight="1">
      <c r="A201" s="187" t="s">
        <v>229</v>
      </c>
      <c r="B201" s="187">
        <v>60</v>
      </c>
    </row>
    <row r="202" ht="14.25" customHeight="1">
      <c r="A202" s="187" t="s">
        <v>228</v>
      </c>
      <c r="B202" s="187">
        <v>75</v>
      </c>
    </row>
    <row r="203" ht="14.25" customHeight="1">
      <c r="A203" s="187" t="s">
        <v>228</v>
      </c>
      <c r="B203" s="187">
        <v>40</v>
      </c>
    </row>
    <row r="204" ht="14.25" customHeight="1">
      <c r="A204" s="187" t="s">
        <v>228</v>
      </c>
      <c r="B204" s="187">
        <v>115</v>
      </c>
    </row>
    <row r="205" ht="14.25" customHeight="1">
      <c r="A205" s="187" t="s">
        <v>228</v>
      </c>
      <c r="B205" s="187">
        <v>60</v>
      </c>
    </row>
    <row r="206" ht="14.25" customHeight="1">
      <c r="A206" s="187" t="s">
        <v>228</v>
      </c>
      <c r="B206" s="187">
        <v>50</v>
      </c>
    </row>
    <row r="207" ht="14.25" customHeight="1">
      <c r="A207" s="187" t="s">
        <v>228</v>
      </c>
      <c r="B207" s="187">
        <v>90</v>
      </c>
    </row>
    <row r="208" ht="14.25" customHeight="1">
      <c r="A208" s="187" t="s">
        <v>228</v>
      </c>
      <c r="B208" s="187">
        <v>120</v>
      </c>
    </row>
    <row r="209" ht="14.25" customHeight="1">
      <c r="A209" s="187" t="s">
        <v>228</v>
      </c>
      <c r="B209" s="187">
        <v>60</v>
      </c>
    </row>
    <row r="210" ht="14.25" customHeight="1">
      <c r="A210" s="187" t="s">
        <v>229</v>
      </c>
      <c r="B210" s="187">
        <v>45</v>
      </c>
    </row>
    <row r="211" ht="14.25" customHeight="1">
      <c r="A211" s="187" t="s">
        <v>228</v>
      </c>
      <c r="B211" s="187">
        <v>60</v>
      </c>
    </row>
    <row r="212" ht="14.25" customHeight="1">
      <c r="A212" s="187" t="s">
        <v>229</v>
      </c>
      <c r="B212" s="187">
        <v>150</v>
      </c>
    </row>
    <row r="213" ht="14.25" customHeight="1">
      <c r="A213" s="187" t="s">
        <v>229</v>
      </c>
      <c r="B213" s="187">
        <v>90</v>
      </c>
    </row>
    <row r="214" ht="14.25" customHeight="1">
      <c r="A214" s="187" t="s">
        <v>228</v>
      </c>
      <c r="B214" s="187">
        <v>60</v>
      </c>
    </row>
    <row r="215" ht="14.25" customHeight="1">
      <c r="A215" s="187" t="s">
        <v>229</v>
      </c>
      <c r="B215" s="187">
        <v>120</v>
      </c>
    </row>
    <row r="216" ht="14.25" customHeight="1">
      <c r="A216" s="187" t="s">
        <v>228</v>
      </c>
      <c r="B216" s="187">
        <v>120</v>
      </c>
    </row>
    <row r="217" ht="14.25" customHeight="1">
      <c r="A217" s="187" t="s">
        <v>229</v>
      </c>
      <c r="B217" s="187">
        <v>120</v>
      </c>
    </row>
    <row r="218" ht="14.25" customHeight="1">
      <c r="A218" s="187" t="s">
        <v>228</v>
      </c>
      <c r="B218" s="187">
        <v>40</v>
      </c>
    </row>
    <row r="219" ht="14.25" customHeight="1">
      <c r="A219" s="187" t="s">
        <v>229</v>
      </c>
      <c r="B219" s="187">
        <v>180</v>
      </c>
    </row>
    <row r="220" ht="14.25" customHeight="1">
      <c r="A220" s="187" t="s">
        <v>228</v>
      </c>
      <c r="B220" s="187">
        <v>120</v>
      </c>
    </row>
    <row r="221" ht="14.25" customHeight="1">
      <c r="A221" s="187" t="s">
        <v>228</v>
      </c>
      <c r="B221" s="187">
        <v>60</v>
      </c>
    </row>
    <row r="222" ht="14.25" customHeight="1">
      <c r="A222" s="187" t="s">
        <v>228</v>
      </c>
      <c r="B222" s="187">
        <v>120</v>
      </c>
    </row>
    <row r="223" ht="14.25" customHeight="1">
      <c r="A223" s="187" t="s">
        <v>228</v>
      </c>
      <c r="B223" s="187">
        <v>120</v>
      </c>
    </row>
    <row r="224" ht="14.25" customHeight="1">
      <c r="A224" s="187" t="s">
        <v>228</v>
      </c>
      <c r="B224" s="187">
        <v>60</v>
      </c>
    </row>
    <row r="225" ht="14.25" customHeight="1">
      <c r="A225" s="187" t="s">
        <v>228</v>
      </c>
      <c r="B225" s="187">
        <v>45</v>
      </c>
    </row>
    <row r="226" ht="14.25" customHeight="1">
      <c r="A226" s="187" t="s">
        <v>228</v>
      </c>
      <c r="B226" s="187">
        <v>60</v>
      </c>
    </row>
    <row r="227" ht="14.25" customHeight="1">
      <c r="A227" s="187" t="s">
        <v>228</v>
      </c>
      <c r="B227" s="187">
        <v>30</v>
      </c>
    </row>
    <row r="228" ht="14.25" customHeight="1">
      <c r="A228" s="187" t="s">
        <v>229</v>
      </c>
      <c r="B228" s="187">
        <v>150</v>
      </c>
    </row>
    <row r="229" ht="14.25" customHeight="1">
      <c r="A229" s="187" t="s">
        <v>229</v>
      </c>
      <c r="B229" s="187">
        <v>60</v>
      </c>
    </row>
    <row r="230" ht="14.25" customHeight="1">
      <c r="A230" s="187" t="s">
        <v>229</v>
      </c>
      <c r="B230" s="187">
        <v>60</v>
      </c>
    </row>
    <row r="231" ht="14.25" customHeight="1">
      <c r="A231" s="187" t="s">
        <v>229</v>
      </c>
      <c r="B231" s="187">
        <v>35</v>
      </c>
    </row>
    <row r="232" ht="14.25" customHeight="1">
      <c r="A232" s="187" t="s">
        <v>228</v>
      </c>
      <c r="B232" s="187">
        <v>120</v>
      </c>
    </row>
    <row r="233" ht="14.25" customHeight="1">
      <c r="A233" s="187" t="s">
        <v>228</v>
      </c>
      <c r="B233" s="187">
        <v>59</v>
      </c>
    </row>
    <row r="234" ht="14.25" customHeight="1">
      <c r="A234" s="187" t="s">
        <v>229</v>
      </c>
      <c r="B234" s="187">
        <v>60</v>
      </c>
    </row>
    <row r="235" ht="14.25" customHeight="1">
      <c r="A235" s="187" t="s">
        <v>228</v>
      </c>
      <c r="B235" s="187">
        <v>180</v>
      </c>
    </row>
    <row r="236" ht="14.25" customHeight="1">
      <c r="A236" s="187" t="s">
        <v>229</v>
      </c>
      <c r="B236" s="187">
        <v>80</v>
      </c>
    </row>
    <row r="237" ht="14.25" customHeight="1">
      <c r="A237" s="187" t="s">
        <v>229</v>
      </c>
      <c r="B237" s="187">
        <v>120</v>
      </c>
    </row>
    <row r="238" ht="14.25" customHeight="1">
      <c r="A238" s="187" t="s">
        <v>228</v>
      </c>
      <c r="B238" s="187">
        <v>120</v>
      </c>
    </row>
    <row r="239" ht="14.25" customHeight="1">
      <c r="A239" s="187" t="s">
        <v>228</v>
      </c>
      <c r="B239" s="187">
        <v>90</v>
      </c>
    </row>
    <row r="240" ht="14.25" customHeight="1">
      <c r="A240" s="187" t="s">
        <v>228</v>
      </c>
      <c r="B240" s="187">
        <v>90</v>
      </c>
    </row>
    <row r="241" ht="14.25" customHeight="1">
      <c r="A241" s="187" t="s">
        <v>228</v>
      </c>
      <c r="B241" s="187">
        <v>60</v>
      </c>
    </row>
    <row r="242" ht="14.25" customHeight="1">
      <c r="A242" s="187" t="s">
        <v>228</v>
      </c>
      <c r="B242" s="187">
        <v>90</v>
      </c>
    </row>
    <row r="243" ht="14.25" customHeight="1">
      <c r="A243" s="187" t="s">
        <v>229</v>
      </c>
      <c r="B243" s="187">
        <v>120</v>
      </c>
    </row>
    <row r="244" ht="14.25" customHeight="1">
      <c r="A244" s="187" t="s">
        <v>228</v>
      </c>
      <c r="B244" s="187">
        <v>120</v>
      </c>
    </row>
    <row r="245" ht="14.25" customHeight="1">
      <c r="A245" s="187" t="s">
        <v>229</v>
      </c>
      <c r="B245" s="187">
        <v>45</v>
      </c>
    </row>
    <row r="246" ht="14.25" customHeight="1">
      <c r="A246" s="187" t="s">
        <v>228</v>
      </c>
      <c r="B246" s="187">
        <v>40</v>
      </c>
    </row>
    <row r="247" ht="14.25" customHeight="1">
      <c r="A247" s="187" t="s">
        <v>228</v>
      </c>
      <c r="B247" s="187">
        <v>60</v>
      </c>
    </row>
    <row r="248" ht="14.25" customHeight="1">
      <c r="A248" s="187" t="s">
        <v>229</v>
      </c>
      <c r="B248" s="187">
        <v>30</v>
      </c>
    </row>
    <row r="249" ht="14.25" customHeight="1">
      <c r="A249" s="187" t="s">
        <v>228</v>
      </c>
      <c r="B249" s="187">
        <v>75</v>
      </c>
    </row>
    <row r="250" ht="14.25" customHeight="1">
      <c r="A250" s="187" t="s">
        <v>229</v>
      </c>
      <c r="B250" s="187">
        <v>95</v>
      </c>
    </row>
    <row r="251" ht="14.25" customHeight="1">
      <c r="A251" s="187" t="s">
        <v>228</v>
      </c>
      <c r="B251" s="187">
        <v>90</v>
      </c>
    </row>
    <row r="252" ht="14.25" customHeight="1">
      <c r="A252" s="187" t="s">
        <v>228</v>
      </c>
      <c r="B252" s="187">
        <v>15</v>
      </c>
    </row>
    <row r="253" ht="14.25" customHeight="1">
      <c r="A253" s="187" t="s">
        <v>228</v>
      </c>
      <c r="B253" s="187">
        <v>120</v>
      </c>
    </row>
    <row r="254" ht="14.25" customHeight="1">
      <c r="A254" s="187" t="s">
        <v>228</v>
      </c>
      <c r="B254" s="187">
        <v>120</v>
      </c>
    </row>
    <row r="255" ht="14.25" customHeight="1">
      <c r="A255" s="187" t="s">
        <v>229</v>
      </c>
      <c r="B255" s="187">
        <v>180</v>
      </c>
    </row>
    <row r="256" ht="14.25" customHeight="1">
      <c r="A256" s="187" t="s">
        <v>228</v>
      </c>
      <c r="B256" s="187">
        <v>120</v>
      </c>
    </row>
    <row r="257" ht="14.25" customHeight="1">
      <c r="A257" s="187" t="s">
        <v>228</v>
      </c>
      <c r="B257" s="187">
        <v>60</v>
      </c>
    </row>
    <row r="258" ht="14.25" customHeight="1">
      <c r="A258" s="187" t="s">
        <v>228</v>
      </c>
      <c r="B258" s="187">
        <v>90</v>
      </c>
    </row>
    <row r="259" ht="14.25" customHeight="1">
      <c r="A259" s="187" t="s">
        <v>228</v>
      </c>
      <c r="B259" s="187">
        <v>120</v>
      </c>
    </row>
    <row r="260" ht="14.25" customHeight="1">
      <c r="A260" s="187" t="s">
        <v>228</v>
      </c>
      <c r="B260" s="187">
        <v>180</v>
      </c>
    </row>
    <row r="261" ht="14.25" customHeight="1">
      <c r="A261" s="187" t="s">
        <v>228</v>
      </c>
      <c r="B261" s="187">
        <v>120</v>
      </c>
    </row>
    <row r="262" ht="14.25" customHeight="1">
      <c r="A262" s="187" t="s">
        <v>228</v>
      </c>
      <c r="B262" s="187">
        <v>75</v>
      </c>
    </row>
    <row r="263" ht="14.25" customHeight="1">
      <c r="A263" s="187" t="s">
        <v>229</v>
      </c>
      <c r="B263" s="187">
        <v>90</v>
      </c>
    </row>
    <row r="264" ht="14.25" customHeight="1">
      <c r="A264" s="187" t="s">
        <v>229</v>
      </c>
      <c r="B264" s="187">
        <v>60</v>
      </c>
    </row>
    <row r="265" ht="14.25" customHeight="1">
      <c r="A265" s="187" t="s">
        <v>229</v>
      </c>
      <c r="B265" s="187">
        <v>120</v>
      </c>
    </row>
    <row r="266" ht="14.25" customHeight="1">
      <c r="A266" s="187" t="s">
        <v>228</v>
      </c>
      <c r="B266" s="187">
        <v>120</v>
      </c>
    </row>
    <row r="267" ht="14.25" customHeight="1">
      <c r="A267" s="187" t="s">
        <v>229</v>
      </c>
      <c r="B267" s="187">
        <v>120</v>
      </c>
    </row>
    <row r="268" ht="14.25" customHeight="1">
      <c r="A268" s="187" t="s">
        <v>229</v>
      </c>
      <c r="B268" s="187">
        <v>60</v>
      </c>
    </row>
    <row r="269" ht="14.25" customHeight="1">
      <c r="A269" s="187" t="s">
        <v>228</v>
      </c>
      <c r="B269" s="187">
        <v>120</v>
      </c>
    </row>
    <row r="270" ht="14.25" customHeight="1">
      <c r="A270" s="187" t="s">
        <v>229</v>
      </c>
      <c r="B270" s="187">
        <v>90</v>
      </c>
    </row>
    <row r="271" ht="14.25" customHeight="1">
      <c r="A271" s="187" t="s">
        <v>229</v>
      </c>
      <c r="B271" s="187">
        <v>40</v>
      </c>
    </row>
    <row r="272" ht="14.25" customHeight="1">
      <c r="A272" s="187" t="s">
        <v>228</v>
      </c>
      <c r="B272" s="187">
        <v>60</v>
      </c>
    </row>
    <row r="273" ht="14.25" customHeight="1">
      <c r="A273" s="187" t="s">
        <v>228</v>
      </c>
      <c r="B273" s="187">
        <v>90</v>
      </c>
    </row>
    <row r="274" ht="14.25" customHeight="1">
      <c r="A274" s="187" t="s">
        <v>228</v>
      </c>
      <c r="B274" s="187">
        <v>50</v>
      </c>
    </row>
    <row r="275" ht="14.25" customHeight="1">
      <c r="A275" s="187" t="s">
        <v>229</v>
      </c>
      <c r="B275" s="187">
        <v>75</v>
      </c>
    </row>
    <row r="276" ht="14.25" customHeight="1">
      <c r="A276" s="187" t="s">
        <v>229</v>
      </c>
      <c r="B276" s="187">
        <v>60</v>
      </c>
    </row>
    <row r="277" ht="14.25" customHeight="1">
      <c r="A277" s="187" t="s">
        <v>229</v>
      </c>
      <c r="B277" s="187">
        <v>40</v>
      </c>
    </row>
    <row r="278" ht="14.25" customHeight="1">
      <c r="A278" s="187" t="s">
        <v>229</v>
      </c>
      <c r="B278" s="187">
        <v>40</v>
      </c>
    </row>
    <row r="279" ht="14.25" customHeight="1">
      <c r="A279" s="187" t="s">
        <v>228</v>
      </c>
      <c r="B279" s="187">
        <v>210</v>
      </c>
    </row>
    <row r="280" ht="14.25" customHeight="1">
      <c r="A280" s="187" t="s">
        <v>229</v>
      </c>
      <c r="B280" s="187">
        <v>120</v>
      </c>
    </row>
    <row r="281" ht="14.25" customHeight="1">
      <c r="A281" s="187" t="s">
        <v>229</v>
      </c>
      <c r="B281" s="187">
        <v>120</v>
      </c>
    </row>
    <row r="282" ht="14.25" customHeight="1">
      <c r="A282" s="187" t="s">
        <v>229</v>
      </c>
      <c r="B282" s="187">
        <v>120</v>
      </c>
    </row>
    <row r="283" ht="14.25" customHeight="1">
      <c r="A283" s="187" t="s">
        <v>228</v>
      </c>
      <c r="B283" s="187">
        <v>120</v>
      </c>
    </row>
    <row r="284" ht="14.25" customHeight="1">
      <c r="A284" s="187" t="s">
        <v>228</v>
      </c>
      <c r="B284" s="187">
        <v>120</v>
      </c>
    </row>
    <row r="285" ht="14.25" customHeight="1">
      <c r="A285" s="187" t="s">
        <v>229</v>
      </c>
      <c r="B285" s="187">
        <v>60</v>
      </c>
    </row>
    <row r="286" ht="14.25" customHeight="1">
      <c r="A286" s="187" t="s">
        <v>228</v>
      </c>
      <c r="B286" s="187">
        <v>50</v>
      </c>
    </row>
    <row r="287" ht="14.25" customHeight="1">
      <c r="A287" s="187" t="s">
        <v>229</v>
      </c>
      <c r="B287" s="187">
        <v>130</v>
      </c>
    </row>
    <row r="288" ht="14.25" customHeight="1">
      <c r="A288" s="187" t="s">
        <v>228</v>
      </c>
      <c r="B288" s="187">
        <v>60</v>
      </c>
    </row>
    <row r="289" ht="14.25" customHeight="1">
      <c r="A289" s="187" t="s">
        <v>229</v>
      </c>
      <c r="B289" s="187">
        <v>90</v>
      </c>
    </row>
    <row r="290" ht="14.25" customHeight="1">
      <c r="A290" s="187" t="s">
        <v>228</v>
      </c>
      <c r="B290" s="187">
        <v>120</v>
      </c>
    </row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26" activeCellId="0" sqref="H26"/>
    </sheetView>
  </sheetViews>
  <sheetFormatPr baseColWidth="10" defaultColWidth="12.59765625" defaultRowHeight="15" customHeight="1"/>
  <cols>
    <col customWidth="1" min="1" max="1" width="27.19921875"/>
    <col customWidth="1" min="2" max="3" width="10.5"/>
    <col customWidth="1" min="4" max="6" width="9.19921875"/>
  </cols>
  <sheetData>
    <row r="1" ht="14.25" customHeight="1">
      <c r="A1" s="168" t="s">
        <v>230</v>
      </c>
      <c r="B1" s="168" t="s">
        <v>231</v>
      </c>
    </row>
    <row r="2" ht="14.25" customHeight="1">
      <c r="A2" s="171" t="s">
        <v>232</v>
      </c>
      <c r="B2" s="170">
        <v>10000</v>
      </c>
    </row>
    <row r="3" ht="14.25" customHeight="1">
      <c r="A3" s="171" t="s">
        <v>233</v>
      </c>
      <c r="B3" s="170">
        <v>4000</v>
      </c>
    </row>
    <row r="4" ht="14.25" customHeight="1">
      <c r="A4" s="171" t="s">
        <v>234</v>
      </c>
      <c r="B4" s="170">
        <v>2000</v>
      </c>
    </row>
    <row r="5" ht="14.25" customHeight="1">
      <c r="A5" s="171" t="s">
        <v>235</v>
      </c>
      <c r="B5" s="171">
        <v>800</v>
      </c>
    </row>
    <row r="6" ht="14.25" customHeight="1">
      <c r="A6" s="171" t="s">
        <v>236</v>
      </c>
      <c r="B6" s="171">
        <v>300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cp:revision>1</cp:revision>
  <dcterms:created xsi:type="dcterms:W3CDTF">2025-10-07T23:29:44Z</dcterms:created>
  <dcterms:modified xsi:type="dcterms:W3CDTF">2025-12-11T23:17:14Z</dcterms:modified>
</cp:coreProperties>
</file>