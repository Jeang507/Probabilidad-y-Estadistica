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ean\Desktop\Semestre 2, 2025\Probabilidad y Estadistica\"/>
    </mc:Choice>
  </mc:AlternateContent>
  <xr:revisionPtr revIDLastSave="0" documentId="13_ncr:1_{7763CD5A-1C53-4436-9EE2-8E371E1D310F}" xr6:coauthVersionLast="47" xr6:coauthVersionMax="47" xr10:uidLastSave="{00000000-0000-0000-0000-000000000000}"/>
  <bookViews>
    <workbookView xWindow="-108" yWindow="-108" windowWidth="23256" windowHeight="12456" firstSheet="2" activeTab="2" xr2:uid="{00000000-000D-0000-FFFF-FFFF00000000}"/>
  </bookViews>
  <sheets>
    <sheet name="TABLA_ORIGINAL" sheetId="7" r:id="rId1"/>
    <sheet name="TABLA_GRÁFICA_DINÁMICO" sheetId="11" r:id="rId2"/>
    <sheet name="BD_PUNTOS_DE_ACCESO" sheetId="1" r:id="rId3"/>
    <sheet name="BD_SESIONES_DE_USUARIO" sheetId="3" r:id="rId4"/>
    <sheet name="BD_DATA_TRANSFERIDA" sheetId="6" r:id="rId5"/>
    <sheet name="BD_MEDUCA" sheetId="10" r:id="rId6"/>
  </sheets>
  <definedNames>
    <definedName name="_xlnm._FilterDatabase" localSheetId="4" hidden="1">BD_DATA_TRANSFERIDA!$A$1:$E$61</definedName>
    <definedName name="_xlnm._FilterDatabase" localSheetId="5" hidden="1">BD_MEDUCA!$A$4:$P$4587</definedName>
    <definedName name="_xlnm._FilterDatabase" localSheetId="2" hidden="1">BD_PUNTOS_DE_ACCESO!$A$1:$J$61</definedName>
    <definedName name="_xlnm._FilterDatabase" localSheetId="3" hidden="1">BD_SESIONES_DE_USUARIO!$A$1:$E$61</definedName>
    <definedName name="_xlnm._FilterDatabase" localSheetId="0" hidden="1">TABLA_ORIGINAL!$A$1:$J$1322</definedName>
    <definedName name="_xlnm.Print_Titles" localSheetId="5">BD_MEDUCA!$4:$4445</definedName>
  </definedNames>
  <calcPr calcId="191029"/>
  <pivotCaches>
    <pivotCache cacheId="4"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S2" i="1"/>
  <c r="R3" i="1"/>
  <c r="R2" i="1"/>
  <c r="P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tc={A0574BCF-CC13-43EB-AFBA-B0FFE4093CB1}</author>
    <author>Yisuri Yitzel Higuero Chan</author>
    <author>tc={A6835B5C-CB9C-4B61-AE1F-082CAC0FD6F7}</author>
    <author>tc={2C18410D-C9CD-44BC-8B23-F053127CF76F}</author>
    <author>tc={94ADE386-6037-4A26-91B3-0C0474193B93}</author>
    <author>tc={B4A21896-DC02-41D9-B470-D12B17CF9712}</author>
    <author>tc={DC8CDA5F-92C7-4D2D-BFCA-919F1B72EB51}</author>
    <author>tc={C2003DE3-66DC-4435-8AD7-2FBA0C7964F3}</author>
    <author>tc={857284EF-A2E1-4088-8674-FDA07B04DC8F}</author>
    <author>tc={73317158-7520-41B9-BC2E-34FFC318D29B}</author>
    <author>Esther Marquinez</author>
    <author>Esther Marquinez Hernández</author>
    <author>CarmenForero</author>
    <author>tc={0A98624D-C7FD-4D17-BF25-7EDDD01F5040}</author>
    <author>tc={8E7433AB-3568-4374-9355-53F338687299}</author>
    <author>tc={03483367-9156-40E9-B9CF-1B6216E2474B}</author>
    <author>tc={F09CFFDC-7418-4BE8-BBC5-CD86A9A4415A}</author>
    <author>tc={54CBBCD5-14BE-485F-AFF1-CAF14A0BC8BA}</author>
    <author>tc={73A1ACDC-260C-4986-84D2-5045D6427015}</author>
    <author>tc={F0E2729E-AF93-4BB1-BDB3-4053363B57A5}</author>
    <author>tc={6C00D827-62DF-4E56-AEBC-491EABFBC935}</author>
    <author>tc={65894413-4327-4991-A6FF-03673012F566}</author>
    <author>tc={C284CF27-E4DE-496A-ABE2-648AAE53A81D}</author>
    <author>tc={D6FE9D21-AD89-46A7-A8DE-3564075E2C30}</author>
    <author>tc={24909EA3-DC4F-4567-B4C3-6025A108FC80}</author>
    <author>tc={9DE72E00-2D4D-414B-8446-45DBA55A9080}</author>
    <author>tc={BB83717C-75F8-4894-91EF-F2446A8D918D}</author>
    <author>Carlina Esther Jiménez Carpintero</author>
  </authors>
  <commentList>
    <comment ref="C4" authorId="0" shapeId="0" xr:uid="{A0574BCF-CC13-43EB-AFBA-B0FFE4093CB1}">
      <text>
        <t>[Comentario encadenado]
Su versión de Excel le permite leer este comentario encadenado; sin embargo, las ediciones que se apliquen se quitarán si el archivo se abre en una versión más reciente de Excel. Más información: https://go.microsoft.com/fwlink/?linkid=870924
Comentario:
    Dependencias Oficial y Particular, pero todas son PÚBLICAS</t>
      </text>
    </comment>
    <comment ref="F4" authorId="1" shapeId="0" xr:uid="{6DA163EE-2E82-4FCB-992D-4EB686DC20E2}">
      <text>
        <r>
          <rPr>
            <b/>
            <sz val="9"/>
            <color indexed="81"/>
            <rFont val="Tahoma"/>
            <family val="2"/>
          </rPr>
          <t>Yisuri Yitzel Higuero Chan:</t>
        </r>
        <r>
          <rPr>
            <sz val="9"/>
            <color indexed="81"/>
            <rFont val="Tahoma"/>
            <family val="2"/>
          </rPr>
          <t xml:space="preserve">
Según decretos: Decreto Ejecutivo 446 del 21 de noviembre de 2006 y Decreto Ejecutivo 323 del 18 de octubre de 2007, la denominación es Regional Escolar y Circuito Escolar.   </t>
        </r>
      </text>
    </comment>
    <comment ref="I4" authorId="2" shapeId="0" xr:uid="{A6835B5C-CB9C-4B61-AE1F-082CAC0FD6F7}">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centros educativos marcados en amarillo pasar a ser por decreto "BILINGÜE" en la dependencia Oficial</t>
      </text>
    </comment>
    <comment ref="L4" authorId="3" shapeId="0" xr:uid="{2C18410D-C9CD-44BC-8B23-F053127CF76F}">
      <text>
        <t>[Comentario encadenado]
Su versión de Excel le permite leer este comentario encadenado; sin embargo, las ediciones que se apliquen se quitarán si el archivo se abre en una versión más reciente de Excel. Más información: https://go.microsoft.com/fwlink/?linkid=870924
Comentario:
    Investigar por que estas áreas están como indígena en la columna AC, contra la columna AE - Comarcas</t>
      </text>
    </comment>
    <comment ref="D214" authorId="4" shapeId="0" xr:uid="{94ADE386-6037-4A26-91B3-0C0474193B93}">
      <text>
        <t>[Comentario encadenado]
Su versión de Excel le permite leer este comentario encadenado; sin embargo, las ediciones que se apliquen se quitarán si el archivo se abre en una versión más reciente de Excel. Más información: https://go.microsoft.com/fwlink/?linkid=870924
Comentario:
    Programa inactivo hasta el 2022, Se reactiva en el 2023.</t>
      </text>
    </comment>
    <comment ref="A266" authorId="5" shapeId="0" xr:uid="{B4A21896-DC02-41D9-B470-D12B17CF97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CE nuevo 2023
</t>
      </text>
    </comment>
    <comment ref="A267" authorId="6" shapeId="0" xr:uid="{DC8CDA5F-92C7-4D2D-BFCA-919F1B72EB5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CE nuevo 2023
</t>
      </text>
    </comment>
    <comment ref="A268" authorId="7" shapeId="0" xr:uid="{C2003DE3-66DC-4435-8AD7-2FBA0C7964F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CE nuevo 2023
</t>
      </text>
    </comment>
    <comment ref="A728" authorId="8" shapeId="0" xr:uid="{857284EF-A2E1-4088-8674-FDA07B04DC8F}">
      <text>
        <t>[Comentario encadenado]
Su versión de Excel le permite leer este comentario encadenado; sin embargo, las ediciones que se apliquen se quitarán si el archivo se abre en una versión más reciente de Excel. Más información: https://go.microsoft.com/fwlink/?linkid=870924
Comentario:
    CE nuevo 2023</t>
      </text>
    </comment>
    <comment ref="A729" authorId="9" shapeId="0" xr:uid="{73317158-7520-41B9-BC2E-34FFC318D29B}">
      <text>
        <t>[Comentario encadenado]
Su versión de Excel le permite leer este comentario encadenado; sin embargo, las ediciones que se apliquen se quitarán si el archivo se abre en una versión más reciente de Excel. Más información: https://go.microsoft.com/fwlink/?linkid=870924
Comentario:
    CE nuevo 2023</t>
      </text>
    </comment>
    <comment ref="I754" authorId="1" shapeId="0" xr:uid="{84FA3D96-38E1-414A-96D1-F081D239E04E}">
      <text>
        <r>
          <rPr>
            <b/>
            <sz val="9"/>
            <color indexed="81"/>
            <rFont val="Tahoma"/>
            <family val="2"/>
          </rPr>
          <t>Yisuri Yitzel Higuero Chan:</t>
        </r>
        <r>
          <rPr>
            <sz val="9"/>
            <color indexed="81"/>
            <rFont val="Tahoma"/>
            <family val="2"/>
          </rPr>
          <t xml:space="preserve">
Antes llamado CENTRO DE EDUCACION BASICA DE CARTAGO (CEBCA)</t>
        </r>
      </text>
    </comment>
    <comment ref="A1233" authorId="10" shapeId="0" xr:uid="{A9F7848F-EDE2-4D26-BA8B-7E3C71BE1645}">
      <text>
        <r>
          <rPr>
            <b/>
            <sz val="9"/>
            <color indexed="81"/>
            <rFont val="Tahoma"/>
            <family val="2"/>
          </rPr>
          <t>Esther Marquinez:</t>
        </r>
        <r>
          <rPr>
            <sz val="9"/>
            <color indexed="81"/>
            <rFont val="Tahoma"/>
            <family val="2"/>
          </rPr>
          <t xml:space="preserve">
LA INFORMACION ESTA DENTRO DEL 7136 YA QUE ES LA MISMA DIRECTORA
</t>
        </r>
      </text>
    </comment>
    <comment ref="A1376" authorId="11" shapeId="0" xr:uid="{ECBDB5A8-91E7-4674-BAEE-E760F6AF10D7}">
      <text>
        <r>
          <rPr>
            <b/>
            <sz val="9"/>
            <color indexed="81"/>
            <rFont val="Tahoma"/>
            <family val="2"/>
          </rPr>
          <t>Esther Marquinez Hernández:</t>
        </r>
        <r>
          <rPr>
            <sz val="9"/>
            <color indexed="81"/>
            <rFont val="Tahoma"/>
            <family val="2"/>
          </rPr>
          <t xml:space="preserve">
INFORMACION DENTRO DEL 1230 YA QUE ESTA ESCUELA ES ANEXA.</t>
        </r>
      </text>
    </comment>
    <comment ref="A1432" authorId="12" shapeId="0" xr:uid="{93016095-CA1E-4C76-872D-9D92D8D96D04}">
      <text>
        <r>
          <rPr>
            <b/>
            <sz val="9"/>
            <color indexed="81"/>
            <rFont val="Tahoma"/>
            <family val="2"/>
          </rPr>
          <t>CarmenForero:</t>
        </r>
        <r>
          <rPr>
            <sz val="9"/>
            <color indexed="81"/>
            <rFont val="Tahoma"/>
            <family val="2"/>
          </rPr>
          <t xml:space="preserve">
Pasa de la Provincia de Colon a la Provincia de Coclé
</t>
        </r>
      </text>
    </comment>
    <comment ref="D1817" authorId="13" shapeId="0" xr:uid="{0A98624D-C7FD-4D17-BF25-7EDDD01F5040}">
      <text>
        <t>[Comentario encadenado]
Su versión de Excel le permite leer este comentario encadenado; sin embargo, las ediciones que se apliquen se quitarán si el archivo se abre en una versión más reciente de Excel. Más información: https://go.microsoft.com/fwlink/?linkid=870924
Comentario:
    Solo se tiene un docente, pero labora en la Ailitupu</t>
      </text>
    </comment>
    <comment ref="A2115" authorId="10" shapeId="0" xr:uid="{B68A27C4-F67A-489F-97BE-1B80CFC1FFDF}">
      <text>
        <r>
          <rPr>
            <b/>
            <sz val="9"/>
            <color indexed="81"/>
            <rFont val="Tahoma"/>
            <family val="2"/>
          </rPr>
          <t>Esther Marquinez:</t>
        </r>
        <r>
          <rPr>
            <sz val="9"/>
            <color indexed="81"/>
            <rFont val="Tahoma"/>
            <family val="2"/>
          </rPr>
          <t xml:space="preserve">
escuela reabiertas para l año lectivo 2019.
Por lo tanto se le esta verificando su  cod. SIACE.
</t>
        </r>
      </text>
    </comment>
    <comment ref="A2203" authorId="10" shapeId="0" xr:uid="{2DB2F8F4-FFBA-4B71-ADC4-D5635C250D20}">
      <text>
        <r>
          <rPr>
            <b/>
            <sz val="9"/>
            <color indexed="81"/>
            <rFont val="Tahoma"/>
            <family val="2"/>
          </rPr>
          <t>Esther Marquinez:</t>
        </r>
        <r>
          <rPr>
            <sz val="9"/>
            <color indexed="81"/>
            <rFont val="Tahoma"/>
            <family val="2"/>
          </rPr>
          <t xml:space="preserve">
escuela reabiertas para l año lectivo 2019.
Por lo tanto se le esta verificando su  cod. SIACE.
</t>
        </r>
      </text>
    </comment>
    <comment ref="A2465" authorId="14" shapeId="0" xr:uid="{8E7433AB-3568-4374-9355-53F338687299}">
      <text>
        <t>[Comentario encadenado]
Su versión de Excel le permite leer este comentario encadenado; sin embargo, las ediciones que se apliquen se quitarán si el archivo se abre en una versión más reciente de Excel. Más información: https://go.microsoft.com/fwlink/?linkid=870924
Comentario:
    ACTIVO 2023</t>
      </text>
    </comment>
    <comment ref="A2470" authorId="15" shapeId="0" xr:uid="{03483367-9156-40E9-B9CF-1B6216E2474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New 2023
</t>
      </text>
    </comment>
    <comment ref="A2471" authorId="16" shapeId="0" xr:uid="{F09CFFDC-7418-4BE8-BBC5-CD86A9A4415A}">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A2472" authorId="17" shapeId="0" xr:uid="{54CBBCD5-14BE-485F-AFF1-CAF14A0BC8BA}">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A2473" authorId="18" shapeId="0" xr:uid="{73A1ACDC-260C-4986-84D2-5045D6427015}">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A2474" authorId="19" shapeId="0" xr:uid="{F0E2729E-AF93-4BB1-BDB3-4053363B57A5}">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A2475" authorId="20" shapeId="0" xr:uid="{6C00D827-62DF-4E56-AEBC-491EABFBC935}">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A2476" authorId="21" shapeId="0" xr:uid="{65894413-4327-4991-A6FF-03673012F566}">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A2477" authorId="22" shapeId="0" xr:uid="{C284CF27-E4DE-496A-ABE2-648AAE53A81D}">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A2478" authorId="23" shapeId="0" xr:uid="{D6FE9D21-AD89-46A7-A8DE-3564075E2C30}">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A2716" authorId="24" shapeId="0" xr:uid="{24909EA3-DC4F-4567-B4C3-6025A108FC80}">
      <text>
        <t>[Comentario encadenado]
Su versión de Excel le permite leer este comentario encadenado; sin embargo, las ediciones que se apliquen se quitarán si el archivo se abre en una versión más reciente de Excel. Más información: https://go.microsoft.com/fwlink/?linkid=870924
Comentario:
    New 2023</t>
      </text>
    </comment>
    <comment ref="D2717" authorId="1" shapeId="0" xr:uid="{FD86DD68-45DF-4EDB-A086-39F006A043FA}">
      <text>
        <r>
          <rPr>
            <b/>
            <sz val="9"/>
            <color indexed="81"/>
            <rFont val="Tahoma"/>
            <family val="2"/>
          </rPr>
          <t>Yisuri Yitzel Higuero Chan:</t>
        </r>
        <r>
          <rPr>
            <sz val="9"/>
            <color indexed="81"/>
            <rFont val="Tahoma"/>
            <family val="2"/>
          </rPr>
          <t xml:space="preserve">
Nueva Creación 2024, ANEXA A BARRANQUILLA</t>
        </r>
      </text>
    </comment>
    <comment ref="I2717" authorId="1" shapeId="0" xr:uid="{D428F69A-12AE-487E-B055-2EF6708625D2}">
      <text>
        <r>
          <rPr>
            <b/>
            <sz val="9"/>
            <color indexed="81"/>
            <rFont val="Tahoma"/>
            <family val="2"/>
          </rPr>
          <t>Yisuri Yitzel Higuero Chan:</t>
        </r>
        <r>
          <rPr>
            <sz val="9"/>
            <color indexed="81"/>
            <rFont val="Tahoma"/>
            <family val="2"/>
          </rPr>
          <t xml:space="preserve">
Nueva Creación 2024</t>
        </r>
      </text>
    </comment>
    <comment ref="A3344" authorId="11" shapeId="0" xr:uid="{69C2F15E-0BED-4F50-A0BF-793327CF6560}">
      <text>
        <r>
          <rPr>
            <b/>
            <sz val="9"/>
            <color indexed="81"/>
            <rFont val="Tahoma"/>
            <family val="2"/>
          </rPr>
          <t>Esther Marquinez Hernández:</t>
        </r>
        <r>
          <rPr>
            <sz val="9"/>
            <color indexed="81"/>
            <rFont val="Tahoma"/>
            <family val="2"/>
          </rPr>
          <t xml:space="preserve">
MATRICULA 2022 EN </t>
        </r>
      </text>
    </comment>
    <comment ref="A3382" authorId="25" shapeId="0" xr:uid="{9DE72E00-2D4D-414B-8446-45DBA55A9080}">
      <text>
        <t>[Comentario encadenado]
Su versión de Excel le permite leer este comentario encadenado; sin embargo, las ediciones que se apliquen se quitarán si el archivo se abre en una versión más reciente de Excel. Más información: https://go.microsoft.com/fwlink/?linkid=870924
Comentario:
    Reactiva, 2023</t>
      </text>
    </comment>
    <comment ref="C3429" authorId="26" shapeId="0" xr:uid="{BB83717C-75F8-4894-91EF-F2446A8D918D}">
      <text>
        <t>[Comentario encadenado]
Su versión de Excel le permite leer este comentario encadenado; sin embargo, las ediciones que se apliquen se quitarán si el archivo se abre en una versión más reciente de Excel. Más información: https://go.microsoft.com/fwlink/?linkid=870924
Comentario:
    Investigar el cambio de dependencia de este colegio, aparece en SIACE calificaciones  30 de octubre de 2023</t>
      </text>
    </comment>
    <comment ref="A3482" authorId="11" shapeId="0" xr:uid="{420BD58E-F233-47C8-95B4-561C69F34C6D}">
      <text>
        <r>
          <rPr>
            <b/>
            <sz val="9"/>
            <color indexed="81"/>
            <rFont val="Tahoma"/>
            <family val="2"/>
          </rPr>
          <t>Esther Marquinez Hernández:</t>
        </r>
        <r>
          <rPr>
            <sz val="9"/>
            <color indexed="81"/>
            <rFont val="Tahoma"/>
            <family val="2"/>
          </rPr>
          <t xml:space="preserve">
CAPTURADO FINAL 2022 EN EL CODIGO 5937</t>
        </r>
      </text>
    </comment>
    <comment ref="A3484" authorId="27" shapeId="0" xr:uid="{85633C57-1F71-4E33-AF6F-DAD6572123A8}">
      <text>
        <r>
          <rPr>
            <b/>
            <sz val="9"/>
            <color indexed="81"/>
            <rFont val="Tahoma"/>
            <family val="2"/>
          </rPr>
          <t>Carlina Esther Jiménez Carpintero:</t>
        </r>
        <r>
          <rPr>
            <sz val="9"/>
            <color indexed="81"/>
            <rFont val="Tahoma"/>
            <family val="2"/>
          </rPr>
          <t xml:space="preserve">
7166</t>
        </r>
      </text>
    </comment>
    <comment ref="I3588" authorId="11" shapeId="0" xr:uid="{B44D0069-19FA-4D98-AEB1-E73C8F9D029B}">
      <text>
        <r>
          <rPr>
            <b/>
            <sz val="9"/>
            <color indexed="81"/>
            <rFont val="Tahoma"/>
            <family val="2"/>
          </rPr>
          <t>Esther Marquinez Hernández:</t>
        </r>
        <r>
          <rPr>
            <sz val="9"/>
            <color indexed="81"/>
            <rFont val="Tahoma"/>
            <family val="2"/>
          </rPr>
          <t xml:space="preserve">
POR PARTE DE INTERCULTURAL BILINGÜE INFORMA Q LA MAYOR PARTE DE POBLACION Q ASISTE ES INDIGENA.
</t>
        </r>
      </text>
    </comment>
    <comment ref="A4435" authorId="10" shapeId="0" xr:uid="{CB4C7AC4-81F5-41D8-98D5-E466BBF6DF0E}">
      <text>
        <r>
          <rPr>
            <b/>
            <sz val="9"/>
            <color indexed="81"/>
            <rFont val="Tahoma"/>
            <family val="2"/>
          </rPr>
          <t>Esther Marquinez:</t>
        </r>
        <r>
          <rPr>
            <sz val="9"/>
            <color indexed="81"/>
            <rFont val="Tahoma"/>
            <family val="2"/>
          </rPr>
          <t xml:space="preserve">
usa las istalaciones de San Vicente de Paul
</t>
        </r>
      </text>
    </comment>
    <comment ref="A4584" authorId="1" shapeId="0" xr:uid="{6D491364-11B6-4132-9473-25CD2FAC7A22}">
      <text>
        <r>
          <rPr>
            <b/>
            <sz val="9"/>
            <color indexed="81"/>
            <rFont val="Tahoma"/>
            <family val="2"/>
          </rPr>
          <t>Yisuri Yitzel Higuero Chan:</t>
        </r>
        <r>
          <rPr>
            <sz val="9"/>
            <color indexed="81"/>
            <rFont val="Tahoma"/>
            <family val="2"/>
          </rPr>
          <t xml:space="preserve">
Pendiente de verificación 15/3/2024 </t>
        </r>
      </text>
    </comment>
  </commentList>
</comments>
</file>

<file path=xl/sharedStrings.xml><?xml version="1.0" encoding="utf-8"?>
<sst xmlns="http://schemas.openxmlformats.org/spreadsheetml/2006/main" count="70200" uniqueCount="9606">
  <si>
    <t>Región</t>
  </si>
  <si>
    <t>PA</t>
  </si>
  <si>
    <t>Nombre</t>
  </si>
  <si>
    <t>Provincia</t>
  </si>
  <si>
    <t>Distrito</t>
  </si>
  <si>
    <t>Corregimiento</t>
  </si>
  <si>
    <t>Tipo UM</t>
  </si>
  <si>
    <t>Latitud</t>
  </si>
  <si>
    <t>Longitud</t>
  </si>
  <si>
    <t>Fecha de Activación</t>
  </si>
  <si>
    <t>Colegio Rogelio Josué Ibarra</t>
  </si>
  <si>
    <t>Bocas del Toro</t>
  </si>
  <si>
    <t>FO</t>
  </si>
  <si>
    <t>12/07/2017</t>
  </si>
  <si>
    <t>Escuela República de Nicaragua</t>
  </si>
  <si>
    <t>Col. Sec. de Almirante</t>
  </si>
  <si>
    <t>Almirante</t>
  </si>
  <si>
    <t>Puerto Almirante</t>
  </si>
  <si>
    <t>10/07/2017</t>
  </si>
  <si>
    <t>Escuela Almirante</t>
  </si>
  <si>
    <t>28/06/2017</t>
  </si>
  <si>
    <t>Escuela Barriada Guaymi</t>
  </si>
  <si>
    <t>30/06/2017</t>
  </si>
  <si>
    <t>Escuela Berta López</t>
  </si>
  <si>
    <t>29/06/2017</t>
  </si>
  <si>
    <t>Escuela Miraflores</t>
  </si>
  <si>
    <t>Escuela Nuevo Paraíso</t>
  </si>
  <si>
    <t>BDA</t>
  </si>
  <si>
    <t>Changuinola</t>
  </si>
  <si>
    <t>Escuela Finca 41</t>
  </si>
  <si>
    <t>27/06/2017</t>
  </si>
  <si>
    <t>Hospital Changuinola</t>
  </si>
  <si>
    <t>Instituto Profesional y técnico de Bocas del Toro</t>
  </si>
  <si>
    <t>HFC</t>
  </si>
  <si>
    <t>26/06/2017</t>
  </si>
  <si>
    <t>Palacio Municipal Changuinola</t>
  </si>
  <si>
    <t>Parque de la escuela de changuinola</t>
  </si>
  <si>
    <t>11/07/2017</t>
  </si>
  <si>
    <t>Policia de la Niñez y Adolescencia</t>
  </si>
  <si>
    <t>Terminal de Transporte Sincotavecop</t>
  </si>
  <si>
    <t>C.E.B.G. Finca 32</t>
  </si>
  <si>
    <t>C.E.B.G. FINCA 62</t>
  </si>
  <si>
    <t>Escuela Finca 43</t>
  </si>
  <si>
    <t>Escuela Finca 44</t>
  </si>
  <si>
    <t>Escuela Finca 64</t>
  </si>
  <si>
    <t>02/08/2017</t>
  </si>
  <si>
    <t>Escuela Finca 67</t>
  </si>
  <si>
    <t>C.E.B.G. Finca 04</t>
  </si>
  <si>
    <t>El Empalme</t>
  </si>
  <si>
    <t>Cuartel de Bomberos del Empalme</t>
  </si>
  <si>
    <t>Escuela El Empalme</t>
  </si>
  <si>
    <t>Escuela El Silencio</t>
  </si>
  <si>
    <t>Escuela Finca 3</t>
  </si>
  <si>
    <t>Satelital</t>
  </si>
  <si>
    <t>19/12/2017</t>
  </si>
  <si>
    <t>I.P.T. EL SILENCIO</t>
  </si>
  <si>
    <t>Universidad de Panamá El Empalme</t>
  </si>
  <si>
    <t>Universidad de Panamá- Sede Agropecuaria</t>
  </si>
  <si>
    <t>UTP El Empalme</t>
  </si>
  <si>
    <t>C.E.B.G. Guabito</t>
  </si>
  <si>
    <t>Guabito</t>
  </si>
  <si>
    <t>Colegio Secundario de Guabito</t>
  </si>
  <si>
    <t>Escuela Finca 41 Guabito</t>
  </si>
  <si>
    <t>Escuela Finca 54</t>
  </si>
  <si>
    <t>Escuela Finca Débora</t>
  </si>
  <si>
    <t>03/08/2017</t>
  </si>
  <si>
    <t>Escuela Puente blanco</t>
  </si>
  <si>
    <t>Escuela San San Medio (Anexa)</t>
  </si>
  <si>
    <t>Policlínica de Guabito CSS</t>
  </si>
  <si>
    <t>C.E.B.G. Dionisia G. de Ayarza</t>
  </si>
  <si>
    <t>Chiriquí Grande</t>
  </si>
  <si>
    <t>I.P.T. Chiriquí Grande</t>
  </si>
  <si>
    <t>Municipio Chiriquí Grande (Cabecera)</t>
  </si>
  <si>
    <t>C.E.B.G. PUNTA PEÑA</t>
  </si>
  <si>
    <t>Punta Peña</t>
  </si>
  <si>
    <t>Escuela Cañazas</t>
  </si>
  <si>
    <t>Esc. Alanje</t>
  </si>
  <si>
    <t>Chiriquí</t>
  </si>
  <si>
    <t>Alanje</t>
  </si>
  <si>
    <t>Santiago de Alanje</t>
  </si>
  <si>
    <t>01/06/2017</t>
  </si>
  <si>
    <t>Municipio de Alanje</t>
  </si>
  <si>
    <t>13/06/2017</t>
  </si>
  <si>
    <t>Parque Central Alanje</t>
  </si>
  <si>
    <t>C.E.B.G. Divalá</t>
  </si>
  <si>
    <t>Divalá</t>
  </si>
  <si>
    <t>26/07/2017</t>
  </si>
  <si>
    <t>Policlínica de la CSS de Divala</t>
  </si>
  <si>
    <t>27/07/2017</t>
  </si>
  <si>
    <t>Esc. Guarumal</t>
  </si>
  <si>
    <t>Guarumal</t>
  </si>
  <si>
    <t>29/11/2017</t>
  </si>
  <si>
    <t>Esc. La Esperanza</t>
  </si>
  <si>
    <t>Barú</t>
  </si>
  <si>
    <t>Baco</t>
  </si>
  <si>
    <t>30/05/2017</t>
  </si>
  <si>
    <t>Esc. San Valentín</t>
  </si>
  <si>
    <t>Centro de Educ. Media de Progreso</t>
  </si>
  <si>
    <t>Progreso</t>
  </si>
  <si>
    <t>PTP</t>
  </si>
  <si>
    <t>25/07/2017</t>
  </si>
  <si>
    <t>Esc. Chuchupate</t>
  </si>
  <si>
    <t>Biblioteca Pública Generosa Valdez de Diaz</t>
  </si>
  <si>
    <t>Puerto Tomás Armuelles</t>
  </si>
  <si>
    <t>04/05/2017</t>
  </si>
  <si>
    <t>Bomberos Puerto Armuelles</t>
  </si>
  <si>
    <t>Esc. Los Ángeles</t>
  </si>
  <si>
    <t>24/05/2017</t>
  </si>
  <si>
    <t>Esc. Márgenes de Corotú</t>
  </si>
  <si>
    <t>Esc. Sec. de Puerto Armuelles</t>
  </si>
  <si>
    <t>Esc. Tomás Armuelles</t>
  </si>
  <si>
    <t>Municipio Puerto Armuelles</t>
  </si>
  <si>
    <t>Parque Central Puerto Armuelles</t>
  </si>
  <si>
    <t>Esc. Agua Buena</t>
  </si>
  <si>
    <t>Esc. El Palmar</t>
  </si>
  <si>
    <t>Esc. Flor de Lima</t>
  </si>
  <si>
    <t>Esc. Aguacatón</t>
  </si>
  <si>
    <t>Rodolfo Aguilar Delgado</t>
  </si>
  <si>
    <t>Esc. Balsa</t>
  </si>
  <si>
    <t>23/05/2017</t>
  </si>
  <si>
    <t>Esc. Burica Centro</t>
  </si>
  <si>
    <t>Esc. Corozo</t>
  </si>
  <si>
    <t>04/08/2017</t>
  </si>
  <si>
    <t>Esc. Finca Blanco</t>
  </si>
  <si>
    <t>05/05/2017</t>
  </si>
  <si>
    <t>Esc. Finca Bongo</t>
  </si>
  <si>
    <t>Esc. Finca Zapatero</t>
  </si>
  <si>
    <t>Esc. Guayacán</t>
  </si>
  <si>
    <t>Esc. Higuerón</t>
  </si>
  <si>
    <t>Esc. La Victoria</t>
  </si>
  <si>
    <t>Esc. Manaca Civil</t>
  </si>
  <si>
    <t>Esc. Manaca Norte</t>
  </si>
  <si>
    <t>Esc. San Antonio.</t>
  </si>
  <si>
    <t>Esc. Sec. Finca Blanco</t>
  </si>
  <si>
    <t>I.P.T. Barú</t>
  </si>
  <si>
    <t>P.C. Corozo</t>
  </si>
  <si>
    <t>Esc. La Meseta.</t>
  </si>
  <si>
    <t>Boquerón</t>
  </si>
  <si>
    <t>20/06/2017</t>
  </si>
  <si>
    <t>Parque Central Boquerón</t>
  </si>
  <si>
    <t>14/06/2017</t>
  </si>
  <si>
    <t>Esc. La Guinea</t>
  </si>
  <si>
    <t>Pedregal</t>
  </si>
  <si>
    <t>Esc. Alto Boquete</t>
  </si>
  <si>
    <t>Boquete</t>
  </si>
  <si>
    <t>Alto Boquete</t>
  </si>
  <si>
    <t>29/05/2017</t>
  </si>
  <si>
    <t>Esc. Sec. Benigno T. Argote</t>
  </si>
  <si>
    <t>26/05/2017</t>
  </si>
  <si>
    <t>Escuela Palo Alto (primaria)</t>
  </si>
  <si>
    <t>Bajo Boquete</t>
  </si>
  <si>
    <t>Municipio Bajo Boquete</t>
  </si>
  <si>
    <t>Esc. Volcancito</t>
  </si>
  <si>
    <t>Centro de Salud Aserrío de Gariche</t>
  </si>
  <si>
    <t>Bugaba</t>
  </si>
  <si>
    <t>Aserrío de Gariché</t>
  </si>
  <si>
    <t>Esc. Aserrío</t>
  </si>
  <si>
    <t>Esc. El Exquisito</t>
  </si>
  <si>
    <t>Esc. Gariche</t>
  </si>
  <si>
    <t>14/07/2017</t>
  </si>
  <si>
    <t>Esc. Jacú</t>
  </si>
  <si>
    <t>Esc. La Celmira</t>
  </si>
  <si>
    <t>Esc. Portón</t>
  </si>
  <si>
    <t>Esc. San Isidro</t>
  </si>
  <si>
    <t>18/05/2017</t>
  </si>
  <si>
    <t>Esc. San Pedro</t>
  </si>
  <si>
    <t>Parque Aserrío de Gariche</t>
  </si>
  <si>
    <t>Esc. Brisas del Río</t>
  </si>
  <si>
    <t>25/05/2017</t>
  </si>
  <si>
    <t>Esc. Mata de Bugaba</t>
  </si>
  <si>
    <t>Municipio de Bugaba</t>
  </si>
  <si>
    <t>C.E.B.G. Cerro Punta</t>
  </si>
  <si>
    <t>Tierras Altas</t>
  </si>
  <si>
    <t>Cerro Punta</t>
  </si>
  <si>
    <t>31/05/2017</t>
  </si>
  <si>
    <t>Centro de Salud Cerro Punta</t>
  </si>
  <si>
    <t>Esc. Guadalupe/Fernando Eleta Almarán</t>
  </si>
  <si>
    <t>Esc. Nueva Suiza</t>
  </si>
  <si>
    <t>Esc. Gómez</t>
  </si>
  <si>
    <t>Gómez</t>
  </si>
  <si>
    <t>Esc. San Miguel de Exquisito</t>
  </si>
  <si>
    <t>Biblioteca Catolica</t>
  </si>
  <si>
    <t>La Concepción</t>
  </si>
  <si>
    <t>Biblioteca Pública La Concepción CENTRO ACP</t>
  </si>
  <si>
    <t>Centro Cristiano Bugaba</t>
  </si>
  <si>
    <t>Esc. Cuesta de Piedra</t>
  </si>
  <si>
    <t>Esc. de Solano</t>
  </si>
  <si>
    <t>Esc. San Vicente</t>
  </si>
  <si>
    <t>Escuela Belen</t>
  </si>
  <si>
    <t>Escuela Daniel Octavio Crespo</t>
  </si>
  <si>
    <t>I.P.T. Solano</t>
  </si>
  <si>
    <t>Parque Central Bugaba</t>
  </si>
  <si>
    <t>01/12/2017</t>
  </si>
  <si>
    <t>Primaria Justo Abel Castillo</t>
  </si>
  <si>
    <t>Centro de Salud La Estrella</t>
  </si>
  <si>
    <t>La Estrella</t>
  </si>
  <si>
    <t>Esc. La Estrella</t>
  </si>
  <si>
    <t>28/09/2017</t>
  </si>
  <si>
    <t>ESC. LA TRANCA</t>
  </si>
  <si>
    <t>Esc. Sioguí Abajo Nº 2</t>
  </si>
  <si>
    <t>Esc. San Andrés</t>
  </si>
  <si>
    <t>San Andrés</t>
  </si>
  <si>
    <t>Esc. San Francisco</t>
  </si>
  <si>
    <t>P.C. San Andrés</t>
  </si>
  <si>
    <t>Escuela Santa Marta</t>
  </si>
  <si>
    <t>Santa Marta</t>
  </si>
  <si>
    <t>Esc. Manchuila</t>
  </si>
  <si>
    <t>Santo Domingo</t>
  </si>
  <si>
    <t>P.C. Santo Domingo</t>
  </si>
  <si>
    <t>Centro de Salud Sortova</t>
  </si>
  <si>
    <t>Sortová</t>
  </si>
  <si>
    <t>Bomberos Volcán</t>
  </si>
  <si>
    <t>Volcán</t>
  </si>
  <si>
    <t>C.E.B.G. de Volcán</t>
  </si>
  <si>
    <t>Esc. El Bijao</t>
  </si>
  <si>
    <t>Esc. El Valle.</t>
  </si>
  <si>
    <t>Esc. Las Perlas</t>
  </si>
  <si>
    <t>Parque Plaza Volcán</t>
  </si>
  <si>
    <t>Policía Nacional</t>
  </si>
  <si>
    <t>Esc. Chiriquí</t>
  </si>
  <si>
    <t>David</t>
  </si>
  <si>
    <t>Esc. Chorcha Abajo</t>
  </si>
  <si>
    <t>16/10/2017</t>
  </si>
  <si>
    <t>Esc. El Veladero.</t>
  </si>
  <si>
    <t>Esc. La Pita</t>
  </si>
  <si>
    <t>Esc. Cochea Arriba</t>
  </si>
  <si>
    <t>Cochea</t>
  </si>
  <si>
    <t>Aldeas Infantiles SOS</t>
  </si>
  <si>
    <t>San José de David</t>
  </si>
  <si>
    <t>Ave. Central David</t>
  </si>
  <si>
    <t>PMP</t>
  </si>
  <si>
    <t>Biblioteca Pública Santiago Anguizola CENTRO ACP</t>
  </si>
  <si>
    <t>15/05/2017</t>
  </si>
  <si>
    <t>Centro de Salud San Mateo</t>
  </si>
  <si>
    <t>17/05/2017</t>
  </si>
  <si>
    <t>Elisa Chiari</t>
  </si>
  <si>
    <t>Esc. Barriada Victoriano Lorenzo</t>
  </si>
  <si>
    <t>16/05/2017</t>
  </si>
  <si>
    <t>Esc. de Doleguita</t>
  </si>
  <si>
    <t>Esc. de Lassonde</t>
  </si>
  <si>
    <t>Esc. de San Mateo</t>
  </si>
  <si>
    <t>Esc. El Varital</t>
  </si>
  <si>
    <t>Esc. María Olimpia de Obaldía</t>
  </si>
  <si>
    <t>Esc. Medalla Milagrosa</t>
  </si>
  <si>
    <t>Esc. Nuevo Vedado</t>
  </si>
  <si>
    <t>Esc. Nvo. Amanecer</t>
  </si>
  <si>
    <t>22/05/2017</t>
  </si>
  <si>
    <t>Escuela Antonio José de Sucre</t>
  </si>
  <si>
    <t>Escuela de los Abanicos</t>
  </si>
  <si>
    <t>Escuela de San Cristobal</t>
  </si>
  <si>
    <t>Escuela Loma Colorada</t>
  </si>
  <si>
    <t>Francisco Morazan</t>
  </si>
  <si>
    <t>I.P.T. Arnulfo Arias M.</t>
  </si>
  <si>
    <t>I.P.T. David</t>
  </si>
  <si>
    <t>INADEH David</t>
  </si>
  <si>
    <t>INADEH-Area de Talleres</t>
  </si>
  <si>
    <t>José Maria Roy</t>
  </si>
  <si>
    <t>Mercado Público Municipal David</t>
  </si>
  <si>
    <t>Municipio de David</t>
  </si>
  <si>
    <t>Parque Cervantes de David</t>
  </si>
  <si>
    <t>Republica de Francia</t>
  </si>
  <si>
    <t>UNACHI ( Universidad Autonoma de Chiriqui)</t>
  </si>
  <si>
    <t>Valle Alto del Río</t>
  </si>
  <si>
    <t>Esc. El Quiteño</t>
  </si>
  <si>
    <t>Las Lomas</t>
  </si>
  <si>
    <t>19/05/2017</t>
  </si>
  <si>
    <t>Esc. El Valle</t>
  </si>
  <si>
    <t>Esc. LLano Grande Abajo</t>
  </si>
  <si>
    <t>20/05/2017</t>
  </si>
  <si>
    <t>Esc. Mata del Nance</t>
  </si>
  <si>
    <t>Esc. San José</t>
  </si>
  <si>
    <t>P.C. Victoriano Lorenzo</t>
  </si>
  <si>
    <t>Parque Llano Arriba</t>
  </si>
  <si>
    <t>ESC. AURA ROSA AGUILAR</t>
  </si>
  <si>
    <t>San Carlos</t>
  </si>
  <si>
    <t>Hospital Materno Infantil</t>
  </si>
  <si>
    <t>Hospital Regional de Chiriquí</t>
  </si>
  <si>
    <t>Universidad Tecnológica San Carlos</t>
  </si>
  <si>
    <t>Esc. Aguacatal</t>
  </si>
  <si>
    <t>San Pablo Viejo</t>
  </si>
  <si>
    <t>Esc. Montilla</t>
  </si>
  <si>
    <t>Esc. San Juan del David</t>
  </si>
  <si>
    <t>15/06/2017</t>
  </si>
  <si>
    <t>Esc. San Pablo Viejo Arriba</t>
  </si>
  <si>
    <t>28/07/2017</t>
  </si>
  <si>
    <t>CEBG Los Algarrobos</t>
  </si>
  <si>
    <t>Dolega</t>
  </si>
  <si>
    <t>Los Algarrobos</t>
  </si>
  <si>
    <t>01/08/2017</t>
  </si>
  <si>
    <t>Esc. El Flor</t>
  </si>
  <si>
    <t>Municipio de Dolega</t>
  </si>
  <si>
    <t>Esc. Las Cañas.</t>
  </si>
  <si>
    <t>Esc. Los Bejucos</t>
  </si>
  <si>
    <t>Centro de Salud Los Anastacios</t>
  </si>
  <si>
    <t>Los Anastacios</t>
  </si>
  <si>
    <t>02/06/2017</t>
  </si>
  <si>
    <t>Esc. Rincón Largo</t>
  </si>
  <si>
    <t>16/06/2017</t>
  </si>
  <si>
    <t>Escuela Los Anastacios</t>
  </si>
  <si>
    <t>Escuela Primaria Santa Rosa</t>
  </si>
  <si>
    <t>Parque 27 de Noviembre</t>
  </si>
  <si>
    <t>Parque Residencial Altamar</t>
  </si>
  <si>
    <t>Plaza Los Algarrobos</t>
  </si>
  <si>
    <t>Esc. Higuerón.</t>
  </si>
  <si>
    <t>Gualaca</t>
  </si>
  <si>
    <t>Municipio Gualaca</t>
  </si>
  <si>
    <t>Parque Gualaca</t>
  </si>
  <si>
    <t>Esc. Secundaria Jesús Maria Pla</t>
  </si>
  <si>
    <t>Esc. Antonio Anguizola</t>
  </si>
  <si>
    <t>Remedios</t>
  </si>
  <si>
    <t>24/07/2017</t>
  </si>
  <si>
    <t>Municipio de Remedios</t>
  </si>
  <si>
    <t>P.C. Arturo D. Motta</t>
  </si>
  <si>
    <t>Esc. Alto de Quiel</t>
  </si>
  <si>
    <t>Renacimiento</t>
  </si>
  <si>
    <t>Cañas Gordas</t>
  </si>
  <si>
    <t>Esc. Bajos de Chiriquí</t>
  </si>
  <si>
    <t>27/09/2017</t>
  </si>
  <si>
    <t>Esc. Qda. Las Vueltas</t>
  </si>
  <si>
    <t>Esc. Monte Lirio</t>
  </si>
  <si>
    <t>Monte Lirio</t>
  </si>
  <si>
    <t>12/12/2017</t>
  </si>
  <si>
    <t>Esc. San Antonio Abajo</t>
  </si>
  <si>
    <t>Esc. Sta. Clara Abajo</t>
  </si>
  <si>
    <t>C.E.B.G. Caizan Fuertes Caminos</t>
  </si>
  <si>
    <t>Plaza de Caisán</t>
  </si>
  <si>
    <t>Esc. Caisán Arriba</t>
  </si>
  <si>
    <t>Esc. Altamira</t>
  </si>
  <si>
    <t>Río Sereno</t>
  </si>
  <si>
    <t>04/12/2017</t>
  </si>
  <si>
    <t>Esc. Piedra Candela</t>
  </si>
  <si>
    <t>Esc. Río Sereno</t>
  </si>
  <si>
    <t>22/06/2017</t>
  </si>
  <si>
    <t>Municipo de Renacimiento</t>
  </si>
  <si>
    <t>Esc. Miraflores.</t>
  </si>
  <si>
    <t>Parque Río Sereno</t>
  </si>
  <si>
    <t>31/01/2018</t>
  </si>
  <si>
    <t>Esc. Palmarito</t>
  </si>
  <si>
    <t>Santa Clara</t>
  </si>
  <si>
    <t>Esc. Sta. Clara</t>
  </si>
  <si>
    <t>Esc. Las Lajas</t>
  </si>
  <si>
    <t>San Félix</t>
  </si>
  <si>
    <t>Las Lajas</t>
  </si>
  <si>
    <t>Esc. Sec. de Las Lajas</t>
  </si>
  <si>
    <t>Municipio San Félix</t>
  </si>
  <si>
    <t>Esc. San Félix</t>
  </si>
  <si>
    <t>Hospital MINSA</t>
  </si>
  <si>
    <t>Esc. Boca del Monte</t>
  </si>
  <si>
    <t>San Lorenzo</t>
  </si>
  <si>
    <t>Boca del Monte</t>
  </si>
  <si>
    <t>21/06/2017</t>
  </si>
  <si>
    <t>Esc. Las Vueltas</t>
  </si>
  <si>
    <t>23/06/2017</t>
  </si>
  <si>
    <t>Esc. Sara V. Campbell</t>
  </si>
  <si>
    <t>Horconcitos</t>
  </si>
  <si>
    <t>Municipio San Lorenzo</t>
  </si>
  <si>
    <t>Esc. Llano Grande</t>
  </si>
  <si>
    <t>23/10/2017</t>
  </si>
  <si>
    <t>Esc. San Lorenzo</t>
  </si>
  <si>
    <t>I.P.T. Abel Tapiero Miranda</t>
  </si>
  <si>
    <t>Esc. Comun</t>
  </si>
  <si>
    <t>Tolé</t>
  </si>
  <si>
    <t>Esc. Santiago Bolaños</t>
  </si>
  <si>
    <t>Municipio Tole</t>
  </si>
  <si>
    <t>Municipio Soloy</t>
  </si>
  <si>
    <t>Comarca Ngäbe-Buglé</t>
  </si>
  <si>
    <t>Besikó</t>
  </si>
  <si>
    <t>Soloy</t>
  </si>
  <si>
    <t>24/11/2017</t>
  </si>
  <si>
    <t>Municipio Kusapín</t>
  </si>
  <si>
    <t>Kusapín</t>
  </si>
  <si>
    <t>28/12/2017</t>
  </si>
  <si>
    <t>COL. Río Chiriquí</t>
  </si>
  <si>
    <t>Río Chiriquí</t>
  </si>
  <si>
    <t>14/12/2017</t>
  </si>
  <si>
    <t>Municipio Hato Pilón</t>
  </si>
  <si>
    <t>Mironó</t>
  </si>
  <si>
    <t>Hato Pilón</t>
  </si>
  <si>
    <t>C.E.B.G. Alto Caballero</t>
  </si>
  <si>
    <t>Müna</t>
  </si>
  <si>
    <t>Alto Caballero</t>
  </si>
  <si>
    <t>12/09/2017</t>
  </si>
  <si>
    <t>C.E.B.G. Cerro Puerco</t>
  </si>
  <si>
    <t>Cerro Puerco</t>
  </si>
  <si>
    <t>I.P.T.. Chichica</t>
  </si>
  <si>
    <t>Chichica</t>
  </si>
  <si>
    <t>22/09/2017</t>
  </si>
  <si>
    <t>Escuela Llano Macano</t>
  </si>
  <si>
    <t>Nibra</t>
  </si>
  <si>
    <t>13/12/2017</t>
  </si>
  <si>
    <t>I.P.T. Sitio Prado</t>
  </si>
  <si>
    <t>Sitio Prado</t>
  </si>
  <si>
    <t>C.E.B.G. Cerro Iglesias</t>
  </si>
  <si>
    <t>Nole Düima</t>
  </si>
  <si>
    <t>Cerro Iglesias</t>
  </si>
  <si>
    <t>26/09/2017</t>
  </si>
  <si>
    <t>Municipio Nole Duima</t>
  </si>
  <si>
    <t>C.E.B.G. Petita Santos</t>
  </si>
  <si>
    <t>Susama</t>
  </si>
  <si>
    <t>Colegio El Peñón</t>
  </si>
  <si>
    <t>Ñürüm</t>
  </si>
  <si>
    <t>Agua de Salud</t>
  </si>
  <si>
    <t>Municipio Buenos Aires</t>
  </si>
  <si>
    <t>Buenos Aires</t>
  </si>
  <si>
    <t>23/01/2018</t>
  </si>
  <si>
    <t>Centro Educativo Cerro Pelado</t>
  </si>
  <si>
    <t>Cerro Pelado</t>
  </si>
  <si>
    <t>I.P.T.A. Hermana María Mercedes Pérez</t>
  </si>
  <si>
    <t>El Bale</t>
  </si>
  <si>
    <t>Municipio Atalaya (Cabecera)</t>
  </si>
  <si>
    <t>Veraguas</t>
  </si>
  <si>
    <t>Atalaya</t>
  </si>
  <si>
    <t>Jesús Nazareno de Atalaya</t>
  </si>
  <si>
    <t>PC de Atalaya</t>
  </si>
  <si>
    <t>Escuela Eligio Tejada Ortega</t>
  </si>
  <si>
    <t>Calobre</t>
  </si>
  <si>
    <t>C.E.B.G. San Miguel</t>
  </si>
  <si>
    <t>I.P.T. César A. Clavel Méndez</t>
  </si>
  <si>
    <t>Cañazas</t>
  </si>
  <si>
    <t>San Francisco Javier de Cañazas</t>
  </si>
  <si>
    <t>Escuela San Pablo (ESC. JOSE David JIMENEZ)</t>
  </si>
  <si>
    <t>La Mesa</t>
  </si>
  <si>
    <t>Bisvalles</t>
  </si>
  <si>
    <t>Escuela Zodelda Franco</t>
  </si>
  <si>
    <t>05/10/2017</t>
  </si>
  <si>
    <t>Municipio La Mesa</t>
  </si>
  <si>
    <t>C.E.B.G. Animas de Boro</t>
  </si>
  <si>
    <t>San Bartolo</t>
  </si>
  <si>
    <t>C.E.B.G. Mercedes A. de Tristán</t>
  </si>
  <si>
    <t>Escuela El Marañón</t>
  </si>
  <si>
    <t>Escuela El Rincón</t>
  </si>
  <si>
    <t>Las Palmas</t>
  </si>
  <si>
    <t>El Rincón</t>
  </si>
  <si>
    <t>06/09/2017</t>
  </si>
  <si>
    <t>I.P.T. El Rincón</t>
  </si>
  <si>
    <t>13/07/2017</t>
  </si>
  <si>
    <t>Escuela José A. Ruiz</t>
  </si>
  <si>
    <t>I.P.T. Las Palmas</t>
  </si>
  <si>
    <t>Escuela Torio</t>
  </si>
  <si>
    <t>Mariato</t>
  </si>
  <si>
    <t>C.E.B.G. Loma de Quebro</t>
  </si>
  <si>
    <t>Quebro</t>
  </si>
  <si>
    <t>Escuela Quebro</t>
  </si>
  <si>
    <t>Escuela Adolfo José Fábrega</t>
  </si>
  <si>
    <t>Montijo</t>
  </si>
  <si>
    <t>Escuela El Pilón</t>
  </si>
  <si>
    <t>C.E.B.G. Rogelio E. Nurse</t>
  </si>
  <si>
    <t>San Francisco</t>
  </si>
  <si>
    <t>Remance</t>
  </si>
  <si>
    <t>C.E.B.G. Pedro Arrocha Graell</t>
  </si>
  <si>
    <t>San Francisco de la Montaña</t>
  </si>
  <si>
    <t>C.E.B.G. San José Nº 2</t>
  </si>
  <si>
    <t>San José</t>
  </si>
  <si>
    <t>08/09/2017</t>
  </si>
  <si>
    <t>Belisario Villar</t>
  </si>
  <si>
    <t>Santiago</t>
  </si>
  <si>
    <t>Canto del Llano</t>
  </si>
  <si>
    <t>CEBG Rubén Darío - Canto del Llano</t>
  </si>
  <si>
    <t>Centro de Salud del Canto del Llano</t>
  </si>
  <si>
    <t>E.S.N.O. de Veraguas</t>
  </si>
  <si>
    <t>I.P.T. de Veraguas</t>
  </si>
  <si>
    <t>INADEH Canto del Llano</t>
  </si>
  <si>
    <t>Radio</t>
  </si>
  <si>
    <t>MIDES Canto del Llano</t>
  </si>
  <si>
    <t>Universidad Canto del Llano</t>
  </si>
  <si>
    <t>Villa Universitaria Canto del Llano</t>
  </si>
  <si>
    <t>Escuela José de Los S. Gutiérrez</t>
  </si>
  <si>
    <t>Carlos Santana Ávila</t>
  </si>
  <si>
    <t>Escuela Juana B. Macías</t>
  </si>
  <si>
    <t>Escuela República de Oliver Alemán</t>
  </si>
  <si>
    <t>P.C. La Inmaculda Concepción</t>
  </si>
  <si>
    <t>C.E.B.G. Martín Grande</t>
  </si>
  <si>
    <t>Edwin Fábrega</t>
  </si>
  <si>
    <t>Escuela Quebrada. Honda</t>
  </si>
  <si>
    <t>P.C. Margarito Mojica</t>
  </si>
  <si>
    <t>La Colorada</t>
  </si>
  <si>
    <t>Colegio Secundario La Peña</t>
  </si>
  <si>
    <t>La Peña</t>
  </si>
  <si>
    <t>Escuela Agustín Pérez Colmenares</t>
  </si>
  <si>
    <t>04/09/2017</t>
  </si>
  <si>
    <t>Escuela La Coloradita de la Peña</t>
  </si>
  <si>
    <t>Escuela Los Algarrobos</t>
  </si>
  <si>
    <t>C.E.B.G. Cañazas Abajo</t>
  </si>
  <si>
    <t>La Raya de Santa María</t>
  </si>
  <si>
    <t>03/10/2017</t>
  </si>
  <si>
    <t>Escuela La Raya de Sta. María</t>
  </si>
  <si>
    <t>ESC. SAN PEDRO DEL ESPINO</t>
  </si>
  <si>
    <t>Escuela El Embalsadero</t>
  </si>
  <si>
    <t>Escuela El Llanillo</t>
  </si>
  <si>
    <t>Escuela La Corocita.</t>
  </si>
  <si>
    <t>Escuela Pacora</t>
  </si>
  <si>
    <t>Escuela Guayaquil</t>
  </si>
  <si>
    <t>San Martín de Porres</t>
  </si>
  <si>
    <t>Escuela Punta Delgadita</t>
  </si>
  <si>
    <t>19/06/2017</t>
  </si>
  <si>
    <t>Escuela Rómulo Arrocha</t>
  </si>
  <si>
    <t>Escuela San Martín de Porres</t>
  </si>
  <si>
    <t>Instituto Urracá</t>
  </si>
  <si>
    <t>Anexa El Canada</t>
  </si>
  <si>
    <t>Santiago Apóstol</t>
  </si>
  <si>
    <t>Centro de Salud de Santiago</t>
  </si>
  <si>
    <t>Direccion Regional del MEDUCA (Mercado Público Municipal)</t>
  </si>
  <si>
    <t>Escuela José Santos Puga</t>
  </si>
  <si>
    <t>Escuela Juan D. Arosemena 1</t>
  </si>
  <si>
    <t>Escuela Juan D. Arosemena # 2</t>
  </si>
  <si>
    <t>Escuela La Primavera</t>
  </si>
  <si>
    <t>Escuela Manuel H. Perez</t>
  </si>
  <si>
    <t>IFARHU Santiago</t>
  </si>
  <si>
    <t>Instituto Profesional y Tecnico Omar Torrijos</t>
  </si>
  <si>
    <t>IPHE Santiago</t>
  </si>
  <si>
    <t>Parque Central Santiago</t>
  </si>
  <si>
    <t>Policlínica de la Caja de Seguro Social Santiago</t>
  </si>
  <si>
    <t>Terminal de Transporte Santiago</t>
  </si>
  <si>
    <t>C.O.I.F. CALLE PRIMERA</t>
  </si>
  <si>
    <t>C.E.B.G. Bolívar</t>
  </si>
  <si>
    <t>Soná</t>
  </si>
  <si>
    <t>El Marañón</t>
  </si>
  <si>
    <t>Escuela Cerro Largo.</t>
  </si>
  <si>
    <t>20/10/2017</t>
  </si>
  <si>
    <t>Escuela Isabel Arosemena de Ábrego</t>
  </si>
  <si>
    <t>23/11/2017</t>
  </si>
  <si>
    <t>C.E. Dr. Ricardo Martinelli P.</t>
  </si>
  <si>
    <t>Escuela La Trinchera</t>
  </si>
  <si>
    <t>C.E.B.G. El Hicaco</t>
  </si>
  <si>
    <t>Río Grande</t>
  </si>
  <si>
    <t>Colegio Eduardo Sánchez Díaz</t>
  </si>
  <si>
    <t>12/01/2018</t>
  </si>
  <si>
    <t>ESC. SANTA CATALINA</t>
  </si>
  <si>
    <t>Escuela Julieta de Duarte</t>
  </si>
  <si>
    <t>Escuela Madre Vieja</t>
  </si>
  <si>
    <t>Biblioteca Pública Jacinto Velásquez</t>
  </si>
  <si>
    <t>Correos Nacionales Soná</t>
  </si>
  <si>
    <t>Escuela José Bonifacio Alvarado</t>
  </si>
  <si>
    <t>Escuela San José</t>
  </si>
  <si>
    <t>Hospital Regional de Salud Soná</t>
  </si>
  <si>
    <t>IPHE Soná</t>
  </si>
  <si>
    <t>MIDES Soná</t>
  </si>
  <si>
    <t>Municipio de Soná</t>
  </si>
  <si>
    <t>Parque Centenario Soná</t>
  </si>
  <si>
    <t>Terminal de Pasajeros de Soná</t>
  </si>
  <si>
    <t>Universidad de Panamá Soná</t>
  </si>
  <si>
    <t>Carlos Clement-Barrio Norte</t>
  </si>
  <si>
    <t>Colón</t>
  </si>
  <si>
    <t>Barrio Norte</t>
  </si>
  <si>
    <t>Centro de Aprendizaje TIC`s MINISTERIO DE SEGURIDAD</t>
  </si>
  <si>
    <t>Colegio José Guardia Vega-Barrio Norte</t>
  </si>
  <si>
    <t>Esc. Republica del Paraguay</t>
  </si>
  <si>
    <t>Instituto Panameño de Rehabilitacion</t>
  </si>
  <si>
    <t>Instituto Rufo A. Gray-Barrio Norte</t>
  </si>
  <si>
    <t>Juan A. Henriquez-Barrio Norte</t>
  </si>
  <si>
    <t>Hospital Amador Guerrero</t>
  </si>
  <si>
    <t>Barrio Sur</t>
  </si>
  <si>
    <t>Iglesia San Jose</t>
  </si>
  <si>
    <t>Terminal de Transporte de Panamá- Colón (Esc. En Busca de un Mañana)</t>
  </si>
  <si>
    <t>C.E.B.G. Elisa Vda. de Garrido</t>
  </si>
  <si>
    <t>Buena Vista</t>
  </si>
  <si>
    <t>Esc. Altos de Divisa</t>
  </si>
  <si>
    <t>Esc. La Coclesana</t>
  </si>
  <si>
    <t>Esc. Quebrada Bonita Nº 1</t>
  </si>
  <si>
    <t>Escuela Peñas Blancas</t>
  </si>
  <si>
    <t>21/07/2017</t>
  </si>
  <si>
    <t>Policía Nacional Buena Vista</t>
  </si>
  <si>
    <t>11/05/2017</t>
  </si>
  <si>
    <t>C.E.B.G. Manuel Urbano Ayarza</t>
  </si>
  <si>
    <t>Cativá</t>
  </si>
  <si>
    <t>Esc. La Represa</t>
  </si>
  <si>
    <t>I.P.T. de Colón</t>
  </si>
  <si>
    <t>Colegio Abel Bravo</t>
  </si>
  <si>
    <t>Cristóbal</t>
  </si>
  <si>
    <t>17/07/2017</t>
  </si>
  <si>
    <t>C.E.B.G. Luis Jimenez</t>
  </si>
  <si>
    <t>Puerto Pilón</t>
  </si>
  <si>
    <t>12/05/2017</t>
  </si>
  <si>
    <t>ESC. VILLA ALONDRA</t>
  </si>
  <si>
    <t>Junta Comunal de Puerto Pilón (Parque de Las Madres)</t>
  </si>
  <si>
    <t>Esc. Felipe Salabarria Mesa</t>
  </si>
  <si>
    <t>Sabanitas</t>
  </si>
  <si>
    <t>Esc. Santa Rita Arriba</t>
  </si>
  <si>
    <t>Escuela Crispino Ceballos</t>
  </si>
  <si>
    <t>Escuela Marco Ramón Vásquez</t>
  </si>
  <si>
    <t>19/07/2017</t>
  </si>
  <si>
    <t>Instituto Benigno Jimenez</t>
  </si>
  <si>
    <t>Junta Comunal de Sabanitas</t>
  </si>
  <si>
    <t>Policlinica Hospital de Sabanitas</t>
  </si>
  <si>
    <t>Col. Secundario Gatuncillo</t>
  </si>
  <si>
    <t>San Juan</t>
  </si>
  <si>
    <t>05/06/2017</t>
  </si>
  <si>
    <t>Corregiduría San juan</t>
  </si>
  <si>
    <t>10/05/2017</t>
  </si>
  <si>
    <t>Esc. Dr. Augusto S. Boyd Nº 2</t>
  </si>
  <si>
    <t>Esc. Nvo. Vigía</t>
  </si>
  <si>
    <t>Esc. Buenaventura</t>
  </si>
  <si>
    <t>Portobelo</t>
  </si>
  <si>
    <t>San Felipe de Portobelo</t>
  </si>
  <si>
    <t>Municipio Portobelo</t>
  </si>
  <si>
    <t>Escuela Alto Playón</t>
  </si>
  <si>
    <t>Comarca Emberá-Wounaan</t>
  </si>
  <si>
    <t>Cémaco</t>
  </si>
  <si>
    <t>Lajas Blancas</t>
  </si>
  <si>
    <t>07/08/2017</t>
  </si>
  <si>
    <t>Escuela Arcadio Martínez</t>
  </si>
  <si>
    <t>Comarca Guna Yala</t>
  </si>
  <si>
    <t>Tubualá</t>
  </si>
  <si>
    <t>Parque Comunidad Sasardi</t>
  </si>
  <si>
    <t>Escuela Agua Fría Nº 1</t>
  </si>
  <si>
    <t>Darien</t>
  </si>
  <si>
    <t>Chepigana</t>
  </si>
  <si>
    <t>Agua Fría</t>
  </si>
  <si>
    <t>Escuela Agua Fría Nº 2</t>
  </si>
  <si>
    <t>Escuela El Tirado</t>
  </si>
  <si>
    <t>Centro de Alcance Positivo Garachine</t>
  </si>
  <si>
    <t>Garachiné</t>
  </si>
  <si>
    <t>22/08/2017</t>
  </si>
  <si>
    <t>Centro de Alcance Positivo Jaque</t>
  </si>
  <si>
    <t>Jaqué</t>
  </si>
  <si>
    <t>Centro de Alcance Positivo La Palma</t>
  </si>
  <si>
    <t>La Palma</t>
  </si>
  <si>
    <t>Hospital de la Palma</t>
  </si>
  <si>
    <t>I.P.T. Alejandro Castillo</t>
  </si>
  <si>
    <t>Juzgado Municipal La Palma</t>
  </si>
  <si>
    <t>Parque</t>
  </si>
  <si>
    <t>Universidad Nacional</t>
  </si>
  <si>
    <t>Centro de Alcance Positivo Sambú</t>
  </si>
  <si>
    <t>Sambú</t>
  </si>
  <si>
    <t>CENTRO EDUCATIVO SECUNDARIO ZAPALLAL</t>
  </si>
  <si>
    <t>Santa Fe</t>
  </si>
  <si>
    <t>Escuela El Zapallal</t>
  </si>
  <si>
    <t>Escuela GERARDO BACORIZO</t>
  </si>
  <si>
    <t>Escuela La Cantera</t>
  </si>
  <si>
    <t>Escuela Sta. Fe</t>
  </si>
  <si>
    <t>Escuela Zimba</t>
  </si>
  <si>
    <t>Area frente al MIDES</t>
  </si>
  <si>
    <t>Pinogana</t>
  </si>
  <si>
    <t>Metetí</t>
  </si>
  <si>
    <t>C.E.B.G. Marcos A. Alarcon P.</t>
  </si>
  <si>
    <t>Escuela Canglon (Instituto Forestal Agropecuario de Darién)</t>
  </si>
  <si>
    <t>10/08/2017</t>
  </si>
  <si>
    <t>Hospital de Meteti</t>
  </si>
  <si>
    <t>IPHE Metetí</t>
  </si>
  <si>
    <t>Municipio de Metetí</t>
  </si>
  <si>
    <t>Parque Comunitario - cancha de baloncesto y futbol</t>
  </si>
  <si>
    <t>Servicio Nacional de Fronteras - Candela</t>
  </si>
  <si>
    <t>Terminal de Transporte Metetí</t>
  </si>
  <si>
    <t>Area frente al Ministerio de Desarrollo Social Chepo</t>
  </si>
  <si>
    <t>Panamá</t>
  </si>
  <si>
    <t>Chepo</t>
  </si>
  <si>
    <t>San Cristóbal de Chepo</t>
  </si>
  <si>
    <t>C.E.B.G. Clímaco Delgado B.</t>
  </si>
  <si>
    <t>Cañita</t>
  </si>
  <si>
    <t xml:space="preserve">C.E.B.G. Santa Isabel </t>
  </si>
  <si>
    <t>COL. VENANCIO FENOSA PASCUAL</t>
  </si>
  <si>
    <t>Colegio Venacio F. Pascual</t>
  </si>
  <si>
    <t>Escuela José G. Duque</t>
  </si>
  <si>
    <t>Escuela Tierra Prometida</t>
  </si>
  <si>
    <t>Escuela Unión de Azuero</t>
  </si>
  <si>
    <t>Hospital Regional de Chepo</t>
  </si>
  <si>
    <t>I. P. T. México - Panamá</t>
  </si>
  <si>
    <t>INADEH Chepo</t>
  </si>
  <si>
    <t>Palacio Municipal Francisco de Leon</t>
  </si>
  <si>
    <t>Terminal de Transporte Chepo</t>
  </si>
  <si>
    <t>Universidad de Panamá - Regional Panamá Este</t>
  </si>
  <si>
    <t>Centro de Salud Tortí</t>
  </si>
  <si>
    <t>Tortí</t>
  </si>
  <si>
    <t>Centro Educativo de Tortí</t>
  </si>
  <si>
    <t>Escuela Curtí</t>
  </si>
  <si>
    <t>Escuela Ipetí Chocó</t>
  </si>
  <si>
    <t>Escuela Loma Bonita</t>
  </si>
  <si>
    <t>Escuela María Elena Díaz</t>
  </si>
  <si>
    <t>Escuela Nuevo Panamá</t>
  </si>
  <si>
    <t>Escuela Palmas Bellas</t>
  </si>
  <si>
    <t>Escuela Playa Chuzo Afuera</t>
  </si>
  <si>
    <t>Escuela Quebrada Cali</t>
  </si>
  <si>
    <t>Escuela San Francisco de Piriatí</t>
  </si>
  <si>
    <t>Escuela San José de Cañazas</t>
  </si>
  <si>
    <t>Escuela Sta. Rosa de Lima</t>
  </si>
  <si>
    <t>Area frente a la Autoridad de los Servicios Publicos - 24 de Diciembre</t>
  </si>
  <si>
    <t>24 de Diciembre</t>
  </si>
  <si>
    <t>Area frente a la Autoridad Nacional de Aduanas (departamento Fiscalización)</t>
  </si>
  <si>
    <t>05/07/2017</t>
  </si>
  <si>
    <t>C.E.B.G. La Siesta</t>
  </si>
  <si>
    <t>C.E.B.G. Vista Hermosa</t>
  </si>
  <si>
    <t>Centro de Salud Chase Kiwanis 24 de Diciembre</t>
  </si>
  <si>
    <t>ESC. CERRO AZUL</t>
  </si>
  <si>
    <t>Esc. Primaria Sta. Maria de los Angeles</t>
  </si>
  <si>
    <t>ESC. UNION CENTROAMERICANA</t>
  </si>
  <si>
    <t>Escuela 24 de Diciembre</t>
  </si>
  <si>
    <t>07/07/2017</t>
  </si>
  <si>
    <t>Escuela Juan E. Jiménez</t>
  </si>
  <si>
    <t>Junta Comunal 24 de Diciembre</t>
  </si>
  <si>
    <t>08/06/2017</t>
  </si>
  <si>
    <t>Municipio 24 de Diciembre</t>
  </si>
  <si>
    <t>C.E.B.G. Melchor Lasso de La Vega</t>
  </si>
  <si>
    <t>Alcalde Díaz</t>
  </si>
  <si>
    <t>08/05/2017</t>
  </si>
  <si>
    <t>Escuela La Cabima</t>
  </si>
  <si>
    <t>09/05/2017</t>
  </si>
  <si>
    <t>Escuela María Henríquez</t>
  </si>
  <si>
    <t>Escuela Nicole Garay</t>
  </si>
  <si>
    <t>Escuela Unión Panamericana</t>
  </si>
  <si>
    <t>Junta Comunal de Alcalde Díaz</t>
  </si>
  <si>
    <t>Escuela Kuna Nega</t>
  </si>
  <si>
    <t>Ancón</t>
  </si>
  <si>
    <t>18/07/2017</t>
  </si>
  <si>
    <t>Instituto Bolivar</t>
  </si>
  <si>
    <t>San Felipe</t>
  </si>
  <si>
    <t>06/07/2017</t>
  </si>
  <si>
    <t>Hospital del Niño</t>
  </si>
  <si>
    <t>Bella Vista</t>
  </si>
  <si>
    <t>P.C. Panamá</t>
  </si>
  <si>
    <t>Corregiduria Municipal</t>
  </si>
  <si>
    <t>Betania</t>
  </si>
  <si>
    <t>24/04/2017</t>
  </si>
  <si>
    <t>Escuela El Japón</t>
  </si>
  <si>
    <t>25/04/2017</t>
  </si>
  <si>
    <t>Escuela José A. Arango</t>
  </si>
  <si>
    <t>Escuela Octavio Méndez Pereira</t>
  </si>
  <si>
    <t>20/07/2017</t>
  </si>
  <si>
    <t>Escuela Santa Familia</t>
  </si>
  <si>
    <t>Instituto América</t>
  </si>
  <si>
    <t>IPT de Comercio</t>
  </si>
  <si>
    <t>Policlinica Alejandro de la Guardia</t>
  </si>
  <si>
    <t>C.E.B.G. Presidente Roosevelt</t>
  </si>
  <si>
    <t>Chilibre</t>
  </si>
  <si>
    <t>C.E.B.G. MARIA LA TORRE</t>
  </si>
  <si>
    <t>C.E.B.G. NUEVO CAIMITILLO</t>
  </si>
  <si>
    <t>Centro de Salud de Chilibre</t>
  </si>
  <si>
    <t>ESC. DOMINGO ROMERO</t>
  </si>
  <si>
    <t>ESC. EL ÑAJU</t>
  </si>
  <si>
    <t>Escuela Don Bosco Rural</t>
  </si>
  <si>
    <t>Escuela John F. Kennedy</t>
  </si>
  <si>
    <t>Escuela Santos Jorge A.</t>
  </si>
  <si>
    <t>Escuela Tomás Arias</t>
  </si>
  <si>
    <t>I.P.T. Chilibre</t>
  </si>
  <si>
    <t>Policía Nacional de Chilibre (María Eugenia)</t>
  </si>
  <si>
    <t>Area frente a Sinaproc - Base Curundú</t>
  </si>
  <si>
    <t>Curundú</t>
  </si>
  <si>
    <t>Biblioteca del Fe y Alegria</t>
  </si>
  <si>
    <t>Centro de salud Curundu</t>
  </si>
  <si>
    <t>Escuela Artes y Oficios (Melchor Lasso de la Vega)</t>
  </si>
  <si>
    <t>Escuela Artes y Oficios (Melchor Lasso de la Vega) 2</t>
  </si>
  <si>
    <t>Escuela Republica de Jamaica</t>
  </si>
  <si>
    <t>Proyecto Curundú Torre 1 Edificio A</t>
  </si>
  <si>
    <t>Proyecto Curundú Torre 1 Edificio B</t>
  </si>
  <si>
    <t>Proyecto Curundú Torre 10 Edificio A</t>
  </si>
  <si>
    <t>Proyecto Curundú Torre 10 Edificio B</t>
  </si>
  <si>
    <t>Proyecto Curundú Torre 10 Edificio C</t>
  </si>
  <si>
    <t>Proyecto Curundú Torre 12 Edificio A</t>
  </si>
  <si>
    <t>Proyecto Curundú Torre 12 Edificio B</t>
  </si>
  <si>
    <t>Proyecto Curundú Torre 13 Edificio A</t>
  </si>
  <si>
    <t>Proyecto Curundú Torre 13 Edificio B</t>
  </si>
  <si>
    <t>Proyecto Curundú Torre 17 Edificio A</t>
  </si>
  <si>
    <t>Proyecto Curundú Torre 17 Edificio B</t>
  </si>
  <si>
    <t>Proyecto Curundú Torre 18 Edificio A</t>
  </si>
  <si>
    <t>Proyecto Curundú Torre 18 Edificio B</t>
  </si>
  <si>
    <t>Proyecto Curundú Torre 18 Edificio C</t>
  </si>
  <si>
    <t>Proyecto Curundú Torre 19 Edificio A</t>
  </si>
  <si>
    <t>Proyecto Curundú Torre 19 Edificio B</t>
  </si>
  <si>
    <t>Proyecto Curundú Torre 19 Edificio C</t>
  </si>
  <si>
    <t>Proyecto Curundú Torre 2 Edificio A</t>
  </si>
  <si>
    <t>Proyecto Curundú Torre 2 Edificio B</t>
  </si>
  <si>
    <t>Proyecto Curundú Torre 2 Edificio C</t>
  </si>
  <si>
    <t>Proyecto Curundú Torre 20 Edificio A</t>
  </si>
  <si>
    <t>Proyecto Curundú Torre 20 Edificio B</t>
  </si>
  <si>
    <t>Proyecto Curundú Torre 21 Edificio A</t>
  </si>
  <si>
    <t>Proyecto Curundú Torre 21 Edificio B</t>
  </si>
  <si>
    <t>03/07/2017</t>
  </si>
  <si>
    <t>Proyecto Curundú Torre 21 Edificio C</t>
  </si>
  <si>
    <t>Proyecto Curundú Torre 25 Edificio A</t>
  </si>
  <si>
    <t>Proyecto Curundú Torre 25 Edificio B</t>
  </si>
  <si>
    <t>Proyecto Curundú Torre 26 Edificio A</t>
  </si>
  <si>
    <t>Proyecto Curundú Torre 26 Edificio B</t>
  </si>
  <si>
    <t>Proyecto Curundú Torre 26 Edificio C</t>
  </si>
  <si>
    <t>Proyecto Curundú Torre 3 Edificio A</t>
  </si>
  <si>
    <t>Proyecto Curundú Torre 4 Edificio B</t>
  </si>
  <si>
    <t>Proyecto Curundú Torre 4 Edificio C</t>
  </si>
  <si>
    <t>Proyecto Curundú Torre 6 Edificio A</t>
  </si>
  <si>
    <t>Proyecto Curundú Torre 6 Edificio B</t>
  </si>
  <si>
    <t>Proyecto Curundú Torre 7 Edificio A</t>
  </si>
  <si>
    <t>Proyecto Curundú Torre 7 Edificio B</t>
  </si>
  <si>
    <t>Proyecto Curundú Torre 8 Edificio A</t>
  </si>
  <si>
    <t>Proyecto Curundú Torre 8 Edificio B</t>
  </si>
  <si>
    <t>Proyecto Curundú Torre 9 Edificio A</t>
  </si>
  <si>
    <t>Centro de Aprendizaje TIC´s MINISTERIO DE SEGURIDAD</t>
  </si>
  <si>
    <t>El Chorrillo</t>
  </si>
  <si>
    <t>Escuela Nuevo Progreso</t>
  </si>
  <si>
    <t>Ernesto Córdoba Campos</t>
  </si>
  <si>
    <t>06/06/2017</t>
  </si>
  <si>
    <t>Escuela San Juan Pablo II</t>
  </si>
  <si>
    <t>Escuela Santa Rita</t>
  </si>
  <si>
    <t>Escuela Villa Milagros</t>
  </si>
  <si>
    <t>12/06/2017</t>
  </si>
  <si>
    <t>Escuela Carmen Sole Bosch</t>
  </si>
  <si>
    <t>Juan Díaz</t>
  </si>
  <si>
    <t>Escuela Elena Chávez De Piñate</t>
  </si>
  <si>
    <t>Escuela Elena Chávez de Piñate 2</t>
  </si>
  <si>
    <t>28/04/2017</t>
  </si>
  <si>
    <t>Escuela Gaspar O. Hernandez</t>
  </si>
  <si>
    <t>26/04/2017</t>
  </si>
  <si>
    <t>Escuela Jose Ma. Torrijos en Concepción</t>
  </si>
  <si>
    <t>Escuela Primaria Federico Escobar (Escuela Las Acacias)</t>
  </si>
  <si>
    <t>Escuela Republica de Guatemala</t>
  </si>
  <si>
    <t>07/06/2017</t>
  </si>
  <si>
    <t>Escuela Toribio Berrios Sosa</t>
  </si>
  <si>
    <t>Escuela Villa Catalina</t>
  </si>
  <si>
    <t>IPT Don Bosco</t>
  </si>
  <si>
    <t>IPT Juan Díaz</t>
  </si>
  <si>
    <t>Parque de Las Madres Juan Díaz</t>
  </si>
  <si>
    <t>Policlinica J.J. Vallarino</t>
  </si>
  <si>
    <t>Biblioteca Pública Eusebio A. Morales</t>
  </si>
  <si>
    <t>Santa Ana</t>
  </si>
  <si>
    <t>Escuela Pedro José Sosa</t>
  </si>
  <si>
    <t>Calidonia</t>
  </si>
  <si>
    <t>Escuela Republica de Chile</t>
  </si>
  <si>
    <t>Parque Porras</t>
  </si>
  <si>
    <t>Plaza Víctor Julio Gutiérrez</t>
  </si>
  <si>
    <t>Policlinica Manuel Ferrer Marañon (Pediatrica)</t>
  </si>
  <si>
    <t>C.E.B.G. Santa Librada Rural</t>
  </si>
  <si>
    <t>Las Cumbres</t>
  </si>
  <si>
    <t>Escuela Grecia</t>
  </si>
  <si>
    <t>Escuela Guillermo Patterson</t>
  </si>
  <si>
    <t>09/06/2017</t>
  </si>
  <si>
    <t>Escuela República Árabe de Egipto</t>
  </si>
  <si>
    <t>Escuela Republica de Rumania</t>
  </si>
  <si>
    <t>Escuela República. de la India</t>
  </si>
  <si>
    <t>Escuela San Pablo y Villa Nueva</t>
  </si>
  <si>
    <t>Escuela Villa Cárdenas</t>
  </si>
  <si>
    <t>Instituto Mons. Francisco Beckman</t>
  </si>
  <si>
    <t>Centro Parvulario Municipal</t>
  </si>
  <si>
    <t>Las Mañanitas</t>
  </si>
  <si>
    <t>Corregiduria Las Mañanitas</t>
  </si>
  <si>
    <t>Escuela de Holanda</t>
  </si>
  <si>
    <t>Escuela El Salvador</t>
  </si>
  <si>
    <t>Escuela Génesis</t>
  </si>
  <si>
    <t>Escuela Jardín de las Mañanitas</t>
  </si>
  <si>
    <t>Escuela Primaria Don Bosco</t>
  </si>
  <si>
    <t>Escuela Primer Ciclo San Miguel Arcángel</t>
  </si>
  <si>
    <t>Junta Comunal de Mañanitas</t>
  </si>
  <si>
    <t>Policía Nacional Las Mañanitas</t>
  </si>
  <si>
    <t>Centro de Salud de Pacora</t>
  </si>
  <si>
    <t>Pacora</t>
  </si>
  <si>
    <t>ESC. CARLOS C. AROSEMENA</t>
  </si>
  <si>
    <t>ESC. CIUDAD SANTA FE</t>
  </si>
  <si>
    <t>ESC. PRESIDENTE VALDES</t>
  </si>
  <si>
    <t>ESC. VIRGEN DE GUADALUPE</t>
  </si>
  <si>
    <t>Escuela China Taiwan</t>
  </si>
  <si>
    <t>Escuela Luis N. Herazo</t>
  </si>
  <si>
    <t>Escuela Paso Blanco</t>
  </si>
  <si>
    <t>Escuela Pueblo Nuevo</t>
  </si>
  <si>
    <t>Escuela Rep. de Honduras</t>
  </si>
  <si>
    <t>Escuela San Diego</t>
  </si>
  <si>
    <t>ESCUELA UTIVÉ</t>
  </si>
  <si>
    <t>Junta Comunal de Pacora</t>
  </si>
  <si>
    <t>la Iglesia Inmaculada Concepción</t>
  </si>
  <si>
    <t>PISCINA MUNICIPAL PACORA</t>
  </si>
  <si>
    <t>Policía de Pacora</t>
  </si>
  <si>
    <t>Terminal de Transporte Pacora</t>
  </si>
  <si>
    <t>Biblioteca Miguel Angel Ordoñez</t>
  </si>
  <si>
    <t>Parque Lefevre</t>
  </si>
  <si>
    <t>Centro de Artesanias Panamá Viejo</t>
  </si>
  <si>
    <t>Escuela Juan Bautista Sosa</t>
  </si>
  <si>
    <t>Escuela Manuel Espinoza Batista</t>
  </si>
  <si>
    <t>Escuela María Ossa de Amador</t>
  </si>
  <si>
    <t>Escuela República de Haití</t>
  </si>
  <si>
    <t>Escuela Sara Sotillo</t>
  </si>
  <si>
    <t>Instituto Jose Dolores Moscote</t>
  </si>
  <si>
    <t>Biblioteca en la junta comunal</t>
  </si>
  <si>
    <t>Escuela Ascanio Villalaz</t>
  </si>
  <si>
    <t>Escuela Dr. Juan Arturo Martinelli</t>
  </si>
  <si>
    <t>Escuela José Pablo Paredes</t>
  </si>
  <si>
    <t>Escuela Narciso Garay</t>
  </si>
  <si>
    <t>Escuela Sta. Cruz</t>
  </si>
  <si>
    <t>Parque de las Madres Pedregal</t>
  </si>
  <si>
    <t>Primaria - Cirilo J. Martinez</t>
  </si>
  <si>
    <t>Casa de la tercera edad (Pueblo Nuevo)</t>
  </si>
  <si>
    <t>Pueblo Nuevo</t>
  </si>
  <si>
    <t>Escuela Francisco Arias Paredes</t>
  </si>
  <si>
    <t>Escuela Ricardo Miró</t>
  </si>
  <si>
    <t>27/04/2017</t>
  </si>
  <si>
    <t>Instituto Comercial Panama</t>
  </si>
  <si>
    <t>Municipio (Junta Comunal)</t>
  </si>
  <si>
    <t>Parque del Comercial Panamá</t>
  </si>
  <si>
    <t>Biblioteca Municipal Juaquin H. Torrijos</t>
  </si>
  <si>
    <t>Río Abajo</t>
  </si>
  <si>
    <t>Escuela Arabe de Libia</t>
  </si>
  <si>
    <t>Escuela Mateo Iturralde</t>
  </si>
  <si>
    <t>Parque San Cristobal</t>
  </si>
  <si>
    <t>ULAPS San Cristobal</t>
  </si>
  <si>
    <t>Arco Chato</t>
  </si>
  <si>
    <t>Escuela - República de México</t>
  </si>
  <si>
    <t>Plaza de Francia</t>
  </si>
  <si>
    <t>Plaza de La Catedral</t>
  </si>
  <si>
    <t>Plaza Herrera</t>
  </si>
  <si>
    <t>Primaria - Estados Unidos de América</t>
  </si>
  <si>
    <t>Biblioteca José María Pinilla</t>
  </si>
  <si>
    <t>Escuela Belisario Porras</t>
  </si>
  <si>
    <t>Escuela Federico A. Velazquez (Boca La Caja)</t>
  </si>
  <si>
    <t>Escuela Isabel Herrera de Obaldía</t>
  </si>
  <si>
    <t>Escuela Isabel Herrera de Obaldía 2</t>
  </si>
  <si>
    <t>Escuela José A. Remón Cantera</t>
  </si>
  <si>
    <t>Escuela Puerto Rico</t>
  </si>
  <si>
    <t>Escuela Republica de Finlandia</t>
  </si>
  <si>
    <t>Escuela Richard Neumann</t>
  </si>
  <si>
    <t>Hospital de Especialidades Pediatricas Las Americas</t>
  </si>
  <si>
    <t>Parque Omar - área recreativa techada</t>
  </si>
  <si>
    <t>Parque Omar Salón de la Tercera Edad</t>
  </si>
  <si>
    <t>ESC. LA MESA</t>
  </si>
  <si>
    <t>San Martín</t>
  </si>
  <si>
    <t>ESC. SAN MIGUEL DE PACORA</t>
  </si>
  <si>
    <t>Escuela Manuel José Hurtado</t>
  </si>
  <si>
    <t>Instituto Nacional</t>
  </si>
  <si>
    <t>Instituto Nacional 2</t>
  </si>
  <si>
    <t>Mercado San Felipe Nery</t>
  </si>
  <si>
    <t>Primaria - Dr. Justo Arosemena</t>
  </si>
  <si>
    <t>Area frente al INADEH Tocumen</t>
  </si>
  <si>
    <t>Tocumen</t>
  </si>
  <si>
    <t>Centro de Salud 24 de Diciembre(Tocumen)</t>
  </si>
  <si>
    <t>Escuela Nuevo Belen</t>
  </si>
  <si>
    <t>Escuela Primaria Emperatriz Taboada</t>
  </si>
  <si>
    <t>Escuela Ricardo J. Alfaro</t>
  </si>
  <si>
    <t>Escuela Sector Sur</t>
  </si>
  <si>
    <t>IPT Jephta B. Duncan ( 24 dic.)</t>
  </si>
  <si>
    <t>Junta Comunal de Tocumen</t>
  </si>
  <si>
    <t>Parque infantil</t>
  </si>
  <si>
    <t>Primer Ciclo Básico de Tocumen</t>
  </si>
  <si>
    <t>Centro de Salud Amelia Denis de Icaza</t>
  </si>
  <si>
    <t>San Miguelito</t>
  </si>
  <si>
    <t>Amelia Denis de Icaza</t>
  </si>
  <si>
    <t>Escuela 9 de Enero</t>
  </si>
  <si>
    <t>Escuela Amelia Denis De Icaza</t>
  </si>
  <si>
    <t>Escuela Gerónimo de la Ossa</t>
  </si>
  <si>
    <t>Primer Ciclo Leon A. Soto 1</t>
  </si>
  <si>
    <t>Primer ciclo Leon A. Soto 2</t>
  </si>
  <si>
    <t>Primer Ciclo Louis Martin</t>
  </si>
  <si>
    <t>Centro de Salud Valle de Urracá</t>
  </si>
  <si>
    <t>Arnulfo Arias</t>
  </si>
  <si>
    <t>Escuela el Valle de Urraca</t>
  </si>
  <si>
    <t>Escuela Martin Luther King</t>
  </si>
  <si>
    <t>Belisario Frías</t>
  </si>
  <si>
    <t>Escuela Primaria Arnulfo Arias</t>
  </si>
  <si>
    <t>Junta Comunal Arnulfo Arias Madrid</t>
  </si>
  <si>
    <t>Area frente al Ministerio de Desarrollo Social Belisario Frías</t>
  </si>
  <si>
    <t>C.E.B.G. Samaria Sinaí</t>
  </si>
  <si>
    <t>Centro de Orientación Infantil Katiuska</t>
  </si>
  <si>
    <t>Centro de Salud de Torrijos Carter</t>
  </si>
  <si>
    <t>Escuela Carlos A. Mendoza</t>
  </si>
  <si>
    <t>Escuela El Mirador</t>
  </si>
  <si>
    <t>Escuela General José de San Martin</t>
  </si>
  <si>
    <t>Escuela Josefina Tapia</t>
  </si>
  <si>
    <t>Escuela República de Polonia</t>
  </si>
  <si>
    <t>Escuela Republica de Corea</t>
  </si>
  <si>
    <t>Escuela Republica de Francia</t>
  </si>
  <si>
    <t>Escuela República de Yugoslavia</t>
  </si>
  <si>
    <t>Escuela Rogelio Sinán</t>
  </si>
  <si>
    <t>Escuela Torrijos Carter</t>
  </si>
  <si>
    <t>IPT San Miguelito</t>
  </si>
  <si>
    <t>Escuela Padre Xavier Villanueva</t>
  </si>
  <si>
    <t>Rufina Alfaro</t>
  </si>
  <si>
    <t>Escuela Primaria Don Bosco en Belisario Porras</t>
  </si>
  <si>
    <t>Belisario Porras</t>
  </si>
  <si>
    <t>Escuela Estado de Israel</t>
  </si>
  <si>
    <t>José Domingo Espinar</t>
  </si>
  <si>
    <t>Escuela Estado de Israel 2</t>
  </si>
  <si>
    <t>Escuela Jose D. Espinar</t>
  </si>
  <si>
    <t>IPT Angel Rubio</t>
  </si>
  <si>
    <t>Junta Comunal Jose D. Espinar</t>
  </si>
  <si>
    <t>Policlinica Dra. Susana Jones Cano (Hospital San Judas Tadeo)</t>
  </si>
  <si>
    <t>Escuela Republica de Colombia</t>
  </si>
  <si>
    <t>Mateo Iturralde</t>
  </si>
  <si>
    <t>Escuela Severino Hernandez (IPT)</t>
  </si>
  <si>
    <t>Policlínica Manuel Maria Valdéz</t>
  </si>
  <si>
    <t>Biblioteca Pública Omar Torrijos Herrera</t>
  </si>
  <si>
    <t>Omar Torrijos</t>
  </si>
  <si>
    <t>Escuela Domingo Faustino Sarmiento</t>
  </si>
  <si>
    <t>Escuela Juan José. Amado</t>
  </si>
  <si>
    <t>Escuela Los Andes # 2 No.1</t>
  </si>
  <si>
    <t>Escuela María del Rosario Salazar</t>
  </si>
  <si>
    <t>Escuela Santa Librada</t>
  </si>
  <si>
    <t>Escuela Santiago de la Guardia</t>
  </si>
  <si>
    <t>IPT Nicolas del Rosario Los Andes</t>
  </si>
  <si>
    <t>Junta Comunal Omar Torrijos</t>
  </si>
  <si>
    <t>Parque Santa Librada tercera etapa</t>
  </si>
  <si>
    <t>Policlínica Generoso Guardia</t>
  </si>
  <si>
    <t>Primer Ciclo Santa Librada</t>
  </si>
  <si>
    <t>Escuela Cerro Viento Rural</t>
  </si>
  <si>
    <t>Escuela Pedro J. Ameglio</t>
  </si>
  <si>
    <t>Escuela República de Alemania</t>
  </si>
  <si>
    <t>Victoriano Lorenzo</t>
  </si>
  <si>
    <t>Escuela San Antonio</t>
  </si>
  <si>
    <t>Instituto Rubiano</t>
  </si>
  <si>
    <t>Escuela Juana María Menchado de Jiménez</t>
  </si>
  <si>
    <t>Taboga</t>
  </si>
  <si>
    <t>Otoque Oriente</t>
  </si>
  <si>
    <t>Escuela Benjamín Quintero</t>
  </si>
  <si>
    <t>Alcaldía Aguadulce</t>
  </si>
  <si>
    <t>Coclé</t>
  </si>
  <si>
    <t>Aguadulce</t>
  </si>
  <si>
    <t>San Juan Bautista de Aguadulce</t>
  </si>
  <si>
    <t>Biblioteca Abelardo Herrera</t>
  </si>
  <si>
    <t>Barrios Unidos</t>
  </si>
  <si>
    <t>Centro de Bellas Artes Folkloricas</t>
  </si>
  <si>
    <t>Centro de Salud Aguadulce</t>
  </si>
  <si>
    <t>Cuartel de Bomberos Aguadulce</t>
  </si>
  <si>
    <t>Hospital Marcos Robles</t>
  </si>
  <si>
    <t>Hospital Regional de Aguadulce</t>
  </si>
  <si>
    <t>IPT Industrial de Aguadulce</t>
  </si>
  <si>
    <t>Parque 19 de Octubre</t>
  </si>
  <si>
    <t>Parque de los Marineros</t>
  </si>
  <si>
    <t>Parque del Carmen</t>
  </si>
  <si>
    <t>Pocrí</t>
  </si>
  <si>
    <t>Rodolfo F. Chiari</t>
  </si>
  <si>
    <t>Abelardo Herrera</t>
  </si>
  <si>
    <t>C.E.B.G. Loma de los González</t>
  </si>
  <si>
    <t>El Cristo</t>
  </si>
  <si>
    <t>Escuela Hato Rincones</t>
  </si>
  <si>
    <t>Escuela El Naranjal</t>
  </si>
  <si>
    <t>C.E.B.G. ERIC DEL VALLE</t>
  </si>
  <si>
    <t>El Roble</t>
  </si>
  <si>
    <t>Escuela El Roble</t>
  </si>
  <si>
    <t>31/07/2017</t>
  </si>
  <si>
    <t>Escuela Francisca C. de Sierra</t>
  </si>
  <si>
    <t>Escuela Jaguito</t>
  </si>
  <si>
    <t>Parque frente a Iglesia del Jaguito</t>
  </si>
  <si>
    <t>CEBG El Perú</t>
  </si>
  <si>
    <t>CEBG Juan Demóstenes Arosemena</t>
  </si>
  <si>
    <t>CEBG Pocri</t>
  </si>
  <si>
    <t>Escuela San Martin de Porres</t>
  </si>
  <si>
    <t>Biblioteca Pública Galileo Patiño</t>
  </si>
  <si>
    <t>Antón</t>
  </si>
  <si>
    <t>28/08/2017</t>
  </si>
  <si>
    <t>Centro de Educacion y Salud Preventiva de Antón</t>
  </si>
  <si>
    <t>Centro de Rehabilitacion IPHE</t>
  </si>
  <si>
    <t>Escuela Secundaria Salomón Ponce(Gimnasio Popular)</t>
  </si>
  <si>
    <t>Parque 15 de Enero</t>
  </si>
  <si>
    <t>Escuela Altos de la Mesa</t>
  </si>
  <si>
    <t>El Valle</t>
  </si>
  <si>
    <t>Escuela El Valle</t>
  </si>
  <si>
    <t>31/08/2017</t>
  </si>
  <si>
    <t>I.P.T. El Valle</t>
  </si>
  <si>
    <t>C.E.B.G. La Mata</t>
  </si>
  <si>
    <t>Escuela El Platanal</t>
  </si>
  <si>
    <t>Río Hato</t>
  </si>
  <si>
    <t>30/10/2017</t>
  </si>
  <si>
    <t>Escuela Farallón</t>
  </si>
  <si>
    <t>Escuela Las Guías</t>
  </si>
  <si>
    <t>Escuela Las Guías Oriente</t>
  </si>
  <si>
    <t>Escuela LOS POLLOS</t>
  </si>
  <si>
    <t>Escuela Santa Clara</t>
  </si>
  <si>
    <t>I.P.T. RÍO HATO</t>
  </si>
  <si>
    <t>C. DE S. DE SANTA RITA</t>
  </si>
  <si>
    <t>Santa Rita</t>
  </si>
  <si>
    <t>Escuela Santa Rita Arriba</t>
  </si>
  <si>
    <t>C.E.B.G. OMAR TORRIJOS HERRERA</t>
  </si>
  <si>
    <t>La Pintada</t>
  </si>
  <si>
    <t>El Harino</t>
  </si>
  <si>
    <t>26/01/2018</t>
  </si>
  <si>
    <t>Escuela Barrigón</t>
  </si>
  <si>
    <t>29/08/2017</t>
  </si>
  <si>
    <t>Escuela Juan José Quirós</t>
  </si>
  <si>
    <t>Escuela Villalobos</t>
  </si>
  <si>
    <t>30/08/2017</t>
  </si>
  <si>
    <t>I.P.T. El Copé</t>
  </si>
  <si>
    <t>Escuela Membrillar</t>
  </si>
  <si>
    <t>18/10/2017</t>
  </si>
  <si>
    <t>I.P.T. La Pintada</t>
  </si>
  <si>
    <t>17/10/2017</t>
  </si>
  <si>
    <t>Municipio La Pintada</t>
  </si>
  <si>
    <t>Parque 25 de diciembre (la Cruz)</t>
  </si>
  <si>
    <t>Escuela Calabazo Nº 1</t>
  </si>
  <si>
    <t>C.E.B.G. AGUA FRÍA</t>
  </si>
  <si>
    <t>Llano Grande</t>
  </si>
  <si>
    <t>C.E.B.G. San Juanito</t>
  </si>
  <si>
    <t>Escuela La Honda</t>
  </si>
  <si>
    <t>27/11/2017</t>
  </si>
  <si>
    <t>C.E.B.G Calabazo Nº 2</t>
  </si>
  <si>
    <t>Piedras Gordas</t>
  </si>
  <si>
    <t>C.E.B.G. MACHUCA</t>
  </si>
  <si>
    <t>Escuela ANGEL GUARDIA</t>
  </si>
  <si>
    <t>Escuela Jujucal</t>
  </si>
  <si>
    <t>Escuela Las Delicias</t>
  </si>
  <si>
    <t>Escuela Ciénaga Larga</t>
  </si>
  <si>
    <t>Natá</t>
  </si>
  <si>
    <t>Capellanía</t>
  </si>
  <si>
    <t>Escuela El Espavé</t>
  </si>
  <si>
    <t>Escuela Roberto F. Chiari</t>
  </si>
  <si>
    <t>Escuela Santa Lucía</t>
  </si>
  <si>
    <t>El Caño</t>
  </si>
  <si>
    <t>Escuela Sebastián Sucre</t>
  </si>
  <si>
    <t>Colegio Secundario Mariano Prado</t>
  </si>
  <si>
    <t>Escuela de España</t>
  </si>
  <si>
    <t>Municipio Natá</t>
  </si>
  <si>
    <t>C.E.B.G Santos Jorge</t>
  </si>
  <si>
    <t>Penonomé</t>
  </si>
  <si>
    <t>Cañaveral</t>
  </si>
  <si>
    <t>Escuela Juan Bautista Rosas</t>
  </si>
  <si>
    <t>Escuela Los Uveros</t>
  </si>
  <si>
    <t>Escuela María T. de Herrera</t>
  </si>
  <si>
    <t>C.E.B.G Asunción Chiru V.</t>
  </si>
  <si>
    <t>Chiguirí Arriba</t>
  </si>
  <si>
    <t>C.E.B.G San Miguel Arriba</t>
  </si>
  <si>
    <t>C.E.B.G. VAQUILLA</t>
  </si>
  <si>
    <t>Colegio Candelario Ovalle</t>
  </si>
  <si>
    <t>Escuela Chiguirí Centro</t>
  </si>
  <si>
    <t>19/01/2018</t>
  </si>
  <si>
    <t>Escuela Oajaca</t>
  </si>
  <si>
    <t>20/12/2017</t>
  </si>
  <si>
    <t>Escuela Pozo Azul</t>
  </si>
  <si>
    <t>Centro Regional Universitario El Coco</t>
  </si>
  <si>
    <t>El Coco</t>
  </si>
  <si>
    <t>Escuela Aguas Blancas</t>
  </si>
  <si>
    <t>Escuela Ana Pérez de Isaza</t>
  </si>
  <si>
    <t>Escuela Jacinta Arosemena</t>
  </si>
  <si>
    <t>Escuela Llano Marín</t>
  </si>
  <si>
    <t>INADEH El Coco</t>
  </si>
  <si>
    <t>C.E.B.G. Simón Martínez</t>
  </si>
  <si>
    <t>Pajonal</t>
  </si>
  <si>
    <t>C.E.B.G. JOSÉ DE LOS REYES VÁSQUEZ</t>
  </si>
  <si>
    <t>C.E.B.G. Membrillo</t>
  </si>
  <si>
    <t>Escuela Celestino del Rosario</t>
  </si>
  <si>
    <t>Escuela Churuquita Grande</t>
  </si>
  <si>
    <t>Escuela El Barrero</t>
  </si>
  <si>
    <t>Escuela Francisca Figueroa</t>
  </si>
  <si>
    <t>01/09/2017</t>
  </si>
  <si>
    <t>Escuela Guabal</t>
  </si>
  <si>
    <t>Escuela La Negrita</t>
  </si>
  <si>
    <t>Escuela Modesto Morán H</t>
  </si>
  <si>
    <t>Escuela Pajonal Arriba</t>
  </si>
  <si>
    <t>Escuela Rincón de Las Palmas</t>
  </si>
  <si>
    <t>Escuela Santa Cruz</t>
  </si>
  <si>
    <t>Escuela Victor Pérez Flores</t>
  </si>
  <si>
    <t>Instituto Carmen Conte Lombardo</t>
  </si>
  <si>
    <t>Biblioteca Pública Fernando Guardia</t>
  </si>
  <si>
    <t>Centro de Salud Penonomé</t>
  </si>
  <si>
    <t>Clelia F. de Martínez</t>
  </si>
  <si>
    <t>Direccion Investigacion Judicial</t>
  </si>
  <si>
    <t>Escuela Simeón Conte</t>
  </si>
  <si>
    <t>Gobernación Penonomé</t>
  </si>
  <si>
    <t>Hospital Aquilino Tejeira</t>
  </si>
  <si>
    <t>I.P.T. Leonida P. de Grimaldo</t>
  </si>
  <si>
    <t>Mercado Público Penonomé</t>
  </si>
  <si>
    <t>MINSA Penonomé</t>
  </si>
  <si>
    <t>Parque Margarita Rosas</t>
  </si>
  <si>
    <t>Primer ciclo Federíco Zuñiga - San AntOnio</t>
  </si>
  <si>
    <t>Terminal de Transporte UTRAPEP</t>
  </si>
  <si>
    <t>Universidad Tecnologica de Panama</t>
  </si>
  <si>
    <t>Escuela Ciruelito</t>
  </si>
  <si>
    <t>Escuela Garicín</t>
  </si>
  <si>
    <t>19/10/2017</t>
  </si>
  <si>
    <t>C.E.B.G. Chiguirí Abajo</t>
  </si>
  <si>
    <t>Toabré</t>
  </si>
  <si>
    <t>C.E.B.G. MERCEDES BUSTAMANTE</t>
  </si>
  <si>
    <t>Escuela Chumical</t>
  </si>
  <si>
    <t>Escuela Sabana Larga</t>
  </si>
  <si>
    <t>Escuela Sagreja</t>
  </si>
  <si>
    <t>21/11/2017</t>
  </si>
  <si>
    <t>Escuela Tambo</t>
  </si>
  <si>
    <t>Escuela Las Minas</t>
  </si>
  <si>
    <t>Tulú</t>
  </si>
  <si>
    <t>Escuela Perecabé</t>
  </si>
  <si>
    <t>Escuela Santa Cruz de Perecabecito</t>
  </si>
  <si>
    <t>ESC. COSTA DE ORO</t>
  </si>
  <si>
    <t>Chagres</t>
  </si>
  <si>
    <t>Salud</t>
  </si>
  <si>
    <t>Esc. Salud</t>
  </si>
  <si>
    <t>ESC. MIGUEL DE LA BORDA</t>
  </si>
  <si>
    <t>Donoso</t>
  </si>
  <si>
    <t>Miguel de la Borda</t>
  </si>
  <si>
    <t>Area frente al Ministerio de Desarrollo Social Chitré</t>
  </si>
  <si>
    <t>Herrera</t>
  </si>
  <si>
    <t>Chitré</t>
  </si>
  <si>
    <t>Biblioteca Cristobal Rodriguez</t>
  </si>
  <si>
    <t>Centro Regional Universitario Chitré</t>
  </si>
  <si>
    <t>Colegio José D. Crespo</t>
  </si>
  <si>
    <t>Corregiduria de Policia de Llano Bonito</t>
  </si>
  <si>
    <t>Corregiduria de Policia San Juan Bautista</t>
  </si>
  <si>
    <t>Cuartel de Bomberos Chitré</t>
  </si>
  <si>
    <t>ESC. CRISTINA C. DE SANCHEZ</t>
  </si>
  <si>
    <t>IPHE Chitré</t>
  </si>
  <si>
    <t>MICI</t>
  </si>
  <si>
    <t>Museo de Herrera</t>
  </si>
  <si>
    <t>Parque Tomas Herrera</t>
  </si>
  <si>
    <t>04/07/2017</t>
  </si>
  <si>
    <t>Primaria-Juan T. del Busto</t>
  </si>
  <si>
    <t>Terminal de Buses Chitré</t>
  </si>
  <si>
    <t>C.E.B.G. Presidente John F. Kennedy</t>
  </si>
  <si>
    <t>La Arena</t>
  </si>
  <si>
    <t>Parque frente a la Iglesia</t>
  </si>
  <si>
    <t>C. DE S. LLANO BONITO</t>
  </si>
  <si>
    <t>Llano Bonito</t>
  </si>
  <si>
    <t>Escuela Eneida M. de Castillero</t>
  </si>
  <si>
    <t>Escuela Evelio D. Carrizo</t>
  </si>
  <si>
    <t>C. DE S. MONAGRILLO</t>
  </si>
  <si>
    <t>San Miguel de Monagrillo</t>
  </si>
  <si>
    <t>Colegio Padre Segundo Familiar Cano</t>
  </si>
  <si>
    <t>Escuela Boca de Parita</t>
  </si>
  <si>
    <t>S. C. DE S. BOCA PARITA</t>
  </si>
  <si>
    <t>Primaria-Hipólito Perez Tello</t>
  </si>
  <si>
    <t>San Juan Bautista</t>
  </si>
  <si>
    <t>Primaria-Tomás Herrera</t>
  </si>
  <si>
    <t>C.E.B.G. LOS POZOS</t>
  </si>
  <si>
    <t>Los Pozos</t>
  </si>
  <si>
    <t>C.E.B.G. LUCIRIA DE PIMENTEL</t>
  </si>
  <si>
    <t>Escuela El Piro</t>
  </si>
  <si>
    <t>Escuela Rafael Quintero Villarreal</t>
  </si>
  <si>
    <t>Ocú</t>
  </si>
  <si>
    <t>Biblioteca Jose Nuñez Roca</t>
  </si>
  <si>
    <t>San Sebastián de Ocú</t>
  </si>
  <si>
    <t>Escuela Jose D. Carrizo No.1</t>
  </si>
  <si>
    <t>Escuela Jose D. Carrizo No.2</t>
  </si>
  <si>
    <t>Hospital Sergio Nuñez</t>
  </si>
  <si>
    <t>Municipio Ocú</t>
  </si>
  <si>
    <t>C. DE S. PARITA</t>
  </si>
  <si>
    <t>Parita</t>
  </si>
  <si>
    <t>Escuela Puerto Limón</t>
  </si>
  <si>
    <t>Municipio Parita</t>
  </si>
  <si>
    <t>Biblioteca Pública José Daniel Crespo</t>
  </si>
  <si>
    <t>Pesé</t>
  </si>
  <si>
    <t>Colegio Secundario de Pese (Jose O. Huertas)</t>
  </si>
  <si>
    <t>Escuela Ildaura Vieto</t>
  </si>
  <si>
    <t>Escuela Melania Pascal de López</t>
  </si>
  <si>
    <t>Santa María</t>
  </si>
  <si>
    <t>Chupampa</t>
  </si>
  <si>
    <t>Municipio Santa María</t>
  </si>
  <si>
    <t>Area frente al INADEH Guararé</t>
  </si>
  <si>
    <t>Los Santos</t>
  </si>
  <si>
    <t>Guararé</t>
  </si>
  <si>
    <t>Esc. Francisco Ignacio Castillero</t>
  </si>
  <si>
    <t>Esc. Primaria Juana Vernaza</t>
  </si>
  <si>
    <t>Museo Manuel F. Zárate</t>
  </si>
  <si>
    <t>Palacio Municipal de Guararé</t>
  </si>
  <si>
    <t>Parque Amalia Ortega (El Jobo)</t>
  </si>
  <si>
    <t>Parque Viviana Pérez</t>
  </si>
  <si>
    <t>Policlínica de Guararé</t>
  </si>
  <si>
    <t>Avenida Central Las Tablas</t>
  </si>
  <si>
    <t>Las Tablas</t>
  </si>
  <si>
    <t>Centro de Salud Las Tablas</t>
  </si>
  <si>
    <t>Esc. Santa Isabel</t>
  </si>
  <si>
    <t>Hospital Joaquin Pablo Franco Sayas</t>
  </si>
  <si>
    <t>Junta Comunal de las Palmitas</t>
  </si>
  <si>
    <t>Museo Porras</t>
  </si>
  <si>
    <t>Parque Porras Las Tablas</t>
  </si>
  <si>
    <t>Primaria Claudio Vasquez</t>
  </si>
  <si>
    <t>Primaria-Presidente Porras</t>
  </si>
  <si>
    <t>Universidad Nacional de Panama</t>
  </si>
  <si>
    <t>C. DE S. SANTO DOMINGO</t>
  </si>
  <si>
    <t>Esc. Melquiades Vásquez</t>
  </si>
  <si>
    <t>C.E.B.G. JAIME ALBA</t>
  </si>
  <si>
    <t>Vallerriquito</t>
  </si>
  <si>
    <t>Parque de Vallerriquito</t>
  </si>
  <si>
    <t>Biblioteca Hector Conte</t>
  </si>
  <si>
    <t>La Villa de Los Santos</t>
  </si>
  <si>
    <t>Cuartel de Bomberos La Villa De Los Santos</t>
  </si>
  <si>
    <t>Escuela de Folklore Dora Perez de Zarate</t>
  </si>
  <si>
    <t>Escuela Nicanor Villalaz</t>
  </si>
  <si>
    <t>Hospital San Juan De Dios</t>
  </si>
  <si>
    <t>Instituto Coronel Segundo Villarreal</t>
  </si>
  <si>
    <t>Instituto Profesional y tecnico de azuero</t>
  </si>
  <si>
    <t>Parque Rufina Alfaro</t>
  </si>
  <si>
    <t>Terminal de Buses La Villa de los Santos</t>
  </si>
  <si>
    <t>Universidad Tecnologica</t>
  </si>
  <si>
    <t>Escuela Llano Largo</t>
  </si>
  <si>
    <t>Llano Largo</t>
  </si>
  <si>
    <t>S. C. DE S. LLANO LARGO</t>
  </si>
  <si>
    <t>Col. Rafael A. Moreno</t>
  </si>
  <si>
    <t>Macaracas</t>
  </si>
  <si>
    <t>Esc. Rudecinda Rodríguez</t>
  </si>
  <si>
    <t>Hospital Luis H. Moreno</t>
  </si>
  <si>
    <t>Municipio Macaracas</t>
  </si>
  <si>
    <t>Area frente a Correos Nacionales Pedasí</t>
  </si>
  <si>
    <t>Pedasí</t>
  </si>
  <si>
    <t>Area frente al MIDA Pedasí</t>
  </si>
  <si>
    <t>Area frente al Organo Judicial Pedasí</t>
  </si>
  <si>
    <t>Biblioteca Publica Petra A.de Moscoso</t>
  </si>
  <si>
    <t>Cuartel de Bomberos Pedasí</t>
  </si>
  <si>
    <t>Instituto Plinio Ant. Moscoso</t>
  </si>
  <si>
    <t>Parque Central Pedasí</t>
  </si>
  <si>
    <t>Parque de Calle Arriba</t>
  </si>
  <si>
    <t>Parque de la Iglesia Santa Catalina</t>
  </si>
  <si>
    <t>Area frente al MIDA Pocrí</t>
  </si>
  <si>
    <t>Escuela Ernestina Sucre Falcon</t>
  </si>
  <si>
    <t>Mercado Artesanal</t>
  </si>
  <si>
    <t>Palacio Municipal Pocrí</t>
  </si>
  <si>
    <t>Parque Central de Pocrí</t>
  </si>
  <si>
    <t>Esc. Bucaro</t>
  </si>
  <si>
    <t>Tonosí</t>
  </si>
  <si>
    <t>Esc. Rosa María Angulo de Arce</t>
  </si>
  <si>
    <t>Municipio Tonosí (cabecera)</t>
  </si>
  <si>
    <t>Alcaldía de Arraiján</t>
  </si>
  <si>
    <t>Panamá Oeste</t>
  </si>
  <si>
    <t>Arraiján</t>
  </si>
  <si>
    <t>C.E. Las Colinas de Cáceres</t>
  </si>
  <si>
    <t>C.E. Valle del Sol</t>
  </si>
  <si>
    <t>CEBG Cerro Silvestre</t>
  </si>
  <si>
    <t>Centro de Salud Arraiján</t>
  </si>
  <si>
    <t>23/08/2017</t>
  </si>
  <si>
    <t>Cristóbal Adan de Urriola</t>
  </si>
  <si>
    <t>El Tecal</t>
  </si>
  <si>
    <t>Esc. Residencial Vacamonte</t>
  </si>
  <si>
    <t>Escuela Estela María Sierra</t>
  </si>
  <si>
    <t>Escuela primaria Guillermo Andreve</t>
  </si>
  <si>
    <t>IPT Fernando de Lesseps - Burunga</t>
  </si>
  <si>
    <t>La Polvareda</t>
  </si>
  <si>
    <t>Loma Bonita</t>
  </si>
  <si>
    <t>Lucas Barcenas - Burunga</t>
  </si>
  <si>
    <t>Roberto F. Chiari</t>
  </si>
  <si>
    <t>C.E. Fuente de Amor</t>
  </si>
  <si>
    <t>Burunga</t>
  </si>
  <si>
    <t>C.E. Nva. Jerusalén</t>
  </si>
  <si>
    <t>C.E.B.G. Reina T. de Araúz</t>
  </si>
  <si>
    <t>C.E.B.G.Burunga</t>
  </si>
  <si>
    <t>ESC. LLUVIA DE BENDICIONES</t>
  </si>
  <si>
    <t>ESC. ONCE DE OCTUBRE</t>
  </si>
  <si>
    <t>C. DE S. NVO.CHORRILLO</t>
  </si>
  <si>
    <t>Cerro Silvestre</t>
  </si>
  <si>
    <t>C.E. La Playita</t>
  </si>
  <si>
    <t>C.E. Monte Claro</t>
  </si>
  <si>
    <t>C.E.B.G. Cerro Silvestre</t>
  </si>
  <si>
    <t>C.E.B.G. BIQUE</t>
  </si>
  <si>
    <t>Escuela Hogar San José de Malambo</t>
  </si>
  <si>
    <t>C.E. LEONIDAS DELGADO VARGAS</t>
  </si>
  <si>
    <t>Juan Demóstenes Arosemena</t>
  </si>
  <si>
    <t>C.E.B.G. CERRO TIGRE</t>
  </si>
  <si>
    <t>Escuela Nuevo Arraiján</t>
  </si>
  <si>
    <t>C.E Cosecha Amistad</t>
  </si>
  <si>
    <t>Veracruz</t>
  </si>
  <si>
    <t>C.E. Veracruz</t>
  </si>
  <si>
    <t>C.E.B.G. Veracruz</t>
  </si>
  <si>
    <t>Centro de Salud Veracruz</t>
  </si>
  <si>
    <t>ESC. KOSKUNA</t>
  </si>
  <si>
    <t>Escuela Brisas del Chumical</t>
  </si>
  <si>
    <t>Vista Alegre</t>
  </si>
  <si>
    <t>Junta Comunal de Vista Alegre</t>
  </si>
  <si>
    <t>Avenida Central Capira</t>
  </si>
  <si>
    <t>Capira</t>
  </si>
  <si>
    <t>Centro de Salud Jose Pablo Garcia</t>
  </si>
  <si>
    <t>Concejo Municipal</t>
  </si>
  <si>
    <t>Escuela Federico Boyd</t>
  </si>
  <si>
    <t>I.P.T. Capira</t>
  </si>
  <si>
    <t>MIDA Capira</t>
  </si>
  <si>
    <t>Parque Gilberto Brid</t>
  </si>
  <si>
    <t>Parque San Isidro Capira</t>
  </si>
  <si>
    <t>C. DE S. LIDICE (JUAN H. FLORES)</t>
  </si>
  <si>
    <t>Lídice</t>
  </si>
  <si>
    <t>C.E. Lídice</t>
  </si>
  <si>
    <t>C.E. MAJARA</t>
  </si>
  <si>
    <t>C.E. Sta. Cruz</t>
  </si>
  <si>
    <t>Chame</t>
  </si>
  <si>
    <t>Bejuco</t>
  </si>
  <si>
    <t>CEBG Berta E. Fernandez</t>
  </si>
  <si>
    <t>Centro Cultural de Chame y San Carlos</t>
  </si>
  <si>
    <t>21/08/2017</t>
  </si>
  <si>
    <t>Junta comunal de Bejuco</t>
  </si>
  <si>
    <t>Alcaldía Chame</t>
  </si>
  <si>
    <t>Escuela Harmodio Arias Madrid</t>
  </si>
  <si>
    <t>Escuela Rafael Maduro</t>
  </si>
  <si>
    <t>Parque de Chame</t>
  </si>
  <si>
    <t>CEBG El Trapichito</t>
  </si>
  <si>
    <t>La Chorrera</t>
  </si>
  <si>
    <t>Barrio Balboa</t>
  </si>
  <si>
    <t>Cuartel de Bomberos Barrio Balboa</t>
  </si>
  <si>
    <t>José María Barranco</t>
  </si>
  <si>
    <t>Tomás Martin Feuillet</t>
  </si>
  <si>
    <t>Centro de Salud Magalis Ruiz</t>
  </si>
  <si>
    <t>Barrio Colón</t>
  </si>
  <si>
    <t>Colegio Moisés Castillo Ocaña</t>
  </si>
  <si>
    <t>Corregiduria de Policia de Barrio Colón</t>
  </si>
  <si>
    <t>Leopoldo Castillo G</t>
  </si>
  <si>
    <t>Municipio Barrio Colón</t>
  </si>
  <si>
    <t>Parque Recreativo Barrio Colón</t>
  </si>
  <si>
    <t>Plaza 10 de Noviembre</t>
  </si>
  <si>
    <t>Primaria-Naciones Unidas</t>
  </si>
  <si>
    <t>Primaria-Victoria D'Spinay</t>
  </si>
  <si>
    <t>C.E. Potrero Grande</t>
  </si>
  <si>
    <t>Primaria-Escuela El Coco</t>
  </si>
  <si>
    <t>C.E. VIRGEN DE GUADALUPE</t>
  </si>
  <si>
    <t>Guadalupe</t>
  </si>
  <si>
    <t>C.E.B.G. EL NAZARENO</t>
  </si>
  <si>
    <t>Escuela Primaria Zaira Nuñez</t>
  </si>
  <si>
    <t>IPT La Chorrera</t>
  </si>
  <si>
    <t>C.E. Victoriano Chacón</t>
  </si>
  <si>
    <t>Puerto Caimito</t>
  </si>
  <si>
    <t>Hogar Ciudad del Niño</t>
  </si>
  <si>
    <t>C. DE S. DE SAN CARLOS</t>
  </si>
  <si>
    <t>San Carlos Borromeo</t>
  </si>
  <si>
    <t>15/11/2017</t>
  </si>
  <si>
    <t>C.E. Colón</t>
  </si>
  <si>
    <t>Iglesia de San Carlos</t>
  </si>
  <si>
    <t>Municipio San Carlos</t>
  </si>
  <si>
    <t>C.E. Rodeo Viejo</t>
  </si>
  <si>
    <t>Escuela Manuel Amador Guerrero</t>
  </si>
  <si>
    <t>Parroquia Santa María del Camino</t>
  </si>
  <si>
    <t>Escuela de la Concepción</t>
  </si>
  <si>
    <t>Iglesia Cristo Redentor</t>
  </si>
  <si>
    <t>Centro de Salud Santa Ana</t>
  </si>
  <si>
    <t>Autoridad Marítima de Panamá</t>
  </si>
  <si>
    <t>Mercado El Cruce</t>
  </si>
  <si>
    <t>Junta Comunal Belisario Frias</t>
  </si>
  <si>
    <t>Junta Comunal Belisario Porras</t>
  </si>
  <si>
    <t>Escuela San Vicente</t>
  </si>
  <si>
    <t>Escuela El Porvenir</t>
  </si>
  <si>
    <t>Escuela Jose Luciano Lara</t>
  </si>
  <si>
    <t>Junta Comunal de Tijeras</t>
  </si>
  <si>
    <t>Tijeras</t>
  </si>
  <si>
    <t>Tribunal Electoral</t>
  </si>
  <si>
    <t>Parque La Santita</t>
  </si>
  <si>
    <t>05/09/2017</t>
  </si>
  <si>
    <t>Policia Nacional de La Raya</t>
  </si>
  <si>
    <t>04/10/2017</t>
  </si>
  <si>
    <t>Escuela Finca 66</t>
  </si>
  <si>
    <t>Parque de Rambala</t>
  </si>
  <si>
    <t>Rambala</t>
  </si>
  <si>
    <t>Bomberos Isla Colon</t>
  </si>
  <si>
    <t>Escuela Sergio Perez Delgado</t>
  </si>
  <si>
    <t>02/10/2017</t>
  </si>
  <si>
    <t>Escuela Basica Corozal</t>
  </si>
  <si>
    <t>Cirilo Guaynora</t>
  </si>
  <si>
    <t>Palacio Municipal</t>
  </si>
  <si>
    <t>CEBG Nievecita</t>
  </si>
  <si>
    <t>Agencia de Caja de Seguro Social</t>
  </si>
  <si>
    <t>CENTRO DE SALUD POCRI</t>
  </si>
  <si>
    <t>Policlínica San Juan</t>
  </si>
  <si>
    <t>Centro de Salud Chitré</t>
  </si>
  <si>
    <t>Museo El Caño</t>
  </si>
  <si>
    <t>CEBG Los Canelos</t>
  </si>
  <si>
    <t>Los Canelos</t>
  </si>
  <si>
    <t>06/10/2017</t>
  </si>
  <si>
    <t>Palacio Municipal Pablo Jaén</t>
  </si>
  <si>
    <t>Corregiduría de Bejuco</t>
  </si>
  <si>
    <t>CEBG ANA POLO TAPIA</t>
  </si>
  <si>
    <t>Junta Comunal de Chitré</t>
  </si>
  <si>
    <t>Centro de Bellas Artes</t>
  </si>
  <si>
    <t>Municipio de Penonomé</t>
  </si>
  <si>
    <t>Mercado del Valle de Antón</t>
  </si>
  <si>
    <t>20/11/2017</t>
  </si>
  <si>
    <t>Centro Educativo Guillermo Endara</t>
  </si>
  <si>
    <t>Playa Leona</t>
  </si>
  <si>
    <t>16/11/2017</t>
  </si>
  <si>
    <t>Policía Nacional Río de Jesús</t>
  </si>
  <si>
    <t>Rio de Jesús</t>
  </si>
  <si>
    <t>La Ermita de Río de Jesús</t>
  </si>
  <si>
    <t>Escuela Ollas Abajo</t>
  </si>
  <si>
    <t>Las Ollas Arriba</t>
  </si>
  <si>
    <t>CEBG Llano Grande</t>
  </si>
  <si>
    <t>CEBG José Nadal Silva</t>
  </si>
  <si>
    <t>Escuela Embarcadero de Cascajal</t>
  </si>
  <si>
    <t>Parque de la Iglesia de San Francisco</t>
  </si>
  <si>
    <t>Escuela La Nueva Arenosa</t>
  </si>
  <si>
    <t>La Trinidad</t>
  </si>
  <si>
    <t>06/12/2017</t>
  </si>
  <si>
    <t>CEBG Villa Carmen (MINA)</t>
  </si>
  <si>
    <t>Flor de Anis</t>
  </si>
  <si>
    <t>Hato Chamí</t>
  </si>
  <si>
    <t>CEBG Llano Tugrí</t>
  </si>
  <si>
    <t>Peña Blanca</t>
  </si>
  <si>
    <t>Municipio de Münä</t>
  </si>
  <si>
    <t>Cuerpo de Bomberos Juan Antonio Guizado</t>
  </si>
  <si>
    <t>Cuartel de Bomberos Cmdte. Julio Salas</t>
  </si>
  <si>
    <t>Escuela Nuevo Paraiso</t>
  </si>
  <si>
    <t>Salamanca</t>
  </si>
  <si>
    <t>Centro de Salud Patricia Duncan</t>
  </si>
  <si>
    <t>27/12/2017</t>
  </si>
  <si>
    <t>CEBG Los Algarrobos Arriba</t>
  </si>
  <si>
    <t>SENAFRONT Progreso</t>
  </si>
  <si>
    <t>20/09/2018</t>
  </si>
  <si>
    <t>CEBG Quebrada Cayuco</t>
  </si>
  <si>
    <t>Jirondai</t>
  </si>
  <si>
    <t>Samboa</t>
  </si>
  <si>
    <t>30/01/2018</t>
  </si>
  <si>
    <t>Escuela Primaria Gatuncillo</t>
  </si>
  <si>
    <t>Autoridad Nacional para la Innovación Gubernamental</t>
  </si>
  <si>
    <t>02/08/2018</t>
  </si>
  <si>
    <t>Instituto Fermín Naudeau</t>
  </si>
  <si>
    <t>07/06/2018</t>
  </si>
  <si>
    <t>Centro de Salud Las Margaritas</t>
  </si>
  <si>
    <t>Las Margaritas</t>
  </si>
  <si>
    <t>08/06/2018</t>
  </si>
  <si>
    <t>Escuela Calovébora</t>
  </si>
  <si>
    <t>Santa Catalina o Calovébora</t>
  </si>
  <si>
    <t>18/01/2018</t>
  </si>
  <si>
    <t>Escuela Elizabeth Flores de Herrera</t>
  </si>
  <si>
    <t>11/09/2018</t>
  </si>
  <si>
    <t>18/09/2018</t>
  </si>
  <si>
    <t>BOMBEROS DE OCÚ</t>
  </si>
  <si>
    <t>Centro de Salud de Las Minas</t>
  </si>
  <si>
    <t>Las Minas</t>
  </si>
  <si>
    <t>Centro de Salud de Santa María</t>
  </si>
  <si>
    <t>17/09/2018</t>
  </si>
  <si>
    <t>INADEH CHITRÉ</t>
  </si>
  <si>
    <t>MINSA - CAPSI de Pesé</t>
  </si>
  <si>
    <t>MINSA - CAPSI Ocu</t>
  </si>
  <si>
    <t>HOSPITAL DE CHIRIQUI GRANDE</t>
  </si>
  <si>
    <t>CAPSI de Dolega</t>
  </si>
  <si>
    <t>19/09/2018</t>
  </si>
  <si>
    <t>Centro de Salud de Boquete</t>
  </si>
  <si>
    <t>Parque Central del Distrito de Remedios</t>
  </si>
  <si>
    <t>MINSA - CAPSI de Volcán</t>
  </si>
  <si>
    <t>BANCO DE DESARROLLO AGROPECUARIO DE NATÁ</t>
  </si>
  <si>
    <t>Hospital Materno Infantil El Valle</t>
  </si>
  <si>
    <t>Centro de Salud El Espino</t>
  </si>
  <si>
    <t>04/09/2018</t>
  </si>
  <si>
    <t>Centro de Salud Nuevo Arraiján Artemio Jaén</t>
  </si>
  <si>
    <t>06/09/2018</t>
  </si>
  <si>
    <t>Centro de Salud Rosa Tazón</t>
  </si>
  <si>
    <t>COLEGIO PEDRO PABLO SANCHEZ #2</t>
  </si>
  <si>
    <t>Policlínica Dr. Blas Gómez Chetro</t>
  </si>
  <si>
    <t>ULAPS San José</t>
  </si>
  <si>
    <t xml:space="preserve">ULAPS Vista Alegre </t>
  </si>
  <si>
    <t>CAPSI La Mata</t>
  </si>
  <si>
    <t>24/09/2018</t>
  </si>
  <si>
    <t>Centro de Salud de San Francisco</t>
  </si>
  <si>
    <t>Parque de Rio de Jesus</t>
  </si>
  <si>
    <t>25/09/2018</t>
  </si>
  <si>
    <t>Municipio de Rio de Jesus</t>
  </si>
  <si>
    <t>Escuela Mamitupu</t>
  </si>
  <si>
    <t>Ailigandí</t>
  </si>
  <si>
    <t>24/10/2018</t>
  </si>
  <si>
    <t>Escuela San Ignacio de Tupile</t>
  </si>
  <si>
    <t>Centro Regional Universitario Colon</t>
  </si>
  <si>
    <t>31/07/2018</t>
  </si>
  <si>
    <t>Escuela Simon Urbina</t>
  </si>
  <si>
    <t>IFARHU Colón</t>
  </si>
  <si>
    <t>16/08/2018</t>
  </si>
  <si>
    <t>Policlinica Hugo Spadafora</t>
  </si>
  <si>
    <t>Cristóbal Este</t>
  </si>
  <si>
    <t>Parque Barriada Nueva Providencia</t>
  </si>
  <si>
    <t>Nueva Providencia</t>
  </si>
  <si>
    <t>Escuela Pablo Arosemena</t>
  </si>
  <si>
    <t>12/07/2018</t>
  </si>
  <si>
    <t>Policentro de Salud Juan A. Nuñez</t>
  </si>
  <si>
    <t>Área frente a MIVI Altos del Lago</t>
  </si>
  <si>
    <t>Cuartel de Bomberos Altos del Lago</t>
  </si>
  <si>
    <t>Campus Harmodio Arias Madrid</t>
  </si>
  <si>
    <t>03/08/2018</t>
  </si>
  <si>
    <t>Gimnasio Universidad de Panama Transismica</t>
  </si>
  <si>
    <t>Paraninfo Campus Dr. Octavio Mendez UP</t>
  </si>
  <si>
    <t>Instituto Nacional de Musica</t>
  </si>
  <si>
    <t>IPHE Sede Principal - Ancon</t>
  </si>
  <si>
    <t>Oficinas administrativas de la Asociación Kuna Nega</t>
  </si>
  <si>
    <t>06/08/2018</t>
  </si>
  <si>
    <t>Parque Isla Perico Amador</t>
  </si>
  <si>
    <t>30/08/2018</t>
  </si>
  <si>
    <t>Cuarto de Urgencias CSS Transitmica</t>
  </si>
  <si>
    <t>Cuartel de Bomberos Ricardo Arango</t>
  </si>
  <si>
    <t>Escuela José A. Arango #2</t>
  </si>
  <si>
    <t>Instituto América #2</t>
  </si>
  <si>
    <t>Plaza V Centenario</t>
  </si>
  <si>
    <t>26/09/2018</t>
  </si>
  <si>
    <t>Instituto Geografico Tommy Guardia</t>
  </si>
  <si>
    <t>Centro de Formación Bonifacio Pereira - El Chorrillo</t>
  </si>
  <si>
    <t>Centro de Salud Chorrillo</t>
  </si>
  <si>
    <t>Policia Chorrillo frente a Parque Los Aburridos</t>
  </si>
  <si>
    <t>13/08/2018</t>
  </si>
  <si>
    <t>CEBG Francisco de Miranda</t>
  </si>
  <si>
    <t>01/08/2018</t>
  </si>
  <si>
    <t>Escuela Carmen Sole Bosch #2</t>
  </si>
  <si>
    <t>ULAPS Juan Diaz</t>
  </si>
  <si>
    <t>Parque de la Democracia, Paitilla</t>
  </si>
  <si>
    <t>Escuela Fernando Guardia Jaén</t>
  </si>
  <si>
    <t>Centro de Salud Pedregal</t>
  </si>
  <si>
    <t>Centro de Salud Boca La Caja</t>
  </si>
  <si>
    <t>Parque Omar Área Cerca de la Administracion</t>
  </si>
  <si>
    <t>Estación Cuerpo de Bomberos Tocumen (Luis Endara Paniza)</t>
  </si>
  <si>
    <t xml:space="preserve">Consejo Provincial de San Miguelito </t>
  </si>
  <si>
    <t>Iglesia Nuestra Señora del Rosario</t>
  </si>
  <si>
    <t>Municipio de Santa Isabel (Colón)</t>
  </si>
  <si>
    <t>Santa Isabel</t>
  </si>
  <si>
    <t>Miramar</t>
  </si>
  <si>
    <t>Nueva sede del centro de Educación Pre-Escolar de Montería</t>
  </si>
  <si>
    <t>18/12/2018</t>
  </si>
  <si>
    <t>Junta Comunal de Chilibre</t>
  </si>
  <si>
    <t>Municipio de Pese</t>
  </si>
  <si>
    <t>Junta Comunal Los Anastacios</t>
  </si>
  <si>
    <t>Junta Comunal Barrio Sur</t>
  </si>
  <si>
    <t>Biblioteca Pública de Natá</t>
  </si>
  <si>
    <t>Área frente al MIDES</t>
  </si>
  <si>
    <t>CEBG Alto de Higuerón</t>
  </si>
  <si>
    <t>08/07/2019</t>
  </si>
  <si>
    <t>Tribunal Electoral de La Villa</t>
  </si>
  <si>
    <t>CEBG Feliciano Pinzón Cristóbal</t>
  </si>
  <si>
    <t>Olá</t>
  </si>
  <si>
    <t>La Pava</t>
  </si>
  <si>
    <t>12/09/2018</t>
  </si>
  <si>
    <t>CEBG EL HATO</t>
  </si>
  <si>
    <t>C.E.B.G. CABALLERO</t>
  </si>
  <si>
    <t>Caballero</t>
  </si>
  <si>
    <t>19/11/2018</t>
  </si>
  <si>
    <t>C.E.B.G. ALTOS DE LA ESTANCIA</t>
  </si>
  <si>
    <t>San Juan de Dios</t>
  </si>
  <si>
    <t>Parque de San Carlos</t>
  </si>
  <si>
    <t>Municipio de Ola (Roberto Isaza)</t>
  </si>
  <si>
    <t>ESCUELA EL CRISTO DE OLÁ</t>
  </si>
  <si>
    <t>El Copé</t>
  </si>
  <si>
    <t>20/11/2018</t>
  </si>
  <si>
    <t>CEBG SAN JOSE DEL NARANJAL</t>
  </si>
  <si>
    <t>Parque de Santo Domingo</t>
  </si>
  <si>
    <t>Muelle Multiproposito Cinta Costera II</t>
  </si>
  <si>
    <t>Mercado Publico de David – Cadena de Frio</t>
  </si>
  <si>
    <t>Municipio de Los Pozos</t>
  </si>
  <si>
    <t>Terminal de buses de Las Tablas</t>
  </si>
  <si>
    <t>MUSEO HERMANOS ARIAS MADRID</t>
  </si>
  <si>
    <t>Escuela Las Gaitas</t>
  </si>
  <si>
    <t>Cirí Grande</t>
  </si>
  <si>
    <t>13/11/2018</t>
  </si>
  <si>
    <t>Esc. Coloncito</t>
  </si>
  <si>
    <t>Nueva Gorgona</t>
  </si>
  <si>
    <t>12/11/2018</t>
  </si>
  <si>
    <t>Escuela Mata Ahogado</t>
  </si>
  <si>
    <t>Los Llanitos</t>
  </si>
  <si>
    <t>Centro de Salud Palmas Bellas</t>
  </si>
  <si>
    <t>Palmas Bellas</t>
  </si>
  <si>
    <t>14/11/2018</t>
  </si>
  <si>
    <t>Centro de Salud Escobal</t>
  </si>
  <si>
    <t>Escobal</t>
  </si>
  <si>
    <t>Esc. El Chumical</t>
  </si>
  <si>
    <t>Chumical</t>
  </si>
  <si>
    <t>21/11/2018</t>
  </si>
  <si>
    <t>C.E.B.G. Sebastián Pinzón</t>
  </si>
  <si>
    <t>22/11/2018</t>
  </si>
  <si>
    <t>Esc.La Tiza</t>
  </si>
  <si>
    <t>La Tiza</t>
  </si>
  <si>
    <t>Esc. Felicia de Morcillo</t>
  </si>
  <si>
    <t>El Espinal</t>
  </si>
  <si>
    <t>Los Ángeles</t>
  </si>
  <si>
    <t>C.E.B.G. Carlos Vallesteros</t>
  </si>
  <si>
    <t>Policía Altos del Lago</t>
  </si>
  <si>
    <t>MINSA/CAPSI TIGRE DE LOS AMARILLOS</t>
  </si>
  <si>
    <t>Hicaco</t>
  </si>
  <si>
    <t>06/12/2018</t>
  </si>
  <si>
    <t>COLEGIO SECUNDARIO LA MESA</t>
  </si>
  <si>
    <t>03/12/2018</t>
  </si>
  <si>
    <t>COLEGIO PRIMARIO JOSE MUÑOZ</t>
  </si>
  <si>
    <t>Alcaldía de Santa Fé</t>
  </si>
  <si>
    <t>04/12/2018</t>
  </si>
  <si>
    <t>CEBG SANTA FÉ</t>
  </si>
  <si>
    <t>CENTRO DE SALUD DE RIO SERENO</t>
  </si>
  <si>
    <t>28/11/2018</t>
  </si>
  <si>
    <t>ESC. GUACA ARRIBA</t>
  </si>
  <si>
    <t>Guacá</t>
  </si>
  <si>
    <t>27/11/2018</t>
  </si>
  <si>
    <t>Centro de Salud de Boquerón</t>
  </si>
  <si>
    <t>ESC. LAJAS ADENTRO</t>
  </si>
  <si>
    <t>Lajas Adentro</t>
  </si>
  <si>
    <t>26/11/2018</t>
  </si>
  <si>
    <t>ESC. LEOPOLDINA FIELD</t>
  </si>
  <si>
    <t>San Francisco de Dolega</t>
  </si>
  <si>
    <t>JC SANTA CRUZ</t>
  </si>
  <si>
    <t>Santa Cruz</t>
  </si>
  <si>
    <t>ESC. NUEVA CALIFORNIA</t>
  </si>
  <si>
    <t>JC DOMINICAL</t>
  </si>
  <si>
    <t>Dominical</t>
  </si>
  <si>
    <t>JC BREÑÓN</t>
  </si>
  <si>
    <t>Breñón</t>
  </si>
  <si>
    <t>29/11/2018</t>
  </si>
  <si>
    <t>ESC. SEC. DE VOLCAN</t>
  </si>
  <si>
    <t>CENTRO DE SALUD CHIRIQUI</t>
  </si>
  <si>
    <t>ESC. RIO MAR</t>
  </si>
  <si>
    <t>CENTRO DE SALUD CALDERA</t>
  </si>
  <si>
    <t>Caldera</t>
  </si>
  <si>
    <t>ESCUELA BUENOS AIRES</t>
  </si>
  <si>
    <t>Potrero de Caña</t>
  </si>
  <si>
    <t>ESCUELA EL HIGO</t>
  </si>
  <si>
    <t>ESC. GUALACA</t>
  </si>
  <si>
    <t>C.E.B.G. PASO CANOA INT.</t>
  </si>
  <si>
    <t>CENTRO DE SALUD SANTA MARTA</t>
  </si>
  <si>
    <t>ESC. CERRO COLORADO</t>
  </si>
  <si>
    <t>Bágala</t>
  </si>
  <si>
    <t>CEBG. SANTA MARTA</t>
  </si>
  <si>
    <t>Paraíso</t>
  </si>
  <si>
    <t>ESC. AGUACATE</t>
  </si>
  <si>
    <t>Guabal</t>
  </si>
  <si>
    <t>Escuela Bilingüe Juntos Podemos</t>
  </si>
  <si>
    <t>CENTRO DE SALUD EL CRISTO</t>
  </si>
  <si>
    <t>Escuela Madera</t>
  </si>
  <si>
    <t>El Potrero</t>
  </si>
  <si>
    <t>Junta Comunal de Cañaveral</t>
  </si>
  <si>
    <t>23/11/2018</t>
  </si>
  <si>
    <t>Kiosko #1/Cinta Costera 1</t>
  </si>
  <si>
    <t>14/12/2018</t>
  </si>
  <si>
    <t>Kiosko #2/Cinta Costera 1</t>
  </si>
  <si>
    <t>Kiosko #3/Cinta Costera 1</t>
  </si>
  <si>
    <t>Kiosko #4/Cinta Costera 1</t>
  </si>
  <si>
    <t>Kiosko #5/Cinta Costera 1</t>
  </si>
  <si>
    <t>Escuela Llano del Nance</t>
  </si>
  <si>
    <t>07/12/2018</t>
  </si>
  <si>
    <t>MIDES Changuinola</t>
  </si>
  <si>
    <t>05/06/2019</t>
  </si>
  <si>
    <t>Junta Comunal de Curundú</t>
  </si>
  <si>
    <t>31/01/2019</t>
  </si>
  <si>
    <t>Paseo Marino</t>
  </si>
  <si>
    <t>28/02/2019</t>
  </si>
  <si>
    <t>Centro de Salud BISIRA</t>
  </si>
  <si>
    <t>Kankintú</t>
  </si>
  <si>
    <t>Bisira</t>
  </si>
  <si>
    <t>Centro de Salud de Santa Catalina</t>
  </si>
  <si>
    <t>Centro de Salud Chiguiri Arriba</t>
  </si>
  <si>
    <t>Centro Educativo Poussepin</t>
  </si>
  <si>
    <t>22/05/2019</t>
  </si>
  <si>
    <t>Area frente al Comedor Infantil de Curundú</t>
  </si>
  <si>
    <t>Escuela Pablo Ballesteros</t>
  </si>
  <si>
    <t>Los Asientos</t>
  </si>
  <si>
    <t>19/06/2019</t>
  </si>
  <si>
    <t>Instituto Comercial Bolivar</t>
  </si>
  <si>
    <t>Casa de Justicia Comunitaria de Paz Curundú</t>
  </si>
  <si>
    <t>Biblioteca Las Pleyades</t>
  </si>
  <si>
    <t>Cancha Deportiva de Tolé</t>
  </si>
  <si>
    <t>10/06/2019</t>
  </si>
  <si>
    <t>Municipio de Mariato</t>
  </si>
  <si>
    <t>21/05/2019</t>
  </si>
  <si>
    <t>Centro de Salud Kusapin</t>
  </si>
  <si>
    <t>CEBG San Luis Cuatro Calles</t>
  </si>
  <si>
    <t>Coclé del Norte</t>
  </si>
  <si>
    <t>Area al frente del Municipio de Panama</t>
  </si>
  <si>
    <t>25/06/2019</t>
  </si>
  <si>
    <t>CEBG Rio Guazaro</t>
  </si>
  <si>
    <t>Calovébora</t>
  </si>
  <si>
    <t>C.E.B.G Roberto Cibala</t>
  </si>
  <si>
    <t>Río Luis</t>
  </si>
  <si>
    <t>Caja de Ahorros Guararé</t>
  </si>
  <si>
    <t>Cancha de Football en Ciudad Radial</t>
  </si>
  <si>
    <t>Parque Recreativo en Chanis</t>
  </si>
  <si>
    <t>11/07/2019</t>
  </si>
  <si>
    <t>Parque Heliodoro Patiño</t>
  </si>
  <si>
    <t>Area frente al Museo de la Libertad</t>
  </si>
  <si>
    <t>12/12/2019</t>
  </si>
  <si>
    <t>Escuela Barriada Kuna</t>
  </si>
  <si>
    <t>05/07/2019</t>
  </si>
  <si>
    <t>Escuela de Miramar</t>
  </si>
  <si>
    <t>Parque El Manito Ocueño</t>
  </si>
  <si>
    <t>18/11/2020</t>
  </si>
  <si>
    <t>CEBG Jacinta María Henríquez</t>
  </si>
  <si>
    <t>Parque de la Cancha de Baloncesto</t>
  </si>
  <si>
    <t>17/11/2020</t>
  </si>
  <si>
    <t>Parque Mango</t>
  </si>
  <si>
    <t>Policia Nacional Area B Rolando Martinez</t>
  </si>
  <si>
    <t>Escuela Alejandro Tapia</t>
  </si>
  <si>
    <t>19/11/2020</t>
  </si>
  <si>
    <t>PC Divalá</t>
  </si>
  <si>
    <t>Escuela Bella Vista</t>
  </si>
  <si>
    <t>01/12/2020</t>
  </si>
  <si>
    <t>Parque José María Núñez</t>
  </si>
  <si>
    <t>Área del Parque Infantil Paco Garcia</t>
  </si>
  <si>
    <t>03/12/2020</t>
  </si>
  <si>
    <t>Parque Andres Bello</t>
  </si>
  <si>
    <t>Parque Urraca</t>
  </si>
  <si>
    <t>Instituto Agro Forestal en Canglón</t>
  </si>
  <si>
    <t>Escuela Altos de Cabuya</t>
  </si>
  <si>
    <t>Hospital Nuevo Dionisio Arrocha</t>
  </si>
  <si>
    <t>Area de la Plaza Simon Bolivar</t>
  </si>
  <si>
    <t>23/11/2020</t>
  </si>
  <si>
    <t>Agencia del IDAAN - Santiago</t>
  </si>
  <si>
    <t>27/11/2020</t>
  </si>
  <si>
    <t>Área del Parque de la Iglesia de Monagrillo</t>
  </si>
  <si>
    <t>Escuela Paso Canoas Arriba</t>
  </si>
  <si>
    <t>Escuela Estado de Minnesota</t>
  </si>
  <si>
    <t>Junta Comunal Barrio Norte</t>
  </si>
  <si>
    <t xml:space="preserve">CEBG Lorenza G de Lasso </t>
  </si>
  <si>
    <t>El Llano</t>
  </si>
  <si>
    <t>CEBG Piriati Embera</t>
  </si>
  <si>
    <t>Madugandí</t>
  </si>
  <si>
    <t>IPT Jaime Melamed</t>
  </si>
  <si>
    <t>Pilón</t>
  </si>
  <si>
    <t>Escuela La Coca</t>
  </si>
  <si>
    <t>Escuela Guararé Arriba</t>
  </si>
  <si>
    <t>Guararé Arriba</t>
  </si>
  <si>
    <t>24/11/2020</t>
  </si>
  <si>
    <t>C.E.B.G Bilingue Estado de Qatar</t>
  </si>
  <si>
    <t>CEBG La Tosca</t>
  </si>
  <si>
    <t>Escuela Pedro Pablo Sanchez</t>
  </si>
  <si>
    <t>Policía Nacional Changuinola</t>
  </si>
  <si>
    <t>Hospital Guillermo Sánchez Borbón</t>
  </si>
  <si>
    <t>Escuela Portuchada</t>
  </si>
  <si>
    <t>Escuela Arenal</t>
  </si>
  <si>
    <t>Río Congo Arriba</t>
  </si>
  <si>
    <t>Escuela La Moneda</t>
  </si>
  <si>
    <t>Río Iglesias</t>
  </si>
  <si>
    <t>Escuela Punuloso</t>
  </si>
  <si>
    <t>Escuela Primaria José Isabel Herrera</t>
  </si>
  <si>
    <t>Nombre de Dios</t>
  </si>
  <si>
    <t>CEBG San Vicente</t>
  </si>
  <si>
    <t>Policlinica Nuevo San Juan</t>
  </si>
  <si>
    <t>Junta Comunal de Barrio Balboa</t>
  </si>
  <si>
    <t>Escuela Punta Chame</t>
  </si>
  <si>
    <t>Punta Chame</t>
  </si>
  <si>
    <t>C.E.B.G. San Pedro Rincón</t>
  </si>
  <si>
    <t>Parque Central María Chiquita</t>
  </si>
  <si>
    <t>María Chiquita</t>
  </si>
  <si>
    <t>Bomberos de Antón</t>
  </si>
  <si>
    <t>C.E.B.G. Vueltas Largas</t>
  </si>
  <si>
    <t>AMP - Isla Colón</t>
  </si>
  <si>
    <t>CEBG Ernesto T. Lefevre</t>
  </si>
  <si>
    <t>Esc. Primaria Rubén Dario Carles</t>
  </si>
  <si>
    <t>Centro de Salud de Portobelo</t>
  </si>
  <si>
    <t>Instituto Dr. Alfredo Cantón</t>
  </si>
  <si>
    <t>Instituto Dr. Alfredo Cantón 2</t>
  </si>
  <si>
    <t>Edificio Administrativo de la Comunidad Mulatupu</t>
  </si>
  <si>
    <t>Parque Unión de Chitré</t>
  </si>
  <si>
    <t>Area frente al Ministerio de Desarrollo Social Barrio Norte</t>
  </si>
  <si>
    <t>Primaria - Gran Bretaña</t>
  </si>
  <si>
    <t>Area frente a la Autoridad Maritima de Panama</t>
  </si>
  <si>
    <t>Area frente a la iglesia de Santa Ana</t>
  </si>
  <si>
    <t>J. C. Pesé</t>
  </si>
  <si>
    <t>MIDES de Las Tablas</t>
  </si>
  <si>
    <t>Nueva Terminal de Transporte de Ocú</t>
  </si>
  <si>
    <t>Casa de la Cultura Monagrillo</t>
  </si>
  <si>
    <t>Centro de Bellas Artes y Cultura</t>
  </si>
  <si>
    <t>Centro Artesanal de Herrera (Casa Amarilla)</t>
  </si>
  <si>
    <t>Puesto de control Senafront Guna Yala</t>
  </si>
  <si>
    <t>Narganá</t>
  </si>
  <si>
    <t>Policlínica Dr. Manuel de Jesús Rojas</t>
  </si>
  <si>
    <t>Centro educativo Gardí Sugduc</t>
  </si>
  <si>
    <t>Centro Turístico Mi Pueblito</t>
  </si>
  <si>
    <t>Universidad de Panama sede Darién</t>
  </si>
  <si>
    <t>Escuela San Francisco de Piriati</t>
  </si>
  <si>
    <t>Escuela Río Tortí Abajo</t>
  </si>
  <si>
    <t>C.S. Miguel de la Borda</t>
  </si>
  <si>
    <t>Mercado de Artesanias</t>
  </si>
  <si>
    <t>Policlinica de la CSS Canita</t>
  </si>
  <si>
    <t>Municipio de Colon</t>
  </si>
  <si>
    <t>Sub Centro de Salud De La Mata de Bugaba</t>
  </si>
  <si>
    <t>Colegio Manuel María Tejada R.</t>
  </si>
  <si>
    <t>MINSA CAPSI BURUNGA</t>
  </si>
  <si>
    <t>Junta Comunal de la Mesa de San Martin</t>
  </si>
  <si>
    <t>Gimnasio Denis Arce</t>
  </si>
  <si>
    <t>Escuela Nueva Activa de Juan Gil</t>
  </si>
  <si>
    <t>Escuela Atanacio Morales</t>
  </si>
  <si>
    <t>Escuela Carriazo</t>
  </si>
  <si>
    <t>Centro de Salud Akua Yala</t>
  </si>
  <si>
    <t>Area frente a la Direccion Regional de MiAmbiente Cañita</t>
  </si>
  <si>
    <t>Etiquetas de fila</t>
  </si>
  <si>
    <t>Total general</t>
  </si>
  <si>
    <t>Proveedor</t>
  </si>
  <si>
    <t xml:space="preserve">Total </t>
  </si>
  <si>
    <t>C&amp;W Panamá</t>
  </si>
  <si>
    <t xml:space="preserve">MINISTERIO DE EDUCACIÓN </t>
  </si>
  <si>
    <t>OFICINA DE ESTADÍSTICA</t>
  </si>
  <si>
    <t>Actualizado:  19 de Junio de 2024</t>
  </si>
  <si>
    <t>Código SIACE</t>
  </si>
  <si>
    <t>Marco Muestral -Sistema Educativo</t>
  </si>
  <si>
    <t>Dependencia</t>
  </si>
  <si>
    <t>Estatus</t>
  </si>
  <si>
    <t>Región Escolar</t>
  </si>
  <si>
    <t>Nombre del Centro Educativo</t>
  </si>
  <si>
    <t>Área</t>
  </si>
  <si>
    <t>Indigena</t>
  </si>
  <si>
    <t>Áreas Comarcales</t>
  </si>
  <si>
    <t>Decretos (Creación, funcionamiento, cambio nombre, ampliación)</t>
  </si>
  <si>
    <t>Otros Decretos relacionados(Cambio de nombre, ampliacion, cierre)</t>
  </si>
  <si>
    <t>Oferta 2023</t>
  </si>
  <si>
    <t>Bachiller</t>
  </si>
  <si>
    <t>EDUCACIÓN INICIAL</t>
  </si>
  <si>
    <t>OFICIAL</t>
  </si>
  <si>
    <t>ACTIVA</t>
  </si>
  <si>
    <t>URBANA</t>
  </si>
  <si>
    <t>NO</t>
  </si>
  <si>
    <t xml:space="preserve">No </t>
  </si>
  <si>
    <t>NO ESPECIFICADO</t>
  </si>
  <si>
    <t>PREESCOLAR</t>
  </si>
  <si>
    <t>RURAL</t>
  </si>
  <si>
    <t>SUBSISTEMA REGULAR</t>
  </si>
  <si>
    <t>PREESCOLAR-PRIMARIA</t>
  </si>
  <si>
    <t>PRIMARIA</t>
  </si>
  <si>
    <t>PREESCOLAR-PRIMARIA-PREMEDIA</t>
  </si>
  <si>
    <t>DEC. 446 DEL 14 DE AGOSTO DE 2018 INCORPORA LA DENOMINACION BILINGÜE AL NOMBRE</t>
  </si>
  <si>
    <t>DEC.101 DE 7 DE ABRIL DE 1961</t>
  </si>
  <si>
    <t>COMERCIO</t>
  </si>
  <si>
    <t>PREMEDIA-MEDIA ACADÉMICA</t>
  </si>
  <si>
    <t>CIENCIAS</t>
  </si>
  <si>
    <t>PREMEDIA-MEDIA ACADÉMICA-MEDIA PROFESIONAL Y TÉCNICA</t>
  </si>
  <si>
    <t>PREESCOLAR-PRIMARIA-PREMEDIA-MEDIA ACADÉMICA</t>
  </si>
  <si>
    <t>ESC. PALMA REAL</t>
  </si>
  <si>
    <t> PREESCOLAR-PRIMARIA-PREMEDIA</t>
  </si>
  <si>
    <t>ESC. GUAYACAN</t>
  </si>
  <si>
    <t>SUBSISTEMA EDJA</t>
  </si>
  <si>
    <t>PREMEDIA</t>
  </si>
  <si>
    <t> PREMEDIA</t>
  </si>
  <si>
    <t> PREMEDIA-MEDIA PROFESIONAL Y TÉCNICA</t>
  </si>
  <si>
    <t>CULTURA Y DEPORTE</t>
  </si>
  <si>
    <t>PARTICULAR</t>
  </si>
  <si>
    <t>CHIRIQUÍ</t>
  </si>
  <si>
    <t>ESC. BRISAS DEL MAR</t>
  </si>
  <si>
    <t>DEC. EJECUTIVO N° 64 DEL 26 DE FEBRERO DE 2021</t>
  </si>
  <si>
    <t>DOLEGA</t>
  </si>
  <si>
    <t>DOS RÍOS</t>
  </si>
  <si>
    <t>CAIPI DOS RIOS</t>
  </si>
  <si>
    <t>BARÚ</t>
  </si>
  <si>
    <t>RODOLFO AGUILAR DELGADO</t>
  </si>
  <si>
    <t>CAIPI LAS ABEJITAS</t>
  </si>
  <si>
    <t>TINAJAS</t>
  </si>
  <si>
    <t>CAIPI TINAJAS</t>
  </si>
  <si>
    <t>ALMENDRO ASENTAMIENTO</t>
  </si>
  <si>
    <t>BACO</t>
  </si>
  <si>
    <t>POTRERILLOS ABAJO</t>
  </si>
  <si>
    <t>JUNTA COMUNAL</t>
  </si>
  <si>
    <t>LOS ALGARROBOS</t>
  </si>
  <si>
    <t>IGLESIA SANTA ROSA</t>
  </si>
  <si>
    <t>ESC. BONGO</t>
  </si>
  <si>
    <t>PUERTO ARMUELLES</t>
  </si>
  <si>
    <t>ESC. AGUA BUENA</t>
  </si>
  <si>
    <t>DEC. 422 DEL 18 DE AGOSTO DE 1966</t>
  </si>
  <si>
    <t>MANACA</t>
  </si>
  <si>
    <t>C.E.B.G. AGUACATON</t>
  </si>
  <si>
    <t>DEC. 18 DE 31 DE ENERO DE 2012 CREA EL CENTRO ESCOLAR BÁSICO GENERAL AGUACATÓN</t>
  </si>
  <si>
    <t>C.E.B.G. ALMENDRO ACUEDUCTO</t>
  </si>
  <si>
    <t>DEC. 649 DE 1 DE AGOSTO DE 2013</t>
  </si>
  <si>
    <t>ESC. ALMENDRO ASENTAMIENTO</t>
  </si>
  <si>
    <t>DEC. 60 DE 13 DE JUNIO DE 1978</t>
  </si>
  <si>
    <t>DEC. 104 DEL 14 DE ABRIL DE 1961</t>
  </si>
  <si>
    <t>DEC. 1100 DE 21 DE DICIEMBRE DE 2011</t>
  </si>
  <si>
    <t>ESC. BALITA</t>
  </si>
  <si>
    <t>DEC. 467 DEL 30 DE DICIEMBRE DE 1985</t>
  </si>
  <si>
    <t>C.E.B.G. BALSA</t>
  </si>
  <si>
    <t>ROVIRA</t>
  </si>
  <si>
    <t>ESC. BANCO DE PALMIRA</t>
  </si>
  <si>
    <t>DEC. 97 DEL 19 DE MARZO DE 1968</t>
  </si>
  <si>
    <t>Decreto Ejecutivo 572 del 16 de Agosto del 2017</t>
  </si>
  <si>
    <t>GUALACA</t>
  </si>
  <si>
    <t>ESC. BELLA VISTA</t>
  </si>
  <si>
    <t>DEC. 470 DEL 19 DE OCTUBRE DE 1965 LE ASIGNA EL NOMBRE DE BELLA VISTA A LA ESCUELA BRAZO DE TIGRE. ESTE DECRETO SE PUEDE VER</t>
  </si>
  <si>
    <t>El dect. 470 del 19 de octubre de 1965 le asigna el nombre de Bella Vista a la Escuela Brazo de Tigre. Este decreto se puede ver</t>
  </si>
  <si>
    <t>EL PALMAR</t>
  </si>
  <si>
    <t xml:space="preserve">ESC. BELLA VISTA </t>
  </si>
  <si>
    <t>DEC. 122 DEL 14 DE MARZO DE 1994</t>
  </si>
  <si>
    <t>C.E.B.G. BERBÁ</t>
  </si>
  <si>
    <t>DEC. 326 DEL 21 DE JUNIO DE 1962</t>
  </si>
  <si>
    <t>DEC. 18 DE 31 DE ENERO DE 2012 CREA EL CENTRO ESCOLAR BÁSICO GENERAL BERBA.</t>
  </si>
  <si>
    <t xml:space="preserve">POTRERILLOS </t>
  </si>
  <si>
    <t>ESC. BRAZO DE COCHEA</t>
  </si>
  <si>
    <t>DEC.  657 DE 4 DE JUNIO DE 1952 Y EL DECT. 415 DEL 23 DE AGOSTO DE 1963 CREAN AMBOS LA ESCUELA BRAZO DE COCHEA</t>
  </si>
  <si>
    <t>El dect.  657 de 4 de junio de 1952 y el dect. 415 del 23 de agosto de 1963 crean ambos la escuela Brazo de Cochea</t>
  </si>
  <si>
    <t>ESC. BURICA CENTRO</t>
  </si>
  <si>
    <t>DEC. 557 DE 14 DE NOVIEMBRE DE 1951  CREA LA ESCUELA "BURICA. EL DECT. 657 DE 4 DE JUNIO DE 1952 TAMBIÉN CREA LA ESCUELA "BURICA"</t>
  </si>
  <si>
    <t>El dect. 557 de 14 de noviembre de 1951  crea la escuela "BURICA. El dect. 657 de 4 de junio de 1952 también crea la escuela "BURICA"</t>
  </si>
  <si>
    <t>C.E.B.G. ELIFENIA STAFF</t>
  </si>
  <si>
    <t>DEC.  470 DEL 19 DE OCTUBRE DE 1965 LE ASIGNA EL NOMBRE DE ELIFENIA STAFF A LA ESCUELA POTRERILLOS ABAJO. ESTE DECRETO SE PUEDE VER</t>
  </si>
  <si>
    <t>El dect.  470 del 19 de octubre de 1965 le asigna el nombre de Elifenia Staff a la escuela Potrerillos Abajo. Este decreto se puede ver</t>
  </si>
  <si>
    <t>C.E.B.G. FELIX ANTONIO LARA</t>
  </si>
  <si>
    <t>DEC. 40 DE 28 DE MAYO DE 1910 CREA LA ESCUELA POTRERILLO ARRIBA EN EL DISTRITO DE DOLEGA. EL DECTETO 182 DE 30 DE DICIEMBRE DE 1976 DENOMINA CON EL NOMBRE DE FÉLIX ANTONIO LARA A LA ESCUELA PRIMARIA POTRERILLOS ARRIBA</t>
  </si>
  <si>
    <t>El decreto  40 de 28 de mayo de 1910 crea la escuela Potrerillo Arriba en el distrito de Dolega. El decteto 182 de 30 de diciembre de 1976 denomina con el nombre de Félix Antonio Lara a la escuela primaria Potrerillos Arriba</t>
  </si>
  <si>
    <t>HORNITO</t>
  </si>
  <si>
    <t>C.E.B.G. VALLE DE LA MINA</t>
  </si>
  <si>
    <t>DEC. 34 DE 24 DE ENERO DE 1966 CREA LA ESCUELA VALLE DE LA MINA</t>
  </si>
  <si>
    <t>El dect. 34 de 24 de enero de 1966 crea la escuela Valle de la Mina</t>
  </si>
  <si>
    <t>LOS ANASTACIOS</t>
  </si>
  <si>
    <t>ESC. CAIMITO</t>
  </si>
  <si>
    <t>PAJA DE SOMBRERO</t>
  </si>
  <si>
    <t>ESC. CALABAZAL</t>
  </si>
  <si>
    <t>DEC. 11O DEL 16 DE FEBRERO DE 1971</t>
  </si>
  <si>
    <t>PROGRESO</t>
  </si>
  <si>
    <t>ESC. CANOAS ARRIBA</t>
  </si>
  <si>
    <t>DEC. 49 DE 13 DE JUNIO DE 1978 CREA EL C.E.B.G. CANOA ARRIBA</t>
  </si>
  <si>
    <t>El dect. 49 de 13 de junio de 1978 crea el C.E.B.G. Canoa Arriba</t>
  </si>
  <si>
    <t>LIMONES</t>
  </si>
  <si>
    <t>ESC. CAÑA BLANCA</t>
  </si>
  <si>
    <t>DEC. 415 DEL 23 DE AGOSTO DE 1963</t>
  </si>
  <si>
    <t>CENTRO EDUCATIVO DE PROGRESO</t>
  </si>
  <si>
    <t xml:space="preserve">DEC. 191 DEL 18 DE ABRIL DE 1966 CREÓ EL PRIMER CICLO DE PROGRESO. EL DECT. 177 DEL 2 DE MARZO DE 1977 AUTORIZÓ EL FUNCIONAMIENTO DE AGROPECUARIA A NIVEL DE SEGUNDO CICLO. EL DECT. 49 DE 13 DE JUNIO DE 1978 CREA EL C.E.B.G. DE PROGRESO. EL DECT. 391 DEL 20 DE NOVIEMBRE DE 2007 DESIGNA CON EL NOMBRE DE CENTRO EDUCATIVO DE PROGRESO AL PRIMER CICLO DE PROGRESO </t>
  </si>
  <si>
    <t xml:space="preserve">El dect. 191 del 18 de abril de 1966 creó el Primer Ciclo de Progreso. El dect. 177 del 2 de marzo de 1977 autorizó el funcionamiento de agropecuaria a nivel de segundo ciclo. El dect. 49 de 13 de junio de 1978 crea el C.E.B.G. de Progreso. El dect. 391 del 20 de noviembre de 2007 designa con el nombre de Centro Educativo de Progreso al Primer Ciclo de Progreso </t>
  </si>
  <si>
    <t>CIENCIAS, MARITIMO</t>
  </si>
  <si>
    <t>ESC. CHIRIQUICITO</t>
  </si>
  <si>
    <t>DEC.97 DEL 19 DE MARZO DE 1968</t>
  </si>
  <si>
    <t>ESC. CHUCHUPATE</t>
  </si>
  <si>
    <t>DEC. 185 DE 17 DE JULIO DE 1987</t>
  </si>
  <si>
    <t>C.E.B.G. CIPRES</t>
  </si>
  <si>
    <t>El decreto 18 de 31 de enero de 2012 crea El Centro Escolar Básico General Finca Cipres.</t>
  </si>
  <si>
    <t>COLEGIO BEATRIZ MIRANDA DE CABAL</t>
  </si>
  <si>
    <t>DEC. 39 DE 3 MARZO DE 1972 CREA EL PRIMER CICLO DE DOLEGA. EL DECRETO 209 DEL 19 DE NOVIEMBRE DE 1979 DENOMINA  COLEGIO SECUNDARIO DE DOLEGA AL PRIMER CICLO DE DOLEGA. EL DECTO 188 DE 2 DE MAYO DE 1993 ASIGNA EL NOMBRE DE ESCUELA SECUNDARIA BEATRIZ MIRANDA DE CABAL,  A LA ESCUELA SECUNDARIA DE DOLEGA</t>
  </si>
  <si>
    <t>El dcrto 39 de 3 marzo de 1972 crea el Primer Ciclo de Dolega. El decreto 209 del 19 de noviembre de 1979 denomina  COLEGIO SECUNDARIO DE DOLEGA al Primer Ciclo de Dolega. El decto 188 de 2 de mayo de 1993 asigna el nombre de ESCUELA SECUNDARIA BEATRIZ MIRANDA DE CABAL,  a la Escuela Secundaria de Dolega</t>
  </si>
  <si>
    <t>CIENCIAS, COMERCIO, ELECTRICIDAD, CONTABILIDAD</t>
  </si>
  <si>
    <t>C.E.B.G. COLORADO K-32</t>
  </si>
  <si>
    <t>DEC. 70 DEL 13 DE JUNIO DE 1978</t>
  </si>
  <si>
    <t>DEC. 18 DE 31 DE ENERO DE 2012 CREA EL CENTRO ESCOLAR BÁSICO GENERAL COLORADO KM 32.</t>
  </si>
  <si>
    <t>ESC. CUERVITO</t>
  </si>
  <si>
    <t>DEC. 66 DEL 27 DE DICIEMBRE DE 1968</t>
  </si>
  <si>
    <t>RINCÓN</t>
  </si>
  <si>
    <t>ESC. DAVID TRUJILLO</t>
  </si>
  <si>
    <t>DEC. 46 DE 24 DE MARZO DE 1997 ASIGNA EL NOMBRE DE DAVID TRUJILLO FLORES, A LA ESCUELA PRIMARIA MATA RICA</t>
  </si>
  <si>
    <t>El dect. 46 de 24 de marzo de 1997 asigna el nombre de DAVID TRUJILLO FLORES, a la escuela primaria MATA RICA</t>
  </si>
  <si>
    <t>DEC. 41 DEL 28 DE MAYO DE 1910</t>
  </si>
  <si>
    <t>C.E.B.G. EL FLOR</t>
  </si>
  <si>
    <t xml:space="preserve">DEC. 1100 DE 21 DE DICIEMBRE DE 2011 </t>
  </si>
  <si>
    <t>DEC. 70 DE 21 DE MARZO DE 1972</t>
  </si>
  <si>
    <t>C.E.B.G. ELEFIA MARTINEZ SERRANO</t>
  </si>
  <si>
    <t>DEC. 562  DEL 14 DE SEPTIEMBRE DE 1957</t>
  </si>
  <si>
    <t>DTO. 968 DE 15 DE DICIEMBRE DE 2017, QUE CREA EL C.E.B.G. DE ELEFIA MARTÍNEZ SERRANO, ANTES DENOMINADO EL BANCO, UBICADO EN EL CORREGIMIENTO DE ROVIRA DISTRITO DE DOLEGA, PROVINCIA DE CHIRIQUÍ.</t>
  </si>
  <si>
    <t>ESC. GUANABANO ARRIBA</t>
  </si>
  <si>
    <t>ESC. SEC.  DE PUERTO ARMUELLES.</t>
  </si>
  <si>
    <t>DEC. 519 DEL 2 DE DIC DE 1963</t>
  </si>
  <si>
    <t>CIENCIAS, COMERCIO,TURISMO, TECNOLOGIA E INFORMATICA</t>
  </si>
  <si>
    <t>ESC. SEC. FINCA BLANCO</t>
  </si>
  <si>
    <t>DEC. 71 DE 27 DE ENERO DE 1971 CREA EL PRIMER CICLO EN FINCA BLANCO.  EL DECT. 49 DE 13 DE JUNIO DE 1978 CREA EL C.E.B.G. DE PROGRESO. EL DECT. 48 DE 25 DE MARZO DE 1982 CREA EL IV AÑO DE CIENCIAS Y LETRAS EN EL PRIMER CICLO FINCA BLANCO.  EL DECT. 114 DE 13 DE ABRIL DE 1992 CREA LA ESCUELA SECUNDARIA FINCA BLANCO, POR TANTO EL PRIMER CICLO FINCA BLANCO, QUEDARÁ ADSCRITO A ÉSTE</t>
  </si>
  <si>
    <t>El dect. 71 de 27 de enero de 1971 crea el Primer Ciclo en Finca Blanco.  El dect. 49 de 13 de junio de 1978 crea el C.E.B.G. de Progreso. El dect. 48 de 25 de marzo de 1982 crea el IV año de Ciencias y Letras en el Primer Ciclo Finca Blanco.  El dect. 114 de 13 de abril de 1992 crea la Escuela Secundaria Finca Blanco, por tanto el Primer Ciclo Finca Blanco, quedará adscrito a éste</t>
  </si>
  <si>
    <t>ESC. BILINGÜE GUALACA</t>
  </si>
  <si>
    <t>DEC. 49 DE 13 DE JUNIO DE 1978 CREA EL C.E.B.G. GUALACA</t>
  </si>
  <si>
    <t>El dect. 49 de 13 de junio de 1978 crea el C.E.B.G. Gualaca.Decreto 446 del 14 de agosto de 2018 incorpora la denominacion Bilingüe al Nombre</t>
  </si>
  <si>
    <t>ESC. BILINGÜE EL PALMAR</t>
  </si>
  <si>
    <t>DEC. 415 DEL 23 DE AGOSTO DE 1963 CREA LA ESCUELA EL ROMPÍO. EL DECT. 32 DE 11 DE MAYO DE 1977 DENOMINA "EL PALMAR", A LA ESCUELA EL ROMPÍO, EN BARÚ</t>
  </si>
  <si>
    <t>El dect. 415 del 23 de agosto de 1963 crea la Escuela El Rompío. El dect. 32 de 11 de mayo de 1977 denomina "EL PALMAR", a la escuela EL ROMPÍO, en Barú.Decreto 446 del 14 de agosto de 2018 incorpora la denominacion Bilingüe al Nombre</t>
  </si>
  <si>
    <t>C.E.B.G. PASO CANOA ABAJO</t>
  </si>
  <si>
    <t>DEC. 110 DE 4 DE ABRIL  DE  1966</t>
  </si>
  <si>
    <t>ESC. BILINGÜE SAN VICENTE</t>
  </si>
  <si>
    <t>DEC. 150 DE 17 DE MAYO DE 1963   .</t>
  </si>
  <si>
    <t>LOS ANGELES</t>
  </si>
  <si>
    <t>ESC. EUTIMIA B. DE NIETO</t>
  </si>
  <si>
    <t>DEC. 176 DE 21 DE AGOSTO DE 1980 DENOMINA EUTEMIA ENEIDA BROCE DE NIETO,  A LA ESCUELA PRIMARIA DEL CORREGIMIENTO DE LOS ÁNGELES, GUALACA</t>
  </si>
  <si>
    <t>El dect. 176 de 21 de agosto de 1980 denomina EUTEMIA ENEIDA BROCE DE NIETO,  a la escuela primaria del corregimiento de Los Ángeles, Gualaca</t>
  </si>
  <si>
    <t>C.E.B.G. BACO</t>
  </si>
  <si>
    <t>EL DECRETO 18 DE 31 DE ENERO DE 2012 CREA EL CENTRO ESCOLAR BÁSICO GENERAL BACO</t>
  </si>
  <si>
    <t>C.E.B.G. FINCA BLANCO</t>
  </si>
  <si>
    <t>DEC. 1100 DE 21 DE DIC DE 2011</t>
  </si>
  <si>
    <t>C.E.B.G. LECHOZA</t>
  </si>
  <si>
    <t>El dect. 1100 de 21 de diciembre de 2011 crea la escuela con el nombre de "Lechoza"</t>
  </si>
  <si>
    <t>ESC. FLOR DE LIMA</t>
  </si>
  <si>
    <t>DEC. 107 DEL 18 DE MAYO DE 1984</t>
  </si>
  <si>
    <t>ESC. FORTUNA</t>
  </si>
  <si>
    <t>ESC. GALERITA</t>
  </si>
  <si>
    <t>ESC. HIGUERON</t>
  </si>
  <si>
    <t>DEC.  83 DE 23 DE MAYO DE 1949</t>
  </si>
  <si>
    <t>El dect. 61 de 1 de julio de 1914 crea una escuela alternada en el caserío de Higuerón (Gualaca) . El dect.  83 de 23 de mayo de 1949 y 138 de 16 de junio de 1959 crean ambos la escuela El Higueron</t>
  </si>
  <si>
    <t>C.E.B.G. HIGUERON</t>
  </si>
  <si>
    <t xml:space="preserve">DEC. 649 DE 1 DE AGOSTO DE 2013 </t>
  </si>
  <si>
    <t>C.E.B.G. HIGUITO</t>
  </si>
  <si>
    <t>DEC. 613 DE 21 DE JULIO DE 1971</t>
  </si>
  <si>
    <t>El dect. 613 de 21 de julio de 1971 crea la escuela "Sangrillo Abajo".  El dect. 332 de 7 de agosto de 1984 designa con el nombre de escuela primaria de "HIGUITO", a la escuela de Sangrillo Abajo</t>
  </si>
  <si>
    <t>PREMEDIA-MEDIA PROFESIONAL Y TÉCNICA</t>
  </si>
  <si>
    <t>I.P.T.  BARÚ</t>
  </si>
  <si>
    <t>DEC. 110 DEL 16 DE JUNIO DE 1981</t>
  </si>
  <si>
    <t>AGROPECUARIO, TEC. MECÁNICA, ELECTRICIDAD, ELECTRÓNICA, AUTOTRÓNICA, TECNOLOGÍA E INFORMÁTICA</t>
  </si>
  <si>
    <t>ESC. INGENIERO SEBASTIAN SANCHEZ</t>
  </si>
  <si>
    <t>DEC. 70 DE 21 DE MARZO DE 1972 CREA LA ESCUELA "LOMA GRANDE".</t>
  </si>
  <si>
    <t>El dect. 70 de 21 de marzo de 1972 crea la escuela "Loma Grande". El dect. 154 de 29 de octubre de 1976  denomina a la escuela primaria de LOMA GRANDE, distrito de Gualaca, con el nombre de INGENIERO SEBASTIAN SANCHEZ</t>
  </si>
  <si>
    <t>INSTITUTO PUERTO ARMUELLES</t>
  </si>
  <si>
    <t>DEC.  48   25 DE MARZO DE 1982</t>
  </si>
  <si>
    <t>ESC. JESUS MARIA PLA</t>
  </si>
  <si>
    <t>DEC. 213 DE 6 DE JULIO DE 1984 ASIGNA EL NOMBRE DE PRIMER CICLO JESÚS MARÍA PLÁ CASTELLANOS AL PRIMER CICLO DE GUALACA. EL DECT. 727 DE 12 DE DICIEMBRE DE 1990 CREA EL COLEGIO SECUNDARIO JESÚS MARÍA PLÁ EN EL PRIMER CICLO CON ESTE MISMO NOMBRE</t>
  </si>
  <si>
    <t>El dect. 213 de 6 de julio de 1984 asigna el nombre de Primer Ciclo Jesús María Plá Castellanos al Primer Ciclo de Gualaca. El dect. 727 de 12 de diciembre de 1990 crea el Colegio Secundario Jesús María Plá en el Primer Ciclo con este mismo nombre</t>
  </si>
  <si>
    <t>C.E.B.G. JOBITO</t>
  </si>
  <si>
    <t>C.E.B.G. JOSE LUCINIO LARA</t>
  </si>
  <si>
    <t>DEC. 185 DE 19 DE MARZO DEL 2012 CREA EL C.E.B.G. JOSE LUCINIO LARA</t>
  </si>
  <si>
    <t>ESC. KILOMETRO 24</t>
  </si>
  <si>
    <t>ESC. LA ACEQUIA</t>
  </si>
  <si>
    <t>DEC. 348 DEL 21 DE JUNIO DE 1955</t>
  </si>
  <si>
    <t>C.E.B.G. LA CEIBA</t>
  </si>
  <si>
    <t>ESC. LA ESPERANZA</t>
  </si>
  <si>
    <t>El decreto 41 crea la escuela La Esperanza en el distrito de Gualaca. El decreto 2178 del 24 de agosto de 1910 también crea esta escuela.</t>
  </si>
  <si>
    <t>C.E.B.G. LA ESPERANZA</t>
  </si>
  <si>
    <t>DEC. 355 DEL 13 DE MAYO DE 1953 CREA LA ESCUELA MIXTA DE LA ESPERANZA.</t>
  </si>
  <si>
    <t>EL DECRETO 18 DE 31 DE ENERO DE 2012 CREA EL CENTRO ESCOLAR BÁSICO GENERAL LA ESPERANZA</t>
  </si>
  <si>
    <t>ESC. LA VICTORIA</t>
  </si>
  <si>
    <t>DEC. 763 DEL 9 DE DICIEMBRE DE 1969</t>
  </si>
  <si>
    <t>C.E.B.G. LAS CAÑAS</t>
  </si>
  <si>
    <t>DEC. 185 DE 19 DE MARZO DE 2012 CREA EL CENTRO DE EDUCACION BASICA GENERAL LAS CAÑAS EN EL CORREGIMIENTO DE LOS ALGARROBOS EN EL DISTRITO DE DOLEGA</t>
  </si>
  <si>
    <t>ESC. LAS MELLICITAS</t>
  </si>
  <si>
    <t>DEC. 33 DEL 31 DE ENERO DE 1962</t>
  </si>
  <si>
    <t>El dect.  509 de 13 de noviembre de 1974 denomina con el nombre de Leopoldina Field a la escuela de Dolega</t>
  </si>
  <si>
    <t>DEC. 97 DE 19 DE MARZO DE 1968</t>
  </si>
  <si>
    <t>ESC. LOMA ALTA</t>
  </si>
  <si>
    <t>DEC. 47 DEL 8 DE FEBRERO DE 1962</t>
  </si>
  <si>
    <t>C.E.B.G. LOS ALGARROBOS</t>
  </si>
  <si>
    <t>DEC. 25 DE MARZO DE 2022, QUE ASCIENDE A PRIMERA CATEGORIA AL C.E.B.G. LOS ALGARROBOS</t>
  </si>
  <si>
    <t>DEC. 464 del 29 de septiembre de 1961 da el nombre de "Los Algarrobos" a la Escuela de "La Tranca"</t>
  </si>
  <si>
    <t>C.E.B.G. ALGARROBO ARRIBA</t>
  </si>
  <si>
    <t xml:space="preserve">DEC. 18 DE 31 DE ENERO DE 2012 </t>
  </si>
  <si>
    <t>ESC. LOS ANASTACIOS</t>
  </si>
  <si>
    <t>DEC. 126 DE 1 DE JULIO DE 1949</t>
  </si>
  <si>
    <t>ESC. LOS ANGELES</t>
  </si>
  <si>
    <t>ESC. LOS BEJUCOS</t>
  </si>
  <si>
    <t>DEC. 1797 DE 27 DE MAYO DE 1947</t>
  </si>
  <si>
    <t xml:space="preserve">PRIMARIA </t>
  </si>
  <si>
    <t>ESC. LOS BONGOS</t>
  </si>
  <si>
    <t>DEC. 284 DEL 27 DE JUNIO DE 1963</t>
  </si>
  <si>
    <t>DEC. 515 DEL 14 DE SEPTIEMBRE DE 1951</t>
  </si>
  <si>
    <t>C.E.B.G. LOS OLIVOS</t>
  </si>
  <si>
    <t>DEC. 204 DEL 18 DE ABRIL DE 1967</t>
  </si>
  <si>
    <t>Dec. 147 de 5 de marzo de 2012 por el cual se crean centros de educacion basica general en la region de Chiriquí</t>
  </si>
  <si>
    <t>ESC. LOS PALOMOS</t>
  </si>
  <si>
    <t>ESC. LOS PLANES</t>
  </si>
  <si>
    <t>DEC. 218 DEL 27 DE DIC DE 1979</t>
  </si>
  <si>
    <t>DEC. 70 DEL 21 DE MARZO DE 1972</t>
  </si>
  <si>
    <t>ESC. MALAGUETO</t>
  </si>
  <si>
    <t>DEC. 283  DE 8 DE ABRIL DE 1971</t>
  </si>
  <si>
    <t>El dect. 283 de 8 de abril de 1971 crea la escuela con el nombre "Malagueto Adentro"</t>
  </si>
  <si>
    <t>ESC. MANACA CIVIL</t>
  </si>
  <si>
    <t xml:space="preserve">DEC. 121  DE 13 DE ENERO  DE 1965 </t>
  </si>
  <si>
    <t>El dect.  50 de 12 de febrero de 1962 ordena la clausura de la escuela de Manaca.  El dect. 121 de 13 de enero de 1965 ordena la reapertura de la escuela Manaca</t>
  </si>
  <si>
    <t>ESC. MANACA NORTE</t>
  </si>
  <si>
    <t>DEC. 51 DE 21 DE MARZO  DE 1974</t>
  </si>
  <si>
    <t>ESC. MARGENES DE COROTU</t>
  </si>
  <si>
    <t>DEC. 34 de 24 de enero de 1966</t>
  </si>
  <si>
    <t>ESC. MAYOR MARTIN GONZALEZ</t>
  </si>
  <si>
    <t>ESC. MEDALLA MILAGROSA</t>
  </si>
  <si>
    <t>ESC. MONTE VERDE</t>
  </si>
  <si>
    <t>DEC. 70  DE 21 DE MARZO DE 1972</t>
  </si>
  <si>
    <t>DEC. 147 DE 5 DE MARZO DE 2012</t>
  </si>
  <si>
    <t>PRIMER CICLO PUNTA BURICA</t>
  </si>
  <si>
    <t>DEC. 49 DEL 13 DE JUNIO DE 1968</t>
  </si>
  <si>
    <t>El dect. 415 del 23 de agosto de 1963 y el dect. 34 de 24 de enero de 1966 crean ambos la escuela Palma Real</t>
  </si>
  <si>
    <t>ESC. PALMAR SUR</t>
  </si>
  <si>
    <t>DEC. 152 DE 17 DE ABRIL DE 1972</t>
  </si>
  <si>
    <t>El dect. 152 de 17 de abril de 1972 la denomina PALMAR DEL SUR</t>
  </si>
  <si>
    <t>ESC. PALMITO</t>
  </si>
  <si>
    <t>ESC.BILINGÜE PASO CANOA INTERNACIONAL</t>
  </si>
  <si>
    <t>El dect. 478 del 13 de agosto de 1962 crea la escuela con el nombre "Paso Internacional de Canoas"</t>
  </si>
  <si>
    <t>PRIMER CICLO COROZO</t>
  </si>
  <si>
    <t>ESC. PROGRESO</t>
  </si>
  <si>
    <t>C.E.B.G. PUERTO ARMUELLES</t>
  </si>
  <si>
    <t>DEC. 185 DE 19 DE MARZO DE 2012 CREA EL CENTRO DE EDUCACIÓN BÁSICA GENERAL DE PUERTO ARMUELLES.</t>
  </si>
  <si>
    <t>DEC. 185 DE 19 DE MARZO DE 2012 crea el centro de Educación Básica General de Puerto Armuelles.</t>
  </si>
  <si>
    <t>ESC. PUERTO BALSA</t>
  </si>
  <si>
    <t>DEC. 110 DE 16 DE FEBRERO DE 1971</t>
  </si>
  <si>
    <t>ESC. QUEBRADA DE LAJAS</t>
  </si>
  <si>
    <t>DEC. 649 DEL 1 DE AGOSTO DEL 2013</t>
  </si>
  <si>
    <t>ESC. RINCON DE GUALACA</t>
  </si>
  <si>
    <t>ESC. RINCON LARGO</t>
  </si>
  <si>
    <t xml:space="preserve">DEC. 21 DE 9 DE ABRIL DE 1908 </t>
  </si>
  <si>
    <t>ESC. RÍO MAR</t>
  </si>
  <si>
    <t>DEC. 287  DE 23 DE JUNIO DE 1960</t>
  </si>
  <si>
    <t>CENTRO EDUCATIVO RITA IRENE WALD JARAMILLO</t>
  </si>
  <si>
    <t>que crea el C.E. Rita Irene Wald Jaramillo antes denominado C.E.B.G. Las Tinajas.</t>
  </si>
  <si>
    <t>C.E.B.G. ROVIRA ARRIBA</t>
  </si>
  <si>
    <t>DEC. 185 DE 19 DE MARZO DE 2012</t>
  </si>
  <si>
    <t>C.E.B.G. SAN ANTONIO</t>
  </si>
  <si>
    <t>ESC. SAN BARTOLO LIMITE</t>
  </si>
  <si>
    <t>C.E.B.G. SAN BARTOLO LINEA</t>
  </si>
  <si>
    <t>C.E.B.G. SAN VALENTIN</t>
  </si>
  <si>
    <t>C.E.B.G. SANTA ROSA</t>
  </si>
  <si>
    <t>ESC. SOLEDAD</t>
  </si>
  <si>
    <t>C.E.B.G. TECA</t>
  </si>
  <si>
    <t>DEC. 264 DEL 10 DE MAYO DE 1960</t>
  </si>
  <si>
    <t>El decreto 18 de 31 de enero de 2012 crea El Centro Escolar Básico General Teca.</t>
  </si>
  <si>
    <t>ESC. TOMAS ARMUELLES</t>
  </si>
  <si>
    <t>DEC. 377 DE 12 DE AGOSTO DE 1954</t>
  </si>
  <si>
    <t>El dect. 377 de 12 de agosto de 1954 crea la Escuela Puerto Armuelles N°1.  El dect. 470 del 19 de octubre de 1965 le asigna el nombre de Tomás Armuelles a la Escuela Puerto Armuelles N°1</t>
  </si>
  <si>
    <t>C.E.B.G. TRES BRAZOS</t>
  </si>
  <si>
    <t>DEC. 34 DE 24 DE ENERO DE 1966</t>
  </si>
  <si>
    <t>El dect. 34 de 24 de enero de 1966 y el dect. 261 de 17 de mayo de 1966 crean ambos la escuela "TRES BRAZOS", en Barú. El decreto 185 de 19 de marzo de 2012 crea el Centro de Educación Básica General Tres Brazos del corregimiento de Puerto Armuelles distrito de Barú.</t>
  </si>
  <si>
    <t>ESC. FINCA ZAPATERO</t>
  </si>
  <si>
    <t>DEC. 140 DE 14 DE ABRIL DE 1970</t>
  </si>
  <si>
    <t>C.E.B.G. BLANCO ARRIBA</t>
  </si>
  <si>
    <t xml:space="preserve">DEC. 415 DEL 23 DE AGOSTO DE 1963 CREA LA ESCUELA BLANCO ARRIBA, DECRETO 1100 CREA CENTROS EDUCATIVOS </t>
  </si>
  <si>
    <t>ESC. CABECERA DE COCHEA</t>
  </si>
  <si>
    <t>DEC. 159 DEL 19 DE MAYO DE 1955</t>
  </si>
  <si>
    <t>C.E.B.G. CAÑAZA</t>
  </si>
  <si>
    <t>DEC. 85 DE 11 DE MARZO DE 1965</t>
  </si>
  <si>
    <t>C.E.B.G. CAOBA 01</t>
  </si>
  <si>
    <t>C.E.B.G. CAOBA 09</t>
  </si>
  <si>
    <t>DEC. 18 DE 31 DE ENERO DE 2012 CREA EL CENTRO ESCOLAR BÁSICO GENERAL CAOBA 09.</t>
  </si>
  <si>
    <t>El decreto 18 de 31 de enero de 2012 crea el Centro Escolar Básico General Caoba 09.</t>
  </si>
  <si>
    <t>C.E.B.G. COLORADO CENTRO</t>
  </si>
  <si>
    <t>DEC. 422 DEL 18 DE AGOST DE 1966</t>
  </si>
  <si>
    <t>DEC. 18 DE 31 DE ENERO DE 2012 CREA EL CENTRO ESCOLAR BÁSICO GENERAL COLORADO CENTRO</t>
  </si>
  <si>
    <t>C.E.B.G. COROTU CIVIL</t>
  </si>
  <si>
    <t>DEC. 101 DE 7 DE ABRIL DE 1961, QUE CREA LA ESCUELA COROTU, EN BARÚ. EL DECRETO 18 DE 31 DE ENERO DE 2012 CREA EL CENTRO ESCOLAR BÁSICO GENERAL COROTÚ CIVIL.</t>
  </si>
  <si>
    <t>Existe dect. 101 de 7 de abril de 1961, que crea la escuela COROTU, en Barú. El decreto 18 de 31 de enero de 2012 crea El Centro Escolar Básico General Corotú Civil.</t>
  </si>
  <si>
    <t>ESC. COROZO</t>
  </si>
  <si>
    <t>DEC.  487 DE 22 DE AGOSTO DE 1962 INCLUYE LA ESCUELA COROZO ENTRE LAS ESCUELAS FRONTERIZAS</t>
  </si>
  <si>
    <t>El dect.  487 de 22 de agosto de 1962 incluye la escuela Corozo entre las escuelas fronterizas</t>
  </si>
  <si>
    <t>C.E.B.G. CORREDOR</t>
  </si>
  <si>
    <t>ESC. ENTRE RIOS</t>
  </si>
  <si>
    <t>C.E.B.G. JOCOTE</t>
  </si>
  <si>
    <t xml:space="preserve">DEC. 1100 CREA CENTROS EDUCATIVOS </t>
  </si>
  <si>
    <t>C.E.B.G. MADRE VIEJA</t>
  </si>
  <si>
    <t>DEC. 34 DEL 24 DE ENERO DE 1966</t>
  </si>
  <si>
    <t>El decreto 185 de 19 de marzo de 2012 crea el Centro de Educación Básica General Madre Vieja en el corregimiento de Baco distrito de Barú.</t>
  </si>
  <si>
    <t>C.E.B.G. MAJAGUA</t>
  </si>
  <si>
    <t>El dect. 101 de 7 de abril de  1961 crea la escuela primaria Majagua.  El dect. 68 de 17 de abril de 1963 da el nombre de Finca Majagua, a la escuela de la comunidad de Majagua</t>
  </si>
  <si>
    <t>ESC. PAJA DE SOMBRERO</t>
  </si>
  <si>
    <t>C.E.B.G. PUNTA BURICA</t>
  </si>
  <si>
    <t>DEC. 18 DE 31 DE ENERO DE 2012 CREA EL CENTRO ESCOLAR BASICO GENERAL PUNTA BURICA.</t>
  </si>
  <si>
    <t>C.E.B.G. QUEBRADA DE TALLO</t>
  </si>
  <si>
    <t>EL DECRETO 18 DE 31 DE ENERO DE 2012 CREA EN CENTRO DE EDUCACIÓN BÁSICA GENERAL QUEBRADA DE TALLO.</t>
  </si>
  <si>
    <t>El decreto 18 de 31 de enero de 2012 crea en Centro de Educación Básica General Quebrada de Tallo.</t>
  </si>
  <si>
    <t>C.E.B.G. SANGRILLO ARRIBA</t>
  </si>
  <si>
    <t>EL DECT. 214 DE 18 DE MAYO DE 1970 CREA LA ESCUELA SANGRILLO, MUNICIPIO DE BARÚ. DECRETO 1100 CREA CENTROS EDUCATIVOS EN LA REGIÓN ESCOLAR DE CHIRIQUÍ</t>
  </si>
  <si>
    <t>El dect. 214 de 18 de mayo de 1970 crea la escuela Sangrillo, Municipio de Barú</t>
  </si>
  <si>
    <t>CENTRO PENITENCIARIO FEMENINO</t>
  </si>
  <si>
    <t>INFORMÁTICA</t>
  </si>
  <si>
    <t>EDJA ENCONTRANDO EL CAMINO CORRECTO</t>
  </si>
  <si>
    <t>DEC. EJECUTIVO 207, DEL 22 DE JUNIO DE 2009</t>
  </si>
  <si>
    <t>BACHILLER INTEGRAL</t>
  </si>
  <si>
    <t>ESC. SECUNDARIA NOCTURNA OFICIAL DOLEGA</t>
  </si>
  <si>
    <t>RES. 302 DEL 13 DE AGOSTO DE 1985</t>
  </si>
  <si>
    <t>COMERCIO, ELECTRICIDAD</t>
  </si>
  <si>
    <t>ALFABETIZACIÓN-POST ALFABETIZACIÓN-TERMINACIÓN DE ESTUDIOS PRIMARIOS</t>
  </si>
  <si>
    <t>NOCTURNA OFICIAL DE PUERTO ARMUELLES</t>
  </si>
  <si>
    <t>DEC. 676 DEL 21 DE JULIO DE 1972</t>
  </si>
  <si>
    <t>CIENCIAS,COMERCIO</t>
  </si>
  <si>
    <t>DEC. EJECUTIVO 263, DE 27 DE AGOSTO DE 2007</t>
  </si>
  <si>
    <t>TELE-EDUCACIÓN SAN VALENTÍN</t>
  </si>
  <si>
    <t>CENTRO DE ESTUDIOS SUPERIORES DE BELLAS ARTES DE PUERTO ARMUELLES</t>
  </si>
  <si>
    <t>CENTRO EDUCATIVO LUZ DIVINA</t>
  </si>
  <si>
    <t>RES. 762  DEL 7 DE ABRIL DEL 2009</t>
  </si>
  <si>
    <t>RES. 4367 DEL 16 DE AGOSTO DEL 2010</t>
  </si>
  <si>
    <t>ESC.  ARCO IRIS</t>
  </si>
  <si>
    <t>ESC. CAMINANDO CON JESUS</t>
  </si>
  <si>
    <t>ESC. CORAZON DE JESUS</t>
  </si>
  <si>
    <t>ESC. CRISTO RESUCITADO</t>
  </si>
  <si>
    <t>ESC. GOTITAS DE SABER</t>
  </si>
  <si>
    <t>ESC. INMACULADA CONCEPCION</t>
  </si>
  <si>
    <t>ESC. JESUS DE LA DIVINA MISERICORDIA</t>
  </si>
  <si>
    <t>ESC. LOS CARIÑOCITOS</t>
  </si>
  <si>
    <t xml:space="preserve"> PUERTO ARMUELLES </t>
  </si>
  <si>
    <t>ESC. PADRE JUAN CARNEY</t>
  </si>
  <si>
    <t>ESC. PEDRO EDISON FAMANIA</t>
  </si>
  <si>
    <t>ESC. RAYITOS DE LUZ</t>
  </si>
  <si>
    <t>ESC. ROLANDO MOLINA</t>
  </si>
  <si>
    <t>ESC. SAN VICENTE</t>
  </si>
  <si>
    <t>ESC. PASITOS DEL SABER</t>
  </si>
  <si>
    <t>ALFALIT KIDS KINGDOM</t>
  </si>
  <si>
    <t>ESC. BET-EL PROGRESO</t>
  </si>
  <si>
    <t>RES.1747   22 DE DICIEMBRE DEL 2005</t>
  </si>
  <si>
    <t xml:space="preserve">COLEGIO SAN ANTONIO </t>
  </si>
  <si>
    <t>RES. 46   19 DE MARZO 1954</t>
  </si>
  <si>
    <t>CENTRO EDUCATIVO ADVENTISTA DE DOLEGA</t>
  </si>
  <si>
    <t>RES. 691  10 DE FEBRERO DEL 2021 QUE AUTORIZA EL FUNCIONAMIENTO DEL C.E.</t>
  </si>
  <si>
    <t>CENTRO EDUCATIVO ADVENTISTA DE BARU</t>
  </si>
  <si>
    <t>RES. 2044 19 DE DICIEMBRE DEL 2006</t>
  </si>
  <si>
    <t>ESC. DOCTOR FELIX ADAM</t>
  </si>
  <si>
    <t>RES. 1355    18 DE DICIEMBRE  DE 1998</t>
  </si>
  <si>
    <t>INSTITUTO IDIOMA DE PTO. ARMUELLES</t>
  </si>
  <si>
    <t>RES. 1137  DEL 26 DE JULIO DEL 2006</t>
  </si>
  <si>
    <t>INSTITUTO BILINGÜE MAUDI</t>
  </si>
  <si>
    <t>RES. 2097   28 DE DICIEMBRE DEL 2006</t>
  </si>
  <si>
    <t>RES. 2936 AL 08 DE NOV. DE 2022 POR EL CUAL CONCEDE AMPLIACION DE LA OFERTA ACADÉMICA PARA EL SEGUNDO NIVEL DE ENSEÑANZA O EDUCACION MEDIA (BACHILLER EN CIENCIAS)</t>
  </si>
  <si>
    <t>ESC. LAS PALMAS</t>
  </si>
  <si>
    <t>RES. 1249  5 DE JUNIO DE 1949</t>
  </si>
  <si>
    <t>INSTITUTO LABORAL ADVENTISTA PANAMEÑO</t>
  </si>
  <si>
    <t>RES.1607  DEL 26 DE SEP DEL 2007</t>
  </si>
  <si>
    <t xml:space="preserve">CIENCIAS Y LETRAS </t>
  </si>
  <si>
    <t>INSTITUTO NOCTURNO DE PROGRESO</t>
  </si>
  <si>
    <t xml:space="preserve">RES. 981 DEL 4 JUL DE 2006 </t>
  </si>
  <si>
    <t>CIENCIAS, LETRAS,COMERCIO</t>
  </si>
  <si>
    <t>Proveedores</t>
  </si>
  <si>
    <t>Sesiones</t>
  </si>
  <si>
    <t>Total GB</t>
  </si>
  <si>
    <t>Status</t>
  </si>
  <si>
    <t>Indígena</t>
  </si>
  <si>
    <t>Nombre_Meduca</t>
  </si>
  <si>
    <t>BOCAS DEL TORO</t>
  </si>
  <si>
    <t>COIF ESTADO DE ISRAEL</t>
  </si>
  <si>
    <t>CHANGUINOLA</t>
  </si>
  <si>
    <t>CAIPI MIS PRIMEROS PASOS DE TEOBROMA</t>
  </si>
  <si>
    <t>EDUCACIÓN INICIAL-FORMAL</t>
  </si>
  <si>
    <t>COIF FROEBELIN</t>
  </si>
  <si>
    <t>FINCA 30</t>
  </si>
  <si>
    <t>ESC. BILINGÜE TEOBROMA</t>
  </si>
  <si>
    <t>DEC.  446 DEL 14 DE AGOSTO DE 2018 INCORPORA LA DENOMINACION BILINGÜE AL NOMBRE</t>
  </si>
  <si>
    <t>TIERRA OSCURA</t>
  </si>
  <si>
    <t>INDIGENA</t>
  </si>
  <si>
    <t>SI</t>
  </si>
  <si>
    <t>DEC. 468 DE 30 DE DICIEMBRE DE 1985</t>
  </si>
  <si>
    <t>ALMIRANTE</t>
  </si>
  <si>
    <t>ESC. ALMIRANTE</t>
  </si>
  <si>
    <t>DEC.18 DE 19 DE ABRIL DE 1915</t>
  </si>
  <si>
    <t>CAUCHERO</t>
  </si>
  <si>
    <t>ESC. ALTO CAÑA</t>
  </si>
  <si>
    <t>DEC. 230 DEL 11 DE JUNIO DE 2018.</t>
  </si>
  <si>
    <t>LAS TABLAS</t>
  </si>
  <si>
    <t>ESC. ALTO DOS CAÑOS ANEXA</t>
  </si>
  <si>
    <t>COCHIGRO</t>
  </si>
  <si>
    <t>ESC. ALTO PITA</t>
  </si>
  <si>
    <t>ESC. ALTO REFUGIO</t>
  </si>
  <si>
    <t>ESC. ALTO SORI</t>
  </si>
  <si>
    <t>ESC. ARCELIO A. FITZGERAL</t>
  </si>
  <si>
    <t>DEC.19 DE 11 DE ENERO DE 1968</t>
  </si>
  <si>
    <t>El dect. 19 del 11 de enero de 1968 cambia el nombre de Escuela "CAUCHERO" por el de "Escuela Arcelio FitzGerald". Este decreto se puede ver</t>
  </si>
  <si>
    <t>BASTIMENTO</t>
  </si>
  <si>
    <t>ESC. BAHIA HONDA</t>
  </si>
  <si>
    <t>CHIRIQUÍ GRANDE</t>
  </si>
  <si>
    <t>ESC. BAHIA LA BALLENA</t>
  </si>
  <si>
    <t>ESC. BAHIA ROJA</t>
  </si>
  <si>
    <t>BARRANCO ADENTRO</t>
  </si>
  <si>
    <t>ESC. BARRANCO MEDIO</t>
  </si>
  <si>
    <t>BARRIADA GUAYMI</t>
  </si>
  <si>
    <t>ESC. BARRIADA GUAYMI</t>
  </si>
  <si>
    <t>ESC. BASTIMENTO</t>
  </si>
  <si>
    <t>LAS DELICIAS</t>
  </si>
  <si>
    <t>ESC. BOCA DE YORKIN</t>
  </si>
  <si>
    <t>DEC.415 DEL 23 DE AGOSTO DE 1963</t>
  </si>
  <si>
    <t>ESC. BOCA DE DRAGO</t>
  </si>
  <si>
    <t>El dect. 18 de 19 de abril  de 1915 crea la escuela Alternada de Boca del Drago</t>
  </si>
  <si>
    <t>C.E.B.G. BILINGÜE CHANGUINOLA</t>
  </si>
  <si>
    <t xml:space="preserve">DEC. 49 DE 13 DE JUNIO DE 1978 </t>
  </si>
  <si>
    <t>Decreto 446 del 14 de agosto de 2018 incorpora la denominacion Bilingüe al Nombre</t>
  </si>
  <si>
    <t>BAJO CEDRO</t>
  </si>
  <si>
    <t>C.E.B.G. BAJO  CEDRO</t>
  </si>
  <si>
    <t xml:space="preserve">DEC.107 DE 5 DE MAYO DE 1986  </t>
  </si>
  <si>
    <t>El dect. 107 de 5 de mayo de 1986 crea la escuela BAJO CEDRO. El dect.  614 del 3/8/2011 crea el centro educativo Bajo EL Cedro</t>
  </si>
  <si>
    <t xml:space="preserve">C.E.B.G. BILINGÜE  NIEVECITA  </t>
  </si>
  <si>
    <t>DEC. 219 DE 27 DE JUNIO DE 2000</t>
  </si>
  <si>
    <t>Dec. 122 del 3 de marzo del 2017 se crea la educacion media las nievecitas.Decreto 446 del 14 de agosto de 2018 incorpora la denominacion Bilingüe al Nombre</t>
  </si>
  <si>
    <t>EL EMPALME</t>
  </si>
  <si>
    <t>C.E.B.G. BILINGÜE EL EMPALME</t>
  </si>
  <si>
    <t>FINCA 4</t>
  </si>
  <si>
    <t>C.E.B.G. BILINGÜE FINCA 04</t>
  </si>
  <si>
    <t>DEC.  DECT. 584 DEL 4 DE AGOSTO DE 2004</t>
  </si>
  <si>
    <t>El dect. 76 de 9 de abril de 1954 da apertura a la escuela "FINCA CUATRO". El dect. 584 del 4 de agosto de 2004 crea el C. E.B.G. de Finca 4.Decreto 446 del 14 de agosto de 2018 incorpora la denominacion Bilingüe al Nombre</t>
  </si>
  <si>
    <t>FINCA 60</t>
  </si>
  <si>
    <t>C.E.B.G. BILINGÜE FINCA 62</t>
  </si>
  <si>
    <t>DEC.34 DE 24 DE ENERO DE 1966</t>
  </si>
  <si>
    <t>El dect. 168 de 8 de mayo de 1962 clausura la escuela FINCA 62. El dect.  34 de 24 de enero de 1966 ordena la reapertura de la escuela FINCA 62. El dect. 220 de 27 de junio de 2000 crea el Centro de Educación Básica General de Finca 62.Decreto 446 del 14 de agosto de 2018 incorpora la denominacion Bilingüe al Nombre</t>
  </si>
  <si>
    <t>LA MESA</t>
  </si>
  <si>
    <t>C.E.B.G. BILINGÜE MARIANO THOMAS</t>
  </si>
  <si>
    <t>DEC.70 DE 21 DE MARZO DE 1972</t>
  </si>
  <si>
    <t xml:space="preserve">El dect. 70 de 21 de marzo de 1972 crea la escuela La Mesa.  El dect. 128 del 24 de julio de 1997 asigna el nombre de Mariano Thomas a la Escuela La Mesa </t>
  </si>
  <si>
    <t>VALLE DEL RISCÓ</t>
  </si>
  <si>
    <t>C.E.B.G. BILINGÜE VALLE DE RISCO</t>
  </si>
  <si>
    <t>DEC.110 DE 4 DE ABRIL DE 1966. DEC. 739 DEL 19 DE NOV. DE 2018 QUE DEROGA EN TODAS SUS PARTES EL DEC. EJECUTIVO NO. 1074 DEL 16 DE DIC. DE 2016 Y SE EMPLEMENTA EL SEGUNDO NIVEL DE ENSEÑANZA O EDUCACION MEDIA.</t>
  </si>
  <si>
    <t>El dect. 110 de 4 de abril de 1966 crea la escuela Valle de Risco.  El dect. 181 de 24 de octubre de 1997 crea el Primer Ciclo Valle del Risco</t>
  </si>
  <si>
    <t>PREESCOLAR-PRIMARIA-PREMEDIA-MEDIA ACADÉMICA-MEDIA PROFESIONAL Y TÉCNICA</t>
  </si>
  <si>
    <t>CIENCIAS, TECNOLOGIA E INFORMATICA</t>
  </si>
  <si>
    <t>LA GLORIA</t>
  </si>
  <si>
    <t>C.E.B.G. LA GLORIA</t>
  </si>
  <si>
    <t>DEC.20 DE 31 DE ENERO DE 1972</t>
  </si>
  <si>
    <t>NANCE DE RISCO</t>
  </si>
  <si>
    <t>C.E.B.G. NANCE DE RISCO</t>
  </si>
  <si>
    <t>El dect. 20 de 31 de enero de 1972 crea la escuela Nance de Risco. El dect. 614 del 3/8/2011 crea el centro educativo Nance de Risco</t>
  </si>
  <si>
    <t>PUNTA PEÑA</t>
  </si>
  <si>
    <t>DEC. 166 DEL 11 DE MAYO DE 1960</t>
  </si>
  <si>
    <t>VALLE DE AGUAS ARRIBA</t>
  </si>
  <si>
    <t>C.E.B.G. QUEBRADA PASTOR</t>
  </si>
  <si>
    <t>El dect. 70 de 21 de marzo de 1972 crea la escuela Quebrada Pastor, en el corregimiento de Valle Riscó. El dect. 581  de 4 de agosto de 2004 crea el C.E.B.G. Quebrada Pastor</t>
  </si>
  <si>
    <t>EL TERIBE</t>
  </si>
  <si>
    <t>C.E.B.G. SIEYICK</t>
  </si>
  <si>
    <t>NASO</t>
  </si>
  <si>
    <t>TURISMO</t>
  </si>
  <si>
    <t>GUABITO</t>
  </si>
  <si>
    <t>C.E.B.G. BILINGÜE GUABITO</t>
  </si>
  <si>
    <t>ESC. CABLE VIA</t>
  </si>
  <si>
    <t>ESC. CARENERO</t>
  </si>
  <si>
    <t>ESC. CAUCHERO ARRIBA</t>
  </si>
  <si>
    <t xml:space="preserve">DEC.150 DE 30 DE JUNIO DE 1986 </t>
  </si>
  <si>
    <t>PUNTA LAUREL</t>
  </si>
  <si>
    <t>ESC. CAYO DE AGUA</t>
  </si>
  <si>
    <t>DEC. 1071 DEL 25 DE NOVIEMBRE DE 2016.</t>
  </si>
  <si>
    <t>que crea los centros educativos que implementan el Programa de Educacion Premedia y Media con metodologia Escuela Nueva Escuela Activa (ENEA)</t>
  </si>
  <si>
    <t>PREESCOLAR-PRIMARIA-PREMEDIA-MEDIA PROFESIONAL Y TÉCNICA</t>
  </si>
  <si>
    <t>ESC. CERRO BRUJO</t>
  </si>
  <si>
    <t xml:space="preserve">DEC.18 DE 26 DE FEBRERO DE 1980 </t>
  </si>
  <si>
    <t xml:space="preserve">PREESCOLAR-PRIMARIA </t>
  </si>
  <si>
    <t>ESC. CHARAGRE</t>
  </si>
  <si>
    <t>ESC. CHARCO LA PAVA</t>
  </si>
  <si>
    <t>COLEGIO SECUNDARIO DE GUABITO</t>
  </si>
  <si>
    <t>DEC. 303 DEL 21 DE AGOSTO DE 2000.</t>
  </si>
  <si>
    <t> MEDIA ACADÉMICA-MEDIA PROFESIONAL Y TÉCNICA</t>
  </si>
  <si>
    <t>CIENCIAS, TURISMO, TECNOLOGIA E INFORMATICA</t>
  </si>
  <si>
    <t>COLEGIO ROGELIO JOSUÉ IBARRA</t>
  </si>
  <si>
    <t>DEC.1393 DE 2 DE MAYO DE 1946</t>
  </si>
  <si>
    <t>El dect. 1393 de 2 de mayo de 1946  crea el primer Ciclo de Bocas del Toro. El dect. 639 de 7 de noviembre de 1969 cambia el nombre del PRIMER CICLO DE BOCAS DEL TORO por el de COLEGIO SECUNDARIO DE BOCAS DEL TORO. El dect. 159 de 4 de julio de 1990 denomina ROGELIO JOSUE IBARRA, al Colegio Secundario de Bocas del Toro</t>
  </si>
  <si>
    <t>CIENCIAS, HUMANIDADES,TURISMO</t>
  </si>
  <si>
    <t>COLEGIO SECUNDARIO NIEVECITA</t>
  </si>
  <si>
    <t>DEC. EJECUTIVO 122 DEL 3 DE MARZO DE 2017 QUE CREA EL CENTRO DE EDUCACIÓN MEDIA</t>
  </si>
  <si>
    <t>MEDIA ACADÉMICA</t>
  </si>
  <si>
    <t>COLEGIO SECUNDARIO DE ALMIRANTE</t>
  </si>
  <si>
    <t>CIENCIAS, COMERCIO, CONTABILIDAD, TECNOLOGIA INFORMATICA</t>
  </si>
  <si>
    <t>ESC. COLONIA SANTEÑA</t>
  </si>
  <si>
    <t>ESC. CORRIENTE GRANDE</t>
  </si>
  <si>
    <t>ESC. CUN KING</t>
  </si>
  <si>
    <t>ESC. DEBORÁ</t>
  </si>
  <si>
    <t>ESC. DOS CAÑOS</t>
  </si>
  <si>
    <t>ESC. EL ESCOBAL</t>
  </si>
  <si>
    <t xml:space="preserve">DEC.110 DE 4 DE ABRIL DE 1966 </t>
  </si>
  <si>
    <t>FINCA 06</t>
  </si>
  <si>
    <t>ESC. BILINGÜE 4 DE ABRIL</t>
  </si>
  <si>
    <t>ESC. BILINGÜE BARRANCO ADENTRO</t>
  </si>
  <si>
    <t>ESC. BILINGÜE BERTA LOPEZ</t>
  </si>
  <si>
    <t>DEC.62 DE 9 DE MARZO DE 1993</t>
  </si>
  <si>
    <t xml:space="preserve">El dcrto 62 de 9 de marzo de 1993 da el nombre de BERTA A. LOPEZ C., a la escuela de MILLA 01. Decreto 446 del 14 de agosto de 2018 incorpora la denominacion Bilingüe al Nombre </t>
  </si>
  <si>
    <t>ESC. BILINGÜE CAÑAZAS</t>
  </si>
  <si>
    <t>ESC. BILINGÜE DIONISIA G. DE AYARZA</t>
  </si>
  <si>
    <t>Dec. 10 del 23 de febrero 2022 que legaliza la implementacion del segundo nivel de enseñanzao de educacion media (Bachiller en Ciencias).</t>
  </si>
  <si>
    <t>EL SILENCIO</t>
  </si>
  <si>
    <t>ESC. BILINGÜE EL SILENCIO</t>
  </si>
  <si>
    <t>dec. 614 del 3 de agosto de 2011 se crea el Centro Educativo El Silencio.Decreto 446 del 14 de agosto de 2018 incorpora la denominacion Bilingüe al Nombre</t>
  </si>
  <si>
    <t>ESC. BILINGÜE FINCA 41</t>
  </si>
  <si>
    <t>ESC. BILINGÜE REPUBLICA DE NICARAGUA</t>
  </si>
  <si>
    <t>DEC.61 DE 1 DE OCTUBRE DE 1929</t>
  </si>
  <si>
    <t>El dcrto 61 de 1° de octubre de 1929 da el nombre de República de Nicaragua a la Escuela de Bocas del Toro. El dcrto 606 de 23 de noviembre de 1954 le  da el nombre de "ESCUELA MIXTA DE BOCAS DEL TORO". El dcrto 664 del 14 de diciembre de 1954 le asigna el nombre: República de Nicaragua No.1. Decreto 446 del 14 de agosto de 2018 incorpora la denominacion Bilingüe al Nombre</t>
  </si>
  <si>
    <t>ESC.  BELLA VISTA</t>
  </si>
  <si>
    <t>ESC. BILINGÜE  FINCA 32</t>
  </si>
  <si>
    <t> PREESCOLAR-PRIMARIA-PREMEDIA-MEDIA ACADÉMICA</t>
  </si>
  <si>
    <t>FINCA 12</t>
  </si>
  <si>
    <t>ESC. FINCA 11</t>
  </si>
  <si>
    <t>ESC. FINCA 61</t>
  </si>
  <si>
    <t>ESC. FINCA 02</t>
  </si>
  <si>
    <t>DEC. 415 DE 10 DE MAYO DE 1971</t>
  </si>
  <si>
    <t>ESC. FINCA 03</t>
  </si>
  <si>
    <t>DEC. 247 DE 16 DE JULIO DE 1985</t>
  </si>
  <si>
    <t>ESC. FINCA 15</t>
  </si>
  <si>
    <t>ESC. FINCA 41 ANEXA GUABITO</t>
  </si>
  <si>
    <t>ESC. FINCA 43</t>
  </si>
  <si>
    <t>ESC. FINCA 44</t>
  </si>
  <si>
    <t>DEC.763 DE 9 DE DICIEMBRE DE 1969</t>
  </si>
  <si>
    <t>FINCA 51</t>
  </si>
  <si>
    <t>ESC. FINCA 54</t>
  </si>
  <si>
    <t>DEC. 742 DE 30 DE NOVIEMBRE DE 1957</t>
  </si>
  <si>
    <t>ESC. FINCA 64</t>
  </si>
  <si>
    <t>DEC. 247 DE 22 DE MARZO DE 1972</t>
  </si>
  <si>
    <t>FINCA 66</t>
  </si>
  <si>
    <t>ESC. BILINGÜE  FINCA 66</t>
  </si>
  <si>
    <t>DEC. 614 DEL 3/8/2011 CREA EL CENTRO EDUCATIVO FINCA 66</t>
  </si>
  <si>
    <t>ESC. FINCA 67</t>
  </si>
  <si>
    <t>DEC. 614 DEL 3/8/2011 CREA EL CENTRO EDUCATIVO FINCA 67</t>
  </si>
  <si>
    <t>ESC. FINCA CALIFORNIA</t>
  </si>
  <si>
    <t>I.P.T. BOCAS DEL TORO</t>
  </si>
  <si>
    <t xml:space="preserve">DEC. 87 DE 23 DE MAYO DE 1970 </t>
  </si>
  <si>
    <t>El dect. 87 de 23 de mayo de 1970 crea el Primer Ciclo de Changuinola.  El dect.  99 de 5 de mayo de 1986 fusiona los colegios I.P.T. de Bocas del Toro y el Primer Ciclo de Changuinola</t>
  </si>
  <si>
    <t xml:space="preserve">CIENCIAS, AUTOTRONICA, ELECTRICIDAD ELECTRÓNICA ,TECN.MECÁNICA, CONSTRUCCION SERV.Y GEST INST,  EBANISTERIA </t>
  </si>
  <si>
    <t>I.P.T. CHIRIQUI GRANDE</t>
  </si>
  <si>
    <t>DEC. 49 DE 13 DE JUNIO DE 1978.</t>
  </si>
  <si>
    <t>MEDIA ACADÉMICA-MEDIA PROFESIONAL Y TÉCNICA</t>
  </si>
  <si>
    <t>CIENCIAS, AGROPECUARIO</t>
  </si>
  <si>
    <t>DEC.11 DE 21 DE FEBRERO DE 1985</t>
  </si>
  <si>
    <t>El dect. 49 de 13 de junio de 1978 crea el C.E.B.G. El Silencio.  El dect. 11 de 21 de febrero de 1985 crea el I.P.T. El Silencio. El dect.  614 del 3/8/2011 crea el centro educativo El Silencio</t>
  </si>
  <si>
    <t> PREMEDIA-MEDIA ACADÉMICA-MEDIA PROFESIONAL Y TÉCNICA</t>
  </si>
  <si>
    <t>CIENCIAS, COMERCIO,AGROPECUARIO</t>
  </si>
  <si>
    <t>ESC. ISLA POPA Nº2</t>
  </si>
  <si>
    <t>ESC. ISLA TIGRE</t>
  </si>
  <si>
    <t>ESC. LA CONGA</t>
  </si>
  <si>
    <t>MIRAMAR</t>
  </si>
  <si>
    <t>ESC. LAS CAÑAS</t>
  </si>
  <si>
    <t>ESC. LOMA AZUL</t>
  </si>
  <si>
    <t xml:space="preserve">ESC. LOMA BANDERA </t>
  </si>
  <si>
    <t>ESC. LOMA ESTRELLA</t>
  </si>
  <si>
    <t>ESC. LOMA MULETO</t>
  </si>
  <si>
    <t>ESC. LOS CHIRICANOS</t>
  </si>
  <si>
    <t>ESC. LOS HIGUERONES</t>
  </si>
  <si>
    <t>DEC. 699 DE 7 DE OCTUBRE DE 1993</t>
  </si>
  <si>
    <t>ESC. LOS MOLEJONES</t>
  </si>
  <si>
    <t>ESC. LUIS FLORES</t>
  </si>
  <si>
    <t>MIRAFLORES</t>
  </si>
  <si>
    <t>ESC. MILLA 03</t>
  </si>
  <si>
    <t>ESC. MILLA 05</t>
  </si>
  <si>
    <t>ESC. MILLA 10</t>
  </si>
  <si>
    <t>ESC. MIRAFLORES</t>
  </si>
  <si>
    <t>ESC. MIRAMAR</t>
  </si>
  <si>
    <t>DEC. 53 DE 24 DE ABRIL DE 1959</t>
  </si>
  <si>
    <t xml:space="preserve">El dect. 104 de 13 de junio de 1949 crea la escuela Miramar.  El dect. 591 de 3 de octubre de 1955 clausura la escuela Miramar. El dect. 53 del 24 de abril de 1959 crea la escuela Miramar </t>
  </si>
  <si>
    <t>RAMBALA</t>
  </si>
  <si>
    <t>ESC. NUEVA ESTRELLA</t>
  </si>
  <si>
    <t>ESC. NUEVA ZELANDIA</t>
  </si>
  <si>
    <t>DEC.121 DE 13 DE MAYO DE 1987</t>
  </si>
  <si>
    <t>ESC. NUEVO PARAISO</t>
  </si>
  <si>
    <t>ESC. OJO DE AGUA</t>
  </si>
  <si>
    <t>ESC. ORIENTE DE RISCO</t>
  </si>
  <si>
    <t>PUNTA ROBALO</t>
  </si>
  <si>
    <t>ESC. PALO SECO</t>
  </si>
  <si>
    <t>ESC. PUENTE BLANCO</t>
  </si>
  <si>
    <t>ESC. PUNTA LAUREL</t>
  </si>
  <si>
    <t>DEC.104 DE 13 DE JUNIO DE 1949</t>
  </si>
  <si>
    <t>ESC. PUNTA PEÑA DE RISCO</t>
  </si>
  <si>
    <t>ESC. PUNTA ROBALO</t>
  </si>
  <si>
    <t>DEC.459 DEL 27 DE JULIO DE 1955</t>
  </si>
  <si>
    <t>ESC. QUEBRADA PUERCO</t>
  </si>
  <si>
    <t>ESC. COCHIGRO</t>
  </si>
  <si>
    <t>DEC. 327 DE 21 DE DICIEMBRE DE 1987 QUE CREA LA ESCUELA COCHIGRO, EN CHANGUINOLA</t>
  </si>
  <si>
    <t>ESC. QUEBRADA EL BAJO</t>
  </si>
  <si>
    <t>ESC. QUEBRADA DE GARZA</t>
  </si>
  <si>
    <t>ESC. QUEBRADA GUABO</t>
  </si>
  <si>
    <t>ESC. QUEBRADA HUACA</t>
  </si>
  <si>
    <t>ESC. QUEBRADA PINZON</t>
  </si>
  <si>
    <t>ESC. QUEBRADA PISCINA</t>
  </si>
  <si>
    <t>DEC. 18 DEL 7 DE ABRIL DE 2022</t>
  </si>
  <si>
    <t>ESC. QUEBRADA PITA</t>
  </si>
  <si>
    <t>ESC. QUEBRADA SAL</t>
  </si>
  <si>
    <t>DEC. 1071 DEL 25 DE NOVIEMBRE DE 2016</t>
  </si>
  <si>
    <t>ESC. RAMBALA</t>
  </si>
  <si>
    <t>DEC. 333 DEL 26 DE ABRIL DE 1971</t>
  </si>
  <si>
    <t>El dect. 333 del 26 de abril de 1971 crea la escuela Rambala.  El dect.  614 del 3/8/2011 crea el Centro Educativo Rambala</t>
  </si>
  <si>
    <t>ESC. RÍO AUYAMA</t>
  </si>
  <si>
    <t xml:space="preserve">DEC. 325 DEL 15 DE JULIO DE 1963 </t>
  </si>
  <si>
    <t>El dect. 325 del 15 de julio de 1963 crea la Escuela "RIO AUYAMA"que crea los centros educativos que implementan el Programa de Educacion Premedia y Media con metodologia Escuela Nueva Escuela Activa (ENEA)</t>
  </si>
  <si>
    <t>ESC. RÍO OESTE ABAJO</t>
  </si>
  <si>
    <t>DEC. 718 DE 30 DE AGOSTO DE 1961</t>
  </si>
  <si>
    <t>El dect. 418 de 30 de agosto de 1961 crea la escuela RIO DEL OESTE</t>
  </si>
  <si>
    <t>ESC. RÍO OESTE ARRIBA</t>
  </si>
  <si>
    <t>DEC. 20 DE 31 DE ENERO DE 1972</t>
  </si>
  <si>
    <t>SAN CRISTOBAL</t>
  </si>
  <si>
    <t>ESC. SAN CRISTOBAL</t>
  </si>
  <si>
    <t>El dect. 325 del 15 de julio de 1963 crea la Escuela "SAN CRISTOBAL"</t>
  </si>
  <si>
    <t>ESC. SAN SAN</t>
  </si>
  <si>
    <t xml:space="preserve">ESC. SAN SAN DRURY </t>
  </si>
  <si>
    <t>ESC. SAN SAN MEDIO</t>
  </si>
  <si>
    <t>ESC. SAN SAN MEDIO ANEXA</t>
  </si>
  <si>
    <t>ESC. SAN SAN MONA</t>
  </si>
  <si>
    <t>ESC. SANTA CLARA</t>
  </si>
  <si>
    <t>C.E.B.G. SANTA MARTA ABAJO</t>
  </si>
  <si>
    <t>DEC. 57 DEL 20 DE FEBRERO DEL 2017</t>
  </si>
  <si>
    <t>ESC. SANTA MARTA ARRIBA</t>
  </si>
  <si>
    <t>ESC. SECRETARIO</t>
  </si>
  <si>
    <t>ESC. SOLARTE</t>
  </si>
  <si>
    <t>El dect. 18 de 19 de abril de 1915 crea la escuela alternada de Solarte</t>
  </si>
  <si>
    <t>ESC. SOLEDAD DEL VALLE DE RISCO</t>
  </si>
  <si>
    <t>ESC. VALLE DE AGUA ABAJO</t>
  </si>
  <si>
    <t>DEC. 418 DE 30 DE AGOSTO DE 1961</t>
  </si>
  <si>
    <t>El dect. 418 de 30 de agosto de 1961 crea la escuela Valle de Agua, en el municipio de Bocas del Toro</t>
  </si>
  <si>
    <t>ESC. VALLE DE AGUA ARRIBA</t>
  </si>
  <si>
    <t>ESC. VALLE JUNQUITO</t>
  </si>
  <si>
    <t>ESC. VALLE DE LAS PERLAS</t>
  </si>
  <si>
    <t>ESC. VALLE SECO</t>
  </si>
  <si>
    <t xml:space="preserve">ESC. ZEGLA </t>
  </si>
  <si>
    <t>ESC. AGUA SALUD</t>
  </si>
  <si>
    <t>ESC. ALTO LA GLORIA</t>
  </si>
  <si>
    <t>DEC. 1071 DEL 25 DE NOVIEMBRE DEL 2016</t>
  </si>
  <si>
    <t>ESC. ALTO DE YORKIN</t>
  </si>
  <si>
    <t>ESC. ALTO ROMERO</t>
  </si>
  <si>
    <t>ESC. BAHIA GRANDE</t>
  </si>
  <si>
    <t>BAJO CULUBRE</t>
  </si>
  <si>
    <t>ESC. BAJO CULUBRE</t>
  </si>
  <si>
    <t>ESC. BAJO GAVILAN</t>
  </si>
  <si>
    <t>ESC. BAJO LA ESPERANZA</t>
  </si>
  <si>
    <t>ESC. BAJO SORI</t>
  </si>
  <si>
    <t>ESC. BISIRA Nº3 ANEXA QDA. CANELA</t>
  </si>
  <si>
    <t>ESC. BOCA DE YORKIN ANEXA</t>
  </si>
  <si>
    <t>ESC. BOCATORITO</t>
  </si>
  <si>
    <t xml:space="preserve">ESC. BONYICK </t>
  </si>
  <si>
    <t>ESC. BUENA ESPERANZA</t>
  </si>
  <si>
    <t>ESC. BUENA SELVA</t>
  </si>
  <si>
    <t>ESC. CERRO PALMA</t>
  </si>
  <si>
    <t>ESC. CHANGUINOLA ARRIBA</t>
  </si>
  <si>
    <t>ESC. CHIRIQUICITO Nº1</t>
  </si>
  <si>
    <t>DEC. 18 DE 26 DE FEBRERO DE 1980 CREA LA ESCUELA CHIRIQUITO, EN CHIRIQUÍ GRANDE</t>
  </si>
  <si>
    <t>ESC. CHIRIQUICITO Nº2</t>
  </si>
  <si>
    <t>ESC. DOS CAÑOS ABAJO</t>
  </si>
  <si>
    <t>ESC. DOS CAÑOS ANEXA</t>
  </si>
  <si>
    <t>ESC. SANTA ROSA</t>
  </si>
  <si>
    <t>DEC.46 DEL 21 DE ABRIL DE 1981</t>
  </si>
  <si>
    <t>que crea los centros educativos que implementan el Programa de Educación Premedia y Media con metodología Escuela Nueva Escuela Activa (ENEA)</t>
  </si>
  <si>
    <t>ESC. ISLA POPA Nº1</t>
  </si>
  <si>
    <t>El dect. 18 de 26 de febrero de 1980 crea la escuela ISLA POPA</t>
  </si>
  <si>
    <t>ESC. ISLA VENADO</t>
  </si>
  <si>
    <t>ESC. JOBITO ROJO</t>
  </si>
  <si>
    <t>CEIBA</t>
  </si>
  <si>
    <t>ESC. LA CEIBA</t>
  </si>
  <si>
    <t>ESC. LAS PALMITAS</t>
  </si>
  <si>
    <t>C.E.B.G. LAS PIÑAS</t>
  </si>
  <si>
    <t>DEC. 128, DEL 3 DE MARZO DEL 2017 QUE CREA EL C.E.B.G. LAS PIÑAS</t>
  </si>
  <si>
    <t>ESC. LOMA BONITA</t>
  </si>
  <si>
    <t>DEC. 246 DE 16 DE JULIO DE 1985</t>
  </si>
  <si>
    <t>El dect. 246 de 16 de julio de 1985 y el dect. 294 de 12 de agosto de 1985 crean ambos la escuela Loma Bonita</t>
  </si>
  <si>
    <t>ESC. LOMA PARTIDA</t>
  </si>
  <si>
    <t>DEC.194 DE 19 DE MAYO DE 1965</t>
  </si>
  <si>
    <t>ESC. MILLA 7 1/2</t>
  </si>
  <si>
    <t>Dec. 236 del 11 de julio de 2018 la implementacion de la cobertura academica del primer nivel de enseñanza o educacion basica general.</t>
  </si>
  <si>
    <t>ESC. QUEBRADA PUEBLO</t>
  </si>
  <si>
    <t>ESC. QUEBRADA BANANO</t>
  </si>
  <si>
    <t>ESC. QUEBRADA CACAO</t>
  </si>
  <si>
    <t>ESC. QUEBRADA CANELA</t>
  </si>
  <si>
    <t>C.E.B.G. LA MINA</t>
  </si>
  <si>
    <t>ESC. QUEBRADA LIMON</t>
  </si>
  <si>
    <t>ESC. QUEBRADA MONO</t>
  </si>
  <si>
    <t>DEC.53 DEL 24 DE ABRIL DE 1959</t>
  </si>
  <si>
    <t>El decreto 53 de 24 de abril de 1959 crea la escuela Quebrada Mono en Chiriquí Grande</t>
  </si>
  <si>
    <t>ESC. QUEBRADA PITTI</t>
  </si>
  <si>
    <t>DEC. 649 DEL 28 DE DICIEMBRE DE 1970</t>
  </si>
  <si>
    <t>ESC. QUEBRADA PLATANO</t>
  </si>
  <si>
    <t>ESC. QUEBRADA PLUMA</t>
  </si>
  <si>
    <t>ESC. RENACIMIENTO</t>
  </si>
  <si>
    <t>ESC. SAN JUAN</t>
  </si>
  <si>
    <t>DEC.211 DEL 7 DE MAYO DE 1968</t>
  </si>
  <si>
    <t>ESC. SAN SAN TIGRA</t>
  </si>
  <si>
    <t xml:space="preserve">ESC. SIEKING </t>
  </si>
  <si>
    <t>ESC. SILOE</t>
  </si>
  <si>
    <t xml:space="preserve">ESC. SOLON </t>
  </si>
  <si>
    <t>ESC. SÚRSUBA</t>
  </si>
  <si>
    <t>ESC. TIBITE</t>
  </si>
  <si>
    <t>ESC. TIERRA OSCURA</t>
  </si>
  <si>
    <t>DEC. 293 DE 9 DE JUNIO DE 1956</t>
  </si>
  <si>
    <t>El dect.  293 del 9 de junio de 1956 ordena la apertura de la escuela Tierra oscura</t>
  </si>
  <si>
    <t>C.E.B.G. TRES PIEDRAS</t>
  </si>
  <si>
    <t>ESC. VALLE REY</t>
  </si>
  <si>
    <t>ESC. VALLE ESCONDIDO</t>
  </si>
  <si>
    <t>ESC. VALLE LIBRE</t>
  </si>
  <si>
    <t>TELE EDUCACIÓN BASTIMENTO</t>
  </si>
  <si>
    <t>CENTRO LABORAL NOCTURNO CHIRIQUI GRANDE (ESNOCH)</t>
  </si>
  <si>
    <t>CIENCIAS, TURISMO</t>
  </si>
  <si>
    <t>ESC.SEC.NOCTURNA OFICIAL CHANGUINOLA</t>
  </si>
  <si>
    <t>ESC. FINCA 4</t>
  </si>
  <si>
    <t>ESC. FINCA 41</t>
  </si>
  <si>
    <t>TERMINACION PRIMARIA LA GLORIA</t>
  </si>
  <si>
    <t>PENITENCIARIA LIBERTAD DEL ALMA -EXT. ESNO DE CHANGUINOLA</t>
  </si>
  <si>
    <t>TELE-EDUCACION NANCE DE RISCO</t>
  </si>
  <si>
    <t xml:space="preserve"> TERMINACION PRIMARIA NIEVECITA</t>
  </si>
  <si>
    <t>CENTRO OFICIAL NOCTURNO  DE GUABITO</t>
  </si>
  <si>
    <t xml:space="preserve">CIENCIAS, TECNOLOGIA E INFORMATICA </t>
  </si>
  <si>
    <t>CENTRO EDUCATIVO OFICIAL NOCTURNO DE ALMIRANTE</t>
  </si>
  <si>
    <t>EDJA QUEBRADA PINZON</t>
  </si>
  <si>
    <t>TERMINACION PRIMARIA VALLE EL REY</t>
  </si>
  <si>
    <t>TELE-EDUCACION QUEBRADA  GUABO</t>
  </si>
  <si>
    <t> PREMEDIA-MEDIA ACADÉMICA</t>
  </si>
  <si>
    <t>TELE EDUCACION LOMA PARTIDA</t>
  </si>
  <si>
    <t>ESC. DIONICIA AYARZA</t>
  </si>
  <si>
    <t>TELE EDUCACION DOS CAÑOS</t>
  </si>
  <si>
    <t>EDJA GUABITO</t>
  </si>
  <si>
    <t>TERMINACION PRIMARIA VALLE RISCÓ</t>
  </si>
  <si>
    <t>CENTRO DE ESTUDIOS SUPERIORES DE BELLAS ARTES Y FOLKLORE DE CHANGUINOLA</t>
  </si>
  <si>
    <t>IPHE</t>
  </si>
  <si>
    <t>IPHE EXTENCIÓN DE BOCAS DEL TORO</t>
  </si>
  <si>
    <t>CENTRO EDUCATIVO LUIS AMIGÓ</t>
  </si>
  <si>
    <t>RES. 1508-AL DEL 23 DE JUNIO DE 2022 QUE AUTORIZA FUNCIONAMIENTO</t>
  </si>
  <si>
    <t>PRIMARIA-PREMEDIA-MEDIA ACADÉMICA</t>
  </si>
  <si>
    <t>CENTRO PARTICULAR MULTICULTURAL INTERNATIONAL SCHOOL DR. ANDRÉS CULIOLIS BAYARD (ANTES CENTRO EDUCATIVO EVANGELICO CUADRANGULAR BET-EL, ISLA COLÓN)</t>
  </si>
  <si>
    <t>RES. 3032-AL 14 DE NOVIEMBRE DE 2022.</t>
  </si>
  <si>
    <t>COLEGIO ADVENTISTA BILINGÜE DE CHANGUINOLA</t>
  </si>
  <si>
    <t>RES. 1156 DEL 20 DE MAYO DE 2022 POR EL CUAL AUTORIZA EL FUNCIONAMIENTO DEL CENTRO EDUCATIVO.</t>
  </si>
  <si>
    <t>COLEGIO SAN MARCOS</t>
  </si>
  <si>
    <t>RES. 2932- AL 08 DE NOV. DE 2022 QUE AUTORIZA EL FUNCIONAMIENTO DEL C.E. DENOMINADO COLEGIO SAN MARCOS.</t>
  </si>
  <si>
    <t>ESC. ADVENTISTA BILINGÜE  DE ALMIRANTE</t>
  </si>
  <si>
    <t xml:space="preserve">RES. 5103 DEL 20 DE OCTUBRE DE 2021 POR EL CULA AUTORIZA EL FUNCIONAMIENTO DE LA ESCUELA </t>
  </si>
  <si>
    <t>ESC.  CHANGUINOLA AMERICAN  ACADEMY</t>
  </si>
  <si>
    <t>RES. 1940 DEL 5 DE DICIEMBRE DE 2000 POR EL CUAL ASIGNA AL CENTRO EDUCATIVO ESCUELA BILINGÜE FINCA 8 EL NOMBRE DE CHANGUINOLA AMERICAN ACADEMY Y SE AUTORIZA EL USO DE LAS SIGLAS CAA.</t>
  </si>
  <si>
    <t>ESC. TANGERINE</t>
  </si>
  <si>
    <t>EVANGELICO BET-EL CHANGUINOLA</t>
  </si>
  <si>
    <t>INSTITUTO  BILINGÜE DE CHANGUINOLA SWICHE 4</t>
  </si>
  <si>
    <t>INSTITUTO INTEGRAL DEL EXITO</t>
  </si>
  <si>
    <t>RES.4642 DEL 22 DE SEP. 2021 POR EL CUAL AUTORIZA FUNCIONAMIENTO</t>
  </si>
  <si>
    <t>CIENCIAS, HUMANIDADES, COMERCIO</t>
  </si>
  <si>
    <t>INSTITUTO NUEVA LUZ</t>
  </si>
  <si>
    <t>LABORAL ALMIRANTE</t>
  </si>
  <si>
    <t>LABORAL CHANGUINOLA</t>
  </si>
  <si>
    <t>PREMEDIA- MEDIA</t>
  </si>
  <si>
    <t>DAVID</t>
  </si>
  <si>
    <t>COIF UNACHI</t>
  </si>
  <si>
    <t xml:space="preserve"> LAS LOMAS</t>
  </si>
  <si>
    <t>ESC. 19 DE ABRIL</t>
  </si>
  <si>
    <t>TOLÉ</t>
  </si>
  <si>
    <t>EL CRISTO</t>
  </si>
  <si>
    <t>ESC. BAJO LEON</t>
  </si>
  <si>
    <t>PEDREGAL</t>
  </si>
  <si>
    <t>SAN FÉLIX</t>
  </si>
  <si>
    <t>LAS LAJAS</t>
  </si>
  <si>
    <t>CAIPI CARRUSEL</t>
  </si>
  <si>
    <t>CAIPI CHISPITAS DEL SABER</t>
  </si>
  <si>
    <t>DAVID SUR</t>
  </si>
  <si>
    <t>CAIPI EL RETORNO</t>
  </si>
  <si>
    <t xml:space="preserve">DAVID </t>
  </si>
  <si>
    <t>CAIPI GOTITAS DE AMOR</t>
  </si>
  <si>
    <t>BOQUETE</t>
  </si>
  <si>
    <t>LOS NARANJOS</t>
  </si>
  <si>
    <t>CAIPI MIS PRIMEROS PASOS LOS NARANJOS (OFELIA GONZALES)</t>
  </si>
  <si>
    <t>CAIPI NAZARETH</t>
  </si>
  <si>
    <t>PALMIRA</t>
  </si>
  <si>
    <t>CEFACEI CANAS VERDES</t>
  </si>
  <si>
    <t>ESC. CERRO GALLOTE</t>
  </si>
  <si>
    <t>CEFACEI CHIRIQUI</t>
  </si>
  <si>
    <t>REMEDIOS</t>
  </si>
  <si>
    <t>EL PUERTO</t>
  </si>
  <si>
    <t>ESC. EL PUERTO</t>
  </si>
  <si>
    <t>ESC. PARCELACION DON BOSCO</t>
  </si>
  <si>
    <t>CEFACEI VILLA LA PAZ</t>
  </si>
  <si>
    <t>VILLA ESCONDIDA</t>
  </si>
  <si>
    <t>SAN LORENZO</t>
  </si>
  <si>
    <t>HORCONCITOS</t>
  </si>
  <si>
    <t>HORCONCITO</t>
  </si>
  <si>
    <t>IGLESIA SANTA RITA</t>
  </si>
  <si>
    <t>BUGABA</t>
  </si>
  <si>
    <t>LA ESTRELLA</t>
  </si>
  <si>
    <t>SIOGUÍ ABAJO</t>
  </si>
  <si>
    <t>RENACIMIENTO</t>
  </si>
  <si>
    <t>DOMINICAL</t>
  </si>
  <si>
    <t>BOQUERÓN</t>
  </si>
  <si>
    <t>BAGALA</t>
  </si>
  <si>
    <t>CANCHA COMUNAL</t>
  </si>
  <si>
    <t>SAN PABLO VIEJO</t>
  </si>
  <si>
    <t>IGLESIA NUESTRA SEÑORA DE LOURDES</t>
  </si>
  <si>
    <t>IGLESIA DE LOS SANTOS DE LOS ÚLTIMOS DÍAS</t>
  </si>
  <si>
    <t>IGLESIA EVANGELICA (MATA DE BUGABA)</t>
  </si>
  <si>
    <t>IGLESIA CATÓLICA</t>
  </si>
  <si>
    <t>INFOPLAZA MATA DE BUGABA</t>
  </si>
  <si>
    <t>EIH SIOGUÍ N°1</t>
  </si>
  <si>
    <t>IGLESIA DE LA VIRGEN DEL CARMEN</t>
  </si>
  <si>
    <t>EL BONGO</t>
  </si>
  <si>
    <t>IGLESIA EVANGELICA DE BONGO</t>
  </si>
  <si>
    <t>ESC. CRUZ ROJA</t>
  </si>
  <si>
    <t>ESC. VERBO DIVINO</t>
  </si>
  <si>
    <t>ESC. MACANO</t>
  </si>
  <si>
    <t>DEC. 2178 DEL 24 DE AGOSTO DE 1948</t>
  </si>
  <si>
    <t>QUEBRADA DE PIEDRA</t>
  </si>
  <si>
    <t>ESC. QUEBRADA DE PIEDRA</t>
  </si>
  <si>
    <t>SANTO DOMINGO</t>
  </si>
  <si>
    <t>ESC. SANTO DOMINGO</t>
  </si>
  <si>
    <t>DEC. 49  DEL 13 DE JULIO DE  1978</t>
  </si>
  <si>
    <t>C.E.B.G. AGUACATAL</t>
  </si>
  <si>
    <t>EL DECTO. 52 DE 15 DE JUNIO DE 1914 Y EL DECT. 1797 DEL 27 DE MAYO DE 1947 CREAN AMBOS LA ESCUELA AGUACATAL. EL DECRETO 18 DE 31 DE ENERO DE 2012 CREA EL CENTRO ESCOLAR BÁSICO GENERAL AGUACATAL</t>
  </si>
  <si>
    <t>GUABAL</t>
  </si>
  <si>
    <t>DEC. 53 DEL 24 DE ABRIL DE 1959</t>
  </si>
  <si>
    <t>ALANJE</t>
  </si>
  <si>
    <t>ESC. ALANJE</t>
  </si>
  <si>
    <t>DEC. 49 DE 13 DE JUNIO DE 1978 CREA EL C.E.B.G. ALANJE</t>
  </si>
  <si>
    <t>El dect. 49 de 13 de junio de 1978 crea el C.E.B.G. Alanje</t>
  </si>
  <si>
    <t>C.E.B.G. ALTO BONITO</t>
  </si>
  <si>
    <t>El decreto 18 de 31 de enero de 2012 crea El Centro Escolar Básico General Alto Bonito.</t>
  </si>
  <si>
    <t>ALTO BOQUETE</t>
  </si>
  <si>
    <t>ESC. ALTO BOQUETE</t>
  </si>
  <si>
    <t>DEC. 125  DEL 2 DE JUNIO DE 1975</t>
  </si>
  <si>
    <t>GÓMEZ</t>
  </si>
  <si>
    <t>ESC. ALTO CHIRIQUI</t>
  </si>
  <si>
    <t>DEC. 113 DEL 30 DE AGOSTO DE 1978</t>
  </si>
  <si>
    <t>ASERRÍO DE GARICHÉ</t>
  </si>
  <si>
    <t>ESC.ALTO DE GARICHE</t>
  </si>
  <si>
    <t>DEC. 199 DEL 19 DE MAYO DE 1955</t>
  </si>
  <si>
    <t>VELADERO</t>
  </si>
  <si>
    <t>ESC. ALTO DE LA ARENA</t>
  </si>
  <si>
    <t>JARAMILLO</t>
  </si>
  <si>
    <t>ESC. ALTO JARAMILLO</t>
  </si>
  <si>
    <t>DEC.  DE 24  DE ABRIL  DE 1959</t>
  </si>
  <si>
    <t>ESC. ALTO LAGUNA</t>
  </si>
  <si>
    <t>GUACÁ</t>
  </si>
  <si>
    <t>ESC. ALTO MAJAGUA</t>
  </si>
  <si>
    <t>DEC.107 DE 18 DE MAYO DE 1984</t>
  </si>
  <si>
    <t>ESC. ALTO QUIEL</t>
  </si>
  <si>
    <t>DEC. 38 DE 12 DE FEBRERO DE 1963 CORRIGE EL DECT. 622 DE 1962 EN CUANTO SE REFIERE A LA UBICACIÓN, YA QUE LA MISMA ESTA EN BOQUETE (Y NO EN BARÚ)</t>
  </si>
  <si>
    <t>El dect. 38 de 12 de febrero de 1963 corrige el dect. 622 de 1962 en cuanto se refiere a la ubicación, ya que la misma esta en Boquete (y no en Barú)</t>
  </si>
  <si>
    <t>BOCA DEL MONTE</t>
  </si>
  <si>
    <t>C.E.B.G. ANASTACIO ALVARADO</t>
  </si>
  <si>
    <t>DEC. 649 DE 28 DE DICIEMBRE DE 1970 CREA LA ESCUELA EL JAZMIN. EL DECT. 228 DE 9 DE NOVIEMBRE DE 1988 ASIGNA EL NOMBRE DE ANASTASIO ALVARADO A LA ESCUELA EL JAZMÍN</t>
  </si>
  <si>
    <t>El dect. 649 de 28 de diciembre de 1970 crea la escuela EL JAZMIN. El dect. 228 de 9 de noviembre de 1988 asigna el nombre de Anastasio Alvarado a la escuela EL JAZMÍN</t>
  </si>
  <si>
    <t>ESC. ANTONIO ANGUIZOLA</t>
  </si>
  <si>
    <t>DEC. 41  DE  28  DE  MAYO DE 1910 DEC. 28 DE 1° DE NOVIEMBRE DE 1930 DA EL NOMBRE DE ESCUELA "ANTONIO ANGUIZOLA" A LA ESCUELA DE REMEDIOS</t>
  </si>
  <si>
    <t>El dect. 28 de 1° de noviembre de 1930 da el nombre de escuela "ANTONIO ANGUIZOLA" a la escuela de REMEDIOS</t>
  </si>
  <si>
    <t>C.E.B.G. ANTONIO JOSE DE SUCRE</t>
  </si>
  <si>
    <t xml:space="preserve">DEC. 18 DE 20 DE SEPTIEMBRE DE 1930 Y EL 88 DE 4 DE DICIEMBRE DE 1931 DESIGNAN CON EL NOMBRE DE ESCUELA "ANTONIO JOSÉ DE SUCRE" A LA ESCUELA DE SAN MATEO. EL DECT. 357 DE 6 DE JULIO DE 1942 CONSTITUYE EL CENTRO ESCOLAR DAVID CON LAS ESCUELAS REPUBLICA DE BRASIL Y ANTONIO JOSÉ DE SUCRE COMO UNA SOLA . EL DECT. 356 DEL 13 DE MAYO DE 1953 ASIGNA EL NOMBRE DE CENTRO ESCOLAR ANTONIO JOSÉ DE SUCRE AL CENTRO ESCOLAR DAVID.   </t>
  </si>
  <si>
    <t xml:space="preserve">El dcrto 18 de 20 de septiembre de 1930 y el 88 de 4 de diciembre de 1931 designan con el nombre de escuela "ANTONIO JOSÉ DE SUCRE" a la escuela de San Mateo. El dect. 357 de 6 de julio de 1942 constituye el Centro Escolar David con las escuelas Republica de Brasil y Antonio José de Sucre como una sola . El dect. 356 del 13 de mayo de 1953 asigna el nombre de Centro Escolar Antonio José de Sucre al Centro Escolar David.   </t>
  </si>
  <si>
    <t>C.E.B.G. ASERRÍO DE GARICHÉ</t>
  </si>
  <si>
    <t>DEC. 953 DEL 15 DE DIC DEL 2017 QUE CREA EL C.E.B.G.</t>
  </si>
  <si>
    <t>SAN CARLOS</t>
  </si>
  <si>
    <t>DEC. 325 DE 24 DE JULIO DE 1954 CREA LA ESCUELA SAN CARLOS. EL DECT. 729 DEL 25 DE AGOSTO DE 2004, ASIGNA EL NOMBRE DE AURA ROSA AGUILAR MONTILLA, A LA ESCUELA DE SAN CARLOS, UBICADA EN DAVID</t>
  </si>
  <si>
    <t>El dect. 325 de 24 de julio de 1954 crea la escuela San Carlos. El dect. 729 del 25 de agosto de 2004, asigna el nombre de Aura Rosa Aguilar Montilla, a la Escuela de San Carlos, ubicada en David</t>
  </si>
  <si>
    <t>RÍO SERENO</t>
  </si>
  <si>
    <t>C.E.B.G. BAJO CERRON</t>
  </si>
  <si>
    <t>SANTA ROSA</t>
  </si>
  <si>
    <t>ESC. BAJO FRIO</t>
  </si>
  <si>
    <t>LAJAS DE TOLÉ</t>
  </si>
  <si>
    <t>ESC. BERTILO MEJÍA SANTAMARÍA</t>
  </si>
  <si>
    <t>SANTA MARTA</t>
  </si>
  <si>
    <t>C.E.B.G. BIJAGUAL N° 1</t>
  </si>
  <si>
    <t>DEC. 657 DE 4 DE JUNIO DE 1952 CREA LA ESCUELA BIJAGUAL.  EL DECT. 50 DE 12 DE FEBRERO DE 1962 LA CLAUSURA.   EL DECT. 34 DE 24 DE ENERO DE 1966 CREA LA ESCUELA BIJAGUAL</t>
  </si>
  <si>
    <t>C.E.B.G. BIJAGUAL N° 2</t>
  </si>
  <si>
    <t xml:space="preserve">TIERRAS ALTAS </t>
  </si>
  <si>
    <t>CUESTA DE PIEDRA</t>
  </si>
  <si>
    <t>ESC. BIJAO</t>
  </si>
  <si>
    <t>DEC. 657 DE 4 DE JUNIO DE 1952 CREA LA ESCUELA CAMARÓN ARRIBA. EL DECT. 34 DE 24 DE ENERO DE 1966 ORDENA LA REAPERTURA DE LA ESCUELA, EN BUGABA</t>
  </si>
  <si>
    <t>C.E.B.G. BOCA DEL MONTE</t>
  </si>
  <si>
    <t>DEC. 18 DE 31 DE ENERO DE 2012 CREA EL CENTRO ESCOLAR BÁSICO GENEL BOCA DEL MONTE.</t>
  </si>
  <si>
    <t>El decreto 18 de 31 de enero de 2012 crea El Centro Escolar Básico Genel Boca del Monte.</t>
  </si>
  <si>
    <t>GUAYABAL</t>
  </si>
  <si>
    <t>ESC. BOCALATUN</t>
  </si>
  <si>
    <t>ESC. BONGO ABAJO</t>
  </si>
  <si>
    <t>DEC. 185 DEL 19 DE MAYO DEL 2012</t>
  </si>
  <si>
    <t>El dect. 2132 del 9 de julio de 1948 y  el dect. 104 del 14 de abril de 1961 crean ambos la escuela Bongo Abajo.El decreto 185 de 19 de mayo de 2012 crea el Centro de Educación Básica General Bongo Abajo en el corregimiento de El Bongo en el distrio de Bugaba.</t>
  </si>
  <si>
    <t>ESC. BONILLA</t>
  </si>
  <si>
    <t>DEC. 247 DEL 22 DE MARZO DE 1972</t>
  </si>
  <si>
    <t>VOLCÁN</t>
  </si>
  <si>
    <t>ESC. BRAZOS DE GARICHE</t>
  </si>
  <si>
    <t>DEC. 256 DE 10 DE MAYO DE 1967</t>
  </si>
  <si>
    <t>BREÑON</t>
  </si>
  <si>
    <t>ESC. BREÑON</t>
  </si>
  <si>
    <t>PRIMARIA-PREMEDIA</t>
  </si>
  <si>
    <t>C.E.B.G. BRISAS DEL RIO</t>
  </si>
  <si>
    <t>DEC. 649 DEL 1 DE AGOSTO DE 2013</t>
  </si>
  <si>
    <t>POTRERO DE CAÑA</t>
  </si>
  <si>
    <t>C.E.B.G. BUENOS AIRES</t>
  </si>
  <si>
    <t>DEC. 649 DEL  1 DE AGOSTO DEL 2013</t>
  </si>
  <si>
    <t>ESC. BUGABA</t>
  </si>
  <si>
    <t>LA CONCEPCIÓN</t>
  </si>
  <si>
    <t>ESC. BUGABITA</t>
  </si>
  <si>
    <t>CAÑAS GORDAS</t>
  </si>
  <si>
    <t>C.E.B.G. ALTO QUIEL</t>
  </si>
  <si>
    <t>DEC. 1071 DEL 25 DE NOVIEMBRE DEL 2016 QUE CREA LOS CENTROS EDUCATIVOS QUE IMPLEMENTAN EL PROGRAMA DE EDUCACIÓN PREMEDIA Y MEDIA CON METODOLOGÍA ESCUELA NUEVA ESCUELA ACTIVA (ENEA)</t>
  </si>
  <si>
    <t>Dect. 1071 del 25 de noviembre del 2016 que crea los centros educativos que implementan el Programa de Educación Premedia y Media con metodología Escuela Nueva Escuela Activa (ENEA)</t>
  </si>
  <si>
    <t>BELLA VISTA</t>
  </si>
  <si>
    <t>C.E.B.G. BELLA VISTA</t>
  </si>
  <si>
    <t xml:space="preserve">DEC. 34 DE 24 DE ENERO DE 1966 CREA LA ESCUELA GARRAPATO. </t>
  </si>
  <si>
    <t>El dect. 34 de 24 de enero de 1966 crea la escuela Garrapato. El dect.  30 de 12 de febrero de 1969 le asigna el nombre de Escuela Bella Vista a la escuela GARRAPATO</t>
  </si>
  <si>
    <t> PRIMARIA-PREMEDIA</t>
  </si>
  <si>
    <t>PLAZA CAISÁN</t>
  </si>
  <si>
    <t>CENTRO EDUCATIVO  CAISAN FUERTES CAMINOS</t>
  </si>
  <si>
    <t>DEC. 390 DE 25 DE3 AGOSTO DE 1960 CREA LA ESCUELA DE CAIZAN ABAJO, EN EL DISTRITO DE BUGABA.  EL DECT. 388 DE 9 DE AGOSTO DE 1993 ASIGNA EL NOMBRE DE FUERTES CAMINOS A LA ESCUELA PRIMARIA CAISAN ABAJO, UBICADA EN RENACIMIENTO.  EL DECT. 918 DE 30 DE DICIEMBRE DE 1993 TAMBIEN ASIGNA EL NOMBRE DE FUERTES CAMINOS, A LA ESCUELA PRIMARIA CAISAN ABAJO, UBICADA EN RENACIMIENTO. EL DECRETO 147 DEL 5 DE MARZO DE 2012 CREA EL CENTRO DE EDUCACION BASICO GENERAL CAISAN FUERTES CAMINOS.</t>
  </si>
  <si>
    <t>DEC. 147 DEL 5 DE MARZO 2012 QUE CREA C.E.B.G./ DEC. 636 DEL 8 DE AGOSTO DEL 2020 IMPLENTA EL SEGUNDO NIVEL DE ENSEÑANZA O EDUCACION MEDIA</t>
  </si>
  <si>
    <t>CERRO VIEJO</t>
  </si>
  <si>
    <t>C.E.B.G. CALABACITO</t>
  </si>
  <si>
    <t>DEC. 38 DE 13 DE FEBRERO DE 1967 CREA LA ESCUELA CALABACITO</t>
  </si>
  <si>
    <t>El dect. 38 de 13 de febrero de 1967 crea la escuela Calabacito</t>
  </si>
  <si>
    <t>CALDERA</t>
  </si>
  <si>
    <t>C.E.B.G. CALDERA</t>
  </si>
  <si>
    <t>DEC. 21 DE 9 DE ABRIL DE 1908 CREA LA ESCUELA CALDERA EN EL DISTRITO DE DAVID.</t>
  </si>
  <si>
    <t>El decreto 21 de 9 de abril de 1908 crea la escuela Caldera en el distrito de David.</t>
  </si>
  <si>
    <t>CERRO PUNTA</t>
  </si>
  <si>
    <t>C.E.B.G. CERRO PUNTA</t>
  </si>
  <si>
    <t>DEC. 85 DE 15 DE MARZO DE 2002 CREA EL PRIMER CICLO DE CERRO PUNTA.</t>
  </si>
  <si>
    <t>El dect. 85 de 15 de marzo de 2002 crea el primer Ciclo de Cerro Punta.</t>
  </si>
  <si>
    <t>GUARUMAL</t>
  </si>
  <si>
    <t>C.E.B.G. GUARUMAL</t>
  </si>
  <si>
    <t>DEC. 73 DE 18 DE JULIO DE 1910 CREA LA ESCUELA ALTERNADA EN EL CASERIO DE GUARUMAL.</t>
  </si>
  <si>
    <t>El decreto 73 de 18 de julio de 1910 crea la escuela Alternada en el caserio de Guarumal.</t>
  </si>
  <si>
    <t>MONTE LIRIO</t>
  </si>
  <si>
    <t>I.P.T. MONTE LIRIO</t>
  </si>
  <si>
    <t>DEC. 79 DE 15 DE ABRIL DE 1964 DA EL NOMBRE DE ESCUELA DE MONTE LIRIO, A LA ESCUELA RABO DE GALLO. EL DECRETO 185 DE 19 DE MARZO DE 2012 CREA EL CENTRO DE EDUCACIÓN BÁSICA GENERAL MONTE LIRIO EN EL CORREGIMIENTO DE MONTE LIRIO DISTRITO DE RENACIMIENTO.DECRETO 1074 DEL 16 DE DICIEMBRE DE 2016 QUE IMPLEMENTA EL SEGUNDO NIVEL DE ENSEÑANZA O EDUCACION MEDIA Y CAMBIA SU DENOMINACION A CENTRO EDUCATIVO. BACHILLER AGROPECUARIO. DEC. 739 DE 19 DE NOV. DE 2018 QUE DEROGA EN TODAS LAS PARTES DEL DECRETO EJECUTIVO NO. 1301 DE 23 DE DIC. DE 2016 QUE IMPLEMENTA EL SEGUNDO NIVEL DE ENSEÑANZA O EDUCACION MEDIA.</t>
  </si>
  <si>
    <t>AGROPECUARIO</t>
  </si>
  <si>
    <t>C.E.B.G. SAN MATEO</t>
  </si>
  <si>
    <t xml:space="preserve">DEC. 31 DEL 18 DE MARZO  1998. DEC. 18 DE 20 DE SEPTIEMBRE DE 1930 DESIGNA CON EL NOMBRE DE "SAN MATEO" A LA ESCUELA QUE FUNCIONA EN EL LUGAR DENOMINADO "OTRA ORILLA". EL DCRTO 360 DE 16 DE OCTUBRE DE 1958 DA EL NOMBRE DE ESCUELA DE "SAN MATEO" A LA ESCUELA "LA OTRA ORILLA". EL DECRETO 31 DEL 18 DE MARZO DE 1998 INTEGRÓ A LA ESCUELA SAN MATEO Y EL PRIMER CICLO DE FRANCIA COMO UN C.E.B.G. EL DCRTO 193 DEL 24 DE JUNIO DE 2008 CREA EL C.E.B.G. SAN MATEO. </t>
  </si>
  <si>
    <t xml:space="preserve">El dcrto 18 de 20 de septiembre de 1930 designa con el nombre de "SAN MATEO" a la escuela que funciona en el lugar denominado "OTRA ORILLA". El dcrto 360 de 16 de octubre de 1958 da el nombre de Escuela de "SAN MATEO" a la escuela "LA OTRA ORILLA". El Decreto 31 del 18 de marzo de 1998 integró a la escuela San Mateo y el Primer ciclo de Francia como un C.E.B.G. El dcrto 193 del 24 de junio de 2008 crea el C.E.B.G. San Mateo. </t>
  </si>
  <si>
    <t>C.E.B.G. VIDAL B. DE BARROSO</t>
  </si>
  <si>
    <t xml:space="preserve">DEC. 21 DEL 9 DE ABRIL DE 1908.  DEC 185 DE 19 DE MARZO DEL 2012 POR EL CUAL SE CREAN C.E.B.G. </t>
  </si>
  <si>
    <t>El dcrto 63 de 21 de marzo de 2000 designa con el nombre de VIDAL B. DE BARROSO, a la escuela primaria San Pablo Viejo Abajo.El decreto 185 de 19 de marzo de 2012 crea el Centro de Educación Básica General Vidal B. de Barroso en el corregimiento de San Pablo Viejo distrito de David.</t>
  </si>
  <si>
    <t>C.E.B.G. CAISAN ARRIBA</t>
  </si>
  <si>
    <t>DEC. 863 DEL 9 DE SEPTIEMBRE DE 1953, EL DECT. 390 DE 25 DE AGOSTO DE 1960 Y EL DECT. 101 DE 7 DE ABRIL DE 1961 CREAN LA ESCUELA CAISAN ARRIBA. EL DECRETO 18 DE 31 DE ENERO DE 2012 CREA EL CENTRO ESCOLAR BÁSICO GENERAL CAISAN ARRIBA.</t>
  </si>
  <si>
    <t>El dect. 863 del 9 de septiembre de 1953, el dect. 390 de 25 de agosto de 1960 y el dect. 101 de 7 de abril de 1961 crean la escuela Caisan arriba. El decreto 18 de 31 de enero de 2012 crea el Centro Escolar básico General Caisan Arriba.</t>
  </si>
  <si>
    <t>ESC. CAISAN PRIMAVERA</t>
  </si>
  <si>
    <t>DEC. 21 DE 13 DE ENERO DE 1965</t>
  </si>
  <si>
    <t>ESC. CAMARÓN ARRIBA</t>
  </si>
  <si>
    <t>DEC.  34  DEL 24 DE ENERO DE 1966</t>
  </si>
  <si>
    <t>El dcrto 657 de 4 de junio de 1952 crea la escuela Camarón arriba. El dect. 34 de 24 de enero de 1966 ordena la reapertura de la escuela, en Bugaba</t>
  </si>
  <si>
    <t>CANTA GALLO</t>
  </si>
  <si>
    <t>ESC. CANTA GALLO</t>
  </si>
  <si>
    <t>DEC. 355 DEL 13 DE MAYO DE 1953</t>
  </si>
  <si>
    <t>ESC. CAÑA BLANCA ARRIBA</t>
  </si>
  <si>
    <t>DEC. 381 DEL 10 DE AGOSTO DE 1961</t>
  </si>
  <si>
    <t>ESC. CAÑAS GORDAS</t>
  </si>
  <si>
    <t>CENTRO EDUCATIVO SANTO DOMINGO</t>
  </si>
  <si>
    <t>DEC. 1010 DEL 8 DE SEPT. DEL 2015</t>
  </si>
  <si>
    <t>CIENCIAS, HUMANIDADES</t>
  </si>
  <si>
    <t>LAS LOMAS</t>
  </si>
  <si>
    <t>CENTRO EDUCATIVO VICTORIANO LORENZO</t>
  </si>
  <si>
    <t>DEC. 474 DEL 10 DE SEPT DEL 2008 . CAMBIA LA DENOMINACION DE PRIMER CICLO VICTORIANO LORENZO POR LA DE CENTRO EDUCATIVO VICTORIANO LORENZO</t>
  </si>
  <si>
    <t>CIENCIAS,  TECNOLOGIA E INFORMATICA</t>
  </si>
  <si>
    <t>ESC. CERRO CABALLO</t>
  </si>
  <si>
    <t>El decreto 1842 del 19 de julio de 1947 clausura la escuela. El decreto 166 del 11 de mayo de 1960 reabre el colegio Cerro Caballo.</t>
  </si>
  <si>
    <t>ESC. CERRO CABUYA</t>
  </si>
  <si>
    <t xml:space="preserve">DEC. 515 DEL 14 DE SEPTIEMBRE DE 1951 </t>
  </si>
  <si>
    <t>ESC. CERRO IGLESIA</t>
  </si>
  <si>
    <t>DEC.  2132 DEL 9 DE JULIO DE 1948</t>
  </si>
  <si>
    <t>C.E.B.G. CERRO MANGLE</t>
  </si>
  <si>
    <t>DEC. 60 DEL 13 DE JUNIO DE 1978</t>
  </si>
  <si>
    <t>ESC. CERRO PAJA</t>
  </si>
  <si>
    <t>C.E.B.G. CERRO VIEJO</t>
  </si>
  <si>
    <t>DEC. 64 DEL 20 DE FEBRERO DEL 2017 QUE CREA EL C.E.B.G. DE CERRO VIEJO</t>
  </si>
  <si>
    <t>SORTOVÁ</t>
  </si>
  <si>
    <t>C.E.B.G. CHATAL</t>
  </si>
  <si>
    <t>DEC.  1100  DEL 21  DE DICIEMBRE DEL 2011</t>
  </si>
  <si>
    <t>ESC. CHIRIQUI</t>
  </si>
  <si>
    <t>DEC.1887 DEL 17 DE JULIO DE 1915</t>
  </si>
  <si>
    <t>NUEVO MEXICO</t>
  </si>
  <si>
    <t>C.E.B.G. CHIRIQUI VIEJO</t>
  </si>
  <si>
    <t>DEC. 422  DEL 18 DE AGOSTO DE 1966</t>
  </si>
  <si>
    <t>ESC. CHORCHA ABAJO</t>
  </si>
  <si>
    <t>DEC. 1392 DEL 29 DE ABRIL DE 1946</t>
  </si>
  <si>
    <t>SAN JUAN</t>
  </si>
  <si>
    <t>C.E.B.G. CIENEGUITA</t>
  </si>
  <si>
    <t>DEC. 537  DE 18 DE SEPTIEMBRE DE 1967 .     DEC. 185 DE 19 DE MARZO DE 2012 CREA EL CENTRO DE EDUCACIÓN BÁSICA GENERAL CIENAGUITA EN EL CORREGIMIENTO DE SAN JUAN DISTRITO DE SAN LORENZO.</t>
  </si>
  <si>
    <t>El decreto 185 de 19 de marzo de 2012 crea el Centro de Educación Básica General Cienaguita en el corregimiento de San Juan distrito de San Lorenzo.</t>
  </si>
  <si>
    <t>COCHEA</t>
  </si>
  <si>
    <t>ESC. COCHEA ARRIBA</t>
  </si>
  <si>
    <t>COLEGIO FÉLIX OLIVARES CONTRERAS</t>
  </si>
  <si>
    <t>DEC. 10 DE 7 DE MARZO DE 1925 ESTABLECE LA ESCUELA NORMAL DE DAVID; EN 1945 SE DENOMINÓ A ESTA ESCUELA COLEGIO F.O.C.</t>
  </si>
  <si>
    <t>El dect. 10 de 7 de marzo de 1925 establece la Escuela Normal de David; en 1945 se denominó a esta escuela Colegio F.O.C.</t>
  </si>
  <si>
    <t>COLEGIO  SEC. DE RENACIMIENTO</t>
  </si>
  <si>
    <t>DEC. 728 DE 12 DE DICIEMBRE DE 1990 CREA EL COLEGIO SECUNDARIO DE RENACIMIENTO, EL CUAL FUNCIONARÁ EN EL LOCAL QUE OCUPA EL PRIMER CICLO RÍO SERENO, QUE QUEDARÁ ADSCRITO A ÉSTE</t>
  </si>
  <si>
    <t>El decto 728 de 12 de diciembre de 1990 crea el Colegio Secundario de Renacimiento, el cual funcionará en el local que ocupa el Primer Ciclo Río Sereno, que quedará adscrito a éste</t>
  </si>
  <si>
    <t>CENTRO EDUCATIVO COMERCIAL TOLÉ</t>
  </si>
  <si>
    <t>Dec. 747 del9 de diciembre de 1969 crea el Primer Ciclo Tolé.DEC. 739 DEL 19 DE NOV. DE 2018 QUE DEROGA EN TODAS SUS PARTES EL DEC. EJECUTIVO NO. 1074 DEL 16 DE DIC. DE 2016 Y SE EMPLEMENTA EL SEGUNDO NIVEL DE ENSEÑANZA O EDUCACION MEDIA.</t>
  </si>
  <si>
    <t>El dect. 747 de 9 de diciembre de 1969 crea el Primer Ciclo de Tolé.  El dect. 29 de 14 de marzo de 1986 crea el Segundo Ciclo Comercial en el colegio denominado Primer Ciclo de Tolé y lo denomina COLEGIO COMERCIAL DE TOLE.Decreto 1074 del 16 de diciembre de 2016 que implementa el segundo nivel de enseñanza o educacion media y cambia su denominacion a Centro Educativo. Bachiller en Ciencias.</t>
  </si>
  <si>
    <t>CIENCIAS, CONTABILIDAD, TURISMO,TECNOLOGIA E  INFORMÁTICA,</t>
  </si>
  <si>
    <t>COLEGIO DANIEL O. CRESPO</t>
  </si>
  <si>
    <t>DEC.1393 DEL 2 DE MAYO DE 1946</t>
  </si>
  <si>
    <t>CIENCIAS, LETRAS, HUMANIDADES, SEGUNDO CICLO INDUSTRIAL, GESTION INSTITUCIONAL</t>
  </si>
  <si>
    <t>DAVID ESTE</t>
  </si>
  <si>
    <t>COLEGIO FRANCISCO MORAZÁN</t>
  </si>
  <si>
    <t>DEC. 222 DE 9 DE MAYO DE 1968 CREA EL PRIMER CICLO DE EDUCACIÓN SECUNDARIA EN EL BARRIO BOLÍVAR DE LA CIUDAD DE  DAVID Y LO DESIGNA CON EL NOMBRE DE FRANCISCO MORAZÁN</t>
  </si>
  <si>
    <t>El dect. 222 de 9 de mayo de 1968 crea el Primer Ciclo de Educación Secundaria en el barrio Bolívar de la ciudad de  David y lo designa con el nombre de Francisco Morazán</t>
  </si>
  <si>
    <t>HUMANIDADES, COMERCIO BILINGUE, INFORMÁTICA, CONTABILIDAD, TURISMO, TECNOLOGIA INFORMATICA</t>
  </si>
  <si>
    <t>EL TEJAR</t>
  </si>
  <si>
    <t>COLEGIO SECUNDARIO ALANJE</t>
  </si>
  <si>
    <t>DEC. 1074 DEL 27 DE DIC DE 1991. CREA EL COLEGIO SECUNDARIO DE ALANJE EN EL PRIMER CICLO DE ALANJE</t>
  </si>
  <si>
    <t>COLEGIO SECUNDARIO DE LAS LAJAS</t>
  </si>
  <si>
    <t>DEC. 281 DE 23 DE JUNIO DE 1960  CREAN, CON CARÁCTER PROVISIONAL EL PRIMER CICLO DE LAS LAJAS</t>
  </si>
  <si>
    <t>CIENCIAS, TURISMO Y HUMANIDADES</t>
  </si>
  <si>
    <t>ESC. BAJO GRANDE</t>
  </si>
  <si>
    <t>CENTRO EDUCATIVO EL MACANO</t>
  </si>
  <si>
    <t>DEC.  192  DEL 16 DE JUNIO DE 2008</t>
  </si>
  <si>
    <t>DEC.36 DEL 12 DE MAYO DE 2022 QUE ASCIENDE A PRIMERA CATEGORIA AL C.E.</t>
  </si>
  <si>
    <t>CIENCIAS, HUMANIDADES, TEC. INFORMATICA</t>
  </si>
  <si>
    <t>ESC. COPAL</t>
  </si>
  <si>
    <t>DEC. 106 DE 18 DE MAYO DE 1984</t>
  </si>
  <si>
    <t>C.E.B.G. CUESTA DE PIEDRA</t>
  </si>
  <si>
    <t>DEC. 1100    21 DE DICIEMBRE DEL 2011</t>
  </si>
  <si>
    <t>ESC. DOMINGO F. SARMIENTO</t>
  </si>
  <si>
    <t>DEC. 167 DE 24 DE ABRIL DE 1970 LA DENOMINA CON EL NOMBRE DOMINGO FAUSTINO SARMIENTO N°2. ESTE DECRETO SE PUEDE VER.</t>
  </si>
  <si>
    <t>El dect. 167 de 24 de abril de 1970 la denomina con el nombre DOMINGO FAUSTINO SARMIENTO N°2. Este decreto se puede ver.</t>
  </si>
  <si>
    <t>ESC. DOMINICAL</t>
  </si>
  <si>
    <t>ESC. EL COMUN</t>
  </si>
  <si>
    <t>C.E.B.G. EL GUABINO</t>
  </si>
  <si>
    <t>DEC. 125 DEL 5 DE NOVIEMBRE DE 1915</t>
  </si>
  <si>
    <t>DEC. 18 DE 31 DE ENERO DE 2012 CREA EL CENTRO ESCOLAR BÁSICO GENERAL EL GUABINO.</t>
  </si>
  <si>
    <t>C.E.B.G. EL JOBO</t>
  </si>
  <si>
    <t xml:space="preserve">DEC. 41 DE 28 DE MAYO DE 1910 </t>
  </si>
  <si>
    <t>DECRETO 1100, DEL 21 DE DICIEMBRE DE 2011 POR MEDIO DEL CUAL SE CREAN CENTROS EDUCATIVOS EN LA REGIÓN ESCOLAR DE CHIRIQUÍ.</t>
  </si>
  <si>
    <t>ESC. EL NANCITO</t>
  </si>
  <si>
    <t>C.E.B.G. EL PARAISO</t>
  </si>
  <si>
    <t xml:space="preserve">DECRETO 1100, DEL 21 DE DICIEMBRE DE 2011 </t>
  </si>
  <si>
    <t>SAN ISIDRO</t>
  </si>
  <si>
    <t>C.E.B.G. EL PORTÓN</t>
  </si>
  <si>
    <t>DEC.11 DEL 2 DE MARZO DE 2022 QUE LEGALIZA LA CREACION DEL C.E.B.G. EL PORTÓN</t>
  </si>
  <si>
    <t>CENTRO EDUCATIVO EL PORVENIR</t>
  </si>
  <si>
    <t>ESC. EL QUITEÑO</t>
  </si>
  <si>
    <t>DEC. 40 DE 28 DE MAYO DE 1910</t>
  </si>
  <si>
    <t>ESC. EL RODEO</t>
  </si>
  <si>
    <t>PRIMARIA </t>
  </si>
  <si>
    <t>C.E.B.G. EL SANTO</t>
  </si>
  <si>
    <t>DEC. 649  DEL 1 DE AGOSTO DEL 2013</t>
  </si>
  <si>
    <t>ESC. EL TEJAR</t>
  </si>
  <si>
    <t>ESC. EL VALLE</t>
  </si>
  <si>
    <t>DEC.  152 DE 17 DE ABRIL DE 1972</t>
  </si>
  <si>
    <t>ESC. EL VARITAL</t>
  </si>
  <si>
    <t>DEC. 765 DEL 20 DE AGOSTO DE 1952</t>
  </si>
  <si>
    <t>ESC. SEC. BENIGNO T. ARGOTE</t>
  </si>
  <si>
    <t>DEC. 57 DEL 29 DE ABRIL DE 1959</t>
  </si>
  <si>
    <t xml:space="preserve">El dect. 57 de 29 de abril de 1959 crea el Primer Ciclo de Boquete. El dect. 39 de 4 de febrero de 1970 da el nombre de Benigno Tomas Argote al Primer Ciclo de Boquete. </t>
  </si>
  <si>
    <t>CIENCIAS, COMERCIO,TURISMO</t>
  </si>
  <si>
    <t>ESC. SECUNDARIA DE ASERRÍO</t>
  </si>
  <si>
    <t>DEC. 48 DEL 25 DE MARZO DE  1982 CREA EL PRIMER CICLO DE ASERRÍO. EL DECT. 325 DE 6 DE JULIO DE 1992 CREA LA ESCUELA SECUNDARIA DE ASERRÍO, POR TANTO EL PRIMER CICLO ASERRÍO QUEDA ADSCRITO A ÉSTE</t>
  </si>
  <si>
    <t>El dect. 48 del 25 de marzo de  1982 crea el Primer Ciclo de Aserrío. El dect. 325 de 6 de julio de 1992 crea la Escuela Secundaria de Aserrío, por tanto el Primer Ciclo Aserrío queda adscrito a éste</t>
  </si>
  <si>
    <t>HUMANIDADES, COMERCIO, CONTABILIDAD, TURISMO, TECNOLOGIA INFORMATICA</t>
  </si>
  <si>
    <t>DEC. 52 DEL 1 DE FEBRERO DE 1966, POR MEDIO DEL CUAL SE CREA EL PRIMER CICLO DE VOLCAN</t>
  </si>
  <si>
    <t>CIENCIAS, HUMANIDADES, COMERCIO, CONTABILIDAD</t>
  </si>
  <si>
    <t>ESC. BILINGÜE RIO SERENO</t>
  </si>
  <si>
    <t>DEC. 49 DE 13 DE JUNIO DE 1978 CREA EL CENTRO DE EDUCACIÓN BÁSICA GENERAL RÍO SERENO, UBICADO EN RENACIMIENTO</t>
  </si>
  <si>
    <t>49 de 13 de junio de 1978 crea el Centro de Educación Básica General Río Sereno, ubicado en Renacimiento.Decreto 446 del 14 de agosto de 2018 incorpora la denominacion Bilingüe al Nombre</t>
  </si>
  <si>
    <t>ESC. BILINGÜE LA PRIMAVERA</t>
  </si>
  <si>
    <t xml:space="preserve"> DEC. 327 DE 15 DE JULIO DE 1963, DEC 4446 DEL 14 DE AGOST  DEL 2018</t>
  </si>
  <si>
    <t>El dect. 380 de 8 de agosto de 1963 corrige el dect. 327 de 15 de julio de 1963, en cuanto se refiere a la ubicación de la escuela, ya que la misma está ubicada en el municipio de David.Decreto 446 del 14 de agosto de 2018 incorpora la denominacion Bilingüe al Nombre</t>
  </si>
  <si>
    <t>ESC. BILINGÜE ANTONIO RIOS SAAVEDRA</t>
  </si>
  <si>
    <t>DEC. 193 DE 13 DE SEPTIEMBRE DE 1993   DENOMINA CON EL NOMBRE DE ANTONIO RÍOS SAAVEDRA A LA ESCUELA PRIMARIA DE BOQUERÓN</t>
  </si>
  <si>
    <t>El dect. 193 de 13 de septiembre de 19   denomina con el nombre de Antonio Ríos Saavedra a la escuela primaria de Boquerón.Decreto 446 del 14 de agosto de 2018 incorpora la denominacion Bilingüe al Nombre</t>
  </si>
  <si>
    <t>ESC. BILINGÜE BARRIADA VICTORIANO LORENZO</t>
  </si>
  <si>
    <t>DEC. 152 DEL 17 DE ABRIL DE 1972 .</t>
  </si>
  <si>
    <t>ESC. BILINGÜE LOS ABANICOS</t>
  </si>
  <si>
    <t>ESC. BILINGÜE BELEN</t>
  </si>
  <si>
    <t>DEC. 104 DEL 8 DE MAYO DE 1963</t>
  </si>
  <si>
    <t>DIVALÁ</t>
  </si>
  <si>
    <t>ESC. BILINGÜE DIVALA</t>
  </si>
  <si>
    <t>DEC. 446 DEL 14 DE AGOSTO DE 2018 INCORPORA LA DENOMINACION BILINGUE AL NOMBRE</t>
  </si>
  <si>
    <t>C.E.B.G. BILINGÜE DOLEGUITA</t>
  </si>
  <si>
    <t xml:space="preserve">DEC. 1100 DEL 21 DE DIC DEL 2011 . </t>
  </si>
  <si>
    <t>ESC. BILINGÜE ELISA CHIARI</t>
  </si>
  <si>
    <t xml:space="preserve">DEC. 1841 DEL 19 DE JULIO DE 1947 CREA LA ESCUELA ELISA CHIARI. EL DECRETO 48 DEL 25 DE MARZO DE 1942 CREA EL PRIMER CICLO. </t>
  </si>
  <si>
    <t xml:space="preserve"> DAVID ESTE</t>
  </si>
  <si>
    <t>ESC. BILINGÜE JOSE MARÍA ROY</t>
  </si>
  <si>
    <t>DEC. 6 DE 12 DE ENERO DE 1972 DENOMINA A LA ESCUELA EL RETIRO, CON EL NOMBRE DE JOSÉ MARÍA ROY</t>
  </si>
  <si>
    <t>El dect. 6 de 12 de enero de 1972 denomina a la escuela El retiro, con el nombre de José María Roy.Decreto 446 del 14 de agosto de 2018 incorpora la denominacion Bilingüe al Nombre</t>
  </si>
  <si>
    <t>ESC. BILINGÜE LASSONDE</t>
  </si>
  <si>
    <t>DEC. 70 DE 21 DE MARZO DE 1972 CREA LA ESCUELA "BARRIO LASSONDE"</t>
  </si>
  <si>
    <t>El dect. 70 de 21 de marzo de 1972 crea la escuela "Barrio Lassonde".Decreto 446 del 14 de agosto de 2018 incorpora la denominacion Bilingüe al Nombre</t>
  </si>
  <si>
    <t>ESC. BILINGÜE LOMA COLORADA</t>
  </si>
  <si>
    <t>DEC. 21 DEL 9 DE ABRIL DE 1908 -  DEC. 1100 DEL 21 DE DIC DEL 211</t>
  </si>
  <si>
    <t>PASO ANCHO</t>
  </si>
  <si>
    <t>ESC. BILINGÜE PASO ANCHO</t>
  </si>
  <si>
    <t>DEC. 194 DE 19 DE MAYO DE 1965 . DECRETO 446 DEL 14 DE AGOSTO DE 2018 INCORPORA LA DENOMINACION BILINGÜE AL NOMBRE</t>
  </si>
  <si>
    <t>ESC. BILINGÜE PEDREGAL</t>
  </si>
  <si>
    <t>DEC. 190 DEL 28 DE MAYO DE 1963</t>
  </si>
  <si>
    <t>ESC. BILINGÜE REPUBLICA DE FRANCIA</t>
  </si>
  <si>
    <t>DEC.  606 DE 23 DE NOVIEMBRE DE 1954 LE DA EL NOMBRE DE "ESCUELA MIXTA DE DAVID" A LA ESCUELA REPÚBLICA FRANCESA. EL DECT. 245 DE 6 DE ABRIL DE 1971 ESTABLECE QUE CONTINUARÁ CON EL NOMBRE DE REPUBLICA DE FRANCIA, LA ESCUELA REPUBLICA FRANCESA</t>
  </si>
  <si>
    <t>El dect.  606 de 23 de noviembre de 1954 le da el nombre de "Escuela Mixta de David" a la Escuela República Francesa. El dect. 245 de 6 de abril de 1971 establece que continuará con el nombre de Republica de Francia, la escuela Republica Francesa.Decreto 446 del 14 de agosto de 2018 incorpora la denominacion Bilingüe al Nombre</t>
  </si>
  <si>
    <t>SAN FELIX</t>
  </si>
  <si>
    <t>CENTRO EDUCATIVO BILINGÜE SAN FELIX</t>
  </si>
  <si>
    <t>DEC. 49 DE 13 DE JUNIO DE 1978 CREA EL C.E.B.G SAN FÉLIX.DECRETO 1074 DEL 16 DE DICIEMBRE DE 2016 QUE IMPLEMENTA EL SEGUNDO NIVEL DE ENSEÑANZA O EDUCACION MEDIA Y CAMBIA SU DENOMINACION A CENTRO EDUCATIVO. BACHILLER EN CIENCIAS.</t>
  </si>
  <si>
    <t>El dect. 49 de 13 de junio de 1978 crea el C.E.B.G San Félix.Decreto 1074 del 16 de diciembre de 2016 que implementa el segundo nivel de enseñanza o educacion media y cambia su denominacion a Centro Educativo. Bachiller en Ciencias.Decreto 446 del 14 de agosto de 2018 incorpora la denominacion Bilingüe al Nombre.Decreto 446 del 14 de agosto de 2018 incorpora la denominacion Bilingüe al Nombre</t>
  </si>
  <si>
    <t>CIENCIAS, HUMANIDADES  TECNOLOGIA E INFORMATICA</t>
  </si>
  <si>
    <t>ESC. BILINGÜE SAN JOSE</t>
  </si>
  <si>
    <t>C.E.B.G. BILINGÜE SANTIAGO BOLAÑOS</t>
  </si>
  <si>
    <t xml:space="preserve">DEC. 49 DE 13 DE JUNIO DE 1978 CREA EL C.E.B.G SANTIAGO BOLAÑOS. </t>
  </si>
  <si>
    <t>El dect. 49 de 13 de junio de 1978 crea el C.E.B.G Santiago Bolaños. El decreto 18 de 31 de enero de 2012 crea El Centro Escolar Básico General Santiago Bolaños.Decreto 446 del 14 de agosto de 2018 incorpora la denominacion Bilingüe al Nombre</t>
  </si>
  <si>
    <t>ESC. BILINGÜE VICTORIANO LORENZO</t>
  </si>
  <si>
    <t xml:space="preserve">DEC. 734 DE 15 DE AGOSTO DE 1953 DESIGNA A LA ESCUELA DE LAS LOMAS CON EL NOMBRE DE ESCUELA VICTORIANO LORENZO.  </t>
  </si>
  <si>
    <t>El decreto 474 del 10 de septiembre de 2008 cambia la denominación del "Primer Ciclo Victoriano Lorenzo", por la de "Centro Educativo Victoriano Lorenzo".Decreto 446 del 14 de agosto de 2018 incorpora la denominacion Bilingüe al Nombre</t>
  </si>
  <si>
    <t>BAJO BOQUETE</t>
  </si>
  <si>
    <t>ESC. BILINGÜE JOSEFA M. DE VASQUEZ</t>
  </si>
  <si>
    <t>DEC. 151 DE 21 DE JULIO DE 1980 ASIGNA EL NOMBRE DE JOSEFA MONTERO DE VÁSQUEZ, A LA ESCUELA ABNER GONZÁLEZ, DE BOQUETE</t>
  </si>
  <si>
    <t>El dect.  151 de 21 de julio de 1980 asigna el nombre de Josefa Montero de Vásquez, a la escuela Abner González, de Boquete.Decreto 446 del 14 de agosto de 2018 incorpora la denominacion Bilingüe al Nombre</t>
  </si>
  <si>
    <t>C.E.B.G. BILINGÜE DE VOLCAN</t>
  </si>
  <si>
    <t>DEC. 562 DEL 27 DE SEPTIEMBRE DE 1967</t>
  </si>
  <si>
    <t>El dect. 52 de 1 de febrero de 1966 crea el Primer Ciclo de Volcán.  Decreto 446 del 14 de agosto de 2018 incorpora la denominacion Bilingüe al Nombre</t>
  </si>
  <si>
    <t>ESC. ESTRELLA LOS VALLES</t>
  </si>
  <si>
    <t>DEC. 60 DEL 13 DE JUNIO  DE 1978</t>
  </si>
  <si>
    <t>ESC. EXQUISITO</t>
  </si>
  <si>
    <t xml:space="preserve"> CERRO PUNTA</t>
  </si>
  <si>
    <t>CENTRO FERNANDO ELETA ALMARAN</t>
  </si>
  <si>
    <t>DEC. 299  DE 25 DE JULIO DE 1969</t>
  </si>
  <si>
    <t>Dect. 1164 del 15 de noviembre del 2013 que asigna el cambio de nombre de Guadalupe a C.E. Fernando Eleta Almaran.</t>
  </si>
  <si>
    <t>ESC. FRANCES ARRIBA</t>
  </si>
  <si>
    <t>DEC.101   DEL 07 DE ABRIL DE 1961</t>
  </si>
  <si>
    <t>ESC. GARICHE</t>
  </si>
  <si>
    <t>ESC. GARICHE ABAJO</t>
  </si>
  <si>
    <t>DEC. 287 DEL 23 DE JUNIO DE 1960</t>
  </si>
  <si>
    <t>C.E.B.G. GOMEZ</t>
  </si>
  <si>
    <t>EL DECRETO 18 DE 31 DE ENERO DE 2012 CREA EL CENTRO ESCOLAR BÁSICO GENERAL GÓMEZ</t>
  </si>
  <si>
    <t xml:space="preserve">El decreto 18 de 31 de enero de 2012 crea El Centro Escolar Básico General </t>
  </si>
  <si>
    <t>ESC. GUABAL</t>
  </si>
  <si>
    <t>DEC. 273 DEL 4 DE JUNIO DE 1968</t>
  </si>
  <si>
    <t>ESC. GUACA ABAJO</t>
  </si>
  <si>
    <t>DEC. 40 DE 28 DE DE MAYO DE 1910</t>
  </si>
  <si>
    <t>DEC. 199 DE 2 DE DICIEMBRE DE 1909</t>
  </si>
  <si>
    <t>ESC. GUASIMO</t>
  </si>
  <si>
    <t>ESC. GUAYABAL</t>
  </si>
  <si>
    <t>C.E.B.G. HATO SAN JUAN</t>
  </si>
  <si>
    <t>DECRETO 1100, DEL 21 DE DICIEMBRE DE 2011 POR MEDIO DEL CUAL SE CREAN CENTROS EDUCATIVOS</t>
  </si>
  <si>
    <t>SOLANO</t>
  </si>
  <si>
    <t>I.P.T. DE LA CONCEPCION-JOSE DE OBALDIA</t>
  </si>
  <si>
    <t>DEC.   48  DEL 25 MARZO DE 1982</t>
  </si>
  <si>
    <t>El dect. 1393 de 2 de mayo de 1946 crea el Primer Ciclo de Concepción. El dect. 48 de 25 de marzo de 1982 crea el primer Ciclo que funcionará en la escuela primaria Justo Abel Castillo, Distrito de Bugaba.  El dect.  2 de 13 de Enero de 1998 crea el I.P.T. La Concepción y lo fusiona con el Primer Ciclo de Concepción</t>
  </si>
  <si>
    <t>COMERCIO, CONTABILIDAD, TURISMO, INFORMÁTICA</t>
  </si>
  <si>
    <t>I.P.T. ABEL TAPIERO MIRANDA</t>
  </si>
  <si>
    <t>DECRETO 171 DE 28 DE ABRIL DE 1972 CREA EL PRIMER CICLO DE SAN LORENZO, DISTRITO DE SAN LORENZO</t>
  </si>
  <si>
    <t>El dect.  133 de 2 de junio de 1975 asigna el nombre de ABEL TAPIERO MIRANDA al Ciclo Básico de San Lorenzo. El dect. 49 de 13 de junio de 1978 crea el C.E.B.G. Abel Tapiero Miranda. El dect. 2 de 24 de enero de 2001 crea el Colegio Profesional y Técnico Abel Tapiero Miranda, ubicado en San Lorenzo e incorpora a éste el Primer Ciclo Abel Tapiero Miranda</t>
  </si>
  <si>
    <t>CIENCIAS, AGROPECUARIO, TURISMO</t>
  </si>
  <si>
    <t>SANTA LUCIA</t>
  </si>
  <si>
    <t>I.P.T. CHIRIQUI ORIENTE</t>
  </si>
  <si>
    <t>DEC. 110 DEL 16 DE JULIO DE 1981, SE CREA EL INSTITUO PROFESIONAL Y TECNICO DE CHIRIQUI ORIENTE</t>
  </si>
  <si>
    <t>MEDIA PROFESIONAL Y TÉCNICA</t>
  </si>
  <si>
    <t>MARÍTIMO, ELECTRICIDAD, METAL MECÁNICA, ELECTRÓNICA, AUTOTRÓNICA, CONSTRUCCIÓN,SERVICIO Y GESTIÓN INSTITUTCIONAL, TÉCNICO EN EBANISTERÍA.</t>
  </si>
  <si>
    <t>I.P.T. DE DAVID</t>
  </si>
  <si>
    <t>EL DECT. 579 DEL 18 DE DICIEMBRE DE 1973 CREA EL I.P.T. DE DAVID. EL DECT. 224 DE 1 DE NOVIEMBRE DE 1996 ASIGNA EL NOMBRE DE INSTITUTO TECNOLÓGICO BERNARDO DOMÍNGUEZ ALBA "ROGELIO SINÁN", AL I.P.T. DE DAVID</t>
  </si>
  <si>
    <t>SEGUNDO CICLO INDUSTRIAL, AUTOTRÓNICA, CONSTRUCCIÓN, ELECTRICIDAD, ELECTRÓNICA, TECNOLOGÍA MECÁNICA, REFRIGERACIÓN Y AIRE ACONDICIONADO</t>
  </si>
  <si>
    <t>I.P.T. DIVALÁ</t>
  </si>
  <si>
    <t>DEC. 739 DEL 19 DE NOVIEMBRE DE 2018 IMPLEMENTA EL SEGUNDO NIVEL DE ENSEÑANZA O EDUCACIÓN MEDIA EN DISTINTOS CENTROS DE EDUCACIÓN DE LA REP. DE PANAMÁ, ENTRE ELLOS  EL I.P.T. DIVALÁ</t>
  </si>
  <si>
    <t>SERVICIO Y GESTIÓN INSTITUCIONAL, TECNOLOGÍA E INFORMÁTICA, ELECTRICIDAD, SOLDADURA, SERVICIOS DE HOTELERIA, EBANISTERIA</t>
  </si>
  <si>
    <t>SAN ANDRÉS</t>
  </si>
  <si>
    <t>I.P.T. SAN ANDRÉS</t>
  </si>
  <si>
    <t>DEC. 39 DEL 3 DER MARZO DE 1972 , CREA EL PRIMER CICLO SAN ANDRES.</t>
  </si>
  <si>
    <t xml:space="preserve">DEC. 739 DEL 19 DE NOV. DE 2018 QUE DEROGA EN TODAS SUS PARTES EL DEC. EJECUTIVO NO. 1074 DEL 16 DE DIC. DE 2016 Y SE EMPLEMENTA EL SEGUNDO NIVEL DE ENSEÑANZA O EDUCACION MEDIA.DEC. 739 DEL 19 DE NOVIEMBRE DE 2018 QUE IMPLEMENTA ELSEGUNDO NIVEL DE ENESEÑANZA </t>
  </si>
  <si>
    <t>AGROPECUARIO, ELECTRÓNICA, MARÍTIMA, EBANISTERIA</t>
  </si>
  <si>
    <t>INSTITUTO DAVID</t>
  </si>
  <si>
    <t>DEC. 118 DEL  16 DE JULIO DE 1979</t>
  </si>
  <si>
    <t>El dect. 637 de 16 de diciembre de 1970 denomina Instituto Normal de David al Primer Ciclo Secundario de David. El dect. 118 del 16 de julio de 1979 denomina INSTITUTO DAVID al Instituto Normal de David, Dec. 489 del 24 de Junio de 2011 ascenso de categoria al Ist. David</t>
  </si>
  <si>
    <t>CIENCIAS, ELECTRÓNICA, ELECTROMECÁNICA,CONSTRUCCION, REFRIGERACION, TEC. MECANICA,FONTANERIA, AUTOTRONICA.</t>
  </si>
  <si>
    <t xml:space="preserve">I.P.T. CARLOS ROSAS A. </t>
  </si>
  <si>
    <t>DEC. 179 DEL 13 DE JULIO DE 1995. POR EL CUAL SE CREA EL PRIMER CICLO DE  CERRO VIEJO</t>
  </si>
  <si>
    <t>DEC. EJECUTIVO  #403 DE 22 DE JULIO DE 2003, POR EL CUAL SE CREA EL INSTITUTO PROFESIONAL Y TECNICO CARLOS ROSAS ABREGO</t>
  </si>
  <si>
    <t>I.P.T. DR. ARNULFO ARIAS MADRID</t>
  </si>
  <si>
    <t>DEC. 286 DEL 19 DE JULIO DE 1994</t>
  </si>
  <si>
    <t>El dect. 170 de 15 de abril de 1966 crea el primer Ciclo David. El dect. 286 de 29 de junio de 1994 crea I.P.T. Dr. Arnuldo Arias Madrid e  incorpora a éste el Primer Ciclo David</t>
  </si>
  <si>
    <t>ESC. JACU</t>
  </si>
  <si>
    <t>DEC. 515  DEL 14 DE SEPT DE 1951</t>
  </si>
  <si>
    <t>ESC. JARAMILLO ABAJO</t>
  </si>
  <si>
    <t>DEC. 36  DEL 21 DE MARZO  DE 1980</t>
  </si>
  <si>
    <t>ESC. JARAMILLO ARRIBA</t>
  </si>
  <si>
    <t>C.E.B.G. JUSTO ABEL CASTILLO</t>
  </si>
  <si>
    <t xml:space="preserve">DEC. 1100, DEL 21 DE DICIEMBRE DE 2011 POR MEDIO DEL CUAL SE CREAN CENTROS EDUCATIVOS </t>
  </si>
  <si>
    <t>ESC. CELMIRA</t>
  </si>
  <si>
    <t>DEC. 657 DE 4 DE JUNIO DE 1952 CREA LA ESCUELA LA CELMIRA</t>
  </si>
  <si>
    <t>El dect. 657 de 4 de junio de 1952 crea la escuela La Celmira.  El dect. 748 de 7 agosto de 1952 corrige el nombre de "la Celmira" POR EL DE "LAS CELMIRAS"</t>
  </si>
  <si>
    <t>ESC. LA COLONIA</t>
  </si>
  <si>
    <t>DEC. 152 DEL 17 DE ABRIL DE 1972</t>
  </si>
  <si>
    <t>ESC. LA COROCITA</t>
  </si>
  <si>
    <t>DEC. 372  DEL  24 DE NOVIEMBRE DE 1986</t>
  </si>
  <si>
    <t>C.E.B.G. LA CUCHILLA</t>
  </si>
  <si>
    <t>DEC. 1100     DEL 21 DE DIC DEL 2011</t>
  </si>
  <si>
    <t>ESC. LA ENSENADA</t>
  </si>
  <si>
    <t xml:space="preserve">DEC. 657 DE 4 DE JUNIO DE 1952 </t>
  </si>
  <si>
    <t xml:space="preserve">El dect. 657 de 4 de junio de 1952 y el dect. 66 de 27 de diciembre de 1968 crean ambos la escuela La Esperanza </t>
  </si>
  <si>
    <t>ESC. LA ESTRELLA</t>
  </si>
  <si>
    <t>DEC.  25 DEL 4 DE ABRIL DE 1959</t>
  </si>
  <si>
    <t>ESC. LA GUINEA</t>
  </si>
  <si>
    <t>DEC. 515 DEL 14 DE SEPTIEMBRE DE 1951 Y EL DECT. 355 DEL 13 DE MAYO DE 1953 CREAN AMBOS LA ESCUELA LA GUINEA, EN BOQUERÓN</t>
  </si>
  <si>
    <t>El dect. 515 del 14 de septiembre de 1951 y el dect. 355 del 13 de mayo de 1953 crean ambos la escuela LA GUINEA, en Boquerón</t>
  </si>
  <si>
    <t>ESC. MATA DE BUGABA</t>
  </si>
  <si>
    <t>DEC. 467 DEL 30 DE  DICIEMBRE DE 1985</t>
  </si>
  <si>
    <t>ESC. LA MESETA</t>
  </si>
  <si>
    <t>DEC. 325 DEL 24 DE JULIO DE 1954</t>
  </si>
  <si>
    <t>ESC. LA PITA</t>
  </si>
  <si>
    <t xml:space="preserve">El dect. 415 de 10 de mayo de 1971 crea la escuela La TRANCA, en Boquete. Dect. 1071 del 25 de noviembre del 2016 que crea los centros educativos que implementan el Programa de Educación Premedia y Media con metodología Escuela Nueva Escuela Activa (ENEA)
</t>
  </si>
  <si>
    <t xml:space="preserve">COMERCIO </t>
  </si>
  <si>
    <t>LAJAS ADENTRO</t>
  </si>
  <si>
    <t>DEC.  763 DE 9 DE DICIEMBRE DE 1969</t>
  </si>
  <si>
    <t>ESC. LAS HUACAS</t>
  </si>
  <si>
    <t>ESC. LAS LAJAS</t>
  </si>
  <si>
    <t>DEC. 41 DE 28 DE MAYO DE 1910</t>
  </si>
  <si>
    <t>El dect. 281 de 23 de junio de 1960  crean, con carácter provisional el primer Ciclo de Lajas. El dect. 322 de 10 de julio de 1961 crea de carácter permanente el primer Ciclo de Lajas. El dect.  324 de 6 de julio de 1992 crea el COLEGIO SECUNDARIO DE LAS LAJAS, en el Primer Ciclo Las Lajas.</t>
  </si>
  <si>
    <t>C.E.B.G. LAS MERCEDES</t>
  </si>
  <si>
    <t>ESC. LAS NUBES</t>
  </si>
  <si>
    <t>DEC. 152  DE 17 DE ABRIL DE 1972</t>
  </si>
  <si>
    <t>NUEVA CALIFORNIA</t>
  </si>
  <si>
    <t>C.E.B.G. LAS PERLAS</t>
  </si>
  <si>
    <t xml:space="preserve">DEC. 18 DE 31 DE ENERO  DE 2012 </t>
  </si>
  <si>
    <t>El decreto 18 de 31 de enero de 2012 crea en Centro de Educación Básica General Las Perlas</t>
  </si>
  <si>
    <t>C.E.B.G. LAS TUMBAS</t>
  </si>
  <si>
    <t>C.E.B.G. LAS VUELTAS</t>
  </si>
  <si>
    <t>DEC. 211  DE  7 DE MAYO DE 1968</t>
  </si>
  <si>
    <t>DEC. 18 DE 31 DE ENERO DE 2012 CREA EL CENTRO ESCOLAR BASICO GENERAL LA VUELTAS.</t>
  </si>
  <si>
    <t>C.E.B.G. LLANO CULEBRA</t>
  </si>
  <si>
    <t>DEC. 166 DE 11 DE MAYO DE 1960</t>
  </si>
  <si>
    <t>DEC. 1071 DEL 25 DE NOVIEMBRE DEL 2016 QUE CREA LOS CENTROS EDUCATIVOS QUE IMPLEMENTAN EL PROGRAMA DE EDUCACION PREMEDIA Y MEDIA CON METODOLOGIA ESCUELA NUEVA ESCUELA ACTIVA (ENEA)</t>
  </si>
  <si>
    <t>ESC. LLANO GRANDE ABAJO</t>
  </si>
  <si>
    <t>ESC. LLANO GRANDE ARRIBA</t>
  </si>
  <si>
    <t xml:space="preserve">DEC. 256 DE 10 DE MAYO DE 1967 </t>
  </si>
  <si>
    <t>El dect. 256 de 10 de mayo de 1967 y el dect. 537 de 18 de septiembre de 1967 crean ambos la escuela Llano grande Arriba</t>
  </si>
  <si>
    <t>C.E.B.G. LLANO LIMON</t>
  </si>
  <si>
    <t>DEC. 18 DEL 31 DE ENERO DEL 2012</t>
  </si>
  <si>
    <t>ESC. LOMA DE SAN PEDRO</t>
  </si>
  <si>
    <t>BIJAGUAL</t>
  </si>
  <si>
    <t>ESC. LOS CERRILLOS</t>
  </si>
  <si>
    <t>ESC. LOS LIMONES</t>
  </si>
  <si>
    <t>se crea basica general Dec. 49 de 13 de Junio de 1978.</t>
  </si>
  <si>
    <t>DEC. 612  DE 20 DE JULIO DE 1917</t>
  </si>
  <si>
    <t>El dect. 6 de 5 de enero de 1968 clausura la escuela Los Planes. El dect. 612 de 20 de julio de 1971 reabre la escuela Los Planes</t>
  </si>
  <si>
    <t>ESC. LOS POCITOS</t>
  </si>
  <si>
    <t>DEC. 567 DEL 19 DE DICIEMBRE DE 1961</t>
  </si>
  <si>
    <t>ESC. MACANO ARRIBA</t>
  </si>
  <si>
    <t>ESC. MANCHUILA</t>
  </si>
  <si>
    <t>DEC.  383 DEL 14 DE JULIO DE 1956</t>
  </si>
  <si>
    <t>ESC. MARCELINO SAMUDIO</t>
  </si>
  <si>
    <t>DEC. 73 DE 23 DE MAYO DE 1980 ASIGNA EL NOMBRE DE MARCELINO SAMUDIO, A LA ESCUELA DE COCHEA ABAJO</t>
  </si>
  <si>
    <t>El dect. 73 de 23 de mayo de 1980 asigna el nombre de Marcelino Samudio, a la escuela de Cochea Abajo</t>
  </si>
  <si>
    <t>C.E.B.G. MARIA OLIMPIA DE OBALDIA</t>
  </si>
  <si>
    <t>DEC. 415 DEL 10 DE MAYO D 1971 CREA LA ESCUELA REVOLUCION</t>
  </si>
  <si>
    <t>El dect. 415 de 10 de mayo de 1971 crea la escuela Revolución. El dect. 991 de 30 de diciembre de 1993 asigna el nombre de María Olimpia de Obaldía a la escuela Revolución</t>
  </si>
  <si>
    <t>ESC. MARIANO CANDANEDO</t>
  </si>
  <si>
    <t>DEC. 199 DEL 2 DE DIC DE 1909- DEC.290 DEL 26 DE JUNIO DEL 2002</t>
  </si>
  <si>
    <t>El dect. 290 de 26 de junio de 2002 asigna el nombre de Mariano Candanedo a la escuela de Bijagual, David</t>
  </si>
  <si>
    <t>ESC. MATA DEL NANCE</t>
  </si>
  <si>
    <t>DEC. 40DE 28 DE MAYO DE 2010 CREA LA ESCUELA DE MATA DEL NANCE.</t>
  </si>
  <si>
    <t>El decreto 40 de 28 de mayo de 1910 crea la escuela Mata del Nance. El decreto 2178 del 24 de agosto de 1948 también crea esta escuela.</t>
  </si>
  <si>
    <t>DEC. 194 DEL 19 DE MAYO DE 1965</t>
  </si>
  <si>
    <t>ESC. MIGUEL P. SANCHEZ</t>
  </si>
  <si>
    <t>DEC. 40 DEL 28 DE MAYO DE 1910</t>
  </si>
  <si>
    <t>El decreto 40 de 28 de mayo de 1910 crea la escuela Bagala. El dect. 233 de 30 de diciembre de 1997 asigna el nombre de Miguel Peregrino Sánchez Palacios a la escuela primaria de Bagala</t>
  </si>
  <si>
    <t>C.E.B.G. MONTILLA</t>
  </si>
  <si>
    <t xml:space="preserve">DEC. 40 DEL 28 DE MAYO DE 1910, </t>
  </si>
  <si>
    <t>ESC. MOSTRENCO</t>
  </si>
  <si>
    <t>DEC. 217  DE 6  DE JUNIO DE 1963</t>
  </si>
  <si>
    <t>ESC. NANCE BONITO</t>
  </si>
  <si>
    <t>DEC. 99 DEL 8 DE JUNIO DE 1981</t>
  </si>
  <si>
    <t>C.E.B.G. NUEVA CALIFORNIA</t>
  </si>
  <si>
    <t>ESC. NUEVA DELLY</t>
  </si>
  <si>
    <t>C.E.B.G. NUEVA SUIZA</t>
  </si>
  <si>
    <t>DEC. 18 DE 31 DE ENERO DE 2012 CREA EL CENTRO ESCOLAR BÁSICO GENERAL NUEVA SUIZA</t>
  </si>
  <si>
    <t>C.E.B.G. NUEVO AMANECER</t>
  </si>
  <si>
    <t>DEC. 18 DE 31 DE ENERO DE 2012 CREA EL CENTRO ESCOLAR BÁSICO GENERAL NUEVO AMANECER</t>
  </si>
  <si>
    <t>ESC. NUEVO PANAMA</t>
  </si>
  <si>
    <t>DEC.70 21 DE MARZO DE 1972</t>
  </si>
  <si>
    <t>ESC. NUEVO VEDADO</t>
  </si>
  <si>
    <t>DEC. 172 DEL 8 DE MAYO DE 1962</t>
  </si>
  <si>
    <t>ESC. OCTAVIO LOPEZ PASCAL</t>
  </si>
  <si>
    <t>DEC. 470   19 DE OCTUBRE DE 1965. DESIGNA EL NOMBRE DE OCTAVIO LOPEZ PASCAL A ALA ESCUELA LOS NARANJOS</t>
  </si>
  <si>
    <t>El dect. 470 del 19 de octubre  de 1965 le asigna el nombre de Octavio López Pascal a la Escuela Los Naranjos. Este decreto se puede ver</t>
  </si>
  <si>
    <t>DEC. 336 DEL 5 DE SEPTIEMBRE DE 1985</t>
  </si>
  <si>
    <t>DEC. 304 DE 19 DE JULIO DE 1965</t>
  </si>
  <si>
    <t>QUEREVALO</t>
  </si>
  <si>
    <t>ESC. ORILLA DEL RIO</t>
  </si>
  <si>
    <t>COLEGIO PABLO EMILIO CORSEN</t>
  </si>
  <si>
    <t>DEC. 48 DEL 25 DE MARZO DE 1982. DEC. 739 DEL 19 DE NOV. DE 2018 QUE DEROGA EN TODAS SUS PARTES EL DEC. EJECUTIVO NO. 1074 DEL 16 DE DIC. DE 2016 Y SE EMPLEMENTA EL SEGUNDO NIVEL DE ENSEÑANZA O EDUCACION MEDIA.</t>
  </si>
  <si>
    <t xml:space="preserve">DEC. 49 DE 13 DE JUNIO DE 1978 CREA EL C.E.B.G. PABLO EMILIO CORSEN. EL DECT. 48 DE 25 DE MARZO DE 1982 CREA EL PRIMER CICLO QUE FUNCIONARA EN LA ESCUELA PRIMARIA REPUBLICA DE FRANCIA.   </t>
  </si>
  <si>
    <t>CIENCIAS, SEGUNDO CICLO INDUSTRIAL, TURISMO, TECNOLOGIA E INFORMÁTICA</t>
  </si>
  <si>
    <t>SANTA CLARA</t>
  </si>
  <si>
    <t>ESC. PALMARITO</t>
  </si>
  <si>
    <t>C.E.B.G. PALMIRA</t>
  </si>
  <si>
    <t>DEC.649 DEL 1 DE AGOSTO DEL 2013</t>
  </si>
  <si>
    <t>ESC. PALMIRA ABAJO</t>
  </si>
  <si>
    <t xml:space="preserve"> DEC.189 DE 24 DE ABRIL DE 1988</t>
  </si>
  <si>
    <t>ESC. PALMIRA DEL BANCO</t>
  </si>
  <si>
    <t>DEC. 51 DEL 21 DE MARZO DE 1974</t>
  </si>
  <si>
    <t>ESC. PALO ALTO</t>
  </si>
  <si>
    <t>DEC.247 DEL 22 DE MAYO DE 1972</t>
  </si>
  <si>
    <t>PARAÍSO</t>
  </si>
  <si>
    <t>C.E.B.G. PARAISO</t>
  </si>
  <si>
    <t>DEC. 166  DEL 11 DE MAYO DE 1960</t>
  </si>
  <si>
    <t>ESC. PEDREGALITO</t>
  </si>
  <si>
    <t>ESC. PIEDRA DE CANDELA</t>
  </si>
  <si>
    <t>C.E.B.G. PORTACHUELO</t>
  </si>
  <si>
    <t>DEC. 18 DE 31 DE ENERO DE 2012 CREA EL CENTRO ESCOLAR BASICO GENERAL PORTACHUELO.</t>
  </si>
  <si>
    <t>PRIMER  CICLO ARTURO D. MOTTA</t>
  </si>
  <si>
    <t xml:space="preserve">DEC. 281 DE 23 DE JUNIO DE 1960  CREAN, CON CARACTER PROVISIONAL EL PRIMER CICLO DE REMEDIOS. EL DECT. 322 DE 10 DE JULIO DE 1961 CREA DE CARACTER PERMANENTE EL PRIMER CICLO DE REMEDIOS. EL DCTO 426 DE 18 DE JULIO DE 1967 ASIGNA EL NOMBRE DE PRIMER CICLO ARTURO D. MOTTA AL PRIMER CICLO DE REMEDIOS. EL DECT. 49 DE 13 DE JUNIO DE 1978 CREA EL CENTRO DE EDUCACION BASICA GENERAL ARTURO MOTTA </t>
  </si>
  <si>
    <t xml:space="preserve">El dect. 281 de 23 de junio de 1960  crean, con carácter provisional el primer Ciclo de remedios. El dect. 322 de 10 de julio de 1961 crea de carácter permanente el primer Ciclo de Remedios. El dcto 426 de 18 de julio de 1967 asigna el nombre de Primer Ciclo Arturo D. Motta al Primer Ciclo de Remedios. El dect. 49 de 13 de junio de 1978 crea el Centro de Educación Básica General Arturo Motta </t>
  </si>
  <si>
    <t xml:space="preserve"> QUEBRADA DE PIEDRA</t>
  </si>
  <si>
    <t>PRIMER CICLO QUEBRADA DE PIEDRA</t>
  </si>
  <si>
    <t>ESC. PUEBLO NUEVO</t>
  </si>
  <si>
    <t>DEC.101   18 DE MAYO DE  1984</t>
  </si>
  <si>
    <t>ESC. QUEBRADA GRANDE</t>
  </si>
  <si>
    <t>El dect. 53 del 24 de abril de 1959 crea la escuela Quebrada Grande en Bugaba. El dect. 603 del 17 de octubre de 1967 crea la escuela Quebrada Grande, en Alanje</t>
  </si>
  <si>
    <t>ESC. QUEBRADA LAJAS</t>
  </si>
  <si>
    <t>ESC. QUEBRADA LLANA</t>
  </si>
  <si>
    <t>C.E.B.G. QUEBRADA NEGRA</t>
  </si>
  <si>
    <t>ESC. QUEREVALOS</t>
  </si>
  <si>
    <t>EL NANCITO</t>
  </si>
  <si>
    <t>ESC. RICARDO MURGAS</t>
  </si>
  <si>
    <t>DEC. 161 DEL 16 DE SEP DE 1909</t>
  </si>
  <si>
    <t>El dect. 563 de 18 de diciembre de 1973 designa con el  nombre de "RICARDO MURGAS  VILLAMONTE" a la escuela de Nancito</t>
  </si>
  <si>
    <t xml:space="preserve">C.E.B.G. RÍO GUISADO </t>
  </si>
  <si>
    <t>194 del 24 de junio de 2008, le asigna el nombre de "Aquilino Pittí" a la Escuela "Río Guizado". El dect. 1100 de 21 de diciembre de 2011 crea el centro educativo Rio Guisado</t>
  </si>
  <si>
    <t>C.E.B.G. SABALO</t>
  </si>
  <si>
    <t>El decreto 41 de 28 de mayo de 1910 y el decreto 1100 de 21 de diciembre de 2011, ambos crean la escuela Sabalo.</t>
  </si>
  <si>
    <t>SANTA CRUZ</t>
  </si>
  <si>
    <t>ESC. SALITRAL</t>
  </si>
  <si>
    <t>C.E.B.G. SAN ANDRES</t>
  </si>
  <si>
    <t>ESC. SAN ANTONIO ABAJO</t>
  </si>
  <si>
    <t>DEC. DE 12 DE MAYO DE 1949</t>
  </si>
  <si>
    <t>El dect. 66 de 12 de mayo de 1949 ordena el establecimiento de la escuela Alto Rabo de Gallo, en Bugaba. El dect.79 de 15 de abril de 1964 da el nombre de escuela de San Antonio a la escuela ALTO RABO DE GALLO</t>
  </si>
  <si>
    <t>C.E.B.G. SAN CARLITOS</t>
  </si>
  <si>
    <t>C.E.B.G. SAN CRISTOBAL</t>
  </si>
  <si>
    <t>DEC. 1100 DEL 21 DE DIC DEL 2011</t>
  </si>
  <si>
    <t>El dect. 657 de 4 de junio 1952 crea la escuela "LA CRISTOBAL".  El dect. 748 de 7 de agosto de 1952 corrige este nombre por el de "SAN CRISTOBAL".  El dect. 415 del 29 de agosto de 1961 asigna el nombre de Domitila de Arias a la Escuela de San Cristóbal. El dect. 624 del 17 de octubre de 1962 le da el nombre de Escuela de San Cristóbal a la Escuela Domitila de Arias</t>
  </si>
  <si>
    <t>ESC. SAN ISIDRO</t>
  </si>
  <si>
    <t>DEC. 398 DEL 28 DE JULIO  DE 1966 ASIGNA EL NOMBRE DE SAN ISIDRO A LA ESCUELA EL CAPACHO</t>
  </si>
  <si>
    <t>El dect. 398 del 28 de julio  de 1966 asigna el nombre de San isidro a la escuela El Capacho</t>
  </si>
  <si>
    <t>C.E.B.G. SAN JUAN</t>
  </si>
  <si>
    <t>DEC. 18 DE 31 DE ENERO DE 2012 CREA EN CENTRO DE EDUCACIÓN BÁSICA GENERAL SAN JUAN</t>
  </si>
  <si>
    <t>ESC. SAN JUAN DE DAVID</t>
  </si>
  <si>
    <t>C.E.B.G. SAN LORENZO</t>
  </si>
  <si>
    <t>DEC.  41 DE 28 DE MAYO DE 1910 Y EL DECRETO 1100 DE 21 DE DICIEMBRE DE 2011, AMBOS CREAN LA ESCUELA SABALO.</t>
  </si>
  <si>
    <t>El decreto 41 de 28 de mayo de 1910 crea la escuela San Lorenzo y el dectreto  1100 de 21 de diciembre de 2011 también la crea.</t>
  </si>
  <si>
    <t>SANTO TOMAS</t>
  </si>
  <si>
    <t>ESC. SAN MARTIN</t>
  </si>
  <si>
    <t>ESC. SAN MIGUEL DE EXQUISITO</t>
  </si>
  <si>
    <t>DEC. 824 DEL 30 DE SEPT DE 1952</t>
  </si>
  <si>
    <t>ESC. SAN PABLO VIEJO ARRIBA</t>
  </si>
  <si>
    <t>DEC. 459 DE 27 DE JULIO DE 1955</t>
  </si>
  <si>
    <t>El dect. 459 del 27 de julio de 1955 ordena la Apertura de la escuela SAN PABLO ARRIBA, EN DAVID</t>
  </si>
  <si>
    <t>ESC. SAN PEDRO</t>
  </si>
  <si>
    <t>DEC. 187 DEL 23 DE MAYO DE 1960</t>
  </si>
  <si>
    <t>C.E.B.G. SAN VICENTE</t>
  </si>
  <si>
    <t>DEC. 1100  DEL 21 DE DICIEMBRE DEL 2011</t>
  </si>
  <si>
    <t>El dect. 249 de 16 de julio de 1985 crea la escuela de San Miguel del Yuco.  El dect. 55 de 26 de marzo de 1963 cambia el nombre de la escuela de San Miguel del Yuco, por el de San Vicente, en el municipio de Bugaba. El dect. 1100 de 21 de diciembre de 2011 crea la escuela San Vicente, en Bugaba</t>
  </si>
  <si>
    <t>DEC. 445 DEL 17 DE SEPTIEMBRE DE 1954</t>
  </si>
  <si>
    <t>ESC. SANTA CLARA ABAJO</t>
  </si>
  <si>
    <t>DEC. 38 DE 13 DE FEBRERO DE 1967</t>
  </si>
  <si>
    <t>C.E.B.G. SANTA CRUZ</t>
  </si>
  <si>
    <t>DEC. 18 DE 31 DE ENERO DE 2012 CREA EL CENTRO ESCOLAR BASICO GENERALDE SANTA CRUZ.</t>
  </si>
  <si>
    <t>ESC. SANTA CRUZ</t>
  </si>
  <si>
    <t>C.E.B.G. SANTA MARTA</t>
  </si>
  <si>
    <t>DEC. 185 DEL 19 DE MARZO DEL 2012</t>
  </si>
  <si>
    <t>PRIMARIA-PREMEDIA-MEDIA PROFESIONAL Y TÉCNICA</t>
  </si>
  <si>
    <t>ESC. SANTA MARTA</t>
  </si>
  <si>
    <t>DEC. 25 DEL 4 DE ABRIL DE 1959</t>
  </si>
  <si>
    <t>ESC. SANTA RITA</t>
  </si>
  <si>
    <t>DEC. 383  DEL 30 DE JUNIO DE 1956</t>
  </si>
  <si>
    <t>DEC. 383  DEL 3 DE JUNIO DE 1959</t>
  </si>
  <si>
    <t>ESC. SANTO DOMINGO DE GUZMÁN</t>
  </si>
  <si>
    <t>ESC. SANTO TOMAS</t>
  </si>
  <si>
    <t>DEC. 22 DE 17 DE FEBRERO DE 1964</t>
  </si>
  <si>
    <t>El dect. 22 de 17 de febrero de 1964 cambia el nombre de la escuela El Tullido por el de SANTO TOMAS</t>
  </si>
  <si>
    <t>C.E.B.G. SARA VICTORIA CAMPBELL</t>
  </si>
  <si>
    <t>DEC. 259  DE 15 DE OCTUBRE DE 1981</t>
  </si>
  <si>
    <t>El dect. 259 de 15 de octubre de 1981 asigna el nombre de SARA VICTORIA CAMPBELL, a la escuela primaria de Horconcitos, San Lorenzo</t>
  </si>
  <si>
    <t>ESC. SIOGUI ABAJO N°1</t>
  </si>
  <si>
    <t>El dect. 66 de 27 de diciembre de 1968 crea la escuela SIOGUI ABAJO.  El dect. 292 del 25 de julio de 1969 denomina "SIOGUI ABAJO No.1 a la escuela creada mediante dect. 66 de 27 de diciembre de 1968</t>
  </si>
  <si>
    <t>ESC. SIOGUI ABAJO N°2</t>
  </si>
  <si>
    <t>El dect. 53 del 24 de abril de 1959 crea la escuela SIOGUI ARRIBA. El dect. 292 del 25 de julio de 1969 denomina "SIOGUI ABAJO No.2 a la escuela creada mediante decreto 53 de 24 de abril de 1959</t>
  </si>
  <si>
    <t>ESC. SIOGUI ARRIBA</t>
  </si>
  <si>
    <t>DEC. 53  DEL 24  DE ABRIL  DE 1959</t>
  </si>
  <si>
    <t>El dect.  364 de 1 de agosto de 1963 reabre la escuela Siogui Arriba</t>
  </si>
  <si>
    <t>TIJERAS</t>
  </si>
  <si>
    <t>ESC. SITIO LAZARO</t>
  </si>
  <si>
    <t>DEC. 657 DEL 4 DE JUNIO DE 1952</t>
  </si>
  <si>
    <t>ESC. SOLANO</t>
  </si>
  <si>
    <t>DEC. 366 DEL 31 DE JULIO DE 1957</t>
  </si>
  <si>
    <t>El dect. 366 de 31 de julio de 1957 establece la Escuela Mixta de SOLANO, en Bugaba.</t>
  </si>
  <si>
    <t>ESC. SORTOVA</t>
  </si>
  <si>
    <t>ESC. TABASARA ABAJO</t>
  </si>
  <si>
    <t>ESC. TAMBOR</t>
  </si>
  <si>
    <t>ESC. TIJERA</t>
  </si>
  <si>
    <t>ESC. ULE</t>
  </si>
  <si>
    <t>DEC.415 DEL 10 DE MAYO DE 1971</t>
  </si>
  <si>
    <t>ESC. LA UNION INTERNACIONAL</t>
  </si>
  <si>
    <t xml:space="preserve">CHIRIQUÍ </t>
  </si>
  <si>
    <t>ESC. VELADERO</t>
  </si>
  <si>
    <t xml:space="preserve">DEC. 40 DE 28 DE MAYO DE 1910 </t>
  </si>
  <si>
    <t>DEC. 21 DEL 9 DE ABRIL DE 1908</t>
  </si>
  <si>
    <t>ESC. VILLA DE LA ARENA</t>
  </si>
  <si>
    <t>ESC. VOLANTE</t>
  </si>
  <si>
    <t>C.E.B.G. VOLCANCITO</t>
  </si>
  <si>
    <t>DEC.649 -  1 DE AGOSTO  2013</t>
  </si>
  <si>
    <t>ESC. ALTAMIRA</t>
  </si>
  <si>
    <t>JUSTO FIDEL PALACIOS</t>
  </si>
  <si>
    <t>ESC. ALTO ALGARROBO</t>
  </si>
  <si>
    <t>DEC. 649 DE 28 DE DIC DE 1970</t>
  </si>
  <si>
    <t>C.E.B.G. ALTO GUAYABO</t>
  </si>
  <si>
    <t>DEC. 623 DEL 17 DE OCTUBRE DE 1962 Y EL DECT. 467 DE 30 DE DICIEMBRE DE 1965 CREAN AMBOS LA ESCUELA ALTO GUAYABO. EL DECRETO 18 DE 31 DE ENERO DE 2012 CREA EL CENTRO ESCOLAR BÁSICO GENERAL ALTO GUAYABO.</t>
  </si>
  <si>
    <t>El dect. 623 del 17 de octubre de 1962 y el dect. 467 de 30 de diciembre de 1965 crean ambos la escuela Alto Guayabo. El decreto 18 de 31 de enero de 2012 crea El Centro Escolar Básico General Alto Guayabo.</t>
  </si>
  <si>
    <t>ESC. ALTO LA MINA</t>
  </si>
  <si>
    <t>SAN PABLO NUEVO</t>
  </si>
  <si>
    <t>C.E.B.G. AMADA GONZALEZ DE MORALES</t>
  </si>
  <si>
    <t>El dcrto 196 de 10 de junio de 2009  denomina con el nombre de AMADA GONZÁLEZ DE MORALES, a la escuela de San Pablo Nuevo Abajo, ubicada en San Pablo Nuevo Abajo.El decreto 185 de 19 de marzo de 2012 crea el Centro de Educación Básica General Amada Gonzales en el corregimiento SAn Pablo Nuevo distrito de David.</t>
  </si>
  <si>
    <t>C.E.B.G. BAITUN ABAJO</t>
  </si>
  <si>
    <t>C.E.B.G. BAITUN ARRIBA</t>
  </si>
  <si>
    <t>ESC. BAJO SOLIS</t>
  </si>
  <si>
    <t>DEC. 138 DEL 30 DE JUNIO DE 1986</t>
  </si>
  <si>
    <t>BOCA CHICA</t>
  </si>
  <si>
    <t>C.E.B.G. BOCA CHICA</t>
  </si>
  <si>
    <t>DEC. 138 DE 16 DE JUNIO DE 1959 CREA LA ESCUELA BOCA CHICA. EL DECT. 353 DE 28 DE JULIO DE 1961 CLAUSURA LA ESCUELA BOCA CHICA. EL DECT.  66 DE 27 DE DICIEMBRE DE 1968 CREA LA ESCUELA BOCA CHICA.</t>
  </si>
  <si>
    <t>El dect. 138 de 16 de junio de 1959 crea la escuela Boca Chica. El dect. 353 de 28 de julio de 1961 clausura la escuela Boca Chica. El dect.  66 de 27 de diciembre de 1968 crea la escuela Boca Chica.</t>
  </si>
  <si>
    <t>ESC. BONGO ARRIBA</t>
  </si>
  <si>
    <t>ESC. BONITA</t>
  </si>
  <si>
    <t>C.E.B.G. BAJOS DE CHIRIQUI</t>
  </si>
  <si>
    <t>JUAY</t>
  </si>
  <si>
    <t>C.E.B.G. BOCA DE MACHO</t>
  </si>
  <si>
    <t>C.E.B.G. POTRERO DE CAÑA</t>
  </si>
  <si>
    <t>DEC. 23 DE 8 DE OCTUBRE DE 1930 CLAUSURA LA ESCUELA "POTRERO DE CAÑA", EN REMEDIOS</t>
  </si>
  <si>
    <t>El dcrto 23 de 8 de octubre de 1930 clausura la escuela "POTRERO DE CAÑA", en Remedios</t>
  </si>
  <si>
    <t>C.E.B.G. QUEBRADA DE VUELTAS</t>
  </si>
  <si>
    <t>DEC. 557 DE 14 DE NOVIEMBRE DE 1951 CREA LA ESCUELA QUEBRADA DE VUELTAS</t>
  </si>
  <si>
    <t>El dect. 557 de 14 de noviembre de 1951 crea la escuela quebrada de Vueltas</t>
  </si>
  <si>
    <t>CORDILLERA</t>
  </si>
  <si>
    <t>ESC. LA CORDILLERA</t>
  </si>
  <si>
    <t>DEC. 609 DEL 19 DE OCTUBRE DE 1956</t>
  </si>
  <si>
    <t>El dect. 1894 del 6 de septiembre de 1947 clausura la escuela Cordillera .  El dect. 609 del 19 de octubre de 1956 ordena la apertura de la escuela Cordillera</t>
  </si>
  <si>
    <t>C.E.B.G. COROZAL</t>
  </si>
  <si>
    <t>DEC. 412 DEL 22 DE AGOSTO  DE 1963</t>
  </si>
  <si>
    <t>DEC. 185 DE 19 DE MARZO DE 2012 CREA EL CENTRO DE EDUCACIÓN BÁSICA GENERAL COROZAL  EN EL CORREGIMIENTO SAN PABLO DEL DISTRITO DE DAVID.</t>
  </si>
  <si>
    <t>C.E.B.G. EL CALVARIO</t>
  </si>
  <si>
    <t>ESC. EL CERRON</t>
  </si>
  <si>
    <t>ESC. EL FRANCES</t>
  </si>
  <si>
    <t>ESC. EL HIGO</t>
  </si>
  <si>
    <t>DEC. 83 DEL 23 DE MAYO DE 1949</t>
  </si>
  <si>
    <t>C.E.B.G. EL MARIA</t>
  </si>
  <si>
    <t>ESC. EL ROBLE</t>
  </si>
  <si>
    <t>DEC. 167 DEL 24 DE ABRIL DE 1960</t>
  </si>
  <si>
    <t>C.E.B.G. GOMEZ ABAJO</t>
  </si>
  <si>
    <t>C.E.B.G. JUAY</t>
  </si>
  <si>
    <t xml:space="preserve">DEC. 1100 DE 21 DE DICIEMBRE DE 2011, CREA CENTROS EDUCATIVOS </t>
  </si>
  <si>
    <t>ESC. LA LIBERTAD</t>
  </si>
  <si>
    <t>DEC. 76 DEL 9 DE ABRIL DE 1954</t>
  </si>
  <si>
    <t>ESC. LLANO GRANDE</t>
  </si>
  <si>
    <t>ESC. LAS AZULES</t>
  </si>
  <si>
    <t>DEC.  97  DEL  19 DE MARZO DE 1968</t>
  </si>
  <si>
    <t>C.E.B.G. MARGARITA BERMAN</t>
  </si>
  <si>
    <t>DEC. 18 DE 31 DE ENERO DE 2012</t>
  </si>
  <si>
    <t>C.E.B.G. NATA DE TOLE</t>
  </si>
  <si>
    <t>PALO GRANDE</t>
  </si>
  <si>
    <t>C.E.B.G. PALO GRANDE</t>
  </si>
  <si>
    <t>C.E.B.G. SABANA BONITA</t>
  </si>
  <si>
    <t>ESC. SALSIPUEDES</t>
  </si>
  <si>
    <t>El dect. 199 de 19 de mayo de 1955 y el dect. 415 de 23 de agosto de 1963 crean ambos la escuela Salsipuedes</t>
  </si>
  <si>
    <t>C.E.B.G. SAN ANTONIO ARRIBA</t>
  </si>
  <si>
    <t>DEC. 649 DEL 1 DE AGOST DEL 2013</t>
  </si>
  <si>
    <t>C.E.B.G. SAN FRANCISCO</t>
  </si>
  <si>
    <t>ESC. SAN MIGUEL DEL YUCO</t>
  </si>
  <si>
    <t>DEC. 249  DEL 16 DE JULIO DE 1985</t>
  </si>
  <si>
    <t>ESC. AURELIO GRANADOS "HIJO</t>
  </si>
  <si>
    <t>CENTRO PENITENCIARIO DAVID</t>
  </si>
  <si>
    <t>AUTOTRONICA, COMERCIO, CONTRUCCION</t>
  </si>
  <si>
    <t>ESC.  SECUNDARIA NOCTURNA OFICIAL DE LA CONCEPCIÓN</t>
  </si>
  <si>
    <t>DEC. 120 DE 4 DE MAYO DE 1973 CREA EL PRIMER CICLO SECUNDARIO NOCTURNO DE LA CONCEPCIÓN, BUGABA</t>
  </si>
  <si>
    <t>CIENCIAS, COMERCIO, ELECTRICIDAD, INFORMATICA, TURISMO</t>
  </si>
  <si>
    <t>ESC. SECUNDARIA NOCTURNO OFICIAL DAVID</t>
  </si>
  <si>
    <t>DEC. 122 DE 18 DE FEBRERO DE 1971 CREA LA ESCUELA SECUNDARIA NOCTURNA DE DAVID</t>
  </si>
  <si>
    <t>CIENCIAS, COMERCIO</t>
  </si>
  <si>
    <t>E.S.N.O BOQUETE</t>
  </si>
  <si>
    <t>DEC.  505 DEL 4 DE AGOSTO DE 1972</t>
  </si>
  <si>
    <t>CIENCIAS,COMERCIO, ELECTRICIDAD</t>
  </si>
  <si>
    <t>E.S.N.O. RENACIMIENTO</t>
  </si>
  <si>
    <t>DEC.30    13 DE FEBRERO DEL  2006</t>
  </si>
  <si>
    <t>CIENCIAS, TECNOLOGÍA E INFORMATICA</t>
  </si>
  <si>
    <t>E.S.N.O. TOLE</t>
  </si>
  <si>
    <t>DEC. 263 DEL 24 DE MAYO DE 2003</t>
  </si>
  <si>
    <t>TECNOLOGÍA E INFORMATICA Y TURISMO</t>
  </si>
  <si>
    <t>I.P.T. NOCTURNO DE DAVID</t>
  </si>
  <si>
    <t>DEC. 579   18 DE DICIEMBRE DE  1973</t>
  </si>
  <si>
    <t>BACHILLER INDUSTRIAL, TECNOLOGIA E INFORMATICA</t>
  </si>
  <si>
    <t>ESC. LLANO CULEBRA</t>
  </si>
  <si>
    <t>POST ALFABETIZACION-TERMINACIÓN DE ESTUDIOS PRIMARIOS</t>
  </si>
  <si>
    <t>NOCTURNA OFICIAL DE ALANJE</t>
  </si>
  <si>
    <t>DEC. 302  DEL 6 DE MARZO DE 1989</t>
  </si>
  <si>
    <t>COMERCIO, INDUSTRIAL</t>
  </si>
  <si>
    <t>ESC. SECUNDARIA NOCTURNA OFICIAL DE TIERRAS ALTAS</t>
  </si>
  <si>
    <t>TELE-EDUCACIÓN HORCONCITOS</t>
  </si>
  <si>
    <t>VOCACIONAL BOLIVAR</t>
  </si>
  <si>
    <t>BACHILLER INDUSTRIAL</t>
  </si>
  <si>
    <t>VOCACIONAL BOQUETE</t>
  </si>
  <si>
    <t>CULTURA ARTESANAL</t>
  </si>
  <si>
    <t>TEP-JARAMILLO ABAJO</t>
  </si>
  <si>
    <t>TEP-LOS ABANICOS</t>
  </si>
  <si>
    <t>TEP-LASSONDE</t>
  </si>
  <si>
    <t>TERMINACION PRIMARIA JUSTO ABEL CASTILLO</t>
  </si>
  <si>
    <t>ALFABETIZACIÓN-TERMINACIÓN DE ESTUDIOS PRIMARIOS</t>
  </si>
  <si>
    <t>TERMINACION PRIMARIA MARGARITA BEERMAN</t>
  </si>
  <si>
    <t>TERMINACION PRIMARIA IGLESIA NUEVA VIDA</t>
  </si>
  <si>
    <t>CENTRO DE ESTUDIOS SUPERIORES DE BELLAS ARTES Y FOLKLORE DE DAVID</t>
  </si>
  <si>
    <t>IPHE DE CHIRIQUI</t>
  </si>
  <si>
    <t>ACADEMIA PEDAGOGICA  RINCÓN MÁGICO</t>
  </si>
  <si>
    <t>RES. 218,  DE 2 DE MARZO DE 2006</t>
  </si>
  <si>
    <t>INSTITUTO ENRIQUE SANTOS</t>
  </si>
  <si>
    <t>RES.1672 DE   11 DE MAYO DEL 2010</t>
  </si>
  <si>
    <t>JARDÍN DE LA INFANCIA CATERINA VOLPICELLI</t>
  </si>
  <si>
    <t>RES. 580 DE 8 DE MAYO DE 2006  QUE AUTORIZA FUNCIONAMIENTO</t>
  </si>
  <si>
    <t>INSTITUTO LABORAL TECHNOLOGY</t>
  </si>
  <si>
    <t>RESUELTO 1568-AL, DEL 5 DE JULIO DE 2022</t>
  </si>
  <si>
    <t>BACHILLER CIENCIAS, COMERCIO, TURISMO, HUMANIDADES</t>
  </si>
  <si>
    <t>INSTITUTO LABORAL NUEVA LUZ - BOQUETE</t>
  </si>
  <si>
    <t>RESUELTO 3475-AL, DEL 16 DE DICIEMBRE DE 2022</t>
  </si>
  <si>
    <t>PRIMARIA-PREMEDIA-MEDIA</t>
  </si>
  <si>
    <t>BACHILLER CIENCIAS, HUMANIDADES</t>
  </si>
  <si>
    <t>ESC. SOY FELIZ</t>
  </si>
  <si>
    <t>ESC. LA FE DE JESUS</t>
  </si>
  <si>
    <t>ESC. SAGRADO CORAZON DE JESUS</t>
  </si>
  <si>
    <t>ALFALIT JESUS AMA A LOS NIÑOS</t>
  </si>
  <si>
    <t>ALFALIT RAYITOS DE LUZ</t>
  </si>
  <si>
    <t>ESC. PADRE NICOLAS VAN KLEEF</t>
  </si>
  <si>
    <t xml:space="preserve"> RENACIMIENTO</t>
  </si>
  <si>
    <t xml:space="preserve"> MONTE LIRIO</t>
  </si>
  <si>
    <t>ESC. VIVE JESUS</t>
  </si>
  <si>
    <t>COLEGIO DEL VALLE</t>
  </si>
  <si>
    <t>REST 3056-AL (RES. 734   1 DE JUNIO DEL 2006 resuelto anterior)</t>
  </si>
  <si>
    <t>RES.2287 AL 26 DE AGOSTO DE 2022 POR EL CUAL CONCEDE AMPLIACION DE LA OFERTA ACADEMICA PARA EL SEGUNDO NIVEL (BACHILLER EN CIENCIAS, COMERCIO Y HUMANIDADES).</t>
  </si>
  <si>
    <t>CIENCIAS, COMERCIO,HUMANIDADES</t>
  </si>
  <si>
    <t>TIERRAS ALTAS ACADEMY</t>
  </si>
  <si>
    <t>RES. 1154-AL DEL 20 DE MAYO DE 2022 QUE AUTORIZA EL FUNCIONAMIENTO DEL CENTRO EDUCATIVO.</t>
  </si>
  <si>
    <t>ESC. CRISTIANA EL FARO</t>
  </si>
  <si>
    <t>RES. 2505 DEL  18 DE AGOSTO DE 2020 QUE AUTORIZA EL FUNCIONAMIENTO DEL C.E.</t>
  </si>
  <si>
    <t>COLEGIO AGRÍCOLA SAN BENITO</t>
  </si>
  <si>
    <t>RES. 690   8 DE JUNIO DE 1966</t>
  </si>
  <si>
    <t>ACADEMIA INTERNACIONAL DE BOQUETE</t>
  </si>
  <si>
    <t>RES.  5850 12 DE DICIEMBRE DEL 2016</t>
  </si>
  <si>
    <t>COLEGIO ADVENTISTA BILINGÜE DE DAVID</t>
  </si>
  <si>
    <t>RES. 36/6 DEL 12 DE DIC DE 1990</t>
  </si>
  <si>
    <t>ESC. ADVENTISTA DE CERRO PUNTA</t>
  </si>
  <si>
    <t>RES. 1190  11 DE MAYO DEL 2021</t>
  </si>
  <si>
    <t>ESC. ADVENTISTA DE LA CONCEPCION</t>
  </si>
  <si>
    <t>RES. 157    3 DE MARZO DE 1975</t>
  </si>
  <si>
    <t>ESC. ADVENTISTA DE SAN ANDRES</t>
  </si>
  <si>
    <t>RES. 2252   27 DE  DICIEMBRE  DEL 2007</t>
  </si>
  <si>
    <t>ACADEMIA ADVENTISTA BILINGÜE DE VOLCAN</t>
  </si>
  <si>
    <t>RES. 4906    24 DE AGOSTO  DEL 2007</t>
  </si>
  <si>
    <t>CENTRO EDUCATIVO EVANGELICO CUADRANGULAR BET-EL - DAVID</t>
  </si>
  <si>
    <t>RES. 82 DE 25 DE ENERO DE 2006</t>
  </si>
  <si>
    <t>ESC. BILINGÜE DIVINO NIÑO JESUS</t>
  </si>
  <si>
    <t>RES. 1424   2 DE FEBRERO DEL 2006</t>
  </si>
  <si>
    <t>ESC. BILINGÜE MIS PASITOS</t>
  </si>
  <si>
    <t>RES. 1694 DE 16 DE DICIEMBRE DE 2005</t>
  </si>
  <si>
    <t>ESC. ESCUELA EL BUEN PASTOR</t>
  </si>
  <si>
    <t xml:space="preserve">RES. 708   DEL  7  SEPTIEMBRE DE 1995 </t>
  </si>
  <si>
    <t>CENTRO EDUCATIVO CULTURAL BILINGÜE EZER</t>
  </si>
  <si>
    <t>RES. 1377  21 DE OCTUBRE DEL 2005</t>
  </si>
  <si>
    <t>PREESCOLAR-PREMEDIA-MEDIA ACADÉMICA</t>
  </si>
  <si>
    <t>CADI BILINGÜE ACADEMY DAVID</t>
  </si>
  <si>
    <t>RES.  4280    30 DE DICIEMBRE DEL 2020 QUE AUTORIZA EL FUNCIONAMIENTO DEL C.E.</t>
  </si>
  <si>
    <t>Res. 1984 del 24 de junio de 2020</t>
  </si>
  <si>
    <t>COLEGIO CAMBRIDGE BILINGUAL SCHOOL</t>
  </si>
  <si>
    <t>RES.  162  DEL 22 DE JULIO DE 1996</t>
  </si>
  <si>
    <t>CENTRO BILINGÜE ELISABETINO</t>
  </si>
  <si>
    <t>RES. 5821  19 DE JULIO DEL 2013</t>
  </si>
  <si>
    <t>CENTRO DE FORMACIÓN MARÍTIMA ACADÉMICA Y TRABAJOS ESPECIALES (CEFORMATE)</t>
  </si>
  <si>
    <t>RES. 1473   12  DE JULIO DEL 2008</t>
  </si>
  <si>
    <t>COLEGIO BILINGÜE EL BUEN PASTOR BOQUETE</t>
  </si>
  <si>
    <t>RES. 5550   10 DE OCTUBRE DEL 2019</t>
  </si>
  <si>
    <t>COLEGIO PIO XII</t>
  </si>
  <si>
    <t>RES. 246  10 DE MAYO DE 1960</t>
  </si>
  <si>
    <t>COLEGIO SAN AGUSTIN</t>
  </si>
  <si>
    <t>RES. 1397   31 DE DICIEMBRE DE 1996</t>
  </si>
  <si>
    <t>ESC. BAUTISTA DE LAS LOMAS (JAMES THOMAS WILLIE)</t>
  </si>
  <si>
    <t>RES. 465       6 DE MARZO DEL 2009</t>
  </si>
  <si>
    <t>BONGO</t>
  </si>
  <si>
    <t>INSTITUTO ADVENTISTA PANAMEÑO</t>
  </si>
  <si>
    <t>RES. 78     18 DE MAYO DE 1943</t>
  </si>
  <si>
    <t>CIENCIAS,COMERCIO, CONTABILIDAD</t>
  </si>
  <si>
    <t>INSTITUTO BARÚ</t>
  </si>
  <si>
    <t>RES. 2044  19 DE DIEMBRE DEL 2006</t>
  </si>
  <si>
    <t>INSTITUTO BILINGÜE PAULLETINO</t>
  </si>
  <si>
    <t>RES.1079  DEL  20 DE JUNIO DEL 2006</t>
  </si>
  <si>
    <t>INSTITUTO BILINGÜE PAULLETINO LA CONCEPCIÓN</t>
  </si>
  <si>
    <t>RES. 3180   21 DE MAYO DEL 2014</t>
  </si>
  <si>
    <t>INSTITUTO DEL SABER</t>
  </si>
  <si>
    <t>RES. 377    8  DE ABRIL DE 1999</t>
  </si>
  <si>
    <t>INSTITUTO GUADALUPANO</t>
  </si>
  <si>
    <t>RES. 1718      7  DE NOVIEMBRE DEL 2006</t>
  </si>
  <si>
    <t>SAN PABLO</t>
  </si>
  <si>
    <t>INSTITUTO PANAMERICANO</t>
  </si>
  <si>
    <t>RES. 5949   30 DE AGOSTO DEL 2011</t>
  </si>
  <si>
    <t>CIENCIAS, LETRAS, COMERCIO, CONTABILIDAD, TURISMO</t>
  </si>
  <si>
    <t>ESC. JEAN PIAGET</t>
  </si>
  <si>
    <t>RES   1595  24 DE OCTUBRE DEL 2006</t>
  </si>
  <si>
    <t>COLEGIO THE KING-S SCHOOL</t>
  </si>
  <si>
    <t>RES. 2142   30 DE NOVIEMBRE DEL 2007</t>
  </si>
  <si>
    <t>RES. 5540   8  DE MAYO DEL 2011</t>
  </si>
  <si>
    <t>ACADEMIA INTERNACIONAL DAVID (ANTES ESC. LION´S INTERNATIONAL SCHOOL)</t>
  </si>
  <si>
    <t>RES. 1588    25 DE SEPTIEMBRE DEL  2007</t>
  </si>
  <si>
    <t>RES 5701 DEL 21 DE DIC. 2021 CONCEDE AMPLIACION PARA IMPARTIR EDU.MEDIA (BACHILLER EN CIENCIAS) RES. 2286 DEL 26 DE AGOSTO DE 2022 QUE AUTORIZA EL FUNCIONAMIENTO DEL CENTRO PARTICULAR DENOMINADO ACADEMIA INTERNACIONAL DE DAVID.</t>
  </si>
  <si>
    <t>ESC. NUESTRA SEÑORA DE LOS ANGELES</t>
  </si>
  <si>
    <t>RES. 367  18 DE AGOSTO  DE 1950</t>
  </si>
  <si>
    <t>CIENCIAS, LETRAS, COMERCIO</t>
  </si>
  <si>
    <t>ESC. BILINGÜE ROSALINDA NEWMAN</t>
  </si>
  <si>
    <t>RES. 1356   DEL 19 DE OCTUBRE DEL 2005</t>
  </si>
  <si>
    <t>CENTRO EDUCATIVO SAINT MICHAEL´S INSTITUTE</t>
  </si>
  <si>
    <t>RES. 7650  DEL 16 DE OCTUBRE  DEL 2013</t>
  </si>
  <si>
    <t>COLEGIO SAN FRANCISCO DE ASIS</t>
  </si>
  <si>
    <t xml:space="preserve">RES.  2060    2 DE MAYO DE  1966 </t>
  </si>
  <si>
    <t>C.E.B.G. SANTA CATALINA</t>
  </si>
  <si>
    <t>RES. 1557   DEL 24 DE SEPTIEMBRE DEL 2007</t>
  </si>
  <si>
    <t>THE OXFORD SCHOOL</t>
  </si>
  <si>
    <t>RES. 5678    11 DE JUNIO DEL  2018</t>
  </si>
  <si>
    <t>CIENCIAS, COMERCIO, HUMANIDADES</t>
  </si>
  <si>
    <t>INSTITUTE COLLEGE PANAMA BOQUETE</t>
  </si>
  <si>
    <t>RES. 1984 DEL 24 DE JUNIO DE 2020</t>
  </si>
  <si>
    <t>CIENCIAS, LETRAS, HUMANIDADES</t>
  </si>
  <si>
    <t>INSTITUTO LABORAL NUEVO HORIZONTE</t>
  </si>
  <si>
    <t>RES. 58 DEL 21 ENERO 2020 AUTORIZA FUNCIONAMIENTO</t>
  </si>
  <si>
    <t>RES. 2790 DEL 24 DE MAYO DE 2021 QUE RECONOCE EL CAMBIO DE NOMBRE DE C.E. PARTICULAR PARA LA EDUCACION DE JOVENES Y ADULTOS A INS. LABORAL NUEVO HORIZONTE.</t>
  </si>
  <si>
    <t>C.E. PARTICULAR PARA LA EDUCACIÓN DE JOVENES Y ADULTOS</t>
  </si>
  <si>
    <t>RES. 5589 DEL 10 DE DICIEMBRE DE 2021 QUE AUTORIZA EL FUNCIONAMIENTO</t>
  </si>
  <si>
    <t>PREMEDIA-MEDIA ACADÉMICA- MEDIA PROFESIONAL Y TÉCNICA</t>
  </si>
  <si>
    <t>CENTRO EDUCATIVO LÍDERES</t>
  </si>
  <si>
    <t>RES. 126 DEL 29 DE ENERO DE 2020</t>
  </si>
  <si>
    <t>RES.956, DE 21 DE MAYO DE 2008</t>
  </si>
  <si>
    <t>CENTRO EDUCATIVO LABORAL</t>
  </si>
  <si>
    <t>RES. 1556    24  DE SEPTIEMBRE DEL 2007</t>
  </si>
  <si>
    <t>COLEGIO ICED PANAMA</t>
  </si>
  <si>
    <t>RES. 660   DEL 19 DE MAYO DE 2006</t>
  </si>
  <si>
    <t>COLEGIO LABORAL PART.NOCTURNO DE ORIENTE REMEDIOS</t>
  </si>
  <si>
    <t>RES. 16 DEL 9 DE ENERO DEL 2008</t>
  </si>
  <si>
    <t>COLEGIO UNIVERSAL PANAMA</t>
  </si>
  <si>
    <t>RES. 505   28 DE MAYO DE 1998</t>
  </si>
  <si>
    <t>COLPANO BUGABA</t>
  </si>
  <si>
    <t>RES. 12 DE 4 DE ENERO DE 2006</t>
  </si>
  <si>
    <t>INSTITUTO LABORAL MARÍTIMO DE PANAMÁ</t>
  </si>
  <si>
    <t>RES. 62 DEL 22 DE ENERO DE 2020 QUE AUTORIZA FUNCIONAMIENTO</t>
  </si>
  <si>
    <t>PREMEDIA-PROFESIONAL Y TÉCNICA</t>
  </si>
  <si>
    <t>COMERCIO Y TURISMO</t>
  </si>
  <si>
    <t>INSTITUTO LABORAL NUEVA LUZ</t>
  </si>
  <si>
    <t>RES. 1645   DE 15 DE  JUNIO DE  2015</t>
  </si>
  <si>
    <t>CIENCIAS Y COMERCIO</t>
  </si>
  <si>
    <t>INSTITUTO COLLEGE PANAMÁ</t>
  </si>
  <si>
    <t>RES. 2025 DEL 3 DE MAYO DE 2011 QUE AUTORIZA EL FUNCIONAMIENTO DEL C.E.</t>
  </si>
  <si>
    <t>INSTITUTO COMPUTACIONAL Y LABORAL DE CHIRIQUÍ</t>
  </si>
  <si>
    <t>RES. 2026</t>
  </si>
  <si>
    <t>INSTITUTO LABORAL ISTMEÑO CHIRIQUI</t>
  </si>
  <si>
    <t>RES. 1083  DEL 6 DE JULIO  DE 2007</t>
  </si>
  <si>
    <t>INSTITUTO NOCTURNO LABORAL  DE LAS LOMAS</t>
  </si>
  <si>
    <t>RES. 983 DEL 4 JULIO DE 2006</t>
  </si>
  <si>
    <t>INSTITUTO NOCTURNO LABORAL DE LAS LOMAS (EXT.SAN FELIX)</t>
  </si>
  <si>
    <t>RES.4684  DEL 15 SEP DEL 2017</t>
  </si>
  <si>
    <t>RES.5121  DEL 9 DE OCTUBRE DEL 2018</t>
  </si>
  <si>
    <t>RES  1606     26/09/2007</t>
  </si>
  <si>
    <t xml:space="preserve">CIENCIAS </t>
  </si>
  <si>
    <t>RES. 6188 DE  1 DE DICIEMBRE DEL 2015</t>
  </si>
  <si>
    <t>COCLÉ</t>
  </si>
  <si>
    <t>ANTÓN</t>
  </si>
  <si>
    <t>SANTA RITA</t>
  </si>
  <si>
    <t>CAIPI RAYITOS DE SOL</t>
  </si>
  <si>
    <t>RÍO HATO</t>
  </si>
  <si>
    <t>ALEGRES CORAZONES FARALLON</t>
  </si>
  <si>
    <t>CAIPI RIO HATO</t>
  </si>
  <si>
    <t>EL CHIRÚ</t>
  </si>
  <si>
    <t>CAIPI PUEBLO NUEVO DEL CHIRU ANTÓN</t>
  </si>
  <si>
    <t>ESC. PASITOS A SABER</t>
  </si>
  <si>
    <t>CAIPI GOTITAS DE MIEL</t>
  </si>
  <si>
    <t>JUAN DÍAZ</t>
  </si>
  <si>
    <t>CAIPI GUABAS ABAJO</t>
  </si>
  <si>
    <t>PENONOMÉ</t>
  </si>
  <si>
    <t xml:space="preserve">CAIPI LAS GUABAS DE PENONOME </t>
  </si>
  <si>
    <t>LA PINTADA</t>
  </si>
  <si>
    <t>CAIPI LA PINTADA</t>
  </si>
  <si>
    <t>LLANO GRANDE</t>
  </si>
  <si>
    <t>CAIPI SAN ANTONIO - LLANO GRANDE</t>
  </si>
  <si>
    <t>AGUADULCE</t>
  </si>
  <si>
    <t xml:space="preserve">AGUADULCE </t>
  </si>
  <si>
    <t>CAIPI JAGUITO</t>
  </si>
  <si>
    <t>POCRÍ</t>
  </si>
  <si>
    <t>CAIPI PERÚ</t>
  </si>
  <si>
    <t>EL ROBLE</t>
  </si>
  <si>
    <t>CAIPI EL ROBLE</t>
  </si>
  <si>
    <t>COIF CRUZ ROJA</t>
  </si>
  <si>
    <t>CENTRO INFANTIL CRUZ ROJA</t>
  </si>
  <si>
    <t>EL HARINO</t>
  </si>
  <si>
    <t xml:space="preserve"> I.P.T. EL COPE</t>
  </si>
  <si>
    <t>DEC.574 DEL 21 DE JULIO DE 2004</t>
  </si>
  <si>
    <t>CIENCIAS, COMERCIO, INDSTRIAL, SEGUNDO CICLO INDUSTRIAL, TURISMO</t>
  </si>
  <si>
    <t>C.E.B.G. PORFIRIO GOMEZ</t>
  </si>
  <si>
    <t>Dec. 58 del 20 de febrero del 2017, que autoriza el cambio de nombre de El Congo a C.E.B.G. Porfirio Gomez</t>
  </si>
  <si>
    <t>TOABRÉ</t>
  </si>
  <si>
    <t>C.E.B.G. EL GUAYABO</t>
  </si>
  <si>
    <t>EL COCO</t>
  </si>
  <si>
    <t>C.E.B.G. AGUA FRIA</t>
  </si>
  <si>
    <t>DEC.383 DEL 30 DE JUNIO DE 1956</t>
  </si>
  <si>
    <t>El dect.  383 del 30 de junio de 1956   y el dect.  53 del 24 de abril de 1959  son decreto de creación de la escuela Agua Fria.  El dect. 194 del 19 de mayo de 1965 se autoriza la reapertura de la escuela Agua Fria del Municipio de la Pintada</t>
  </si>
  <si>
    <t>ESC. AGUA FRIA</t>
  </si>
  <si>
    <t>El dect. 103 del 14 de abril de 1961 ordena la clausura de la  escuela Aguas Frias del corregimiento del Coco, distrito de Penonomé. El Dect. 194 del 19 de mayo de 1965 en el que autoriza la reapertura de la escuela Agua Fría</t>
  </si>
  <si>
    <t>C.E.B.G. AGUAS BLANCAS</t>
  </si>
  <si>
    <t>SAN JUAN DE DIOS</t>
  </si>
  <si>
    <t>DEC.719 DE 18 DE AGOSTO DE 1953</t>
  </si>
  <si>
    <t>C.E.B.G. ALTOS DE LOS DARIELES</t>
  </si>
  <si>
    <t>C.E.B.G. ANA PEREZ DE ISAZA</t>
  </si>
  <si>
    <t>DEC. 697 DEL 20 DE DICIEMBRE DE 1967</t>
  </si>
  <si>
    <t xml:space="preserve"> El dect. 697 del 20 de diciembre de 1967 se le da el nombre de Ana Pérez de Icaza a la escuela El Coco, del Municipio de Penonomé</t>
  </si>
  <si>
    <t>ESC. ANA POLO TAPIA</t>
  </si>
  <si>
    <t>DEC.61 DEL 8 DE ABRIL DE 1974</t>
  </si>
  <si>
    <t>El dect.  61 del 8 de abril de 1974 se le da el nombre de Ana Polo Tapia a la escuela Pozo Azul del Distrito de Aguadulce</t>
  </si>
  <si>
    <t>PIEDRAS GORDAS</t>
  </si>
  <si>
    <t>ESC. ANGEL GUARDIA</t>
  </si>
  <si>
    <t>DEC.11 DEL 16 DE ENERO DE 1970</t>
  </si>
  <si>
    <t xml:space="preserve"> El dect. 11 del 16 de enero de 1970 se le da el nombre de Ángel Guardia a la escuela Piedras Gordas, del Distrito de la Pintada</t>
  </si>
  <si>
    <t>C.E.B.G. ARNULFO ARIAS MADRID</t>
  </si>
  <si>
    <t>DEC.340 DEL 9 DE OCTUBRE DE 2000</t>
  </si>
  <si>
    <t>El dect. 340 del 9 de octubre de 2000 se le da el nombre de Dr. Arnulfo Arias Madrid a la escuela primaria de Cerrezuela ubicada en el corregimiento de Las Cuevas distrito de Penonomé</t>
  </si>
  <si>
    <t>CHIGUIRÍ ARRIBA</t>
  </si>
  <si>
    <t>C.E.B.G. ASUNCION CHIRU</t>
  </si>
  <si>
    <t>DEC.217 DEL 27 DE JUNIO 2000</t>
  </si>
  <si>
    <t>El dect. 217 del 27 de junio de 2000 se le da el nombre de Asunción Chirú Velasquez al centro de Educación Básica General San Pedro, del corregimiento de Chiguiri arriba, distrito de Penonomé</t>
  </si>
  <si>
    <t>PAJONAL</t>
  </si>
  <si>
    <t>C.E.B.G. ATRE</t>
  </si>
  <si>
    <t>DEC.970 DE 15 DE DICIEMBRE 2017</t>
  </si>
  <si>
    <t>que implementa el nivel de educacion premedia</t>
  </si>
  <si>
    <t>C.E.B.G. BANAZO</t>
  </si>
  <si>
    <t>OLÁ</t>
  </si>
  <si>
    <t>EL PICACHO</t>
  </si>
  <si>
    <t>C.E.B.G. BARRANCO COLORADO CENTRO</t>
  </si>
  <si>
    <t>DEC.20 DEL 31 DE ENERO DE 1972</t>
  </si>
  <si>
    <t>C.E.B.G. BARRIGON</t>
  </si>
  <si>
    <t>DEC.18 DEL 30 DE ABRIL DE 1914</t>
  </si>
  <si>
    <t>LLANO NORTE</t>
  </si>
  <si>
    <t>C.E.B.G. BATATILLA</t>
  </si>
  <si>
    <t>ESC. EL BIJAGUAL</t>
  </si>
  <si>
    <t>DEC.198 DE 19 DE MAYO DE 1955</t>
  </si>
  <si>
    <t>El dect. 198 del 19 de mayo de 1955 se crea la escuela Alejandro Tapia No.2.  El dect. 414 del 11 agosto de 1966 se le da el nombre de Abelardo Herrera a la escuela Alejandro Tapia Escobar No.2.</t>
  </si>
  <si>
    <t>C.E.B.G. BOCAS DE LAS MINAS</t>
  </si>
  <si>
    <t>DEC.2178 DEL 24 DE AGOSTO DE 1948</t>
  </si>
  <si>
    <t>ESC. BOCA DE LOS RIOS</t>
  </si>
  <si>
    <t>ESC. BOCA DE TUCUÉ</t>
  </si>
  <si>
    <t>DEC.763 DEL 9 DE DICIEMBRE DE 1969</t>
  </si>
  <si>
    <t>ESC. BOCA DE TULÚ</t>
  </si>
  <si>
    <t>DEC.12 DEL 14 DE MARZO DE 1988</t>
  </si>
  <si>
    <t>RÍO INDIO</t>
  </si>
  <si>
    <t>C.E.B.G. BOCA DE URACILLO</t>
  </si>
  <si>
    <t>DEC. 919 DEL 3 DE OCTUBRE DEL 2013</t>
  </si>
  <si>
    <t>C.E.B.G. BONA AGUILAR DE AGUILAR</t>
  </si>
  <si>
    <t xml:space="preserve"> El dect. 12 del 14 de marzo de 1988 crea el centro educativo Juan Hombron. El dect. 487 del 5 de diciembre de 2006 se le da el nombre de Bona ÁGUILAr de ÁGUILAr al centro educativo Juan Hombron, ubicado en el corregimiento del Chirú, distrito de Antón. </t>
  </si>
  <si>
    <t>C.E.B.G. BRAZOS DE U</t>
  </si>
  <si>
    <t>TULÚ</t>
  </si>
  <si>
    <t>ESC. BUENA VISTA</t>
  </si>
  <si>
    <t>C.E.B.G. BURRICA</t>
  </si>
  <si>
    <t>CENTRO EDUCATIVO MERCEDES BUSTAMANTE</t>
  </si>
  <si>
    <t>DEC. 73 DEL 9 DE FEBRERO DE 1960. DEC. 739 DEL 19 DE NOV. DE 2018 QUE DEROGA EN TODAS SUS PARTES EL DEC. EJECUTIVO NO. 1074 DEL 16 DE DIC. DE 2016 Y SE EMPLEMENTA EL SEGUNDO NIVEL DE ENSEÑANZA O EDUCACION MEDIA.</t>
  </si>
  <si>
    <t>El decreto 73 de 9 de febrero de 1960  le da el nombre de Mercedes Bustamante a la escuela de Toabre municipio de Penonomé, provincia de Coclé. El decreto 574 del 5 de noviembre de 1992 se crea  el Primer Ciclo Toabré, el cual funcionará en las instalaciones de la escuela primaria Mercedes Bustamante.Decreto 1074 del 16 de diciembre de 2016 que implementa el segundo nivel de enseñanza o educacion media y cambia su denominacion a Centro Educativo. Bachiller en Comercio.</t>
  </si>
  <si>
    <t>CENTRO EDUCATIVO CANDELARIO OVALLE</t>
  </si>
  <si>
    <t>DEC. 49 DEL 13 DE JUNIO DE 1978</t>
  </si>
  <si>
    <t>El dect. 49 de 13 de junio de 1978 crea el centro de educación básica Candelario Ovalle. El dect. 368 del 1 de julio de 1955 designa a la escuela de San Miguel abajo con el nombre de Candelario Ovalle. Dec. 647 del 1 de agosto del 2013 que autoriza la implementacion del segundo nivel de enseñanza o educacion media en el C. E.B.G.</t>
  </si>
  <si>
    <t>CENTRO EDUCATIVO PABLO ALZAMORA VARGAS</t>
  </si>
  <si>
    <t>DEC.18 DEL 26 DE MARZO DE 1991. DEC. 739 DEL 19 DE NOV. DE 2018 QUE DEROGA EN TODAS SUS PARTES EL DEC. EJECUTIVO NO. 1074 DEL 16 DE DIC. DE 2016 Y SE EMPLEMENTA EL SEGUNDO NIVEL DE ENSEÑANZA O EDUCACION MEDIA.</t>
  </si>
  <si>
    <t>El dect. 18 del 26 de marzo de 1991 se le da el nombre de Pablo Arosemena Vargas a la escuela primaria de Chiguirí Arriba.Decreto 1074 del 16 de diciembre de 2016 que implementa el segundo nivel de enseñanza o educacion media y cambia su denominacion a Centro Educativo. Bachiller en Ciencias.</t>
  </si>
  <si>
    <t>CABALLERO</t>
  </si>
  <si>
    <t>DEC. 948 DE 30 DE OCT. DE 2012</t>
  </si>
  <si>
    <t>CABUYA</t>
  </si>
  <si>
    <t>C.E.B.G. CABUYA ARRIBA</t>
  </si>
  <si>
    <t>DEC.101 DEL 7 DE ABRIL DE 1961</t>
  </si>
  <si>
    <t>C.E.B.G. CAIMITAL</t>
  </si>
  <si>
    <t>DEC.103 DEL 18 DE MAYO DE 1984</t>
  </si>
  <si>
    <t>ESC. CALABAZO Nº 1</t>
  </si>
  <si>
    <t>DEC.269 DEL 24 DE JULIO DE 1964</t>
  </si>
  <si>
    <t xml:space="preserve"> El dect. 269 del 24 de julio de 1964  se le da el nombre de Calabazo No.1 a la escuela el Calabazo del corregimiento El Harino del Municipio de la Pintada</t>
  </si>
  <si>
    <t>C.E.B.G. CALABAZO Nº 2</t>
  </si>
  <si>
    <t>C.E.B.G. CANOA Nº 1</t>
  </si>
  <si>
    <t>C.E.B.G. CAÑAZAS</t>
  </si>
  <si>
    <t>C.E.B.G. CAÑO DE SAN MIGUEL</t>
  </si>
  <si>
    <t>DEC.167 DEL 11 DE AGOSTO DE 1980</t>
  </si>
  <si>
    <t>C.E.B.G. CASCAJAL</t>
  </si>
  <si>
    <t>DEC.83 DEL 23 DE MAYO DE 1949</t>
  </si>
  <si>
    <t>C.E.B.G. DR. MANUEL PATIÑO</t>
  </si>
  <si>
    <t>DEC.307 DEL 20 DE JULIO DE 1965</t>
  </si>
  <si>
    <t>C.E.B.G. SALOMON PONCE AGUILERA</t>
  </si>
  <si>
    <t>DEC.49 DEL 12 DE MAYO DE 1915</t>
  </si>
  <si>
    <t xml:space="preserve">El dect. 49 del 12 de mayo de 1915 se crea la escuela de  Marica.  El dect. 1110 del 9 de diciembre de 1953 se le da el nombre de Salomón Ponce ÁGUILAr a la escuela de Marica.  Se restablece la escuela la escuela alterna de Marica </t>
  </si>
  <si>
    <t>CENTRO EDUCATIVO LOURDES</t>
  </si>
  <si>
    <t xml:space="preserve">CENTRO EDUCATIVO POCRÍ  </t>
  </si>
  <si>
    <t>DEC.41 DEL 22 DE FEBRERO DE 1999. DEC. 739 DEL 19 DE NOV. DE 2018 QUE DEROGA EN TODAS SUS PARTES EL DEC. EJECUTIVO NO. 1074 DEL 16 DE DIC. DE 2016 Y SE EMPLEMENTA EL SEGUNDO NIVEL DE ENSEÑANZA O EDUCACION MEDIA.</t>
  </si>
  <si>
    <t xml:space="preserve">  El dect. 162 del 12 de junio de 1991 se le da el nombre de Primer ciclo de Pocri al Primer ciclo Juan Demostenes Arosemena.Decreto 1074 del 16 de diciembre de 2016 que implementa el segundo nivel de enseñanza o educacion media y cambia su denominacion a Centro Educativo. Bachiller en Comercio.</t>
  </si>
  <si>
    <t>CAÑAVERAL</t>
  </si>
  <si>
    <t>ESC. CERMEÑO</t>
  </si>
  <si>
    <t>EL POTRERO</t>
  </si>
  <si>
    <t>C.E.B.G. CERRO COLORADO</t>
  </si>
  <si>
    <t>C.E.B.G. CERRO CORRAL</t>
  </si>
  <si>
    <t>DEC.94 DEL 29 DE ABRIL DE 1954</t>
  </si>
  <si>
    <t>El dect. 166 del 11 de mayo de 1960 ordena la reapertura de la escuela Cerro Corral, clausurada por medio del decreto 102 del 17 de marzo de 1949</t>
  </si>
  <si>
    <t>C.E.B.G. CERRO MIGUEL</t>
  </si>
  <si>
    <t>DEC.1894 DEL 6 DE SEPTIEMBRE DE 1947</t>
  </si>
  <si>
    <t>C.E.B.G. CHIGUIRI ABAJO</t>
  </si>
  <si>
    <t>ESC. CHURUQUITA GRANDE</t>
  </si>
  <si>
    <t>NATÁ</t>
  </si>
  <si>
    <t>CAPELLANIA</t>
  </si>
  <si>
    <t>C.E.B.G. CIENAGA LARGA</t>
  </si>
  <si>
    <t>DEC.118 DEL 26 DE JUNIO DE 1980</t>
  </si>
  <si>
    <t>RÍO GRANDE</t>
  </si>
  <si>
    <t>C.E.B.G. CIRUELITO</t>
  </si>
  <si>
    <t>DEC.7 DEL 10 DE FEBRERO DE 1987</t>
  </si>
  <si>
    <t>El dect. 7 del 10 de febrero de 1987 la escuela es creada con el nombre de El Ciruelito</t>
  </si>
  <si>
    <t>COLEGIO MARIANO PRADOS</t>
  </si>
  <si>
    <t>DEC.20 DEL 11 DE MAYO DE 1977</t>
  </si>
  <si>
    <t>El dect. 20 del 11 de mayo de 1977 se le da el nombre de Mariano Prado al primer ciclo de educación secundaria del Distrito de NATÁ.  Dect. 99 del 3 de julio de 1979 se denomina Colegio Mariano Prado al Primer ciclo Mariano Prado</t>
  </si>
  <si>
    <t>COLEGIO ANGEL MARÍA HERRERA</t>
  </si>
  <si>
    <t>CIENCIAS, HUMANIDADES, COMERCIO,CONTABILIDAD</t>
  </si>
  <si>
    <t>COLEGIO EL ROBLE</t>
  </si>
  <si>
    <t>DEC.48 DEL 25 DE MARZO DE 1982</t>
  </si>
  <si>
    <t>El colegio secundario El Roble funciona en la escuela primaria El Roble</t>
  </si>
  <si>
    <t>COLEGIO RODOLFO CHIARI</t>
  </si>
  <si>
    <t>CIENCIAS, HUMANIDADES , COMERCIO, TECNOLOGIO E INFORMATICA</t>
  </si>
  <si>
    <t>C.E.B.G. CRISTOBAL ALABARCA</t>
  </si>
  <si>
    <t>DEC.115 DEL 4 DE ABRIL DE 1966</t>
  </si>
  <si>
    <t>El dect. 115 del 4 de abril de 1966 se le da el nombre de Cristobal Alabarca a la escuela U</t>
  </si>
  <si>
    <t>C.E.B.G. CUESTA DE MARICA</t>
  </si>
  <si>
    <t>DEC.515 DEL 14 DE SEPTIEMBRE DE 1951</t>
  </si>
  <si>
    <t>C.E.B.G. CUIRIA</t>
  </si>
  <si>
    <t>DEC.649 DEL 28 DE DICIEMBRE DE 1970</t>
  </si>
  <si>
    <t>El dect. 332 del 18 de julio de 1973 ordena la clausura la escuela Cuiria, Municipio de Penonomé</t>
  </si>
  <si>
    <t>LAS HUACAS</t>
  </si>
  <si>
    <t>C.E.B.G. CULEBRA</t>
  </si>
  <si>
    <t>ESC. CUTEVILLA</t>
  </si>
  <si>
    <t>DEC. 1036 DEL 15 DE OCTUBRE DEL 2013</t>
  </si>
  <si>
    <t>PUEBLOS UNIDOS</t>
  </si>
  <si>
    <t>C.E.B.G. EL BARRERO</t>
  </si>
  <si>
    <t>DEC.72 DEL 23 DE MAYO DE 1980</t>
  </si>
  <si>
    <t>C.E.B.G. EL CHIRU</t>
  </si>
  <si>
    <t>EL COPÉ</t>
  </si>
  <si>
    <t>C.E.B.G. EL CRISTO</t>
  </si>
  <si>
    <t>C.E.B.G. EL ENTRADERO</t>
  </si>
  <si>
    <t>DEC.173 DEL 28 DE ABRIL DE 1972</t>
  </si>
  <si>
    <t>C.E.B.G. EL ESPAVE</t>
  </si>
  <si>
    <t>DEC.725 DEL 13 DE AGOSTO DE 1953</t>
  </si>
  <si>
    <t>ESC. FARALLON</t>
  </si>
  <si>
    <t>DEC.445 DEL 17 DE SEPTIEMBRE DE 1954</t>
  </si>
  <si>
    <t>El dect. 445 del 17 de septiembre de 1954 apertura de la escuela</t>
  </si>
  <si>
    <t>ESC. EL HATO</t>
  </si>
  <si>
    <t>C.E.B.G. EL HELECHAR</t>
  </si>
  <si>
    <t>DEC.294 DEL 25 DE JULIO DE 1969</t>
  </si>
  <si>
    <t>C.E.B.G. EL JAGUITO</t>
  </si>
  <si>
    <t>DEC. 698 DE 7 DE OCTUBRE DE 1993</t>
  </si>
  <si>
    <t>C.E.B.G. EL JOBO DE RIO INDIO</t>
  </si>
  <si>
    <t>C.E.B.G. EL LIMITE</t>
  </si>
  <si>
    <t>DEC.169 DEL 13 DE JUNIO DE 1985</t>
  </si>
  <si>
    <t>C.E.B.G. EL LIMON</t>
  </si>
  <si>
    <t>C.E.B.G. EL MACANO</t>
  </si>
  <si>
    <t>DEC. 515 DEL 14 DE SEPTIEMBRE DE 1951 CREA LA ESCUELA EL MACANO EN EL MUNICIPIO DE GUARARE DE LOS SANTOS</t>
  </si>
  <si>
    <t xml:space="preserve">PREESCOLAR-PRIMARIA-PREMEDIA </t>
  </si>
  <si>
    <t>EL RETIRO</t>
  </si>
  <si>
    <t>C.E.B.G. EL MARAÑON</t>
  </si>
  <si>
    <t>DEC.2132 DEL 9 DE JULIO DE 1948</t>
  </si>
  <si>
    <t>EL CAÑO</t>
  </si>
  <si>
    <t>C.E.B.G. EL OLIVO</t>
  </si>
  <si>
    <t>C.E.B.G. EL PALOMO</t>
  </si>
  <si>
    <t>DEC.138 DEL 3 DE MARZO DE 1971</t>
  </si>
  <si>
    <t>C.E.B.G. EL PEDREGOSO</t>
  </si>
  <si>
    <t>DEC.85 DEL 11 DE MARZO DE 1965</t>
  </si>
  <si>
    <t>ESC. EL PICACHO</t>
  </si>
  <si>
    <t>EL HATO DE SAN JUAN DE DIOS</t>
  </si>
  <si>
    <t>C.E.B.G. EL PINZON</t>
  </si>
  <si>
    <t>ESC. EL PLATANAL</t>
  </si>
  <si>
    <t>C.E.B.G. EL POTRERO</t>
  </si>
  <si>
    <t>C.E.B.G. EL RETIRO</t>
  </si>
  <si>
    <t>DEC.45 DEL 1 DE JULIO DE 1914</t>
  </si>
  <si>
    <t>BARRIOS UNIDOS</t>
  </si>
  <si>
    <t>C.E.B.G. EL SALADO</t>
  </si>
  <si>
    <t>GUZMÁN</t>
  </si>
  <si>
    <t>C.E.B.G. EL SAPILLO</t>
  </si>
  <si>
    <t>C.E.B.G. EL VALLE</t>
  </si>
  <si>
    <t>DEC. 21 DEL 13 DE ENERO DE 1965</t>
  </si>
  <si>
    <t>ESC. EL VALLE DE STA. MARIA</t>
  </si>
  <si>
    <t>DEC.412 DEL 28 DE AGOSTO DE 1961</t>
  </si>
  <si>
    <t>El dect. 412 del 28 de agosto de 1961 se le da el nombre de Escuela  Eric del valle a la Escuela Llanos sanchez</t>
  </si>
  <si>
    <t>LA PAVA</t>
  </si>
  <si>
    <t>C.E.B.G. ERNESTO OSORIO GOMEZ</t>
  </si>
  <si>
    <t>DEC.400 DEL 8 DE AGOSTO DE 2008</t>
  </si>
  <si>
    <t xml:space="preserve"> El dect. 400 del 8 de agosto de 2008 crea el Centro de Educación Básica General Ernesto Osorio Gómez</t>
  </si>
  <si>
    <t>ESC.  BILINGÜE  FEDERICO ZUÑIGA</t>
  </si>
  <si>
    <t>DEC.1165 DEL 15 DE NOVIEMBRE DEL 2013 QUE IMPLEMENTA EL PRIMER NIVEL DE ENSEÑANZA O EDUCACION BASICA GENERAL Y EL SEGUNDO NIVEL DE ENSEÑANZA.</t>
  </si>
  <si>
    <t>CIENCIAS, TURISMO, TECNOLOGIA E INFORMÁTICA</t>
  </si>
  <si>
    <t>ESC.  BILINGÜE ABELARDO HERRERA</t>
  </si>
  <si>
    <t>ESC. BILINGÜE ALEJANDRO TAPIA</t>
  </si>
  <si>
    <t>DEC.61 DEL 1 DE OCTUBRE DE 1929</t>
  </si>
  <si>
    <t>El dect. 61 del 1 de octubre de 1929 se le cambia el nombre de Puerto Rico y se le da el nombre de escuela de Aguadulce.  El dect. 2199 del 20 de septiembre de 1948, llámese Alejandro Tapia Escobar a la Escuela Puerto Rico.  El dect. 198 del 19 de mayo de 1955 apertura de Alejandro tapia 1 y Alejandro tapia 2 y a la vez clausura la Escuela Alejandro Tapia.Decreto 446 del 14 de agosto de 2018 incorpora la denominacion Bilingüe al Nombre</t>
  </si>
  <si>
    <t>ESC. BILINGÜE ANGELINA M. DE TIRONE</t>
  </si>
  <si>
    <t>DEC. 122 DE 16 DE FEBRERO DE 2012</t>
  </si>
  <si>
    <t>El dect. 465 del 30 de diciembre de 1985 se denomina Angelina Maylin de Tirone a la escuela de Rio Hato ubicado en rio Hato de Coclé.Decreto 446 del 14 de agosto de 2018 incorpora la denominacion Bilingüe al Nombre</t>
  </si>
  <si>
    <t>ESC. BILINGÜE CLELIA F. DE MARTINEZ</t>
  </si>
  <si>
    <t>DEC.175 DEL 22 DE JULIO DE 1975</t>
  </si>
  <si>
    <t>El dect. 1 del 24 de enero de 2001  crea el Centro de Educación  Básica General Clelia F. de Martinez en el corregimiento de Penonomé, distrito de Penonomé. El decreto 122 de 16 de febrero de 2012 crea nuevamente este colegio.Decreto 446 del 14 de agosto de 2018 incorpora la denominacion Bilingüe al Nombre</t>
  </si>
  <si>
    <t>TOZA</t>
  </si>
  <si>
    <t>ESC. BILINGÜE EL CORTEZO</t>
  </si>
  <si>
    <t>VÍRGEN DEL CARMEN</t>
  </si>
  <si>
    <t xml:space="preserve">ESC.  BILINGÜE EL PERÚ  </t>
  </si>
  <si>
    <t>ESC. BILINGÜE EL ROBLE</t>
  </si>
  <si>
    <t>DEC.14 DEL 27 DE MARZO DE 1909</t>
  </si>
  <si>
    <t>El dect. 14 del 27 de marzo de 1909 crea la escuela Primer Ciclo El Roble. El dect. 7 del 22 de enero de 2009, cambia la denominación de  primer ciclo El Roble a Centro Educativo El Roble. Dect. 475 del 14 de agosto de 2018.Decreto 446 del 14 de agosto de 2018 incorpora la denominacion Bilingüe al Nombre</t>
  </si>
  <si>
    <t>ESC. BILINGÜE ESPAÑA</t>
  </si>
  <si>
    <t>El dect. 43 del 31 de agosto de 1935 le da el nombre de escuela España a la escuela José de Obaldía a la escuela España.  El dect. 406 del 30 de agosto de 1957 le da el nombre de escuela España a la esuela de la ciudad de Natá.  Y deroga el decreto 43 del 31 de agosto 1935. Decreto 446 del 14 de agosto de 2018 incorpora la denominacion Bilingüe al Nombre</t>
  </si>
  <si>
    <t>ESC. BILINGÜE JOSE NADAL SILVA</t>
  </si>
  <si>
    <t>DEC.89 DEL 4 DE DICIEMBRE DE 1931</t>
  </si>
  <si>
    <t>El dect. 89 del 4 de diciembre de 1931 se le da el nombre de Jose Nadal Silva a la escuela Mixta de la Pintada.Decreto 446 del 14 de agosto de 2018 incorpora la denominacion Bilingüe al Nombre</t>
  </si>
  <si>
    <t>ESC.  BILINGÜE JUAN D. AROSEMENA</t>
  </si>
  <si>
    <t>El dect. 49 del 13 de junio de 1978 crea el centro de educación básica Juan Demostenes Arosemena.Decreto 446 del 14 de agosto de 2018 incorpora la denominacion Bilingüe al Nombre</t>
  </si>
  <si>
    <t>EL VALLE</t>
  </si>
  <si>
    <t>ESC. BILINGÜE LA COMPAÑÍA</t>
  </si>
  <si>
    <t>DEC.185 DEL 11 DE MAYO DE 1962</t>
  </si>
  <si>
    <t>ESC.  BILINGÜE LA MADERA</t>
  </si>
  <si>
    <t>ESC. BILINGÜE MEMBRILLO</t>
  </si>
  <si>
    <t>ESC.  BILINGÜE REPUBLICA DOMINICANA</t>
  </si>
  <si>
    <t>El dect. 61 del 1 de octubre de 1929 se le da el nombre de Republica de Santo Domingo a la escuela de Antón. El dect.  499 del 1 de octubre de 1955 corrige el decreto 61 del 1 de octubre de 1929 en el sentido de cambiar el nombre República de Santo Domingo y a la escuela de Antón por el de República Dominicana.Decreto 446 del 14 de agosto de 2018 incorpora la denominacion Bilingüe al Nombre</t>
  </si>
  <si>
    <t>ESC.  BILINGÜE ROBERTO F. CHIARI</t>
  </si>
  <si>
    <t>DEC. 69 DE 14 DE JULIO DE 1910</t>
  </si>
  <si>
    <t>El dect. 69 del 14 de julio de 1910 crea la escuela primaria de Capellania. El dect. 189 del 3 de febrero de 1992 se le da el nombre de Roberto Francisco Chiari a la escuela primaria de Capellania</t>
  </si>
  <si>
    <t>ESC. BILINGÜE SAGREJÁ</t>
  </si>
  <si>
    <t>ESC. BILINGÜE SIMEON CONTE</t>
  </si>
  <si>
    <t>DEC. 7 DE 14 DE ABRIL DE 1910</t>
  </si>
  <si>
    <t>El decreto 7 de 14 de abril de 1910 crea la escuela de varones de Penonomé. El dect. 112 del 27 de diciembre de 1926 se le dio el nombre de Simeón Conte a la escuela de varones de Penonomé</t>
  </si>
  <si>
    <t>ESC.  BILINGÜE VÍCTOR PÉREZ FLORES</t>
  </si>
  <si>
    <t>El dect. 53 del 24 de abril de 1959 crea la escuela El Caimito.  El dect. 52 del 26 de marzo de 1991 se le da el nombre de Víctor Pérez Flores a la escuela El Caimito.Decreto 446 del 14 de agosto de 2018 incorpora la denominacion Bilingüe al Nombre</t>
  </si>
  <si>
    <t>ESC. BILINGÜE RUBEN DARIO CARLES</t>
  </si>
  <si>
    <t>El dect. 53 del 24 de abril de 1959 crea la escuela primaria de Chigoré.  El dect. 290 del 24 de noviembre de 1981 se le da el nombre de Rube Dario Carles a la escuela primaria de Chigoré.Decreto 446 del 14 de agosto de 2018 incorpora la denominacion Bilingüe al Nombre</t>
  </si>
  <si>
    <t>ESC. BILINGÜE EL VALLE</t>
  </si>
  <si>
    <t>DEC.14 DEL 8 DE ENERO DE 1996</t>
  </si>
  <si>
    <t>Dec.31 del 15 de febrero de 2018 que implementa el bachiller en Ciencias y cambia su denominacion a Centro Educativo El Valle.Decreto 446 del 14 de agosto de 2018 incorpora la denominacion Bilingüe al Nombre</t>
  </si>
  <si>
    <t>C.E.B.G. FRANCISCA C. DE SIERRA</t>
  </si>
  <si>
    <t>DEC. 48 DEL 24 DE ENERO DE 1956</t>
  </si>
  <si>
    <t xml:space="preserve"> El dect. 48 del 24 de enero de  1956 se le da el nombre de Francisca C. de Sierra a la escuela La Loma</t>
  </si>
  <si>
    <t>C.E.B.G. FRANCISCO FIGUEROA HERRERA</t>
  </si>
  <si>
    <t>C.E.B.G. GARICIN</t>
  </si>
  <si>
    <t>DEC. 91 DE 26 DE AGOSTO DE 1910</t>
  </si>
  <si>
    <t>C.E.B.G. GUABAS ARRIBA</t>
  </si>
  <si>
    <t>DEC.1797 DEL 27 DE MAYO DE 1947</t>
  </si>
  <si>
    <t>C.E.B.G. GUAYABITAL</t>
  </si>
  <si>
    <t>DEC.354 DEL 2 DE JULIO DE 1970</t>
  </si>
  <si>
    <t>C.E.B.G. GUIRI</t>
  </si>
  <si>
    <t>C.E.B.G. GURBE</t>
  </si>
  <si>
    <t>DEC.141 DEL 7 DE JUNIO DE 1996</t>
  </si>
  <si>
    <t>C.E.B.G. GUZMAN</t>
  </si>
  <si>
    <t>C.E.B.G. HACHA</t>
  </si>
  <si>
    <t>DEC.355 DEL 13 DE MAYO DE 1953</t>
  </si>
  <si>
    <t>ESC. HACHA DEL HARINO</t>
  </si>
  <si>
    <t>DEC. 355 DE 13 DE MAYO DE 1953</t>
  </si>
  <si>
    <t>C.E.B.G. HIGO JUAN BRAN</t>
  </si>
  <si>
    <t>C.E.B.G. HONDURAS</t>
  </si>
  <si>
    <t>DEC.150 DEL 30 DE JUNIO DE 1986</t>
  </si>
  <si>
    <t>C.E.B.G. JOSE DE LOS REYES VASQUEZ</t>
  </si>
  <si>
    <t>El dect. 53 del 24 de abril de 1959 crea la escuela Básica del Caimito. El dect. 104 del 19 de julio de 1978 se le da el nombre de Jose de los Reyes Vasquez a la escuela Básica del Caimito, Distrito de Penonomé.  El dect. 771 del 8 de septiembre de 2011 crea el centro educativo José de los Reyes Vásquez</t>
  </si>
  <si>
    <t>I.P.T.INDUSTRIAL AGUADULCE</t>
  </si>
  <si>
    <t>DEC.259 DEL 3 DE OCTUBRE DE 1995</t>
  </si>
  <si>
    <t>BACHILLER INDUSTRIAL, SEGUNDO CICLO INDUSTRIAL, MARITIMO, SERVICIOS Y GESTION INSTITUCIONAL</t>
  </si>
  <si>
    <t>INSTITUTO CARMEN CONTE LOMBARDO</t>
  </si>
  <si>
    <t>El dect. 49 de 13 de junio de 1978 se crea el centro de educación básica Carmen Conte Lombardo. El dect. 72 del 26 de abril de 1984 se le da el nombre de Instituto Carmen Conte Lombardo, al instituto de Educación Rural Carmen Conte Lombardo ubicado en el corregimiento de Pajonal, Distrito de Penonome.</t>
  </si>
  <si>
    <t>INSTITUTO GENERAL TOMAS HERRERA</t>
  </si>
  <si>
    <t>DEC. 28 DE 28 DE JUNIO DE 2023</t>
  </si>
  <si>
    <t xml:space="preserve">Dec. 28 de 28 de junio de 2023. Decreto 74 de 28 de enero de 2020, que crea el Centro Educativo denominado Instituto General Tomás Herrera. </t>
  </si>
  <si>
    <t> MEDIA ACADÉMICA</t>
  </si>
  <si>
    <t>I.P.T. EL VALLE</t>
  </si>
  <si>
    <t>DEC. 31 DEL 15 DE FEB. DE 2018</t>
  </si>
  <si>
    <t>I.P.T.LA PINTADA</t>
  </si>
  <si>
    <t>DEC. 39 DEL 3 DE MARZO DE 1972</t>
  </si>
  <si>
    <t>Dect.185 del 30 de diciembre de 1976 crea el Instituto profesional y técnico de La Pintada</t>
  </si>
  <si>
    <t>I.P.T. RIO HATO</t>
  </si>
  <si>
    <t>DEC.577 DEL 21 DE JULIO DE 2004</t>
  </si>
  <si>
    <t>Dec. 1224 del 21 de octubre del 2015 que asciende de categoria al Colegio I.P.T.</t>
  </si>
  <si>
    <t>COMERCIO, TURISMO, TECNOLOGIA E INFORMATICA</t>
  </si>
  <si>
    <t>I.P.T. SALOMÓN PONCE AGUILERA</t>
  </si>
  <si>
    <t>DEC. 12 DE 16 DE JUNIO DE 1956 / DEC.1110 DEL 9 DE SEPTIEMBRE DE 1953</t>
  </si>
  <si>
    <t>El dect. 1110 del 9 de diciembre de 1953, designa a la escuela Marica del Municipio de Antón prov. De Coclé con el nombre de esc. Salomón Ponce de Aguilera.</t>
  </si>
  <si>
    <t>CIENCIAS, COMERCIO, INDUSTRIAL, SEGUNDO CICLO INDUSTRIAL</t>
  </si>
  <si>
    <t>I.P.T. LEONILA P. DE GRIMALDO</t>
  </si>
  <si>
    <t>DEC.123 DEL 13 DE MAYO DE 1987</t>
  </si>
  <si>
    <t>El dect. 123 del 13 de mayo de 1987 crea el primer ciclo Penonomé.  El dect. 187 del 21 de marzo de 1993 se le da el nombre de Primer ciclo Leonila Pinzón de Grimaldo a la escuela Primer Ciclo .Penonomé.  El decreto 319 del 29 de junio de 1994 crea oficialemente el I.P.T. Leonida Pinzon Grimaldo. Dec.1228 del 21 de octubre de 2015 por el cual se consede ascenso de categoria al colegio I.P.T. Leonila.</t>
  </si>
  <si>
    <t>BACHILLER INDUSTRIAL, SEGUNDO CICLO INDUSTRIAL, SERVICIOS Y GESTION INSTITUCIONAL</t>
  </si>
  <si>
    <t>I.P.T. OMAR TORRIJOS H</t>
  </si>
  <si>
    <t>DEC.233 DEL 20 DE JULIO DE 2006</t>
  </si>
  <si>
    <t>El dect. 233 del 20 de julio de 2006  Se le da el nombre de nombre de Instituto Profesional y Técnico  Omar Torrijo Herrera al  Centro de Educación Básica General  San Roquito. Este decreto se puede ver</t>
  </si>
  <si>
    <t>ESC. JACINTA AROSEMENA DE MORAN</t>
  </si>
  <si>
    <t>DEC. 271 DE 22 DE JULIO DE 2009</t>
  </si>
  <si>
    <t xml:space="preserve"> El dect. 271 del 22 de julio de 2009 Se le da el nombre de Jacinta Arosemena Castillo de Morán a la escuela Monte Lirio, ubicada en el corregimiento de El Coco distrito de Penonomé. </t>
  </si>
  <si>
    <t>C.E.B.G. JAGUITO</t>
  </si>
  <si>
    <t>C.E.B.G. JOSE DE GRACIA FERNANDEZ</t>
  </si>
  <si>
    <t>DEC.87 DEL 23 DE MAYO DE 1965</t>
  </si>
  <si>
    <t>El dect. 87 del 23 de mayo de 1965 se le da el nombre de Jose de Gracia Fernandez Valdes a la escuela Río Grande, del Municipio de Penonomé</t>
  </si>
  <si>
    <t>C.E.B.G. JOSE MARCIANO MORENO</t>
  </si>
  <si>
    <t>DEC.285 DEL 30 DE JULIO DE 1984</t>
  </si>
  <si>
    <t>C.E.B.G. JOSE MARIA CRUZ</t>
  </si>
  <si>
    <t>DEC.50 DEL 26 DE MARZO DE 1991</t>
  </si>
  <si>
    <t>El dect. 50 del 26 de marzo de 1991 se le da el nombre de Jose Maria cruz a la escuela El Palmar</t>
  </si>
  <si>
    <t>C.E.B.G. JUAN B. ROSAS</t>
  </si>
  <si>
    <t>DEC.333 DEL 7 DE AGOSTO DE 1984</t>
  </si>
  <si>
    <t>El dect. 333 del 7 de agosto de 1984 se le da el nombre de juan Bautista Rosa a la escuela Santa Maria</t>
  </si>
  <si>
    <t>C.E.B.G. JUAN DIAZ</t>
  </si>
  <si>
    <t>DEC. 948 DEL 30 DE OCT. 2012</t>
  </si>
  <si>
    <t>C.E.B.G. JUAN JOSE QUIROZ</t>
  </si>
  <si>
    <t>DEC. 76 DEL 5 DE MAYO DE 1982</t>
  </si>
  <si>
    <t xml:space="preserve"> El dect. 76 del 5 de mayo de 1982 se le da el nombre de Juan Jose Quiroz a la escuela el Harino</t>
  </si>
  <si>
    <t>CENTRO JUSTINO ARROCHA SOBERON</t>
  </si>
  <si>
    <t>DEC. 271.  DEL 8 DE MAYO DE 2014.</t>
  </si>
  <si>
    <t>C.E.B.G. LA HINCADA</t>
  </si>
  <si>
    <t>DEC.138 DEL 16 DE JUNIO DE 1959</t>
  </si>
  <si>
    <t>C.E.B.G. LA MARTILLADA</t>
  </si>
  <si>
    <t>C.E.B.G. LA MATA</t>
  </si>
  <si>
    <t>DEC.311 DEL 30 DE JULIO DE 1969</t>
  </si>
  <si>
    <t>C.E.B.G. LA MESA</t>
  </si>
  <si>
    <t>ESC. LA MINA</t>
  </si>
  <si>
    <t>DEC.20 DEL 14 DE MARZO DE 1986</t>
  </si>
  <si>
    <t>ESC. LA MINA DE RIO INDIO</t>
  </si>
  <si>
    <t xml:space="preserve">DEC. 783 DEL 9 DE SEPTIEMBRE DEL 2016 </t>
  </si>
  <si>
    <t>que crea el C.E.B.G.</t>
  </si>
  <si>
    <t>C.E.B.G. LA PEDREGOSA</t>
  </si>
  <si>
    <t>C.E.B.G. LA RICA</t>
  </si>
  <si>
    <t>DEC. 1290 DEL 23 DE DIC. 2016</t>
  </si>
  <si>
    <t>Crea el C.E.B.G. La Rica</t>
  </si>
  <si>
    <t>C.E.B.G. LA SALINETA</t>
  </si>
  <si>
    <t>DEC.70 DEL 21 DE MARZO DE 1972</t>
  </si>
  <si>
    <t>C.E.B.G. FELICIANO PINZON CRISTOBAL</t>
  </si>
  <si>
    <t>C.E.B.G. ANA JULIA SILVA DE SALAZAR (ANTES TRINIDAD)</t>
  </si>
  <si>
    <t>DEC.756 DEL 13 DE AGOSTO DE 1952</t>
  </si>
  <si>
    <t>Dec. 204 del 30 de mayo de 2018, que autoriza el cambio de nombre del C.E.B.G. La Trinidad a C.E.B.G. Ana Julia Silvia de Salazar.</t>
  </si>
  <si>
    <t>ESC. LA TULUA</t>
  </si>
  <si>
    <t>C.E.B.G. LA YEGUADA</t>
  </si>
  <si>
    <t>DEC.21 DEL 24 DE FEBRERO DE 1981</t>
  </si>
  <si>
    <t>C.E.B.G. LAS BOQUILLAS</t>
  </si>
  <si>
    <t>ESC. LAS DELICIAS</t>
  </si>
  <si>
    <t>DEC.607 DEL 24 DE NOVIEMBRE DE 1954</t>
  </si>
  <si>
    <t>El dect. 242 del 23 de junio de 1954  Apertura de escuela - el dect. 607 del 24 de noviembre de 1954 apertura de la escuela las Delicias</t>
  </si>
  <si>
    <t>C.E.B.G. LAS GUABAS</t>
  </si>
  <si>
    <t>C.E.B.G. LAS GUIAS DE ORIENTE</t>
  </si>
  <si>
    <t>DEC.317 DEL 15 DE JULIO DE 1963</t>
  </si>
  <si>
    <t>El dect. 196 del 29 de marzo de 1963 crea la escuela Las Guias en el Municipio de Antón. El dect. 317 del 15 de julio de 1963 deroga el dect. 196 del 29 de mayo de 1963 que crea la escuela Las Guías y crea Las Guías de Oriente.</t>
  </si>
  <si>
    <t>C.E.B.G. LAS HUACAS</t>
  </si>
  <si>
    <t>C.E.B.G. LAS MARIAS</t>
  </si>
  <si>
    <t>DEC.160 DEL 12 DE JUNIO DE 1991</t>
  </si>
  <si>
    <t>El dect. 160 del 12 de junio de 1991 se le da el nombre de las Mercedes a la escuela El Aguacate</t>
  </si>
  <si>
    <t>C.E.B.G. LAS MINAS</t>
  </si>
  <si>
    <t>C.E.B.G. LAS POZAS</t>
  </si>
  <si>
    <t>ESC. LAS TABLAS</t>
  </si>
  <si>
    <t>DEC. 94 DE 29 DE ABRIL DE 1954</t>
  </si>
  <si>
    <t>C.E.B.G. LELIA LOMBARDO</t>
  </si>
  <si>
    <t>DEC.174 DEL 7 DE SEPTIEMBRE DE 1979</t>
  </si>
  <si>
    <t>El dect. 174 del 7 de septiembre de 1979 se le da el nombre de Lelia Lombardo a la escuela Las Delicias, en el distrito de Penonomé</t>
  </si>
  <si>
    <t>C.E.B.G. ELIZABETH FLORES DE HERRERA</t>
  </si>
  <si>
    <t>DEC.102 DEL 18 DE MAYO DE 1984</t>
  </si>
  <si>
    <t>Dect. 63 del 20 de febrero de 2017 que autoriza el cambio de nombre del CE.B.G. Llano Bonito a C.E.B.G. Elizabeth Flores de Herrera.</t>
  </si>
  <si>
    <t>C.E.B.G. LLANO GRANDE</t>
  </si>
  <si>
    <t>C.E.B.G. LLANO DE LA PALMA</t>
  </si>
  <si>
    <t>C.E.B.G. LLANO MARIN</t>
  </si>
  <si>
    <t>DEC.99 DEL 8 DE JUNIO DE 1981</t>
  </si>
  <si>
    <t>C.E.B.G. LOMA LARGA</t>
  </si>
  <si>
    <t>DEC.286 DEL 27 DE JUNIO DE 1963</t>
  </si>
  <si>
    <t>C.E.B.G. LOS CABRITOS</t>
  </si>
  <si>
    <t>C.E.B.G. LOS CARACOLES</t>
  </si>
  <si>
    <t>C.E.B.G. LOS CERRITOS</t>
  </si>
  <si>
    <t>C.E.B.G. LOS ELEGIDOS</t>
  </si>
  <si>
    <t>ESC. LOS MACHOS</t>
  </si>
  <si>
    <t>DEC.242 DEL 23 DE JUNIO DE 1954</t>
  </si>
  <si>
    <t>El dect. 242 del 23 de junio de 1954,  apertura de escuela</t>
  </si>
  <si>
    <t>C.E.B.G. LOS POLLOS</t>
  </si>
  <si>
    <t>ESC. LOS REYES</t>
  </si>
  <si>
    <t>C.E.B.G. LOS UVEROS</t>
  </si>
  <si>
    <t>El dect. 166 del 11 de mayo de 1960 y el Dect.116 del 29 de julio de 1988 crean la escuela Los Uveros de Penonomé, provincia de Coclé.</t>
  </si>
  <si>
    <t>C.E.B.G. LOS VALLES DE OLA</t>
  </si>
  <si>
    <t>DEC.325  DEL 15 DE JULIO DE 1963</t>
  </si>
  <si>
    <t>El dect. 291 del 1 de julio de 1963  y el dect. 325 del 15 de julio de 1963  ambos son decretos de creación de  la escuela de los Valles en el Municipio de Ola.</t>
  </si>
  <si>
    <t>C.E.B.G. LOS VOLCANES</t>
  </si>
  <si>
    <t>C.E.B.G. ZENON MAGALLON</t>
  </si>
  <si>
    <t>Dec. 889 del 13 de octubre del 2016, que autoriza el cambio de nombre de Los Zules a C.E.B.G. Zenón Magallón</t>
  </si>
  <si>
    <t>ESC. LURA</t>
  </si>
  <si>
    <t>ESC. LURACITO ARRIBA</t>
  </si>
  <si>
    <t>DEC.351 DEL 29 DE SEPTIEMBRE DE 1950</t>
  </si>
  <si>
    <t>C.E.B.G. MANUEL JAEN RODRIGUEZ</t>
  </si>
  <si>
    <t>DEC. 47 DE 13 DE JUNIO DE 1910</t>
  </si>
  <si>
    <t xml:space="preserve">El decreto 47 de 13 de junio de 1910 crea una escuela de varones en el caserio de Tucue, distrito de Penonomé.El dect. 100 del 5 de mayo de 1986 se le da el nombre de Manuel Jaen Rodriguez a la escuela TUCUE del distrito de Penonome.Dect. 1071 del 25 de noviembre del 2016 que crea los centros educativos que implementan el Programa de Educación Premedia y Media con metodología Escuela Nueva Escuela Activa (ENEA)
</t>
  </si>
  <si>
    <t>C.E.B.G. MARCELINO QUIROS Y QUIROS</t>
  </si>
  <si>
    <t>DEC.527 DEL 16 DE JUNIO DE 1971</t>
  </si>
  <si>
    <t>El dect. 527 del 16 de junio de 1971 se le da el nombre de Marcelino Quiroz Quiroz a la escuela Coclé</t>
  </si>
  <si>
    <t>ESC. MEMBRILLAR</t>
  </si>
  <si>
    <t>DEC. 133 DE 9 DE JULIO DE 1980</t>
  </si>
  <si>
    <t>C.E.B.G. MIRAFLORES</t>
  </si>
  <si>
    <t>DEC.526 DEL 10 DE DICIEMBRE DE 1963</t>
  </si>
  <si>
    <t>C.E.B.G. MODESTO MORAN H.</t>
  </si>
  <si>
    <t>DEC. 57 DEL 23 DE MARZO DE 1964</t>
  </si>
  <si>
    <t>El dect. 57 del 23 de marzo de 1964 se le da el nombre de Modesto Moran H. a la escuela que funciona en la comunidad de Churuquita Chiquita.  Municipio de Penonomé</t>
  </si>
  <si>
    <t>ESC. NUEVO SAN ANTONIO</t>
  </si>
  <si>
    <t>C.E.B.G. OAJACA</t>
  </si>
  <si>
    <t>C.E.B.G. OJO DE AGUA</t>
  </si>
  <si>
    <t>DEC.192 DEL 13 DE SEPTIEMBRE DE 1996</t>
  </si>
  <si>
    <t>El dect. 192 del 13 de septiembre de 1996 se le da el nombre de Omar Torrijos Herrera  a la escuela primaria Marta en la Pintada</t>
  </si>
  <si>
    <t>C.E.B.G. PAJONAL ARRIBA</t>
  </si>
  <si>
    <t>DEC.34 DEL 24 DE ENERO DE 1966</t>
  </si>
  <si>
    <t>El dect. 81 del 2 de marzo de 1966 corrige el nombre de la escuela Las Mañanitas a Escuela Pajonal Arriba</t>
  </si>
  <si>
    <t>C.E.B.G. EL PALMAR ABAJO</t>
  </si>
  <si>
    <t>DEC.38 DEL 13 DE FEBRERO DE 1967</t>
  </si>
  <si>
    <t>El dect. 38 del 13 de marzo de 1967 crea la escuela El Pamar en el Municipio de la Pintada</t>
  </si>
  <si>
    <t>C.E.B.G. PALMARAZO</t>
  </si>
  <si>
    <t>C.E.B.G. PAULA F. DE JIMENEZ</t>
  </si>
  <si>
    <t>El dect. 649 del 28 de diciembre de 1970 crea la escuela Las Mineras. El dect.  223 del 3 de agosto de 1990 se le da el nombre de Escuela Paula Fernandez Jimenez a la Escuela Las Mineras</t>
  </si>
  <si>
    <t>C.E.B.G. PEDRO GUEVARA</t>
  </si>
  <si>
    <t>DEC. 625 DEL 21 DE NOVIEMBRE DE 1967</t>
  </si>
  <si>
    <t xml:space="preserve"> El dect. 625 del 21 de noviembre de 1967 se le da el nombre de Pedro Guevara a la escuela El cristo del Municipio de Aguadulce</t>
  </si>
  <si>
    <t>C.E.B.G. PERECABE</t>
  </si>
  <si>
    <t>C.E.B.G. PIEDRAS BLANCAS</t>
  </si>
  <si>
    <t>DEC.21 DEL 13 DE ENERO DE 1965</t>
  </si>
  <si>
    <t>ESC. POTRERILLO</t>
  </si>
  <si>
    <t>C.E.B.G. POZO AZUL</t>
  </si>
  <si>
    <t>El dect.  763 del 9 de septiembre de 1969 y el dect. 22 del 11 de mayo de 1977 son decretos de creación de la escuela Pozo Azul del Municipio de Aguadulce.</t>
  </si>
  <si>
    <t>C.E.B.G. PUEBLO NUEVO</t>
  </si>
  <si>
    <t>DEC.45 DEL 13 DE AGOSTO 1952</t>
  </si>
  <si>
    <t>DEC.133 DEL 9 DE JULIO 1980</t>
  </si>
  <si>
    <t>C.E.B.G. QUEBRADA DE U.</t>
  </si>
  <si>
    <t>C.E.B.G. QUIJE</t>
  </si>
  <si>
    <t>C.E.B.G. RENACIMIENTO DE U.</t>
  </si>
  <si>
    <t>C.E.B.G. SAN JUAN BOSCO</t>
  </si>
  <si>
    <t>Dec.58 del 20 de febrero del 2017, que autoriza el cambio de nombre de Rincon de las Palmas a C.E.B.G. San Juan Bosco</t>
  </si>
  <si>
    <t>ESC. RÍO INDIO ARRIBA</t>
  </si>
  <si>
    <t>ESC. SABANA LARGA</t>
  </si>
  <si>
    <t>C.E.B.G. SABANETA DE U.</t>
  </si>
  <si>
    <t>C.E.B.G. SEBASTIAN SUCRE</t>
  </si>
  <si>
    <t>DEC. 350 DEL 7 DE OCTUBRE DE 1959</t>
  </si>
  <si>
    <t xml:space="preserve"> El dect. 350 del 7 de octubre de 1959 se le da el nombre de Sebastián Sucre a la escuela el Caño</t>
  </si>
  <si>
    <t>C.E.B.G. SALITROSA</t>
  </si>
  <si>
    <t>DEC.42 DEL 12 DE MAYO DE 1916</t>
  </si>
  <si>
    <t>El decreto 103 del 18 de mayo de 1984 crea la escuela San Antonio. El decreto 3 del 8 de febrero de 1991 crea oficialmente el Primer Ciclo San Antonio.</t>
  </si>
  <si>
    <t>C.E.B.G. SAN JUAN CENTRO</t>
  </si>
  <si>
    <t>C.E.B.G. SAN JUAN DE LIMON</t>
  </si>
  <si>
    <t>C.E.B.G. SAN MARTIN DE PORRES</t>
  </si>
  <si>
    <t>Dec.110, 8 de Mayo 2007 (que asciende de categoria a la Esc. San Martin de Porres, ubicadas en el corregimiento Canto del Llano, Veraguas.</t>
  </si>
  <si>
    <t>C.E.B.G. SAN MIGUEL ARRIBA</t>
  </si>
  <si>
    <t xml:space="preserve">El dect. 85 del 11 de marzo de 1965 se crea la escuela San Miguel en el municipio de Penonomé. (Verificar nombre). Dect. 1071 del 25 de noviembre del 2016 que crea los centros educativos que implementan el Programa de Educación Premedia y Media con metodología Escuela Nueva Escuela Activa (ENEA)
</t>
  </si>
  <si>
    <t>ESC. SAN PABLO</t>
  </si>
  <si>
    <t xml:space="preserve"> PRIMARIA</t>
  </si>
  <si>
    <t>ESC. SANTA CECILIA</t>
  </si>
  <si>
    <t>C.E.B.G. SANTA CLARA</t>
  </si>
  <si>
    <t>C.E.B.G. SANTA CRUZ DE PERECABECITO</t>
  </si>
  <si>
    <t>CENTRO EDUCATIVO SANTA RITA</t>
  </si>
  <si>
    <t>DEC.194 DEL 31 DE MARZO DE 1971 Y EL DEC. 121 VIERNES 3 DE MARZO 2017 QUE IMPLEMENTA EL PLAN DE BACHILLER</t>
  </si>
  <si>
    <t xml:space="preserve">Dec. 1223 del 21 de oct, del 2015, por el cual se consede el ascenso de categoria al colegio Santa Rita. </t>
  </si>
  <si>
    <t>ESC. SANTOS GEORGE</t>
  </si>
  <si>
    <t>DEC.86 DEL 24 DE FEBRERO DE 1956</t>
  </si>
  <si>
    <t xml:space="preserve"> El dect. 86 del 24 de febrero de 1956 se le da el nombre de Santos George a la escuela de Cañaveral</t>
  </si>
  <si>
    <t>C.E.B.G. SARDINAS</t>
  </si>
  <si>
    <t>ESC. SIMEON VALDERRAMA</t>
  </si>
  <si>
    <t>DEC. 116 DEL 30 DE AGOSTO DE 1978</t>
  </si>
  <si>
    <t xml:space="preserve"> El dect. 116 del 30 de agosto de 1978 se le da el nombre de Simeón Valderrama a la escuela de Churubé, Municipio de Natá</t>
  </si>
  <si>
    <t>C.E.B.G. SIMON MARTINEZ PEREZ</t>
  </si>
  <si>
    <t>DEC.194 DEL 26 DE JULIO DE 1995</t>
  </si>
  <si>
    <t>El dect. 194 del 26 de julio de 1995 cambia de nombre a Simón Martínez Pérez la escuela primaria de Sofre</t>
  </si>
  <si>
    <t>C.E.B.G. SOFIA QUIROS DE TEJEIRA</t>
  </si>
  <si>
    <t>El dect. 133 del 9 de julio de 1980 crea la escuela Pueblo Nuevo. El dect.  2 del 27 de enero de 1986 se le da el nombre de Sofía Quiroz de Tejeira a la escuela Pueblo Nuevo</t>
  </si>
  <si>
    <t>ESC. SONADORA</t>
  </si>
  <si>
    <t>C.E.B.G. TAMBO</t>
  </si>
  <si>
    <t>DEC.121 DEL 18 DE OCTUBRE DE 1927</t>
  </si>
  <si>
    <t>C.E.B.G. TEBUJO</t>
  </si>
  <si>
    <t>ESC. TOMAS AGRAJE MENDOZA</t>
  </si>
  <si>
    <t>DEC.139 DEL 30 DE JUNIO DE 1986</t>
  </si>
  <si>
    <t>El dect. 139 del 30 de junio de 1986 se llamo Tomas Agraje Mendoza a la escuela Altos de Uracillo</t>
  </si>
  <si>
    <t>C.E.B.G. TORO BRAVO</t>
  </si>
  <si>
    <t>C.E.B.G. TOZA</t>
  </si>
  <si>
    <t>DEC. 33 DE 7 DE MAYO DE 1908</t>
  </si>
  <si>
    <t>ESC. TRANQUILLA</t>
  </si>
  <si>
    <t>ESC. TRES BRAZOS</t>
  </si>
  <si>
    <t>ESC. TULÚ</t>
  </si>
  <si>
    <t>C.E.B.G. UNION SANTEÑA</t>
  </si>
  <si>
    <t>DEC. 885. DEL 13 DE OCTUBRE DE 2016</t>
  </si>
  <si>
    <t>ESC. VICTOR MANUEL RAMOS VEGA</t>
  </si>
  <si>
    <t>DEC.293 DEL 25 DE JULIO DE 1969</t>
  </si>
  <si>
    <t>El dect. 293 del 25 de julio de 1969 crea la escuela La Candelaria. El dect. 809 del 5 de octubre de 2010 se le da el nombre de Victor Manuel Ramos Vega a la escuela primaria La Candelaria, ubicada en el corregimiento de Río Grande</t>
  </si>
  <si>
    <t>C.E.B.G. VICTORIANO LORENZO</t>
  </si>
  <si>
    <t>DEC.769 DEL 18 DE DICIEMBRE DE 1969</t>
  </si>
  <si>
    <t>El dect. 769 del 18 de diciembre de 1969 se le da el nombre de Victoriano Lorenzo  a la escuela el Gago, Municipio de Penonomé</t>
  </si>
  <si>
    <t>C.E.B.G. VILLA DEL CARMEN</t>
  </si>
  <si>
    <t>ESC. VILLA DEL CARMEN</t>
  </si>
  <si>
    <t>C.E.B.G. VIRGILIA GONZALEZ DE POMBO</t>
  </si>
  <si>
    <t>DEC. 357 DEL 21 DE AGOSTO DE 2009</t>
  </si>
  <si>
    <t xml:space="preserve"> El dect. 98 del 30 de abril de 2007 se le da el nombre de Virgilia González Pompo a la escuela Bella Vista ubicada en el corregimiento de Cañaveral. El dect. 357 del 21 de agosto de 2009  modifica el articulo 1 del dect. 98 del  30 de abril de 2007  y asigna el nombre de Virgilia González de Pombo a la escuela Mariaca Abajo. Este decreto se puede ver.</t>
  </si>
  <si>
    <t>C.E.B.G. EL VIRULI</t>
  </si>
  <si>
    <t>C.E.B.G. VISTA HERMOSA</t>
  </si>
  <si>
    <t>C.E.B.G. ZUMBADOR</t>
  </si>
  <si>
    <t>DEC. 884. DEL 13 DE OCTUBRE DE 2016</t>
  </si>
  <si>
    <t>C.E.B.G. TORIBIA RODRÍGUEZ DE ESCUDERO (ANTES ALTOS DE LA MESA)</t>
  </si>
  <si>
    <t>DEC.649 DEL 28 DE DICIEMBRE DE 1970. DEC. 1380 DEL 31 DE DICIEMBRE DE 2020 QUE AUTORIZA EL CAMBIO DE NOMBRE DE C.E.B.G. ALTOS DE LA MESA A C.E.B.G. TORIBIA RODRIGUEZ  DE ESCUDERO.</t>
  </si>
  <si>
    <t>C.E.B.G. ALTOS DEL RIECITO</t>
  </si>
  <si>
    <t>C.E.B.G. ALTOS DE SAN MIGUEL</t>
  </si>
  <si>
    <t>C.E.B.G. ALTOS DEL COCO</t>
  </si>
  <si>
    <t>El dect. 242 del 23 de junio de 1954 ordena la  apertura de la  escuela Altos del Coco</t>
  </si>
  <si>
    <t>ESC. ALTOS DEL COQUILLO</t>
  </si>
  <si>
    <t>DEC.283 DEL 30 DE JULIO DE 1984</t>
  </si>
  <si>
    <t>C.E.B.G. ALTOS DEL SILENCIO</t>
  </si>
  <si>
    <t>DEC. 68 DE 20 DE MAYO DE 1980</t>
  </si>
  <si>
    <t>C.E.B.G. ANA T. CARVAJAL DE RODRIGUEZ</t>
  </si>
  <si>
    <t>DEC.22 DEL 26 DE MARZO DE 1991</t>
  </si>
  <si>
    <t>El dect. 22 del 26 de marzo de 1991 se le da el nombre de Ana Teresa Carvajal de Rodríguez a la escuela primaria de Sardinas del distrito de Penonomé</t>
  </si>
  <si>
    <t>C.E.B.G. ASUNCION MORAN H.</t>
  </si>
  <si>
    <t>DEC.34 DEL 12 DE FEBRERO DE 1963</t>
  </si>
  <si>
    <t>El dect. 34 del 12 de febrero de 1963 se le da el nombre de Asunción Morán a la escuela El Limón; del Municipio de Penonomé</t>
  </si>
  <si>
    <t>C.E.B.G. BARRIO UNIDO</t>
  </si>
  <si>
    <t>ESC. BERMEJO</t>
  </si>
  <si>
    <t>C.E.B.G. BITO</t>
  </si>
  <si>
    <t>DEC.136 DEL 4 DE AGOSTO DE 1949</t>
  </si>
  <si>
    <t>C.E.B.G. BOCA DE BANAZO</t>
  </si>
  <si>
    <t>ESC. BOCA DE CHIGUIRI</t>
  </si>
  <si>
    <t>ESC. BOCA DE CUIRIA</t>
  </si>
  <si>
    <t>ESC. BOCA DE LURA</t>
  </si>
  <si>
    <t>El  dect. 97 del 19 de marzo de 1968 son decretos de creación de la escuela Boca de Lura</t>
  </si>
  <si>
    <t>C.E.B.G. CABUYA</t>
  </si>
  <si>
    <t>C.E.B.G. CAIMITILLO</t>
  </si>
  <si>
    <t>DEC.51 DEL 21 DE MARZO DE 1974</t>
  </si>
  <si>
    <t>ESC. CELESTINO DEL ROSARIO</t>
  </si>
  <si>
    <t>El dect. 121 del 18 de octubre de 1927 le da el nombre de Celestino del Rosario a la escuela mixta el Nanzal. Este decreto se puede ver</t>
  </si>
  <si>
    <t>ESC. CERRO MORADO</t>
  </si>
  <si>
    <t>C.E.B.G. CHIGUIRI CENTRO</t>
  </si>
  <si>
    <t>DEC.258 DEL 15 DE OCTUBRE DE 1981</t>
  </si>
  <si>
    <t>C.E.B.G. EL CHUMICAL</t>
  </si>
  <si>
    <t>DEC.244 DEL 31 DE JULIO DE 1986</t>
  </si>
  <si>
    <t>C.E.B.G. COQUILLO DE URACILLO</t>
  </si>
  <si>
    <t>C.E.B.G. CUTEVA</t>
  </si>
  <si>
    <t>DEC.214 DEL 15 DE SEPTIEMBRE DE 1981</t>
  </si>
  <si>
    <t>ESC. EL AGUILA</t>
  </si>
  <si>
    <t>DEC. 72 DE 23 DE MAYO DE 1980</t>
  </si>
  <si>
    <t>El Dect.216 del 17 de septiembre de 1982 y el dect. 72 de 23 de mayo de 1980 son decretos de creación</t>
  </si>
  <si>
    <t>ESC. DANIEL QUIROS PEREIRA</t>
  </si>
  <si>
    <t>DEC. 549 DE 16 DE DICIEMBRE 2008</t>
  </si>
  <si>
    <t>C.E.B.G. FARALLON</t>
  </si>
  <si>
    <t>C.E.B.G. EL GUABO</t>
  </si>
  <si>
    <t>DEC.475 DEL 10 DE SEPTIEMBRE DE 2008</t>
  </si>
  <si>
    <t>El dect. 475 del 10 de septiembre de 2008 crea el centro educativo El Guabo</t>
  </si>
  <si>
    <t>ESC. EL JOBO</t>
  </si>
  <si>
    <t>ESC. EL NARANJAL</t>
  </si>
  <si>
    <t>ESC. EL OTOAL</t>
  </si>
  <si>
    <t>C.E.B.G. EL PALMAR</t>
  </si>
  <si>
    <t>DEC.256 DEL 10 DE MAYO DE 1967</t>
  </si>
  <si>
    <t>ESC. EL ROSARIO</t>
  </si>
  <si>
    <t>DEC.234 DEL 11 DE JUNIO DE 2018 QUE AUTORIZA EL CAMBIO DE NOMBRE DEL C.E.B.G. EL ROSARIO A C.E.B.G. LUIS FELIFE MARQUEZ GUZMAN.</t>
  </si>
  <si>
    <t>ESC. EL EMBARCADERO DE CASCAJAL</t>
  </si>
  <si>
    <t>C.E.B.G. JORGE CONTE PORRAS</t>
  </si>
  <si>
    <t>DEC. 972 DEL 15 DE DICIEMBRE DE 2017 QUE AUTORIZA EL CAMBIO DE NOMBRE DE C.E.B.G. EL GUABAL A C.E.B.G. A JORGE CONTE PORRAS</t>
  </si>
  <si>
    <t>C.E.B.G. HATO RINCONES</t>
  </si>
  <si>
    <t>ESC. JUJUCAL</t>
  </si>
  <si>
    <t>C.E.B.G. LA COCA</t>
  </si>
  <si>
    <t>C.E.B.G. LA ENCANTADA</t>
  </si>
  <si>
    <t>C.E.B.G. LA HONDA</t>
  </si>
  <si>
    <t>C.E.B.G. LA NEGRITA</t>
  </si>
  <si>
    <t>ESC. LA VENTA</t>
  </si>
  <si>
    <t>ESC. LAS BARRETAS</t>
  </si>
  <si>
    <t>CENTRO EDUCATIVO LAS GUIAS OCCIDENTE</t>
  </si>
  <si>
    <t>DEC. 507 DEL 20 DE JULIO DEL 2016</t>
  </si>
  <si>
    <t>ESC. LAS MARINAS</t>
  </si>
  <si>
    <t>C.E.B.G. LAS PALMAS</t>
  </si>
  <si>
    <t>DEC.182 DEL 10 DE MAYO DE 1962</t>
  </si>
  <si>
    <t>El dect. 182 del 10 de mayo de 1962 crea la escuela Las Palmas en el Municipio de Penonomé</t>
  </si>
  <si>
    <t>ESC. LAS PLEYADES</t>
  </si>
  <si>
    <t>C.E.B.G. LOMA DE GONZALEZ</t>
  </si>
  <si>
    <t>C.E.B.G. LOMA GRANDE</t>
  </si>
  <si>
    <t>C.E.B.G. LOS MOLEJONES</t>
  </si>
  <si>
    <t xml:space="preserve">DEC. 465 DEL 14 DE AGSTO DE 2018 </t>
  </si>
  <si>
    <t>que crea el C.E.B.G. Los Molejones.</t>
  </si>
  <si>
    <t>ESC. LOS PILARES</t>
  </si>
  <si>
    <t>C.E.B.G. LUISA</t>
  </si>
  <si>
    <t>DEC. 103 DEL 18 DE MAYO DE 1984</t>
  </si>
  <si>
    <t>C.E.B.G. MARIA T. DE HERRERA</t>
  </si>
  <si>
    <t>DEC.119 DEL 30 DE AGOSTO DE 1978</t>
  </si>
  <si>
    <t>El dect. 119 del 30 de agosto de 1978 se le da el nombre de Maria Tejeira de Herrera a la escuela El Silencio del Distrito de Penonomé</t>
  </si>
  <si>
    <t>C.E.B.G. MATA PALO</t>
  </si>
  <si>
    <t>ESC. MOLEJON</t>
  </si>
  <si>
    <t>C.E.B.G. MONTE GRANDE</t>
  </si>
  <si>
    <t>C.E.B.G. EL PALMAR ARRIBA</t>
  </si>
  <si>
    <t>ESC. PASO REAL</t>
  </si>
  <si>
    <t>C.E.B.G. POTRELLANO</t>
  </si>
  <si>
    <t>ESC. RITA H. DE TRUJILLO</t>
  </si>
  <si>
    <t>DEC.373 DEL 29 DE JUNIO DE 1972</t>
  </si>
  <si>
    <t>El dect. 373 del 29 de junio de 1972 se le da el nombre de Rita H. de Trujillo a la escuela de Paguá</t>
  </si>
  <si>
    <t>C.E.B.G. ROGELIO ROBLES MENDEZ</t>
  </si>
  <si>
    <t>DEC.88 DEL 15 DE SEPTIEMBRE DE 1914</t>
  </si>
  <si>
    <t>El dect. 649 del 28 de diciembre de 1970 crea la escuela La Tortuga. El dect. 321 del 29 de junio de 1994 se le da el nombre de San Isidro a la escuela oficial La tortuga del distrito de Penonomé</t>
  </si>
  <si>
    <t>C.E.B.G. SAN JOSE DEL NARANJAL</t>
  </si>
  <si>
    <t>DEC.216 DEL 17 DE SEPTIEMBRE DE 1982</t>
  </si>
  <si>
    <t>ESC. SAN JUANITO</t>
  </si>
  <si>
    <t>DEC. 743 DEL 6 DE SEPTIEMBRE DE 2012</t>
  </si>
  <si>
    <t>ESC. SANTA ANA</t>
  </si>
  <si>
    <t>DEC.280 DEL 30 DE JULIO DE 1984</t>
  </si>
  <si>
    <t>El dect. 280 del 30 de julio de 1984 se le da el nombre de Santa Ana a la escuela primaria de Obré ubicada en el corregimiento de Toabré distrito de Penonomé</t>
  </si>
  <si>
    <t>DEC.179 DEL 24 DE ABRIL DE 1968</t>
  </si>
  <si>
    <t>C.E.B.G. SANTA LUCIA</t>
  </si>
  <si>
    <t>DEC.198 DEL 31 DE MARZO DE 1971</t>
  </si>
  <si>
    <t>C.E.B.G. SANTA RITA ARRIBA</t>
  </si>
  <si>
    <t>DEC.194 DEL 31 DE MARZO DE 1971</t>
  </si>
  <si>
    <t>C.E.B.G. TOABRE ABAJO</t>
  </si>
  <si>
    <t>El dect. 415 del 23 de agosto de 1963 y el  dect. 574 del 5 de noviembre de 1992   son decretos de creación  de la escuela Toabre Abajo. El último decreto crea el Primer Ciclo de Toabre</t>
  </si>
  <si>
    <t>C.E.B.G. TUCUECITO</t>
  </si>
  <si>
    <t>C.E.B.G. URACILLO CENTRO</t>
  </si>
  <si>
    <t>DEC.470 DEL 19 DE OCTUBRE DE 1965</t>
  </si>
  <si>
    <t>El dect. 470 del 19 de octubre de 1965  se le da el nombre de Uracillo a la escuela Río Indio Abajo. Este decreto se puede ver</t>
  </si>
  <si>
    <t>C.E.B.G. VALLE DEL PLATANAL</t>
  </si>
  <si>
    <t>DEC.39 DEL 31 DE MARZO DE 1998</t>
  </si>
  <si>
    <t>C.E.B.G. VALLE DE SAN MIGUEL</t>
  </si>
  <si>
    <t>C.E.B.G. VILLALOBOS</t>
  </si>
  <si>
    <t>DEC.167 DEL 24 DE ABRIL DE 1970</t>
  </si>
  <si>
    <t>VILLARREAL</t>
  </si>
  <si>
    <t>C.E.B.G. VILLARREAL</t>
  </si>
  <si>
    <t>ESC. ZANCONA</t>
  </si>
  <si>
    <t>CENTRO OFICIAL NOCTURNO EL VALLE</t>
  </si>
  <si>
    <t>ESC. LOMA GRANDE</t>
  </si>
  <si>
    <t>ESC. EL COPE</t>
  </si>
  <si>
    <t>ESC. EL CRISTO (DANIEL QUIROS PEREIRA)</t>
  </si>
  <si>
    <t xml:space="preserve">OLÁ </t>
  </si>
  <si>
    <t>ESC. EL HATO (LOS POLLOS)</t>
  </si>
  <si>
    <t>ESC. EL VALLE SAN MIGUEL</t>
  </si>
  <si>
    <t>ESC. SECUNDARIA NOCTURNA OFICIAL DE ANTON</t>
  </si>
  <si>
    <t>ESC. SECUNDARIA OFICIAL NOCTURNA DE PENONOMÉ</t>
  </si>
  <si>
    <t>ESC.BILINGÜE FERNANDO GUARDIA</t>
  </si>
  <si>
    <t>ESC. FRANCISCA C DE SIERRA</t>
  </si>
  <si>
    <t>ESC. HIGO JUAN BRAN</t>
  </si>
  <si>
    <t>ESC. JOSE DE GRACIA FERNANDEZ</t>
  </si>
  <si>
    <t>ESC. LA SOLEDAD (FELICIANO PINZON)</t>
  </si>
  <si>
    <t>HUACAS</t>
  </si>
  <si>
    <t>PENITENCIARIO DE  PENONOMÉ</t>
  </si>
  <si>
    <t>ESC.COQUILLO DE URACILLO</t>
  </si>
  <si>
    <t>ESC. PORFIRIO GOMEZ</t>
  </si>
  <si>
    <t>PENITENCIARIO DE EDUC. PRIMARIA DE ADULTOS AGUADULCE</t>
  </si>
  <si>
    <t>PENITENCIARIO DE LLANO MARIN</t>
  </si>
  <si>
    <t>ESC. QUIJE</t>
  </si>
  <si>
    <t>ESC. SECUNDARIA NOCTURNA OFICIAL DE AGUADULCE</t>
  </si>
  <si>
    <t>ESC. TAMBO</t>
  </si>
  <si>
    <t>TELE-EDUCACIÓN ALEJANDRO TAPIA</t>
  </si>
  <si>
    <t>TELE-EDUCACIÓN ANGEL GUARDIA</t>
  </si>
  <si>
    <t>TELE-EDUCACIÓN EL ENTRADERO</t>
  </si>
  <si>
    <t>TELE-EDUCACIÓN ELIZABETH FLORES DE HERRERA</t>
  </si>
  <si>
    <t>TELE-EDUCACIÓN JUAN DÍAZ</t>
  </si>
  <si>
    <t>TELE-EDUCACIÓN JUSTINO ARROCHA SOBERÓN</t>
  </si>
  <si>
    <t>TELE-EDUCACIÓN POZO AZUL</t>
  </si>
  <si>
    <t>TELE-EDUCACIÓN TOABRÉ ABAJO</t>
  </si>
  <si>
    <t>EDJA-BARRIO UNIDO</t>
  </si>
  <si>
    <t>EDJA-ASUNCION CHIRU</t>
  </si>
  <si>
    <t>TEP-CHIGUIRI CENTRO</t>
  </si>
  <si>
    <t>TELE-EDUCACION EL JOBO</t>
  </si>
  <si>
    <t>TELE-EDUCACION LAS POZAS</t>
  </si>
  <si>
    <t>EL PERU</t>
  </si>
  <si>
    <t>ENCONTRANDO EL CAMINO CORRECTO (PECC)</t>
  </si>
  <si>
    <t>CENTRO DE ESTUDIOS SUPERIORES DE BELLAS ARTES DE AGUADULCE (HERCILIA RAMOS DE ARGOTE)</t>
  </si>
  <si>
    <t>CENTRO DE ESTUDIOS SUPERIORES DE BELLAS ARTES Y FOLKLORE DE PENONOMÉ</t>
  </si>
  <si>
    <t>ESC. DE BELLAS ARTES DE ANTÓN</t>
  </si>
  <si>
    <t>IPHE DE AGUADULCE</t>
  </si>
  <si>
    <t>IPHE DE ANTON</t>
  </si>
  <si>
    <t>IPHE DE PENONOMÉ</t>
  </si>
  <si>
    <t>ESC. PASITOS AL SABER</t>
  </si>
  <si>
    <t>CAIPI MONTESSORI KIDS</t>
  </si>
  <si>
    <t>CENTRO EDUCATIVO FUTURESC</t>
  </si>
  <si>
    <t>RES.116 DEL 18 DE ENERO DE 2022 AUTORIZA FUNCIONAMIENTO</t>
  </si>
  <si>
    <t>ACADEMIA SANTA ROSA DE LIMA (AGUADULCE)</t>
  </si>
  <si>
    <t>C.E.B.G. BILINGÜE LA COLMENA</t>
  </si>
  <si>
    <t>CENTRO EDUCATICO SANTO DOMINGO</t>
  </si>
  <si>
    <t>CENTRO EDUCATIVO KID´S SCHOOL &amp; CAMBRIDGE ACADEMY</t>
  </si>
  <si>
    <t>ESC. SANTIAGO APOSTOL</t>
  </si>
  <si>
    <t>COLEGIO EXCELSIOR INTERNACIONAL.</t>
  </si>
  <si>
    <t>ESC. SAN IGNACIO DE LOYOLA</t>
  </si>
  <si>
    <t>ESC. EL BUEN PASTOR DE PENONOME</t>
  </si>
  <si>
    <t>ESC. EL BUEN PASTOR AGUADULCE</t>
  </si>
  <si>
    <t>RES. 244 DEL03 DE FEB. 2022 POR EL CUAL SE CONCEDE LA AMPLIACION PARA EL SEGUNDO NIVEL DE ENSEÑANZA O EDUC. MEDIA, BACHILLER EN CIENCIAS, HUMANIDADES, COMERCIO.</t>
  </si>
  <si>
    <t>ESC. BELLAS ARTES ESTELINA DE TEJEIRA.</t>
  </si>
  <si>
    <t>HUMANIDADES, ARTES DIVERSIFICADAS</t>
  </si>
  <si>
    <t>INSTITUTO DE MARINA MERCANTE BILINGÜE DE PENONOME</t>
  </si>
  <si>
    <t>MARITIMO</t>
  </si>
  <si>
    <t>ANEXA</t>
  </si>
  <si>
    <t>INSTITUTO DE MARINA MERCANTE OCUPACIONAL DE PANAMÁ- PENONOME</t>
  </si>
  <si>
    <t>CIENCIAS, LETRAS Y COMERCIO</t>
  </si>
  <si>
    <t>INSTITUTO MARINA OCUPACIONAL - PENONOME</t>
  </si>
  <si>
    <t>INSTITUTO PROFESIONAL AURELIO VILLARREAL</t>
  </si>
  <si>
    <t>CIENCIAS, HUMANIDADES Y COMERCIO</t>
  </si>
  <si>
    <t>ESC. SACRED  HEART OF MARY SCHOOL.</t>
  </si>
  <si>
    <t>ESC. SCALA INTERNATIONAL SCHOOL PENONOMÉ</t>
  </si>
  <si>
    <t>RES.2255 AL 22 DE AGOSTO DE 2022 QUE AUTORIZA FUNCIONAMIENTO</t>
  </si>
  <si>
    <t>ESC. BELLAS ARTES ESTELINA DE TEJEIRA</t>
  </si>
  <si>
    <t>CENTRO DE ESTUDIOS REGIONALES DE PANAMA (CERPA)</t>
  </si>
  <si>
    <t>CENTRO EDUCATIVO LABORAL LOS LLANOS</t>
  </si>
  <si>
    <t>INSTITUTO AURELIO VILLARREAL</t>
  </si>
  <si>
    <t>INSTITUTO DE CIENCIAS Y TECNOLOGIA</t>
  </si>
  <si>
    <t>INSTITUTO DE MARINA MERCANTE OCUPACIONAL  PENONOME</t>
  </si>
  <si>
    <t>INSTITUTO EDUCATIVO Y CULTURA DE AGUADULCE</t>
  </si>
  <si>
    <t>INSTITUTO PANAMEÑO DE EDUCACION POR RADIO</t>
  </si>
  <si>
    <t>LABORAL MADRE VIRGEN DEL CARMEN</t>
  </si>
  <si>
    <t>LABORAL SAN JUDAS TADEO</t>
  </si>
  <si>
    <t>HORARIO INTERNACIONAL</t>
  </si>
  <si>
    <t>FIVE STARS ACADEMY CHRISTIANA SOCIATION INC.</t>
  </si>
  <si>
    <t>COLÓN</t>
  </si>
  <si>
    <t>BARRIO NORTE</t>
  </si>
  <si>
    <t>C.O.I.F. LOS PININOS</t>
  </si>
  <si>
    <t>CAMINO AL SABER</t>
  </si>
  <si>
    <t>CRISTÓBAL</t>
  </si>
  <si>
    <t>CECREDIN LIDUVINA IBARRA CABALLERO</t>
  </si>
  <si>
    <t>CAIPI DE LA 3ERA. ZONA POLICIAL DE COLON</t>
  </si>
  <si>
    <t>SABANITAS</t>
  </si>
  <si>
    <t>CAIPI IRVING SALADINO</t>
  </si>
  <si>
    <t xml:space="preserve">SAN JUAN </t>
  </si>
  <si>
    <t>CAIPI JUAN DEMOSTENES AROSEMENA</t>
  </si>
  <si>
    <t>PUERTO PILÓN</t>
  </si>
  <si>
    <t>CAIPI PUERTO PILÓN</t>
  </si>
  <si>
    <t>NUEVA PROVIDENCIA</t>
  </si>
  <si>
    <t>CAIPI NUEVA PROVIDENCIA</t>
  </si>
  <si>
    <t>BUENA VISTA</t>
  </si>
  <si>
    <t>CEFACEI MI CASITA DE VALORES </t>
  </si>
  <si>
    <t>CEFACEI ARCA DE NOE </t>
  </si>
  <si>
    <t>CEFACEI ELOHIM </t>
  </si>
  <si>
    <t>CATIVÁ</t>
  </si>
  <si>
    <t>CEFACEI ESPIRITU SANTO </t>
  </si>
  <si>
    <t>CEFACEI ANGELITOS DE LUZ </t>
  </si>
  <si>
    <t>CEFACEI INVESTIGA ESTUDIA CREA </t>
  </si>
  <si>
    <t>CEFACEI LO NUESTRO </t>
  </si>
  <si>
    <t>CEFACEI VISTA ALEGRE </t>
  </si>
  <si>
    <t>CEFACEI LA LUZ Y ESPERANZA </t>
  </si>
  <si>
    <t>CEFACEI YABETH YIRE </t>
  </si>
  <si>
    <t>CEFACEI ABRAZOS DE AMOR </t>
  </si>
  <si>
    <t>JARDIN DE PARVULOS NIÑO JESUS DE PRAGA </t>
  </si>
  <si>
    <t>PUENTE DE ALABANZA </t>
  </si>
  <si>
    <t>JARDÍN DE PARVULOS VIRGEN DE LA CARIDAD DEL COBRE </t>
  </si>
  <si>
    <t>BARRIO SUR</t>
  </si>
  <si>
    <t>CENTRO DE ORIENTACIÓN INFANTIL GÉNESIS </t>
  </si>
  <si>
    <t>COIF PREPARANDONOS PARA LA VIDA/ CENTRO DE EDUCACION INFANTIL</t>
  </si>
  <si>
    <t>LIMÓN</t>
  </si>
  <si>
    <t>ESC. ALFAGIA</t>
  </si>
  <si>
    <t>ESC. ABEL BRAVO</t>
  </si>
  <si>
    <t>RES. 418 DE 11 DE AGOSTO DE 1942</t>
  </si>
  <si>
    <t>El dect. 64 del 17 de mayo de 1966 se fusionan las escuelas Anexa Abel Bravo y Carlos Clement y se clausura la Anexa Abel Bravo. Se deroga el decreto 104 del junio de 1949 y el dect. 425 del 12 de agosto de 1955, que crea el nombre de Anexa de Abel Bravo</t>
  </si>
  <si>
    <t>PREMEDIA- MEDIA ACADÉMICA-MEDIA PROFESIONAL Y TÉCNICA</t>
  </si>
  <si>
    <t>CIENCIAS, HUMANIDADES, TECNOLOGIA E INFORMATICA</t>
  </si>
  <si>
    <t>ESCOBAL</t>
  </si>
  <si>
    <t>CENTRO EDUCATIVO ADELAIDA VDA HERRERA</t>
  </si>
  <si>
    <t>DEC. 49 DEL 13 DE JUNIO DE 1978. DEC. 739 DEL 19 DE NOV. DE 2018 QUE DEROGA EN TODAS SUS PARTES EL DEC. EJECUTIVO NO. 1074 DEL 16 DE DIC. DE 2016 Y SE EMPLEMENTA EL SEGUNDO NIVEL DE ENSEÑANZA O EDUCACION MEDIA.</t>
  </si>
  <si>
    <t>El dect. 455 del 22 de julio de 1955 se le da el nombre de Adelaida de Herrera a la escuela de Escobal. El dect. 49 de 13 de junio de 1978 crea el centro de educación básica Adelaida Herrera.   El dect. 614 del 3 de agosto de 2011 se crea el Centro de Educación Básica General Adelaida Herrera. Decreto 1074 del 16 de diciembre de 2016 que implementa el segundo nivel de enseñanza o educacion media y cambia su denominacion a Centro Educativo. Bachiller en Ciencias.</t>
  </si>
  <si>
    <t>ESC. AGUAS CLARAS Nº 1</t>
  </si>
  <si>
    <t xml:space="preserve">El dect. 85 del 11 de marzo de 1965 crea la escuela Aguas Claras, en el Municipio de Colón. </t>
  </si>
  <si>
    <t>ESC. AGUAS CLARAS Nº 2</t>
  </si>
  <si>
    <t>CHAGRES</t>
  </si>
  <si>
    <t>PALMAS BELLAS</t>
  </si>
  <si>
    <t>ESC. ALTOS DE LA GLORIA</t>
  </si>
  <si>
    <t>DONOSO</t>
  </si>
  <si>
    <t>EL GUÁSIMO</t>
  </si>
  <si>
    <t>ESC. ALTOS DE SANTA CRUZ</t>
  </si>
  <si>
    <t>DEC.327 DEL 21 DE DICIEMBRE DE 1987</t>
  </si>
  <si>
    <t>ESC. ALTOS DE DIVISA</t>
  </si>
  <si>
    <t>PRIMER CICLO ANASTACIA MITRE</t>
  </si>
  <si>
    <t xml:space="preserve">DEC.865 DEL 27 DE OCTUBRE DE 1993 </t>
  </si>
  <si>
    <t xml:space="preserve">El dect. 865 del 27 de octubre de 1993 se le da el nombre de Anastasia Mitre al primer ciclo José Pablo Paredes </t>
  </si>
  <si>
    <t>SALUD</t>
  </si>
  <si>
    <t>ESC. BAJO BONITO</t>
  </si>
  <si>
    <t>DEC.140 DEL 6 DE JULIO DE 1981</t>
  </si>
  <si>
    <t>ESC. BARRIADA KUNA</t>
  </si>
  <si>
    <t>DEC. 614 DE 3 DE AGOSTO DE 2011</t>
  </si>
  <si>
    <t>El dect. 614 del 3 de agosto de 2011 crea El Centro Educativo Barriada Kuna</t>
  </si>
  <si>
    <t>SALAMANCA</t>
  </si>
  <si>
    <t>ESC. BOQUERON ABAJO</t>
  </si>
  <si>
    <t>ESC. BOQUERON ARRIBA</t>
  </si>
  <si>
    <t>DEC. 20 DEL 31 DE ENERO DE 1972</t>
  </si>
  <si>
    <t>PORTOBELO</t>
  </si>
  <si>
    <t>ESC. BUENAVENTURA</t>
  </si>
  <si>
    <t>COCLÉ DEL NORTE</t>
  </si>
  <si>
    <t>ESC. CALLE LARGA</t>
  </si>
  <si>
    <t>ESC. CAMPO ALEGRE</t>
  </si>
  <si>
    <t>OMAR TORRIJOS HERRERA</t>
  </si>
  <si>
    <t>SAN JOSE DEL GENERAL</t>
  </si>
  <si>
    <t>ESC. CANOAS DE DONOSO</t>
  </si>
  <si>
    <t>MIGUEL DE LA BORDA</t>
  </si>
  <si>
    <t>C.E.B.G. CAÑO DEL REY</t>
  </si>
  <si>
    <t>ESC. CAÑO DEL REY</t>
  </si>
  <si>
    <t>DEC.537 DEL 18 DE SEPTIEMBRE DE 1967</t>
  </si>
  <si>
    <t>Dec. 19 del 29 de enero del 2013 que crea el centro educativo</t>
  </si>
  <si>
    <t>GOBEA</t>
  </si>
  <si>
    <t>ESC. CAÑO MAMEY</t>
  </si>
  <si>
    <t>ACHIOTE</t>
  </si>
  <si>
    <t>ESC. CAÑO QUEBRADO</t>
  </si>
  <si>
    <t xml:space="preserve">DONOSO </t>
  </si>
  <si>
    <t>ESC. CELESTINO VILLARRETA</t>
  </si>
  <si>
    <t>DEC. 678 DEL 14 DE DICIEMBRE DE 1967</t>
  </si>
  <si>
    <t xml:space="preserve"> El dect. 678 del 14 de diciembre de 1967 se le da el nombre de Celestino Villarreta a la escuela El Guasimo</t>
  </si>
  <si>
    <t>ESC. CERRO MIGUEL</t>
  </si>
  <si>
    <t>NUEVO CHAGRES</t>
  </si>
  <si>
    <t>ESC. CHAGRES</t>
  </si>
  <si>
    <t>CIRICITO</t>
  </si>
  <si>
    <t>ESC. CIRI GRANDE</t>
  </si>
  <si>
    <t>El dect. 227 del 24 de mayo de 1956 clausura la escuela Ciri Grande.  El dect. 21 del 13 de enero de 1965 se autoriza la reapertura de la escuela Ciri Grande del Municipio de Colón</t>
  </si>
  <si>
    <t>ESC. COCLE DEL NORTE</t>
  </si>
  <si>
    <t>CENTRO EDUCATIVO  GATUNCILLO</t>
  </si>
  <si>
    <t>DEC.601 DEL 20 DE NOVIEMBRE DE 2008. DEC. 739 DEL 19 DE NOV. DE 2018 QUE DEROGA EN TODAS SUS PARTES EL DEC. EJECUTIVO NO. 1074 DEL 16 DE DIC. DE 2016 Y SE EMPLEMENTA EL SEGUNDO NIVEL DE ENSEÑANZA O EDUCACION MEDIA.</t>
  </si>
  <si>
    <t xml:space="preserve">El dect. 601 del 20 de noviembre de 2008, denominar al primer ciclo de gatuncillo , ubicado en el corregimiento de Nuevo San Juan , distrito de Colón Centro Educativo Gatuncillo.  Impartirá los planes de estudio correspondiente al primer nivel , segundo nivel o Educación Media. </t>
  </si>
  <si>
    <t>CIENCIAS, HUMANIDADES, MARITIMO, TURISMO, TENCOLOGIA E INFORMATICA</t>
  </si>
  <si>
    <t>DEC.139 DEL 5 DE ABRIL DE 1966</t>
  </si>
  <si>
    <t>ESC. DANIEL CENTENO</t>
  </si>
  <si>
    <t>DEC.45 DEL 25 DE MARZO DE 1982</t>
  </si>
  <si>
    <t>ESC. DR AUGUSTO S. BOYD Nº 2</t>
  </si>
  <si>
    <t>DEC.263 DEL 17 DE MAYO DE 1966</t>
  </si>
  <si>
    <t xml:space="preserve">El dect. 263 del 17 de mayo de 1966 se le da el nombre de Dr. Augusto Samuel Boyd a la escuela Las Tablitas </t>
  </si>
  <si>
    <t>ESC. EFRAIN TEJADA URRIOLA</t>
  </si>
  <si>
    <t>DEC.69 DEL 15 DE MAYO DE 1955</t>
  </si>
  <si>
    <t>El dect. 69 del 15 de mayo de 1955 se le da el nombre de Efraín Tejada Urriola a la escuela de Limón</t>
  </si>
  <si>
    <t>ESC. EL ACHIOTE</t>
  </si>
  <si>
    <t>DEC.66 DEL 12 DE MAYO DE 1949</t>
  </si>
  <si>
    <t>ESC. EL AGUACATE</t>
  </si>
  <si>
    <t>LA ENCANTADA</t>
  </si>
  <si>
    <t>ESC. EL CASTILLO</t>
  </si>
  <si>
    <t>ESC. EL CHILAR</t>
  </si>
  <si>
    <t>ESC. EL CHORRO DE CIRI GRANDE</t>
  </si>
  <si>
    <t>DEC.279 DEL 6 DE JUNIO DE 1955</t>
  </si>
  <si>
    <t>ESC. EL CONGAL</t>
  </si>
  <si>
    <t>DEC.119 DEL 22 DE ABRIL DE 1996</t>
  </si>
  <si>
    <t>ESC. EL CONGO</t>
  </si>
  <si>
    <t>ESC. EL ESCOBALITO</t>
  </si>
  <si>
    <t>DEC.21 DEL 18 DE MARZO DE 1988</t>
  </si>
  <si>
    <t>EL GUABO</t>
  </si>
  <si>
    <t>DEC.515 DEL 14 DE SEPTIEMBRE DE 1951, DEC.  EJECUTIVO 124 DEL 3 DE MARZO DEL 2017.</t>
  </si>
  <si>
    <t>Dec.124 del 3 de marzo del 2017 implementa la premedia en el C.E.B.G. El Guabo.</t>
  </si>
  <si>
    <t>ESC. EL IGUANERO</t>
  </si>
  <si>
    <t>DEC.117 DEL 29 DE JULIO DE 1988</t>
  </si>
  <si>
    <t>ESC. EL JIRAL</t>
  </si>
  <si>
    <t>ESC. EL LIMON</t>
  </si>
  <si>
    <t>ESC. EL MARAÑON</t>
  </si>
  <si>
    <t>ESC. EL PAPAYO</t>
  </si>
  <si>
    <t>ESC. EL PLATANO</t>
  </si>
  <si>
    <t>ESC. EL PORVENIR</t>
  </si>
  <si>
    <t>DEC.264 DEL 7 DE OCTUBRE DE 1980</t>
  </si>
  <si>
    <t>SANTA ISABEL</t>
  </si>
  <si>
    <t>ESC. EL PROGRESO</t>
  </si>
  <si>
    <t>ESC. EL VALLE DE ESCOBAL</t>
  </si>
  <si>
    <t>ESC. EL VALLECITO</t>
  </si>
  <si>
    <t xml:space="preserve">C.E.B.G. EMBERA QUERA </t>
  </si>
  <si>
    <t>ESC. EN BUSCA DE UN MAÑANA</t>
  </si>
  <si>
    <t>ESC. ERNESTO ACOSTA</t>
  </si>
  <si>
    <t>DEC.506 DEL 24 DE OCTUBRE DE 1961</t>
  </si>
  <si>
    <t xml:space="preserve"> El dect. 506 del 24 de octubre de 1961 se le da el nombre de Ernesto acosto a la escuela de la comunidad de palmira en santa Isabel</t>
  </si>
  <si>
    <t>ESC. BILINGÜE  JACOBA URRIOLA SOLIS</t>
  </si>
  <si>
    <t>NOMBRE DE DIOS</t>
  </si>
  <si>
    <t>ESC.  BILINGÜE  JOSE ISABEL HERRERA</t>
  </si>
  <si>
    <t>El dect. 49 del 13 de junio de 1978 crea el centro de educación básica José Isabel Herrera. El dect. 614 del 3 de agosto de 2011   crea el Centro de Educación José Isabel Herrera.Decreto 446 del 14 de agosto de 2018 incorpora la denominacion Bilingüe al Nombre</t>
  </si>
  <si>
    <t>ESC. BILINGÜE CARLOS CLEMENT</t>
  </si>
  <si>
    <t>DEC. 64 DEL 17 DE MAYO DE 1966. SE FUSIONAN LAS ESCUELAS ANEXA ABEL BRAVO Y CARLOS CLEMENT Y SE CLAUSURA LA ANEXA ABEL BRAVO. SE DEROGA EL DECT. 104 DEL JUNIO DE 1949 Y EL DECT.  425 DEL 12 DE AGOSTO DE 1955, QUE CREA EL NOMBRE DE ANEXA DE ABEL BRAVO.DECRETO 446 DEL 14 DE AGOSTO DE 2018 INCORPORA LA DENOMINACION BILINGÜE AL NOMBRE</t>
  </si>
  <si>
    <t>ESC. BILINGÜE CRISPINO CEBALLOS</t>
  </si>
  <si>
    <t>El dect. 97 del 19 de marzo de 1968 crea la escuela Santa Rita. El dect. 117 del 28 de abril de 1969 se le da el nombre de Crispino Ceballos a la escuela Santa Rita del Municipio de Colón.Decreto 446 del 14 de agosto de 2018 incorpora la denominacion Bilingüe al Nombre</t>
  </si>
  <si>
    <t>C.E.B.G.  BILINGÜE CRISTOBAL COLÓN</t>
  </si>
  <si>
    <t>DEC.253 DEL 14 DE AGOSTO DE 1959, DEC 952 DEL 15 DE DIC. DE 2017 QUE IMPLEMENTA EL NIVEL DE EDUC. PREMEDIA</t>
  </si>
  <si>
    <t>El dect. 253 del 14 de agosto de 1959  crea la escuela Cristóbal Colón. El dect. 186 del 11 de mayo de 1962 crea la escuela Cristobal Colón 2 que funcionará en el mismo edificio que ocupa la Escuela Cristobal Colón 1. El dect. 611 del 20 de julio de 1971 se le da el nombre de Cristóbal Colón a la escuela Cristóbal COLÓN 1 y Cristóbal COLÓN 2. Decreto 446 del 14 de agosto de 2018 incorpora la denominacion Bilingüe al Nombre</t>
  </si>
  <si>
    <t>ESC. BILINGÜE DESMOND BYAM</t>
  </si>
  <si>
    <t xml:space="preserve">ESC. BILINGÜE ELISA  VDA. DE GARRIDO </t>
  </si>
  <si>
    <t>ESC. BILINGÜE ENRIQUE GENZIER</t>
  </si>
  <si>
    <t>DEC.611 DEL 20 DE JULIO DE 1971</t>
  </si>
  <si>
    <t xml:space="preserve">  El dect. 611 del 20 de julio de 1971 Une las escuelas de Enrique Geenzier y Pablo Arosemena y la nombran Enrique Geenzier.</t>
  </si>
  <si>
    <t>ESC.  BILINGÜE FELIPE SALABARRIA MESA</t>
  </si>
  <si>
    <t>El dect. 97 del 19 de marzo de 1968 crea la escuela Rio Alejandro. El dect. 220 del 9 de mayo de 1968 se le da el nombre de Felipe Salabarria Mesa a la escuela Rio Alejandro. Decreto 446 del 14 de agosto de 2018 incorpora la denominacion Bilingüe al Nombre</t>
  </si>
  <si>
    <t>ESC.  BILINGÜE JUAN A. HENRÍQUEZ</t>
  </si>
  <si>
    <t>DEC.138 DEL 5 DE ABRIL DE 1966</t>
  </si>
  <si>
    <t>ESC. BILINGÜE MANUEL U. AYARZA</t>
  </si>
  <si>
    <t>ESC. BILINGÜE MARCOS RAMÓN VÁSQUEZ</t>
  </si>
  <si>
    <t>El decreto 415 de 23 de agosto de 1963 se crea la escuela de Sabanita. El dect. 147 del 22 de mayo de 1973 se le da el nombre de Marcos Ramón Vásquez a la escuela de Sabanitas; Municipio de Colón. El dect. 614 del 3 de agosto de 2011 crea el centro educativo Marco Ramón Vásquez.Decreto 446 del 14 de agosto de 2018 incorpora la denominacion Bilingüe al Nombre</t>
  </si>
  <si>
    <t>ESC. BILINGÜE PABLO AROSEMENA</t>
  </si>
  <si>
    <t>DEC.1 DEL 10 DE ENERO DE 1928</t>
  </si>
  <si>
    <t>El dect. 1 del 10 de enero de 1928 se le da el nombre de Pablo Arosemena a la escuela de Niñas No.2. Decreto 446 del 14 de agosto de 2018 incorpora la denominacion Bilingüe al Nombre</t>
  </si>
  <si>
    <t>ESC. BILINGÜE PORFIRIO MELÉNDEZ</t>
  </si>
  <si>
    <t>DEC.104 DEL 13 DE JUNIO DE 1949</t>
  </si>
  <si>
    <t>ESC. BILINGÜE REP. DE BOLIVIA</t>
  </si>
  <si>
    <t>DEC.614 DE  3 DE AGOSTO DE 2011</t>
  </si>
  <si>
    <t>El dect. 62 del 16 de octubre de 1934 se le da el nombre de Republica de Bolivia a la escuela Tomas Herrera. El Dect. 614 del 3 de agosto de 2011 crea el centro de Educación República de Bolivia</t>
  </si>
  <si>
    <t>ESC. BILINGÜE REP. DE SUDÁFRICA</t>
  </si>
  <si>
    <t>DEC.11 DEL 10 DE MARZO DE 1988</t>
  </si>
  <si>
    <t>El dect. 742 del 6 de septiembre de 2012 se le asigna el nombre de Centro Educativo República de Sudáfrica al C.E.B.G. de Puerto Escondido.Decreto 446 del 14 de agosto de 2018 incorpora la denominacion Bilingüe al Nombre</t>
  </si>
  <si>
    <t>ESC. BILINGÜE REP. DEL URUGUAY</t>
  </si>
  <si>
    <t>El dect. 61 del 1 de octubre de 1929 cambia de nombre de Republica de Uruguay y se le da el nombre de Escuela de varones de Colón.Decreto 446 del 14 de agosto de 2018 incorpora la denominacion Bilingüe al Nombre</t>
  </si>
  <si>
    <t>ESC. BILINGÜE RIO RITA</t>
  </si>
  <si>
    <t>ESC. BILINGÜE SAN VICENTE DE PAUL</t>
  </si>
  <si>
    <t>ESC. FRIJOLITO</t>
  </si>
  <si>
    <t>ESC. GANDONA</t>
  </si>
  <si>
    <t>GARROTE</t>
  </si>
  <si>
    <t>ESC. GARROTE</t>
  </si>
  <si>
    <t>ESC. GOBEA</t>
  </si>
  <si>
    <t>I.P.T. COCLESITO</t>
  </si>
  <si>
    <t>Dec.17 del 22 de enero del 2010 se implementa el segundo nivel de enseñanza en el C.E.B.G. Coclesito.</t>
  </si>
  <si>
    <t>COMERCIO, INDUSTRIAL, TURISMO,</t>
  </si>
  <si>
    <t>I.P.T. JACOBA URRIOLA SOLIS</t>
  </si>
  <si>
    <t>El dect. 94 del 10 de febrero de 1971 se le da el nombre de Jacoba Urriola de Solís a la escuela de Mixta de Portobelo. El dect. 49 de 13 de junio de 1978 crea el centro de educación básica Jacoba Urriola de Solís. Decreto 1074 del 16 de diciembre de 2016 que implementa el segundo nivel de enseñanza o educacion media y cambia su denominacion a Centro Educativo. Bachiller en Comercio y Agropecuaria.</t>
  </si>
  <si>
    <t>AGROPECUARIO, TURISMO, TECNOLOGIA E INFORMATICA</t>
  </si>
  <si>
    <t>I.P.T.COLON</t>
  </si>
  <si>
    <t>DEC.24 DEL 13 DE MARZO DE 1973</t>
  </si>
  <si>
    <t>El dect. 24 del 13 de marzo de 1973 que adopta la denominación de Instituto profesional y técnico de Colón</t>
  </si>
  <si>
    <t>BACHILLER INDUSTRIAL, SEGUNDO CICLO INDUSTRIAL</t>
  </si>
  <si>
    <t>I.P.T.GIL BETEGON MARTINEZ</t>
  </si>
  <si>
    <t>El dect. 66 del 27 de diciembre de 1968 se crea el Primer Ciclo de Rio Indio. El dect. 14 del 26 de marzo de 1991 se le da el nombre de Gil Betegon Martínez al Primer ciclo de Rio Indio</t>
  </si>
  <si>
    <t>AGROPECUARIO, SEGUNDO CICLO INDUSTRIAL</t>
  </si>
  <si>
    <t>C.E.B.G. ICACAL ARRIBA</t>
  </si>
  <si>
    <t>INSTITUTO BENIGNO J.GARAY</t>
  </si>
  <si>
    <t>DEC. 164 DEL 16 DE MARZO DE 1971</t>
  </si>
  <si>
    <t>CIENCIAS, COMERCIO, CONTABILIDAD, TURISMO, TECNOLOGIA E INFORMÁTICA</t>
  </si>
  <si>
    <t>INSTITUTO RUFO A.GARAY</t>
  </si>
  <si>
    <t>DEC. 19 DEL 26 DE FEBRERO DE 1980  ELIMINA LA DENOMINACIÓN DE NORMAL A LA ESCUELA RUFO A. GARAY. MEDIANTE EL DECT. 15 DEL 13 DE FEBRERO DE 1973</t>
  </si>
  <si>
    <t>CIENCIAS, COMERCIO, MARITIMO, TURISMO, TECNOLOGIA E INFORMATICA, SERVICIOS Y GESTION INSTITUCIONAL</t>
  </si>
  <si>
    <t>ESC. JOBO ABAJO</t>
  </si>
  <si>
    <t>DEC.66 DEL 27 DE DICIEMBRE DE 1968</t>
  </si>
  <si>
    <t>ESC. EL JOBO CENTRO</t>
  </si>
  <si>
    <t>CENTRO EDUCATIVO JOSÉ GUARDIA VEGA</t>
  </si>
  <si>
    <t>DEC.68 DEL 8 DE ABRIL DE 1958. DEC. 739 DEL 19 DE NOV. DE 2018 QUE DEROGA EN TODAS SUS PARTES EL DEC. EJECUTIVO NO. 1074 DEL 16 DE DIC. DE 2016 Y SE EMPLEMENTA EL SEGUNDO NIVEL DE ENSEÑANZA O EDUCACION MEDIA.</t>
  </si>
  <si>
    <t>El dect. 424 del 20 de septiembre de 1960  Se crea Primer ciclo José guardia Vega.Decreto 1074 del 16 de diciembre de 2016 que implementa el segundo nivel de enseñanza o educacion media y cambia su denominacion a Centro Educativo. Bachiller en Comercio y Contabilidad.</t>
  </si>
  <si>
    <t>COMERCIO, MARITIMO, CONTABILIDAD, TURISMO, TECNOLOGIA E INFORMATICA</t>
  </si>
  <si>
    <t>ESC. JOSE LEANDRO SOLIS</t>
  </si>
  <si>
    <t xml:space="preserve">El dect. 865 del 27 de octubre de 1993 se le da el nombre de José Leandro Solís a la escuela José Pablo Paredes </t>
  </si>
  <si>
    <t>CACIQUE</t>
  </si>
  <si>
    <t>ESC. JOSE POBRE</t>
  </si>
  <si>
    <t>ESC. JUAN GARCIA TORRES</t>
  </si>
  <si>
    <t>DEC.201 DEL 25 DE JUNIO DE 1984</t>
  </si>
  <si>
    <t>El dect. 201 del 25 de junio de 1984 se le da el nombre de Juan García Torres a la escuela primaria de Cuipo</t>
  </si>
  <si>
    <t>CUANGO</t>
  </si>
  <si>
    <t>ESC. JUANA VDA. DE SUGASTE</t>
  </si>
  <si>
    <t>ESC. LA ANDRIONA</t>
  </si>
  <si>
    <t>ESC. LA COCLESANA</t>
  </si>
  <si>
    <t>ESC. LA ESCANDALOSA</t>
  </si>
  <si>
    <t>ESC. LA HUMILDAD</t>
  </si>
  <si>
    <t>ESC. LA NUEVA UNION</t>
  </si>
  <si>
    <t>ESC. LA PALMA</t>
  </si>
  <si>
    <t>ESC. LA REPRESA</t>
  </si>
  <si>
    <t>DEC.473 DEL 21 DE AGOSTO DE 1970</t>
  </si>
  <si>
    <t>ESC. EL LIMON DE CHAGRES</t>
  </si>
  <si>
    <t>ESC. LLANO BONITO</t>
  </si>
  <si>
    <t>ESC. LOS BAJITOS DE DONOSO</t>
  </si>
  <si>
    <t>ESC. LOS CEDROS</t>
  </si>
  <si>
    <t>ESC. LOS CEDROS ABAJO</t>
  </si>
  <si>
    <t>DEC.37 DEL 21 DE MARZO DE 1980</t>
  </si>
  <si>
    <t>ESC. LOS CHORRITOS</t>
  </si>
  <si>
    <t>ESC. LOS FARDALES</t>
  </si>
  <si>
    <t>ESC. LOS OLIVOS</t>
  </si>
  <si>
    <t>ESC. LOS UVEROS</t>
  </si>
  <si>
    <t>C.E.B.G. LUIS JIMENEZ R.</t>
  </si>
  <si>
    <t>DEC.617 DEL 24 DE NOVIEMBRE DE 1970</t>
  </si>
  <si>
    <t xml:space="preserve">.  El dect. 617 del 24 de noviembre de 1970 se le da el nombre de Luis Jiménez Ruiz a la escuela Puerto Pilón; Municipio de Colón. El dect. 60 del 3 de abril de 1997 crea el Centro de Educación Básica General Luis Jiménez Ruiz </t>
  </si>
  <si>
    <t>ESC. MANUEL A. MOLINAR</t>
  </si>
  <si>
    <t>DEC.641 DEL 22 DE DICIEMBRE DE 1970</t>
  </si>
  <si>
    <t>El dect. 641 del 22 de diciembre de 1970 se le da el nombre de Manuel Antonio Molinar a la escuela Cacique; Municipio de portobelo</t>
  </si>
  <si>
    <t>MARÍA CHIQUITA</t>
  </si>
  <si>
    <t>ESC. MARIA CHIQUITA</t>
  </si>
  <si>
    <t>MARIMAR</t>
  </si>
  <si>
    <t>DEC. 78 DE 28 DE JULIO DE 1915</t>
  </si>
  <si>
    <t>ESC. MOSQUERA</t>
  </si>
  <si>
    <t>C.E.B.G. EL NAZARETH</t>
  </si>
  <si>
    <t>ESC. NAZARETH</t>
  </si>
  <si>
    <t>ESC. NUEVA ARENOSA</t>
  </si>
  <si>
    <t>ESC. NUEVA CONCEPCION</t>
  </si>
  <si>
    <t>DEC.279 DEL 16 DE NOVIEMBRE DE 1981</t>
  </si>
  <si>
    <t>NUEVA ESPERANZA</t>
  </si>
  <si>
    <t>CENTRO NUEVA ESPERANZA</t>
  </si>
  <si>
    <t>ESC. NUEVA LUCHA PETAQUILLA</t>
  </si>
  <si>
    <t>ESC. NUEVA PROVIDENCIA</t>
  </si>
  <si>
    <t>ESC. NUEVA SEVILLA</t>
  </si>
  <si>
    <t>DEC.427 DEL 27 DE AGOSTO DE 1963</t>
  </si>
  <si>
    <t>El dect. 427 del 27 de agosto de 1963 se le da el nombre de Sevilla a la escuela La Gallina</t>
  </si>
  <si>
    <t>CENTRO NUEVA EDEN</t>
  </si>
  <si>
    <t>DEC. 263 DEL 5 DE MAYO 2015</t>
  </si>
  <si>
    <t>ESC. NUEVO SAN JOSE</t>
  </si>
  <si>
    <t>El dect. 66 del 27 de diciembre de 1968  se crea la escuela San José en el Municipio de Donoso</t>
  </si>
  <si>
    <t>ESC. NUEVO SAN JOSE N°1</t>
  </si>
  <si>
    <t>El dect. 389 del 5 de septiembre de 2005 se crea el centro de educación básica general San José, ubicado en el corregimiento de San José del General, distrito de Donoso</t>
  </si>
  <si>
    <t>ESC. NUEVO SAN JUAN</t>
  </si>
  <si>
    <t>El dect. 173 del 28 de abril de 1972 se crea la escuela San Juan de Pequini; en el Municipio de Colón</t>
  </si>
  <si>
    <t>C.E.B.G. NUEVO SINAI</t>
  </si>
  <si>
    <t>DEC.476 DE MARTES 14 DE AGOSTO 2018</t>
  </si>
  <si>
    <t>ESC. NUEVO TONOSI</t>
  </si>
  <si>
    <t>ESC. NUEVO VIGIA</t>
  </si>
  <si>
    <t>ESC. OMAR TORRIJOS H.</t>
  </si>
  <si>
    <t>DEC.12 DEL 13 DE ENERO DE 1997</t>
  </si>
  <si>
    <t>ESC. ORONDASTE L.MARTINEZ</t>
  </si>
  <si>
    <t>PALENQUE</t>
  </si>
  <si>
    <t>ESC. PALENQUE</t>
  </si>
  <si>
    <t>ESC. PALENQUE CARRETERA</t>
  </si>
  <si>
    <t>ESC. PEÑAS BLANCAS</t>
  </si>
  <si>
    <t>ESC. PIEDRA AMARILLA</t>
  </si>
  <si>
    <t>PIÑA</t>
  </si>
  <si>
    <t>ESC. PIÑA</t>
  </si>
  <si>
    <t>ISLA GRANDE</t>
  </si>
  <si>
    <t>ESC. PORTOLATINA C. DE RIOS</t>
  </si>
  <si>
    <t>DEC.669 DE 7 DE ABRIL DE 1967</t>
  </si>
  <si>
    <t>ESC. PUEBLO GRANDE</t>
  </si>
  <si>
    <t>DEC. 19 DEL 29 DE ENERO DEL 2013 QUE CREA EL CENTRO EDUCATIVO</t>
  </si>
  <si>
    <t>ESC. QUEBRADA ANCHA</t>
  </si>
  <si>
    <t>DEC.283 DEL 24 DE NOVIEMBRE DE 1981</t>
  </si>
  <si>
    <t xml:space="preserve">Dec. 56 del 20 de febrero del 2017 que implementa el nivel de premedia en el C.E.B.G. Quebrada Ancha. </t>
  </si>
  <si>
    <t>ESC. QUEBRADA BONITA Nº 1</t>
  </si>
  <si>
    <t>DEC.12 DEL 15 DE ENERO DE 1962</t>
  </si>
  <si>
    <t>El dect. 12 del 15 de enero de 1962 la escuela  se llama Quebrada Bonita, Municipio de Colón</t>
  </si>
  <si>
    <t>El dect. 415 del 23 de agosto de 1963 y el dect. 423 del 18 de agosto de 1966 son decretos de creación de la escuela Quebrada Grande</t>
  </si>
  <si>
    <t xml:space="preserve">CHAGRES </t>
  </si>
  <si>
    <t>ESC. QUEBRADA DE LEON</t>
  </si>
  <si>
    <t>ESC. QUEBRAON</t>
  </si>
  <si>
    <t>DEC.204 DEL 18 DE ABRIL DE 1967</t>
  </si>
  <si>
    <t>C.E.B.G. REPUBLICA DE PARAGUAY</t>
  </si>
  <si>
    <t>DEC.490 DEL 26 DE JULIO DE 1972</t>
  </si>
  <si>
    <t>El dect. 490 del 26 de julio de 1972 La escuela República de Paraguay y Juan Antonio Henríquez formarán una solo escuela con el nombre de República de Paraguay</t>
  </si>
  <si>
    <t>ESC. RÍO CAIMITO</t>
  </si>
  <si>
    <t>ESC. RÍO GATUN</t>
  </si>
  <si>
    <t>ESC. RÍO GUANCHE</t>
  </si>
  <si>
    <t>ESC. RÍO INDIO</t>
  </si>
  <si>
    <t>El dect. 49 del 13 de junio de 1978 crea el centro de educación básica Rio Indio</t>
  </si>
  <si>
    <t>ESC. RÍO PIEDRA</t>
  </si>
  <si>
    <t>ESC. SALAMANCA</t>
  </si>
  <si>
    <t>ESC. SALUD</t>
  </si>
  <si>
    <t>ESC. SAN ANTONIO</t>
  </si>
  <si>
    <t>ESC. SAN BENITO</t>
  </si>
  <si>
    <t>El dect. 66 del 27 de diciembre de 1968 y el dect. 71 del 20 de marzo de 1996 son decretos de creación de la escuela San Benito</t>
  </si>
  <si>
    <t>ESC. ALTOS DE LOS LAGOS</t>
  </si>
  <si>
    <t>ESC. SAN JOSE DE SAN LUCAS</t>
  </si>
  <si>
    <t>DEC. 19 DEL 29 DE ENERO 2013</t>
  </si>
  <si>
    <t>SAN JUAN DE TURBE</t>
  </si>
  <si>
    <t>C.E.B.G. SAN JUAN DE TURBE</t>
  </si>
  <si>
    <t>ESC. SAN LUIS CUATRO CALLES</t>
  </si>
  <si>
    <t>ESC. SANTA LIBRADA</t>
  </si>
  <si>
    <t>ESC. SANTA LUCIA</t>
  </si>
  <si>
    <t>ESC. SANTA MARÍA</t>
  </si>
  <si>
    <t>ESC. SANTA RITA ARRIBA</t>
  </si>
  <si>
    <t>DEC.110 DEL 4 DE ABRIL DE 1966</t>
  </si>
  <si>
    <t xml:space="preserve">El dect. 110 del 4 de abril de 1966  el nombre que aparece en el decreto es  escuela es  Santa Rita </t>
  </si>
  <si>
    <t>ESC. SANTA ROSA Nº 2</t>
  </si>
  <si>
    <t>DEC.39 DEL 6 DE FEBRERO DE 1962</t>
  </si>
  <si>
    <t>El dect. 39 del 6 de febrero de 1962 crea la escuela Santa Rosa 2. El dect. 156 del 28 de mayo de 1994 se le da el nombre de Hemenegildo Madrid a la escuela Santa Rosa No.2</t>
  </si>
  <si>
    <t>ESC. SIMEON SALAZAR</t>
  </si>
  <si>
    <t>ESC. SIMÓN URBINA</t>
  </si>
  <si>
    <t>DEC.284 DEL 24 DE NOVIEMBRE DE 1981</t>
  </si>
  <si>
    <t>El dect. 284 del 24 de noviembre de 1981 se crea el Nuevo Primer Ciclo de Colón.   El dect. 301 del 16 de diciembre de 1981 se le da el nombre de  Simón  Urbina al Nuevo Primer Ciclo de Colón.   El dect. 37 del 31 de marzo de 1998  crea el centro de Educación Post-Media oficial Simón Urbina .  El dect.  45 del 3 de febrero de 2011 deroga el decreto 1131 del 22 de diciembre de 2010  que implementa el segundo nivel de enseñanza</t>
  </si>
  <si>
    <t>CONTABILIDAD, TURISMO, TECNOLOGIA E INFORMATICA</t>
  </si>
  <si>
    <t>ESC. UNION COCLESANA</t>
  </si>
  <si>
    <t>ESC. LA UNIÓN DE PIÑA</t>
  </si>
  <si>
    <t>El dect. 614 del 3 de agosto de 2011  Crea el Centro de Educación Básica General Villa Alondra</t>
  </si>
  <si>
    <t>ESC. VISTA ALEGRE 4 CALLES</t>
  </si>
  <si>
    <t>DEC.295 DEL 19 DE OCTUBRE DE 1995</t>
  </si>
  <si>
    <t>ESC. BELEN</t>
  </si>
  <si>
    <t>DEC.783 DEL 11 DE SEPTIEMBRE DE 1952</t>
  </si>
  <si>
    <t>El dect. 783 del 11 de septiembre de 1952 y el dect. 53 del 24 de abril de 1959 son decretos de creación de la escuela Belén</t>
  </si>
  <si>
    <t>C.E.B.G. BOCA DE TOABRE</t>
  </si>
  <si>
    <t>ESC. BOCA DEL CONGAL</t>
  </si>
  <si>
    <t xml:space="preserve">El dect. 383 del 30 de junio de 1956 crea la escuela Boca del Congal. El dect. 262 del 20 de julio de 1964 Reabre la escuela Boca del Congal en el Municipio de Donoso.  </t>
  </si>
  <si>
    <t>ESC. EL BELORIZAL</t>
  </si>
  <si>
    <t>ESC. EL LAGUITO</t>
  </si>
  <si>
    <t xml:space="preserve">El dect. 150 del 30 de junio de 1986 y el dect. 53 del 18 de abril de 1988 son decretos de creación de la escuela El Platanal </t>
  </si>
  <si>
    <t>ESC. ERNESTO TRIANA S.</t>
  </si>
  <si>
    <t>DEC.19 DEL 14 DE MARZO DE 1986</t>
  </si>
  <si>
    <t>El dect. 19 del 14 de marzo de 1986 , denomina con el nombre Ernesto Triana Z. a la escuela primaria de Ciricito</t>
  </si>
  <si>
    <t>ESC. BILINGÜE GATUNCILLO</t>
  </si>
  <si>
    <t xml:space="preserve">DEC. 49 DEL 13 DE JUNIO DE 1978. </t>
  </si>
  <si>
    <t>El dect. 23 del 8 de octubre de 1930 clausura la escuela  Gatuncillo. El decreto 601 de 20 de noviembre de 2008, denomina al Primer Ciclo de Gatuncillo ubicado en el corregimiento de Nuevo San Juan Centro Educativo de Gatuncillo.Decreto 1074 del 16 de diciembre de 2016 que implementa el segundo nivel de enseñanza o educacion media y cambia su denominacion a Centro Educativo. Bachiller en Maritimo Ciencias y Comercio.Decreto 446 del 14 de agosto de 2018 incorpora la denominacion Bilingüe al Nombre</t>
  </si>
  <si>
    <t>VIENTO FRÍO</t>
  </si>
  <si>
    <t>ESC. HERIBERTO MOLINAR</t>
  </si>
  <si>
    <t>DEC.74 DEL 20 DE SEPTIEMBRE DE 1977</t>
  </si>
  <si>
    <t>El dect. 74 del 20 de septiembre de 1977 se le da el nombre de Heriberto Molibar a la escuela de Viento Frio, del Municipio de Santa Isabel</t>
  </si>
  <si>
    <t>ESC. ISLA GRANDE</t>
  </si>
  <si>
    <t>ESC. LA CAUCHERA</t>
  </si>
  <si>
    <t>ESC. LA ENCANTADITA</t>
  </si>
  <si>
    <t xml:space="preserve">DEC. 537 DEL 18 DE SEPTIEMBRE DE 1967 </t>
  </si>
  <si>
    <t>El dect. 537 del 18 de septiembre de 1967 y el Dect.150 del 30 de junio de 1986 son decretos de creación</t>
  </si>
  <si>
    <t>ESC. LAS CRUCES</t>
  </si>
  <si>
    <t>El dect. 66 del 12 de mayo de 1949 y el dect. 138 del 16 de junio de 1959 aparecen como decretos de creación de la escuela Las Cruces</t>
  </si>
  <si>
    <t>ESC. LAS MINAS DE DONOSO</t>
  </si>
  <si>
    <t>DEC.302 DEL 19 DE OCTUBRE DE 1995</t>
  </si>
  <si>
    <t>ESC. MIGUELITO</t>
  </si>
  <si>
    <t>ESC. NUEVA ESPERANZA</t>
  </si>
  <si>
    <t>DEC. 446 DEL 8 DE JUNIO DEL 2015 QUE CREA EL C.E.</t>
  </si>
  <si>
    <t>ESC. NUEVO SAN JOSE N°2</t>
  </si>
  <si>
    <t>ESC. NUEVO VERAGUAS</t>
  </si>
  <si>
    <t>PLAYA CHIQUITA</t>
  </si>
  <si>
    <t>ESC. PLAYA CHIQUITA</t>
  </si>
  <si>
    <t>DEC.199 DEL 19 DE MAYO DE 1955</t>
  </si>
  <si>
    <t xml:space="preserve">El dect. 325 del 24 de julio de 1954 Clausura la escuela Playa chiquita en COLÓN.  El dect. 560 del 1 de noviembre de 1954 Clausura la escuela. </t>
  </si>
  <si>
    <t>ESC. QUEBRADA BONITA Nº 2</t>
  </si>
  <si>
    <t>En el dect. 34 del 24 de enero de 1966  la escuela se llama Quebrada Bonita, Municipio de Chagres</t>
  </si>
  <si>
    <t>ESC. RÍO DIEGO</t>
  </si>
  <si>
    <t>DEC.423 DEL 18 DE AGOSTO DE 1966</t>
  </si>
  <si>
    <t>ESC. RÍO PALMILLA</t>
  </si>
  <si>
    <t>ESC. SABANITA VERDE</t>
  </si>
  <si>
    <t>C.E.B.G. SANTA ELENA</t>
  </si>
  <si>
    <t>ESC. SANTA FE ABAJO</t>
  </si>
  <si>
    <t>ESC. SANTA ROSA Nº 1</t>
  </si>
  <si>
    <t>ESC. VILLA SANTA CRUZ</t>
  </si>
  <si>
    <t>DEC.422 DEL 18 DE AGOSTO DE 1966</t>
  </si>
  <si>
    <t>TELE-EDUCACION ADELAIDA DE HERRERA</t>
  </si>
  <si>
    <t>ESC. BASILIO LAKAS (ANEXA A OFICIAL NOCTURNA)</t>
  </si>
  <si>
    <t>C.E.L.N.O.  GATUNCILLO</t>
  </si>
  <si>
    <t>ESC. COCLESITO</t>
  </si>
  <si>
    <t>CAJA DE SEGURO SOCIAL (TECNOEDUCAME)</t>
  </si>
  <si>
    <t>ESC. CRISTOBAL COLON</t>
  </si>
  <si>
    <t>ESCUELA SECUNDARIA NOCTURNA OFICIAL DE COLON</t>
  </si>
  <si>
    <t>CIENCIAS, HUMANIDADES, COMERCIO, TURISMO</t>
  </si>
  <si>
    <t>IPT NOCTURNO DE COLÓN</t>
  </si>
  <si>
    <t>CONSTRUCCIÓN,AUTOTRONICA, EBANISTERIA, MECANICA DE PRESICION, REFRIGERACION Y CLIMATIZACION, SOLDADURA, MODISTERIA,AUTOMECANICA,INFORMATICA,CHAPISTERIA</t>
  </si>
  <si>
    <t>ESC. MANUEL U. AYARZA</t>
  </si>
  <si>
    <t>DEC.25 DE 4 DE ABRIL DE 1959</t>
  </si>
  <si>
    <t>NUEVA ESPERANZA (ANEXA A NOCTURNA OFICIAL)</t>
  </si>
  <si>
    <t>HUMANIDADES</t>
  </si>
  <si>
    <t xml:space="preserve">BARRIO SUR </t>
  </si>
  <si>
    <t xml:space="preserve">TECNO-EDUCAME ZONA LIBRE </t>
  </si>
  <si>
    <t>PEDAGOGICO</t>
  </si>
  <si>
    <t>ESC. PORFIRIO MELENDEZ</t>
  </si>
  <si>
    <t>ESC. QUEBRADA BONITA</t>
  </si>
  <si>
    <t>TELE-EDUCACIÓN ANASTACIA MITRE</t>
  </si>
  <si>
    <t>POST ALFABETIZACIÓN-PREMEDIA</t>
  </si>
  <si>
    <t>TELE-EDUCACIÓN CELESTINO VILLARRETA</t>
  </si>
  <si>
    <t>TELE-EDUCACIÓN DE BOQUERON ARRIBA</t>
  </si>
  <si>
    <t>TELE-EDUCACIÓN GUABO</t>
  </si>
  <si>
    <t>TELE-EDUCACIÓN JACOBA URRIOLA SOLÍS</t>
  </si>
  <si>
    <t>TELE-EDUCACIÓN RIO DIEGO</t>
  </si>
  <si>
    <t>TELE-EDUCACIÓN VILLA DEL CARMEN</t>
  </si>
  <si>
    <t>TELE-EDUCACIÓN ENRIQUE GEENZIER</t>
  </si>
  <si>
    <t>TELE-EDUCACIÓN CUIPO(ANEXA A RIO INDIO)</t>
  </si>
  <si>
    <t>CENTRO DE ESTUDIOS SUPERIORES DE BELLAS ARTES Y FOLKLORE DE COLÓN</t>
  </si>
  <si>
    <t>IPHE  DE COLÓN</t>
  </si>
  <si>
    <t>ESC. PRESCOLAR ADONAY (CENTRO BASICA GENERAL ADONAY)</t>
  </si>
  <si>
    <t>CENTRO DE APRENDIZAJE CREATIVO TENDER</t>
  </si>
  <si>
    <t>CAIPI MI PEQUEÑA CASITA</t>
  </si>
  <si>
    <t xml:space="preserve">CAIPI HAPPY HOUSE </t>
  </si>
  <si>
    <t>CENTRO INFANTIL MOMENTOS FELICES</t>
  </si>
  <si>
    <t>CAIPI VIRGEN DE FATIMA</t>
  </si>
  <si>
    <t>ESCUELITA MUSICAL</t>
  </si>
  <si>
    <t>CAIPI CHILDREN SPACE</t>
  </si>
  <si>
    <t xml:space="preserve">CAIPI GENESIS </t>
  </si>
  <si>
    <t>HUELLAS DE AMOR</t>
  </si>
  <si>
    <t>ACADEMIA SANTA INES</t>
  </si>
  <si>
    <t>JARDIN INFANCIA MI CIELO ES REAL</t>
  </si>
  <si>
    <t>CENTRO INFANTIL NICEC (HERMANAS DE LA MISERICORDIA)</t>
  </si>
  <si>
    <t>CAIPI SION ACADEMY</t>
  </si>
  <si>
    <t>ALFALIT PREESCOLAR DEL CARMEN  </t>
  </si>
  <si>
    <t>ALFALIT EMANUEL DIOS CON NOSOTROS</t>
  </si>
  <si>
    <t>ALFALIT ESTRELLITA DE JESUS</t>
  </si>
  <si>
    <t>ALFALIT LUCESITAS</t>
  </si>
  <si>
    <t>ALFALIT PREPARADITOS PARA EL MAÑANA</t>
  </si>
  <si>
    <t>CAIPI PASITOS VERDES</t>
  </si>
  <si>
    <t>ACADEMIA SANTA MARIA</t>
  </si>
  <si>
    <t>CENTRO ACADEMICO PALABRA DE VIDA</t>
  </si>
  <si>
    <t>RES. 2669 DEL 18 DE MAYO DE 2021 POR EL CUAL AUTORIZA EL FUNCIONAMIENTO DEL C.E.</t>
  </si>
  <si>
    <t>CENTRO BET-EL DE GATUNCILLO</t>
  </si>
  <si>
    <t>RES. 101 DEL 5 DE ENERO DE 2022 QUE AUTORIZA FUNCIONAMIENTO</t>
  </si>
  <si>
    <t>CENTRO DE EDUCACIÓN CRISTIANO BILINGÜE EL BUEN PASTOR</t>
  </si>
  <si>
    <t>CENTRO EDUCATIVO BILINGÜE LA CASITA ABY</t>
  </si>
  <si>
    <t>RES. 385 DEL 25 DE ENERO DE 2021 QUE AUTORIZA EL FUNCIONAMIENTO DEL C.E.</t>
  </si>
  <si>
    <t>CENTRO EDUCATIVO EVANGELICO CUADRANGULAR BET-EL DE ARCO IRIS</t>
  </si>
  <si>
    <t>CENTRO EDUCATIVO LA SAGRADA  FAMILIA</t>
  </si>
  <si>
    <t>CENTRO EDUCATIVO SHALOM RABÍ</t>
  </si>
  <si>
    <t>CENTRO ESCOLAR MIS PRIMEROS PASOS</t>
  </si>
  <si>
    <t>CENTRO ESCOLAR SAN MIGUEL FEBRES CORDERO</t>
  </si>
  <si>
    <t>COLEGIO ADVENTISTA DE COLON</t>
  </si>
  <si>
    <t>COLEGIO ADVENTISTA DEL 20</t>
  </si>
  <si>
    <t>COLEGIO BILINGÜE EBEN -EZER</t>
  </si>
  <si>
    <t>COLEGIO  LA SALLE DE MARGARITA</t>
  </si>
  <si>
    <t>PREESCOLAR-PRIMARIA-MEDIA ACADÉMICA</t>
  </si>
  <si>
    <t>COLEGIO SAN JOSE LA SALLE</t>
  </si>
  <si>
    <t>ESC. SANTA TERESITA</t>
  </si>
  <si>
    <t>EDEN BILINGUAL SCHOOL</t>
  </si>
  <si>
    <t>ESC. NUESTRA SEÑORA DE LOURDES</t>
  </si>
  <si>
    <t>RES. 2678 AL 11 DE OCTUBRE DE 2022 AUTORIZA FUNCIONAMIENTO.</t>
  </si>
  <si>
    <t>INSTITUTO SANTA MARÍA DE BELÉN</t>
  </si>
  <si>
    <t>RES. 2388 DEL 10 DE AGOSTO DE 2020 QUE AUTORIZA EL FUNCIONAMIENTO DEL C.E. AL INSTITUTO SANTA MARIA DE BELEN PARA QUE PUEDA IMPARTIR EDUCACION BASICA GENERAL Y EL SEGUNDO NIVEL DE ENSEÑANZA (BACHILLER EN CIENCIAS).</t>
  </si>
  <si>
    <t>INSTITUTO DE MARINA MERCANTE</t>
  </si>
  <si>
    <t>MI LINDO ARCO IRIS</t>
  </si>
  <si>
    <t>CENTRO DE ENSEÑANZA ESPECIALIZADA</t>
  </si>
  <si>
    <t>CENTRO EDUCATIVO LABORAL CARLOS MARÍA ARIS</t>
  </si>
  <si>
    <t>RES. 3473 AL 16 DE DIC. DE 2022 POR EL CUAL AUTORIZA FUNCIONAMIENTO</t>
  </si>
  <si>
    <t>PREMEDIA-MEDIA ACADÉMICA PROFESIONAL Y TÉCNICA</t>
  </si>
  <si>
    <t>COL. BUEN PASTOR RENACER</t>
  </si>
  <si>
    <t>LABORAL INSTITUTO DE ESTUDIOS TÉCNICOS DE COLÓN (IETC)</t>
  </si>
  <si>
    <t>SEGUNDO CICLO INDUSTRIAL</t>
  </si>
  <si>
    <t>ACADEMIA INTERNACIONAL BILINGÜE ARABE PANAMEÑA</t>
  </si>
  <si>
    <t>COLEGIO INTERNACIONAL DEL CARIBE</t>
  </si>
  <si>
    <t>HUMANIDADES, TURISMO</t>
  </si>
  <si>
    <t>DARIÉN</t>
  </si>
  <si>
    <t>SANTA FÉ</t>
  </si>
  <si>
    <t>RÍO CONGO</t>
  </si>
  <si>
    <t xml:space="preserve">ESC. LA PEÑITA </t>
  </si>
  <si>
    <t>T.C. DARIÉN</t>
  </si>
  <si>
    <t>PINOGANA</t>
  </si>
  <si>
    <t>METETÍ</t>
  </si>
  <si>
    <t>ESC. AFNATI</t>
  </si>
  <si>
    <t>DEC. 18 DEL 7  DE ABRIL DEL 2022</t>
  </si>
  <si>
    <t>ESC. AGUA BUENA Nº 1</t>
  </si>
  <si>
    <t>ESC. AGUA BUENA Nº 2</t>
  </si>
  <si>
    <t>RIO IGLESIAS</t>
  </si>
  <si>
    <t>ESC. AGUA CALIENTE</t>
  </si>
  <si>
    <t>DEC.17 DEL 22 DE MARZO DE 1982</t>
  </si>
  <si>
    <t>CHEPIGANA</t>
  </si>
  <si>
    <t xml:space="preserve">ESC. ALDEA EMBERA </t>
  </si>
  <si>
    <t>ESC. ALTO DEL CRISTO</t>
  </si>
  <si>
    <t>DEC. 247 DEL 6 DE JULIO DE 1984</t>
  </si>
  <si>
    <t>GARACHINÉ</t>
  </si>
  <si>
    <t>ESC. ALTOS DE JESUS</t>
  </si>
  <si>
    <t>ESC. ANAYANSI</t>
  </si>
  <si>
    <t>DEC.53 DEL 25 DE MARZO DE 1982</t>
  </si>
  <si>
    <t>RÍO CONGO ARRIBA</t>
  </si>
  <si>
    <t>ESC. ARENAL</t>
  </si>
  <si>
    <t>DEC.101 DEL 5 DE MAYO DE 1986</t>
  </si>
  <si>
    <t>YAPE</t>
  </si>
  <si>
    <t>ESC. ARUZA</t>
  </si>
  <si>
    <t>CAMOGANTÍ</t>
  </si>
  <si>
    <t xml:space="preserve">ESC. EL BACAO </t>
  </si>
  <si>
    <t>BOCA DE CUPE</t>
  </si>
  <si>
    <t xml:space="preserve">ESC. EL BALSAL </t>
  </si>
  <si>
    <t>JAQUÉ</t>
  </si>
  <si>
    <t xml:space="preserve">ESC. BIROQUERA </t>
  </si>
  <si>
    <t>DEC.223 DEL 6 DE JULIO DE 1984</t>
  </si>
  <si>
    <t>ESC. BOCA DE LARA</t>
  </si>
  <si>
    <t>DEC. 17 DEL 22 DE MARZO DE 1982</t>
  </si>
  <si>
    <t>ESC. BOCA DE YAPE</t>
  </si>
  <si>
    <t>DEC. 473 DEL 21 DE AGOSTO DE 1970 CREA LA ESCUELA YAPE ABAJO EN EL MUNICIPIO DE PINOGANA, PROVINCIA DE DARIÉN</t>
  </si>
  <si>
    <t>TUCUTÍ</t>
  </si>
  <si>
    <t xml:space="preserve">ESC. BUENOS AIRES </t>
  </si>
  <si>
    <t>CUCUNATÍ</t>
  </si>
  <si>
    <t>C.E.B.G. BILINGÜE CUCUNATÍ</t>
  </si>
  <si>
    <t>C.E.B.G. BILINGÜE PORTUCHADA</t>
  </si>
  <si>
    <t>DEC.69 DEL 5 DE MAYO DE 1982</t>
  </si>
  <si>
    <t>ESC. CAMOGANTI</t>
  </si>
  <si>
    <t>ESC. CANDELILLA</t>
  </si>
  <si>
    <t>DEC.247 DEL 6 DE JULIO DE 1984</t>
  </si>
  <si>
    <t>TAIMATÍ</t>
  </si>
  <si>
    <t>ESC. CEMACO</t>
  </si>
  <si>
    <t xml:space="preserve">ESC. CERRO NAIPE </t>
  </si>
  <si>
    <t xml:space="preserve">ESC. CHATI </t>
  </si>
  <si>
    <t>DEC.86 DEL 28 DE MARZO DE 1996</t>
  </si>
  <si>
    <t>ESC. CHUCURTI</t>
  </si>
  <si>
    <t>ESC. CHULETI</t>
  </si>
  <si>
    <t>DEC.104 DEL 5 DE MAYO DE 1986</t>
  </si>
  <si>
    <t xml:space="preserve">ESC. COCALITO </t>
  </si>
  <si>
    <t>SETEGANTÍ</t>
  </si>
  <si>
    <t>ESC. RIO COLORADO</t>
  </si>
  <si>
    <t>ESC. COREDO</t>
  </si>
  <si>
    <t>ESC. CRISPULO LEOTAU</t>
  </si>
  <si>
    <t>DEC. 135 DE 11 DE AGOSTO DE 1909</t>
  </si>
  <si>
    <t>El decreto 135 de 11 de agosto de 1909 crea en Taimatí, escuela de varones y de niñas. El dect. 13 del 22 de marzo de 1982 se le da el nombre de Críspulo Leoteau a la escuela de Taimatí</t>
  </si>
  <si>
    <t xml:space="preserve">ESC. CUPE </t>
  </si>
  <si>
    <t>ESC. EDAMIA MENDOZA (BARRIALES)</t>
  </si>
  <si>
    <t>DEC.191 DEL 12 DE SEPTIEMBRE DE 1996</t>
  </si>
  <si>
    <t>El dect. 191 del 12 de septiembre de 1996 se le da el nombre de Edamia Mendoza Madrigal a la escuela Primaria de Barriales</t>
  </si>
  <si>
    <t>ESC. EL CAOBA</t>
  </si>
  <si>
    <t>ESC. EL COCO</t>
  </si>
  <si>
    <t>ESC. EL MAMEY</t>
  </si>
  <si>
    <t>Distrito de Chepigana</t>
  </si>
  <si>
    <t>ESC. EL PIJIBA</t>
  </si>
  <si>
    <t>YAVIZA</t>
  </si>
  <si>
    <t>ESC. PORVENIR</t>
  </si>
  <si>
    <t>ESC. EL TOTUMO</t>
  </si>
  <si>
    <t>DEC.35 DEL 10 DE MARZO DE 1987</t>
  </si>
  <si>
    <t>ZAPALLAL</t>
  </si>
  <si>
    <t>ESC. ZAPALLAL</t>
  </si>
  <si>
    <t>DEC.66 DEL 9 DE MARZO DE 1993</t>
  </si>
  <si>
    <t xml:space="preserve">El dect. 66 del 9 de marzo de 1993  crea oficialmente el primer ciclo de Zapallal. El dect. 242 del 21 de agosto de 2007 crea el Centro de Educación Básica General Zapallal   </t>
  </si>
  <si>
    <t>AGUA FRÍA</t>
  </si>
  <si>
    <t>ESC. EMBERA-PURU</t>
  </si>
  <si>
    <t>I.P.T. BILINGUE AGUA FRIA</t>
  </si>
  <si>
    <t>DEC.17 DEL 22 DE MARZO DE 1982. I.P.T. BILINGUE AGUA FRIA</t>
  </si>
  <si>
    <t>ESC. BILINGÜE AGUA FRÍA 1</t>
  </si>
  <si>
    <t>DEC.16 DEL 22 DE MARZO DE 1982</t>
  </si>
  <si>
    <t>Decreto 1074 del 16 de diciembre de 2016 que implementa el segundo nivel de enseñanza o educacion media y cambia su denominacion a Centro Educativo. Bachiller en Agopecuaria. Decreto 446 del 14 de agosto de 2018 incorpora la denominacion Bilingüe al Nombre</t>
  </si>
  <si>
    <t>ESC. BILINGÜE BOCA DE CUPE</t>
  </si>
  <si>
    <t>ESC. BILINGÜE EL TIRADO</t>
  </si>
  <si>
    <t>EL REAL DE SANTA MARIA</t>
  </si>
  <si>
    <t>ESC. BILINGÜE EMILIA VALDELAMAR</t>
  </si>
  <si>
    <t>DEC. 614 DEL 3 DE AGOSTO DE 2011</t>
  </si>
  <si>
    <t>El dect. 575 del 5 de noviembre de 1992  se le da el nombre de Emilia Valdelamar villar a la escuela Real de Santa María.  El dect. 614 del 3 de agosto de 2011 crea Centros Educativos.Decreto 446 del 14 de agosto de 2018 incorpora la denominacion Bilingüe al Nombre</t>
  </si>
  <si>
    <t>LA PALMA</t>
  </si>
  <si>
    <t>ESC. BILINGÜE EUGENIO PÉREZ</t>
  </si>
  <si>
    <t>DEC. 113 DEL 2 DE JUNIO DE 2000</t>
  </si>
  <si>
    <t>El dect. 61 del 1 de octubre de 1929 crea la escuela La Palma. El dect. 38 del 21 de marzo de 1974 se le da el nombre de Eugenio Pérez a la escuela La Palma del Distrito de la Palma.  El dect. 113 del 2 de junio  de 2000 se crea el centro de educación básica Eugenio Pérez, en el distrito de Chepigana. Decreto 446 del 14 de agosto de 2018 incorpora la denominacion Bilingüe al Nombre.Decreto 446 del 14 de agosto de 2018 incorpora la denominacion Bilingüe al Nombre</t>
  </si>
  <si>
    <t xml:space="preserve"> PRIMARIA-PREMEDIA</t>
  </si>
  <si>
    <t>ESC. BILINGÜE INOCENCIO QUINTANAR</t>
  </si>
  <si>
    <t>DEC.92 DEL 17 DE MAYO DE 1999</t>
  </si>
  <si>
    <t xml:space="preserve">El dect. 92 del 17 de mayo de 1999 se le da el nombre de Inocencio Quintanar Blanco a la escuela primaria Tucutí. Dect. 1071 del 25 de noviembre del 2016 que crea los centros educativos que implementan el Programa de Educación Premedia y Media con metodología Escuela Nueva Escuela Activa (ENEA). Decreto 446 del 14 de agosto de 2018 incorpora la denominacion Bilingüe al Nombre
</t>
  </si>
  <si>
    <t>ESC. BILINGÜE JOSE DEL C. MEJIA</t>
  </si>
  <si>
    <t>DEC.20 DEL 26 DE MARZO DE 1991</t>
  </si>
  <si>
    <t>El dect. 20 del 26 de marzo de 1991 se le da el nombre de José del Carmen Mejía a la escuela primaria de Yaviza.  El dect. 492 del 5 de diciembre de 2005 es el decreto de creación del centro educativo José del Carmen Mejía. El dect. 521 del 28 de diciembre de 2005 deroga el dect. 492 del 2 de diciembre de 2005 en todas sus partes.Decreto 446 del 14 de agosto de 2018 incorpora la denominacion Bilingüe al Nombre</t>
  </si>
  <si>
    <t>ESC. BILINGÜE LA CANTERA</t>
  </si>
  <si>
    <t>DEC.108 DEL 18 DE MAYO DE 1984</t>
  </si>
  <si>
    <t>ESC.  BILINGÜE NUEVO PROGRESO</t>
  </si>
  <si>
    <t>ESC. BILINGÜE PUNULOSO</t>
  </si>
  <si>
    <t>ESC.  BILINGÜE SANTA FE</t>
  </si>
  <si>
    <t>DEC.379 DEL 4 DE MAYO DE 1971</t>
  </si>
  <si>
    <t>El dect. 614 del 3 de agosto de 2011 crea centro educativo Santa Fe. Decreto 446 del 14 de agosto de 2018 incorpora la denominacion Bilingüe al Nombre</t>
  </si>
  <si>
    <t>ESC. BILINGÜE SANTA LIBRADA</t>
  </si>
  <si>
    <t>PRIMER CICLO ZAPALLAL</t>
  </si>
  <si>
    <t xml:space="preserve">ESC. GERARDO BACORIZO DOGIRAMA </t>
  </si>
  <si>
    <t>DEC.124 DEL 26 DE FEBRERO DE 1971</t>
  </si>
  <si>
    <t>El dect. 124 del 26 de febrero de 1971 crea la escuela Quebrada Boca de Mono. El dect. 666 del 10 de agosto de 2010 se le da el nombre de Gerardo Bocarizo Dogirama a la escuela Quebrada Boca de Mono</t>
  </si>
  <si>
    <t>ESC. GUAYABILLO</t>
  </si>
  <si>
    <t xml:space="preserve">ESC. GUAYABITO </t>
  </si>
  <si>
    <t>CENTRO EDUCATIVO MARCOS ANTONIO ALARCÓN PALOMINO</t>
  </si>
  <si>
    <t>DEC. 230 DEL 16 DE MARZO DE 2021 QUE LEGALIZA UNIFICACION DE OFERTAS ACADEMICAS DEL I.P.T Y C.E.B.G. MARCOS ALARCON Y CAMBIA LA DENOMINACION A C.E. MARCO ANTONIO ALARCON PALOMINO.</t>
  </si>
  <si>
    <t>El dect. 521 del 8 de agosto de 2003 se le da el nombre de Marco Antonio Alarcón Palomino al centro de educación básica Y al instituto profesional y técnico de Metetí</t>
  </si>
  <si>
    <t>CIENCIAS, INDUSTRIAL, SEGUNDO CICLO INDUSTRIAL, CONTABILIDAD</t>
  </si>
  <si>
    <t>I.P.T. ALEJANDRO CASTILLO G.</t>
  </si>
  <si>
    <t>DEC. 389 DEL 9 DE AGOSTO DE 1993</t>
  </si>
  <si>
    <t>El decreto 164 del 11 de junio de 1984 se le da el nombre de Primer Ciclo Alejandro Castillo Gonzalez al Primer Ciclo La Palma.</t>
  </si>
  <si>
    <t>CIENCIAS, PEDAGOGICO , INDUSTRIAL, CONTABILIDAD, TECNOLOGIA E INFORMATICA</t>
  </si>
  <si>
    <t>CENTRO EDUCATIVO BILINGÜE JOSE DE LA C. HERRERA</t>
  </si>
  <si>
    <t>DEC. 1074 DEL 16 DE DICIEMBRE DE 2016 QUE IMPLEMENTA EL SEGUNDO NIVEL DE ENSEÑANZA O EDUCACION MEDIA Y CAMBIA SU DENOMINACION A CENTRO EDUCATIVO. BACHILLER EN COMERCIO E INDUSTRIAL.DEC. 739 DEL 19 DE NOV. DE 2018 QUE DEROGA EN TODAS SUS PARTES EL DEC. EJECUTIVO NO. 1074 DEL 16 DE DIC. DE 2016 Y SE EMPLEMENTA EL SEGUNDO NIVEL DE ENSEÑANZA O EDUCACION MEDIA.</t>
  </si>
  <si>
    <t>CONTABILIDAD, CONTRUCCION</t>
  </si>
  <si>
    <t>ESC. JOSEPAGANTI</t>
  </si>
  <si>
    <t xml:space="preserve">ESC. INDIA </t>
  </si>
  <si>
    <t>DEC.113 DEL 19 DE ABRIL DE 1996</t>
  </si>
  <si>
    <t>ESC. LA MONEDA</t>
  </si>
  <si>
    <t>ESC. LA QUEBRADA</t>
  </si>
  <si>
    <t>ESC. LA RELOJERA</t>
  </si>
  <si>
    <t xml:space="preserve">ESC. LA RESERVA </t>
  </si>
  <si>
    <t xml:space="preserve">ESC. LAS PEÑITAS </t>
  </si>
  <si>
    <t xml:space="preserve">C.E.B.G. LLANO BONITO </t>
  </si>
  <si>
    <t>DEC. 41 DEL 20 DE FEBRERO DE 2017 QUE CREA EL C.E.B.G.</t>
  </si>
  <si>
    <t>ESC. LLANO BONITO DE MOGUE</t>
  </si>
  <si>
    <t>CENTRO EDUCATIVO MARCOS MEDINA A.</t>
  </si>
  <si>
    <t>DEC.222 DEL 27 DE JUNIO DE 2000. DEC. 739 DEL 19 DE NOV. DE 2018 QUE DEROGA EN TODAS SUS PARTES EL DEC. EJECUTIVO NO. 1074 DEL 16 DE DIC. DE 2016 Y SE EMPLEMENTA EL SEGUNDO NIVEL DE ENSEÑANZA O EDUCACION MEDIA.</t>
  </si>
  <si>
    <t>El dect. 222 del 27 de junio de 2000 se le da el nombre de Marcos Medina Ambulo al centro de Educación Básica General de Jaqué, corregimiento de Jaqué, distrito de Chepigana.Decreto 1074 del 16 de diciembre de 2016 que implementa el segundo nivel de enseñanza o educacion media y cambia su denominacion a Centro Educativo. Bachiller en Ciencias.</t>
  </si>
  <si>
    <t>C.E.B.G. MI PUEBLITO</t>
  </si>
  <si>
    <t>ESC. MOGOCENEGA</t>
  </si>
  <si>
    <t>DEC.325 DEL 24 DE JULIO DE 1954</t>
  </si>
  <si>
    <t>ESC. MONTE RICO</t>
  </si>
  <si>
    <t>COMARCA KUNA DE WARGANDI</t>
  </si>
  <si>
    <t>C.E.B.G MORTÍ</t>
  </si>
  <si>
    <t>COM.WARGANDI</t>
  </si>
  <si>
    <t>ESC. NICANOR</t>
  </si>
  <si>
    <t>PUERTO PIÑA</t>
  </si>
  <si>
    <t xml:space="preserve">ESC. NUEVA ESTANCIA </t>
  </si>
  <si>
    <t>DEC.556 DEL 6 DE JULIO DE 1971</t>
  </si>
  <si>
    <t>ESC. NUEVO BIJAO</t>
  </si>
  <si>
    <t>El dect. 53 del 24 de abril de 1959 y el Dect.104 del 5 de mayo de 1986 son decreto de creación</t>
  </si>
  <si>
    <t xml:space="preserve">ESC. NURRA </t>
  </si>
  <si>
    <t>ESC. PAVARANDO DE JAQUE</t>
  </si>
  <si>
    <t xml:space="preserve">ESC. PAYITA </t>
  </si>
  <si>
    <t xml:space="preserve">ESC. PIJIBAZAL </t>
  </si>
  <si>
    <t>ESC. PINOGANA</t>
  </si>
  <si>
    <t>ESC. EL PIRRE Nº 1</t>
  </si>
  <si>
    <t>El dect. 167 del 24 de abril de 1970, se crea la escuela El Pirre en el Municipio de Pinogana</t>
  </si>
  <si>
    <t>ESC. PLATANILLO</t>
  </si>
  <si>
    <t>PÚCURO</t>
  </si>
  <si>
    <t xml:space="preserve">ESC. PUCURO </t>
  </si>
  <si>
    <t xml:space="preserve">ESC. PUEBLO NUEVO </t>
  </si>
  <si>
    <t>ESC. PUERTO PIÑA</t>
  </si>
  <si>
    <t>ESC. PUNTA ALEGRE</t>
  </si>
  <si>
    <t>ESC. QUEBRADA EUSEBIO</t>
  </si>
  <si>
    <t>ESC. QUEBRADA FELIX</t>
  </si>
  <si>
    <t>ESC. QUEBRADA JABON</t>
  </si>
  <si>
    <t>DEC.36 DEL 27 DE MARZO DE 1998</t>
  </si>
  <si>
    <t>ESC. QUEBRADA LASTENIA</t>
  </si>
  <si>
    <t>El dect. 204 del 18 de abril de 1967 crea la escuela Quebrada Lino en el Municipio de Chepigana</t>
  </si>
  <si>
    <t>ESC. QUEBRADA MUERTO</t>
  </si>
  <si>
    <t>ESC. QUEBRADA TANQUE</t>
  </si>
  <si>
    <t>ESC. RÍO BONITO</t>
  </si>
  <si>
    <t>ESC. RIO CONGO</t>
  </si>
  <si>
    <t xml:space="preserve">ESC. RIO DE JESUS </t>
  </si>
  <si>
    <t>ESC. RÍO IGLESIA</t>
  </si>
  <si>
    <t xml:space="preserve">ESC. RÍO MOGUE </t>
  </si>
  <si>
    <t>DEC.353 DEL 3 DE AGOSTO DE 1960</t>
  </si>
  <si>
    <t>ESC. RÍO PAVO</t>
  </si>
  <si>
    <t>ESC. RÍO ROMAN</t>
  </si>
  <si>
    <t>ESC. RÍO SABANA</t>
  </si>
  <si>
    <t>ESC. SALTO TRES PIEDRAS</t>
  </si>
  <si>
    <t>SAMBÚ</t>
  </si>
  <si>
    <t>C.E.B.G. SAMBU</t>
  </si>
  <si>
    <t>ESC. SAN MIGUEL</t>
  </si>
  <si>
    <t>ESC. SANSON</t>
  </si>
  <si>
    <t>ESC. SANSON ABAJO</t>
  </si>
  <si>
    <t>DEC. 46 DEL 21 DE ABRIL DE 1981</t>
  </si>
  <si>
    <t>ESC. SANSON ARRIBA</t>
  </si>
  <si>
    <t>ESC. SANSONCITO</t>
  </si>
  <si>
    <t>ESC. SETEGANTÍ</t>
  </si>
  <si>
    <t>ESC. EL TAMARINDO</t>
  </si>
  <si>
    <t>ESC. UNION INTERIORANA</t>
  </si>
  <si>
    <t>ESC. VALLE RISCÓ</t>
  </si>
  <si>
    <t>DEC.297 DEL 19 DE OCTUBRE DE 1995</t>
  </si>
  <si>
    <t>ESC. VILLA FLOR</t>
  </si>
  <si>
    <t xml:space="preserve">ESC. WALLA </t>
  </si>
  <si>
    <t>ESC. ZIMBA</t>
  </si>
  <si>
    <t>ESC. ALTOS DE BUENOS AIRES</t>
  </si>
  <si>
    <t>DEC.118 DEL 14 DE MAYO DE 1994</t>
  </si>
  <si>
    <t>El dect. 118 del 14 de mayo de 1994 y el dect. 85 del 28 de marzo de 1996 son decretos de creación de la escuela Altos de Buenos Aires.</t>
  </si>
  <si>
    <t>ESC. ARRETI</t>
  </si>
  <si>
    <t>ESC. ARUZA ARRIBA</t>
  </si>
  <si>
    <t>ESC. BIJAGUAL</t>
  </si>
  <si>
    <t>DEC. 221 DEL 7 DE JUNIO DE 1963</t>
  </si>
  <si>
    <t>ESC. CANGLON</t>
  </si>
  <si>
    <t>ESC. CHEPIGANA</t>
  </si>
  <si>
    <t xml:space="preserve">ESC. LA MAREA </t>
  </si>
  <si>
    <t xml:space="preserve">ESC. MATUGANTI </t>
  </si>
  <si>
    <t xml:space="preserve">ESC. NUEVA GALILEA </t>
  </si>
  <si>
    <t>ESC. PALMIRA</t>
  </si>
  <si>
    <t>PAYA</t>
  </si>
  <si>
    <t xml:space="preserve">ESC. PAYA </t>
  </si>
  <si>
    <t>ESC. QUEBRADA HONDA</t>
  </si>
  <si>
    <t>ESC. EL QUINTIN</t>
  </si>
  <si>
    <t>El dect.  332 del 18 de julio de 1973 clausura la escuela, Municipio de Chepigana</t>
  </si>
  <si>
    <t>DEC.298 DEL 19 DE OCTUBRE DE 1995</t>
  </si>
  <si>
    <t>ESC. SOBIAQUIRÚ</t>
  </si>
  <si>
    <t>ESC. VALLE DE BIJAGUAL</t>
  </si>
  <si>
    <t>DEC. 556 DEL 6 DE JULIO DE 1971</t>
  </si>
  <si>
    <t xml:space="preserve">ESC. VASCO NUÑEZ DE BALBOA </t>
  </si>
  <si>
    <t>DEC.147 DE 17 DE MAYO DE 1963</t>
  </si>
  <si>
    <t>El dect. 147 de 17 de mayo de 1963 crea la escuela Manené. El dect. 470 del 19 de octubre de 1965  Se le da el nombre de Vasco Núñez de Balboa a la escuela Manené del municipio de Chepigana</t>
  </si>
  <si>
    <t>ESC. VISTA ALEGRE</t>
  </si>
  <si>
    <t>ESC. BOCA DE CUPE</t>
  </si>
  <si>
    <t>C.E.B.G.N.A CAMOGANTI</t>
  </si>
  <si>
    <t>C.E.L.N.O SAMBU</t>
  </si>
  <si>
    <t>CONTABILIDAD</t>
  </si>
  <si>
    <t>C.E.L.N.O. LA PALMA</t>
  </si>
  <si>
    <t>C.E.L.N.O. YAVIZA</t>
  </si>
  <si>
    <t>COMERCIO, TURISMO</t>
  </si>
  <si>
    <t>TELE-EDUCACION CEMACO</t>
  </si>
  <si>
    <t>PREMEDIA- MEDIA-BIOCOMUNIDAD-PRIMARIA (ALFA)</t>
  </si>
  <si>
    <t>CENTRO LABORAL NOCTURNO METETI</t>
  </si>
  <si>
    <t>ESC. EDAMIA MENDOZA</t>
  </si>
  <si>
    <t>TELE-EDUCACION EL TIRADO (AGUA FRIA #2)</t>
  </si>
  <si>
    <t>PREMEDIA-MEDIA-PRIMARIA (ALFA)</t>
  </si>
  <si>
    <t>TELE-EDUCACION INOCENCIO QUINTANAR</t>
  </si>
  <si>
    <t>TELE EDUCACIÓN NURRA</t>
  </si>
  <si>
    <t>TELE EDUCACIÓN MORTÍ</t>
  </si>
  <si>
    <t>TELE EDUCACIÓN WALLA</t>
  </si>
  <si>
    <t>POS ALFABETIZACIÓN BOCA DE LARA</t>
  </si>
  <si>
    <t>EDJA NUEVA GALILEA</t>
  </si>
  <si>
    <t>IPHE DE DARIÉN</t>
  </si>
  <si>
    <t>IPHE LA PALMA - DARIEN</t>
  </si>
  <si>
    <t xml:space="preserve"> CHEPIGANA</t>
  </si>
  <si>
    <t>ALFALIT REGALO DE DIOS</t>
  </si>
  <si>
    <t>ESC. ADVENTISTA</t>
  </si>
  <si>
    <t>INSTITUTO FORESTAL AGROPECUARIO DE DARIEN</t>
  </si>
  <si>
    <t>ESC. NUEVA LUZ</t>
  </si>
  <si>
    <t>CIENCIAS , COMERCIO</t>
  </si>
  <si>
    <t>COMARCA EMBERÁ</t>
  </si>
  <si>
    <t>EMBERÁ</t>
  </si>
  <si>
    <t>CÉMACO</t>
  </si>
  <si>
    <t xml:space="preserve">LAJAS BLANCAS </t>
  </si>
  <si>
    <t>CENTRO DE EDUCACIÓN GENERAL BILINGÜE LAJAS BLANCAS</t>
  </si>
  <si>
    <t>EMBERA</t>
  </si>
  <si>
    <t>El dect. 614 del 3/8/2011 crea el Centro Educativo.Decreto 446 del 14 de agosto de 2018 incorpora la denominacion Bilingüe al Nombre</t>
  </si>
  <si>
    <t>RÍO SÁBALO</t>
  </si>
  <si>
    <t>CENTRO DE EDUCACIÓN BILINGÜE INTERCULTURAL KRINCHA DRUA</t>
  </si>
  <si>
    <t>C.E.B.G. NUEVO VIGIA</t>
  </si>
  <si>
    <t>DEC.152 DEL 17 DE ABRIL DE 1972</t>
  </si>
  <si>
    <t>El dect. 614 del 3/8/2011 crea el Centro Educativo.</t>
  </si>
  <si>
    <t>JINGURUDÓ</t>
  </si>
  <si>
    <t>ESC. PAVARANDO</t>
  </si>
  <si>
    <t>ESC. ALTO PLAYON</t>
  </si>
  <si>
    <t>MANUEL ORTEGA</t>
  </si>
  <si>
    <t>ESC. COROZAL</t>
  </si>
  <si>
    <t>DEC.661 DEL 3 DE AGOSTO DE 1971</t>
  </si>
  <si>
    <t>ESC. EL SALTO DEL CHUCUNAQUE</t>
  </si>
  <si>
    <t>ESC. BOCA DE JINGURUDO</t>
  </si>
  <si>
    <t>ESC. RÍO TUQUEZA</t>
  </si>
  <si>
    <t>CIRILO GUAINORA</t>
  </si>
  <si>
    <t>C.E.B.G. JUAN MEPAQUITO CHICHILIANA (ANTES ESC. CAPETI)</t>
  </si>
  <si>
    <t>WOUNAAN</t>
  </si>
  <si>
    <t>DEC.605 DEL 13 DE NOVIEMBRE DE 1970</t>
  </si>
  <si>
    <t>DEC. 159 DEL 3 DE MARZO DE 2021 QUE AUTORIZA EL CAMBIO DE NOMBRE DE ESCUELA CAPETI A C.E.B.G. JUAN MEPAQUITO CHICHILIANA</t>
  </si>
  <si>
    <t>ESC. BAJO CHIQUITO</t>
  </si>
  <si>
    <t>ESC. BARRANQUILLITA</t>
  </si>
  <si>
    <t>ESC. BOCA DE TIGRE</t>
  </si>
  <si>
    <t>DEC.69 DEL 26 DE FEBRERO DE 1962</t>
  </si>
  <si>
    <t>ESC. BOCA DE VENADO</t>
  </si>
  <si>
    <t>ESC. BORO BICHI</t>
  </si>
  <si>
    <t>ESC. CONDOTO</t>
  </si>
  <si>
    <t>ESC. DAY PURO</t>
  </si>
  <si>
    <t>DEC.563 DEL 16 DE JULIO DE 2010</t>
  </si>
  <si>
    <t>ESC. DOZAKE PURO</t>
  </si>
  <si>
    <t>ESC. EL COMÚN</t>
  </si>
  <si>
    <t>DEC.449 DEL 19 DE MAYO 1971</t>
  </si>
  <si>
    <t>ESC. JOSÉ ISABEL GUIANORA</t>
  </si>
  <si>
    <t>El dect. 69 del 26 de febrero de 1962 crea la escuela El Naranjal. El dect. 375 del 29 de agosto de 1973 se le da el nombre de José Isabel Guainora a la escuela el Naranjal.Decreto 446 del 14 de agosto de 2018 incorpora la denominacion Bilingüe al Nombre</t>
  </si>
  <si>
    <t>ESC. LA TORTUGA</t>
  </si>
  <si>
    <t>ESC. LOS MOGOTES</t>
  </si>
  <si>
    <t>ESC. LOS MORRITOS</t>
  </si>
  <si>
    <t>ESC. NUEVO BELÉN</t>
  </si>
  <si>
    <t>ESC. PEÑA BIJAGUAL</t>
  </si>
  <si>
    <t>ESC. PUENTE DEL RÍO YAPE</t>
  </si>
  <si>
    <t>ESC. PUNTA GRANDE</t>
  </si>
  <si>
    <t>ESC. RÍO SÁBALO</t>
  </si>
  <si>
    <t>DEC.194 DEL 19 DE MAYO DE 1965</t>
  </si>
  <si>
    <t>ESC. RÍO TIGRE</t>
  </si>
  <si>
    <t>ESC. RÍO TUPIZA</t>
  </si>
  <si>
    <t>ESC. TESCA DE VILLA NUEVA</t>
  </si>
  <si>
    <t>ESC. SINAÍ</t>
  </si>
  <si>
    <t>CENTRO EDUCATIVO BILINGÜE ISIDRO GUAINORA</t>
  </si>
  <si>
    <t>DEC. 602 DEL 20 DE NOVIEMBRE DE 2008</t>
  </si>
  <si>
    <t>El dect. 602 del 20 de noviembre de 2008 se le da el nombre de Centro Educativo Isidro Guainora al centro de educación básica David Lino, ubicado en el corregimiento de Cirilo Guainora, distrito de Cémaco</t>
  </si>
  <si>
    <t>ESC.  BILINGÜE MEMBRILLO</t>
  </si>
  <si>
    <t>ESC.  VISTA ALEGRE</t>
  </si>
  <si>
    <t>I.P.T. UNADRUSIA</t>
  </si>
  <si>
    <t>DEC.450 DEL 31 DE OCTUBRE DE 2005</t>
  </si>
  <si>
    <t> MEDIA PROFESIONAL Y TÉCNICA</t>
  </si>
  <si>
    <t>AGROPECUARIO, TURISMO</t>
  </si>
  <si>
    <t>ESC. BOCA DE GUINA</t>
  </si>
  <si>
    <t>ESC. BOCA DE TRAMPA</t>
  </si>
  <si>
    <t>ESC. LA CALETA</t>
  </si>
  <si>
    <t>ESC. LA CHUNGA</t>
  </si>
  <si>
    <t>ESC. MAACH POBOR</t>
  </si>
  <si>
    <t>DEC. 1449 DEL 31 DE DIC. 2013</t>
  </si>
  <si>
    <t>LAJAS BLANCAS</t>
  </si>
  <si>
    <t>CENTRO EDUCATIVO  LAJAS BLANCAS</t>
  </si>
  <si>
    <t>JOVENES Y ADULTOS BAJO CHIQUITO</t>
  </si>
  <si>
    <t>TELE-EDUCACIÓN ISIDRO GUAINORA</t>
  </si>
  <si>
    <t>TELE-EDUCACIÓN NUEVO VIGIA</t>
  </si>
  <si>
    <t>TELEEDUCACION RÍO TUQUEZA</t>
  </si>
  <si>
    <t>COMARCA GUNA YALA</t>
  </si>
  <si>
    <t>GUNA YALA</t>
  </si>
  <si>
    <t>KUNA YALA</t>
  </si>
  <si>
    <t>AILIGANDÍ</t>
  </si>
  <si>
    <t>CENTRO CARLOS LÓPEZ INAQUELIGUIÑA (ANTES SAN IGNACIO DE TUPILE)</t>
  </si>
  <si>
    <t xml:space="preserve">KUNA YALA </t>
  </si>
  <si>
    <t>DEC. 266 DEL 4 DE JUNIO DE 1970</t>
  </si>
  <si>
    <t>CAMBIO DE NOMBRE DE SAN IGNACIO DE TUPILE A C.E. CARLOS LOPEZ INAQUELIGUIÑA DEC. 969 DEL 15 DE DIC. 2017</t>
  </si>
  <si>
    <t>CIENCIAS, INFORMATICA, TURISMO</t>
  </si>
  <si>
    <t>NARGANÁ</t>
  </si>
  <si>
    <t>C.E.B.G. SAHILA OLONIBIGINYA (GARDI SUBDUP)</t>
  </si>
  <si>
    <t>DEC.381 DEL 29 DE AGOSTO DE 1973. DEC. 739 DEL 19 DE NOV. DE 2018 QUE DEROGA EN TODAS SUS PARTES EL DEC. EJECUTIVO NO. 1074 DEL 16 DE DIC. DE 2016 Y SE EMPLEMENTA EL SEGUNDO NIVEL DE ENSEÑANZA O EDUCACION MEDIA.</t>
  </si>
  <si>
    <t>El dect. 381 del 29 de agosto de 1973  asigna el nombre de Sahila Olonibiquina a la escuela Cartí Sutupo. Este decreto se puede ver.</t>
  </si>
  <si>
    <t>C.E.B.G.  NELE KANTULE</t>
  </si>
  <si>
    <t>DEC. 372 DE 4 DE MAYO DE 1971</t>
  </si>
  <si>
    <t>El dect. 372 del 4 de mayo de 1971 le da el nombre de Primer Ciclo Nele Kantule al primer ciclo Ustupu. Decreto 446 del 14 de agosto de 2018 incorpora la denominacion Bilingüe al Nombre</t>
  </si>
  <si>
    <t>C.E.B.G. BILINGÜE  PLAYÓN CHICO</t>
  </si>
  <si>
    <t>DEC.89 DEL 23 DE SEPTIEMBRE DE 1916</t>
  </si>
  <si>
    <t>TUBUALÁ</t>
  </si>
  <si>
    <t>C.E.B.G. BILINGÜE SAHILA NIBAGUIÑA CABÚ</t>
  </si>
  <si>
    <t>DEC.38 DEL 20 DE FEBRERO DE 2002</t>
  </si>
  <si>
    <t>El dect. 38 del 20 de febrero de 2002 se le da el nombre de Nibaguiña Cabu al centro de Educación Básica General de Sasardi Mulatupu en la comarca Kuna Yala, Dec. 739 de 19 de noviembre de 2018, ampliación de oferta academica (Media-Bachillerato en Comercio). Decreto 446 del 14 de agosto de 2018 incorpora la denominacion Bilingüe al Nombre</t>
  </si>
  <si>
    <t>COLEGIO SECUNDARIO FELIX E. OLLER</t>
  </si>
  <si>
    <t>DEC. 229 DE 20 DE JULIO DE 2006</t>
  </si>
  <si>
    <t>El dect. 229 de 20 de julio de 2006 se crea el centro educativo media académica Felix Esteban Oller</t>
  </si>
  <si>
    <t>ESC.  CARTÍ MULATUPU</t>
  </si>
  <si>
    <t>ESC. ACUATUPU</t>
  </si>
  <si>
    <t>ESC. AIDIRGANDI</t>
  </si>
  <si>
    <t>ESC. ANACHUCUNA</t>
  </si>
  <si>
    <t>DEC.121 DEL 30 DE AGOSTO DE 1978</t>
  </si>
  <si>
    <t>ESC. ARCADIO MARTÍNEZ</t>
  </si>
  <si>
    <t>DEC. 260 DE 17 DE MAYO DE 1966</t>
  </si>
  <si>
    <t>El decreto 260 de 17 de mayo de 1966 crea la escuela primaria Tubuala en la Comarca de San Blas. El decreto 194 de 31 de mayo de 2005 asigna el nombre de Arcadio Martinez a la escuela Tubuala ubicada en la Comarca Kuna Yala.</t>
  </si>
  <si>
    <t>ESC. ARMILA</t>
  </si>
  <si>
    <t>ESC. CALEDONIA</t>
  </si>
  <si>
    <t>DEC.108 DEL 25 DE JULIO DE 1978</t>
  </si>
  <si>
    <t>ESC. CARRETO</t>
  </si>
  <si>
    <t>DEC. 121 DE 30 DE AGOSTO DE 1978</t>
  </si>
  <si>
    <t>ESC. CARTÍ TUPILE</t>
  </si>
  <si>
    <t xml:space="preserve">DEC. 1 DEL 11 DE JUNIO DE 1945 </t>
  </si>
  <si>
    <t>ESC. CORBISKI</t>
  </si>
  <si>
    <t>DEC.38 DEL 31 DE MARZO DE 1998</t>
  </si>
  <si>
    <t>ESC. CUBA</t>
  </si>
  <si>
    <t>ESC. ISLA MÁQUINA</t>
  </si>
  <si>
    <t>PUERTO OBALDÍA</t>
  </si>
  <si>
    <t>ESC. LA MIEL</t>
  </si>
  <si>
    <t>ESC. MAMITUPU</t>
  </si>
  <si>
    <t>ESC. MANDI YALA</t>
  </si>
  <si>
    <t>ESC. MANSUCUN</t>
  </si>
  <si>
    <t>El dect. 235 del 25 de abril de 1994 se le da el nombre de INAYODIGUIÑA a la escuela primaria oficial MAMSUCUM</t>
  </si>
  <si>
    <t>ESC. NABAGANDI</t>
  </si>
  <si>
    <t>DEC. 763, 9 DE DICIEMBRE DE 1969</t>
  </si>
  <si>
    <t>C.E.B.G.NARANJO CHICO</t>
  </si>
  <si>
    <t>DEC. 62 DE 20 DE FEBRERO DE 2017 QUE CREA EL C.E.B.G. NARANJO CHICO</t>
  </si>
  <si>
    <t>ESC. NARANJO GRANDE</t>
  </si>
  <si>
    <t>ESC. NUSATUPU</t>
  </si>
  <si>
    <t>DEC. 25 DEL 4 DE ABRIL DE 1959.</t>
  </si>
  <si>
    <t>ESC. OCTAVIO CEBALLOS</t>
  </si>
  <si>
    <t>DEC. 181 DE 5 DE DICIEMBRE DE 1918</t>
  </si>
  <si>
    <t>El dect. 583 del 4 de agosto de 2004 se le da el nombre de Octavio Ceballos Ariano a la escuela primaria oficial  de Puerto Obaldia</t>
  </si>
  <si>
    <t>ESC. OGOBSUCUM</t>
  </si>
  <si>
    <t>DEC.584 DEL 2 DE DICIEMBRE DE 1992</t>
  </si>
  <si>
    <t>ESC. RÍO AZÚCAR</t>
  </si>
  <si>
    <t>ESC. RÍO SIDRA</t>
  </si>
  <si>
    <t>DEC. 25 DEL 24 DE ABRIL DE 1959</t>
  </si>
  <si>
    <t>ESC. RODOLFO CHIARI</t>
  </si>
  <si>
    <t>ESC. SAHILA IGUADINGIPE</t>
  </si>
  <si>
    <t>ESC. SAHILA IGUANAISY</t>
  </si>
  <si>
    <t>El dect. 38 del 13 de febrero de 1967 crea la escuela Achutupu.  El dect. 391 del 16 de diciembre de 1986 se le da el nombre de Iguanansi a la escuela de Achutupu.  El dect. 614 del 3 de agosto de 2011 crea el Centro Educativo Completo</t>
  </si>
  <si>
    <t>ESC. SIMRAL COLMAN</t>
  </si>
  <si>
    <t>DEC.48 DEL 26 DE MARZO DE 1971</t>
  </si>
  <si>
    <t xml:space="preserve"> El dect. 48 del 26 de marzo de 1991 se le da el nombre de Simral Colman a la escuela  Esteban Oller</t>
  </si>
  <si>
    <t>ESC. SOLEDAD MIRIA</t>
  </si>
  <si>
    <t>ESC. TICANTIKI</t>
  </si>
  <si>
    <t>INSTITUTO C. OLODEBILIGINYA</t>
  </si>
  <si>
    <t>DEC.230 DEL 20 DE JULIO DE 2006</t>
  </si>
  <si>
    <t>I.P.T. DE KUNA YALA</t>
  </si>
  <si>
    <t>ESC. AILITUPU</t>
  </si>
  <si>
    <t>ESC. ARRITUPU</t>
  </si>
  <si>
    <t>ESC. IRGANDI</t>
  </si>
  <si>
    <t xml:space="preserve">El dect. 763 del 9 de diciembre de 1969  se crea la escuela Irgandi </t>
  </si>
  <si>
    <t>ESC. ISLA PINO</t>
  </si>
  <si>
    <t>El Dect. 66 del 12 de mayo de 1949 y el Dect.20 del 31 de enero de 1972 son decretos de creación</t>
  </si>
  <si>
    <t>ESC. MAGEBGANDI</t>
  </si>
  <si>
    <t>ESC. NALUNEGA</t>
  </si>
  <si>
    <t>ESC. PLAYÓN GRANDE</t>
  </si>
  <si>
    <t>ESC. RÍO GANGANDI</t>
  </si>
  <si>
    <t>DEC. 186 DE 17 DE JULIO DE 1987</t>
  </si>
  <si>
    <t>Dect. 186 de 17 de julio de 1987 se crea la escuela IGUANUGDIGINYA - GANGANDI, en la comunidad de Río Gangandi</t>
  </si>
  <si>
    <t>ESC. SOLEDAD MANDINGA</t>
  </si>
  <si>
    <t>ESC. WICHUB-WALA</t>
  </si>
  <si>
    <t>DEC. 4 DE ABRIL 1959</t>
  </si>
  <si>
    <t>TELE-EDUCACIÓN  FELIX E. OLLER</t>
  </si>
  <si>
    <t>TELE-EDUCACIÓN  IGUANAISY</t>
  </si>
  <si>
    <t>JOVENES Y ADULTOS MAMITUPU</t>
  </si>
  <si>
    <t>NOCTURNA NELE KANTULE</t>
  </si>
  <si>
    <t>TELE-EDUCACIÓN SIMRAL COLMAN</t>
  </si>
  <si>
    <t>HOGAR CULTURAL DE GUNA YALA</t>
  </si>
  <si>
    <t>IPHE DE GUNA YALA</t>
  </si>
  <si>
    <t>HERRERA</t>
  </si>
  <si>
    <t>CHITRÉ</t>
  </si>
  <si>
    <t>LLANO BONITO</t>
  </si>
  <si>
    <t>COIF CRUZ ROJA CHITRE</t>
  </si>
  <si>
    <t>LOS POZOS</t>
  </si>
  <si>
    <t>CAIPI DIVINO NIÑO</t>
  </si>
  <si>
    <t>DEC. N° 107 (De MARTES 06 DE DICIEMBRE 2016)</t>
  </si>
  <si>
    <t>PESÉ</t>
  </si>
  <si>
    <t>CAIPI EL AMANECER DE PESE</t>
  </si>
  <si>
    <t>DEC. EJECUTIVO N° 107 (De MARTES 06 DE DICIEMBRE 2016)</t>
  </si>
  <si>
    <t xml:space="preserve"> LAS MINAS</t>
  </si>
  <si>
    <t xml:space="preserve">LAS MINAS </t>
  </si>
  <si>
    <t>CAIPI MINITAS DE ORO</t>
  </si>
  <si>
    <t>LA ARENA</t>
  </si>
  <si>
    <t>CAIPI MIS PASITOS</t>
  </si>
  <si>
    <t>MONAGRILLO</t>
  </si>
  <si>
    <t>CAIPI LA SEMILLITA</t>
  </si>
  <si>
    <t>CAIPI RAYITO DE LUZ</t>
  </si>
  <si>
    <t>PARITA</t>
  </si>
  <si>
    <t>CAIPI SEMILLA DE LUZ</t>
  </si>
  <si>
    <t>JARDÍN DE LA INFANCIA BILINGÜE  CRISTINA C. DE SANCHEZ</t>
  </si>
  <si>
    <t>DEC. 235 DEL 11 DE JUNIO DE 2018</t>
  </si>
  <si>
    <t>ESC. LUZ DE ALEGRIA IPHE EXT HERRERA</t>
  </si>
  <si>
    <t>TECNICOS JARDINERIA, EBANISTERIA, BELLEZA</t>
  </si>
  <si>
    <t>LAS CABRAS</t>
  </si>
  <si>
    <t>C.E.B.G. BILINGÜE  LAS FLORES</t>
  </si>
  <si>
    <t>SABANA GRANDE</t>
  </si>
  <si>
    <t>C.E.B.G. BILINGÜE  SABANA GRANDE</t>
  </si>
  <si>
    <t>C.E.B.G. BILINGÜE PRESIDENTE JOHN F. KENNEDY</t>
  </si>
  <si>
    <t>LAS MINAS</t>
  </si>
  <si>
    <t>CHEPO</t>
  </si>
  <si>
    <t>C.E.B.G. DE CHEPO DE LAS MINAS</t>
  </si>
  <si>
    <t>DEC. 49 DE 13 DE JUNIO DE 1978 (C.E.B.G. CHEPO)</t>
  </si>
  <si>
    <t xml:space="preserve">PARITA </t>
  </si>
  <si>
    <t>CENTRO EDUCATIVO BILINGÜE DE PARITA</t>
  </si>
  <si>
    <t>CIENCIAS, COMERCIO, TECNOLOGIA E INFORMATICA</t>
  </si>
  <si>
    <t xml:space="preserve">LOS POZOS </t>
  </si>
  <si>
    <t>DEC.343 DEL 18 DE NOVIEMBRE DE 1996</t>
  </si>
  <si>
    <t>C.E.F.I.B. DE AZUERO PAPA FRANCISCO</t>
  </si>
  <si>
    <t>DEC. 312 DEL 26 DE JUNIO DEL 2019 QUE MODIFICA EL ARTICULO EL 21 DEL 12 DE FEBRERO DEL 2019 QUE CREA EL CENTRO DE FORMACION INTEGRAL PAPA FRANCISCO</t>
  </si>
  <si>
    <t>DECRETO EJECUTIVO # 157 DEL 2 DE MARZO DE 2021 QUE ADOPTA CARÁCTER TRANSITORIO EL NUEVO PLAN DE ESTUDIO PARA LA EDUCACION PREMEDIA</t>
  </si>
  <si>
    <t>COLEGIO JOSE D. CRESPO</t>
  </si>
  <si>
    <t>CIENCIAS, HUMABIDADES, COMERICO, TURISMO, TECNOLOGIA E INFORMATICA</t>
  </si>
  <si>
    <t>COLEGIO JOSE OCTAVIO HUERTA</t>
  </si>
  <si>
    <t>DEC. 436 DEL 14 DE NOVIEMBRE DE 2006</t>
  </si>
  <si>
    <t>CIENCIAS  COMERCIO</t>
  </si>
  <si>
    <t>COLEGIO PADRE SEGUNDO FAMILIAR CANO</t>
  </si>
  <si>
    <t>DEC. 87 DEL 23 DE MARZO DE 1970</t>
  </si>
  <si>
    <t>CIENCIAS, HUMANIDADAES, COMERCIO,TURISMO,TECNOLOGIA E INFORMATICA</t>
  </si>
  <si>
    <t>OCÚ</t>
  </si>
  <si>
    <t>COLEGIO SECUNDARIO RAFAEL QUINTERO VILLARREAL</t>
  </si>
  <si>
    <t>DEC. 33 DEL 13 DE MARZO DE 1981</t>
  </si>
  <si>
    <t>DEC.464 DEL 14 DE ABRIL DE 2020 QUE ASCIENDE A LA CATEGORIA DE CENTRO EDUCATIVO ESPECIAL.</t>
  </si>
  <si>
    <t>CIENCIAS, COMERCIO, TURISMO, TECNOLOGIA E INFORMATICA</t>
  </si>
  <si>
    <t>C.E.B.G. BILINGÜE  ILDAURA VIETO</t>
  </si>
  <si>
    <t>DEC. EJECUTIVO 126 DEL 3 DE MARZO  DEL 2017 QUE CREA EL C.E.B.G., DEC. 446 DEL 14 DE AGOSTO DE 2018 INCORPORA LA DENOMINACION BILINGÜE AL NOMBRE</t>
  </si>
  <si>
    <t>ESC. ALEIDA GONZALEZ</t>
  </si>
  <si>
    <t>DEC.37 DEL 20 DE FEBRERO DE 2002</t>
  </si>
  <si>
    <t>ESC. BARRO BLANCO</t>
  </si>
  <si>
    <t>ESC. BERNARDINO BARBA</t>
  </si>
  <si>
    <t>DEC. 25 DEL 13 DE MARZO DE 1973</t>
  </si>
  <si>
    <t>ESC. BILINGÜE  ENEIDA M. DE CASTILLERO</t>
  </si>
  <si>
    <t>SANTA MARÍA</t>
  </si>
  <si>
    <t>EL RINCÓN</t>
  </si>
  <si>
    <t>ESC. BILINGÜE  ERNESTINA DE CHIARI</t>
  </si>
  <si>
    <t>SAN JUAN BAUTISTA</t>
  </si>
  <si>
    <t>ESC. BILINGÜE  HIPOLITO PEREZ TELLO</t>
  </si>
  <si>
    <t>ESC. BILINGÜE EVELIO D. CARRIZO</t>
  </si>
  <si>
    <t>ESC. BILINGÜE SERGIO PEREZ DELGADO</t>
  </si>
  <si>
    <t>RINCÓN HONDO</t>
  </si>
  <si>
    <t>ESC. BORROLA</t>
  </si>
  <si>
    <t>ESC. CALABAZO</t>
  </si>
  <si>
    <t>DEC.76 DEL 9 DE ABRIL DE 1954</t>
  </si>
  <si>
    <t>ESC. CERRO GORDO</t>
  </si>
  <si>
    <t>CERRO LARGO</t>
  </si>
  <si>
    <t>ESC. CERRO LARGO</t>
  </si>
  <si>
    <t>ESC. CERROS DE PAJAS</t>
  </si>
  <si>
    <t>DEC. 98 DEL 2 DE ABRIL DE 1962</t>
  </si>
  <si>
    <t>ESC. CRISTINA R. DE PINZON</t>
  </si>
  <si>
    <t>DEC. 892 DEL 13 DE OCTUBRE DE 2016</t>
  </si>
  <si>
    <t>LA PITALOZA</t>
  </si>
  <si>
    <t>ESC. CRUCE DE SANTA CLARA</t>
  </si>
  <si>
    <t>PEÑAS CHATAS</t>
  </si>
  <si>
    <t>ESC. DOMINGO VILLALOBOS</t>
  </si>
  <si>
    <t>DEC. 76 DEL 4 DE ABRIL DE 1973</t>
  </si>
  <si>
    <t>ESC. DOS BOCAS</t>
  </si>
  <si>
    <t>EL ENTRADERO DE CASTILLO</t>
  </si>
  <si>
    <t>ESC. EL AVE MARIA</t>
  </si>
  <si>
    <t>ESC. EL BANCO</t>
  </si>
  <si>
    <t>DEC. 415 DE 23 DE AGOSTO DE 1963</t>
  </si>
  <si>
    <t>EL BARRERO</t>
  </si>
  <si>
    <t>ESC. EL BARRERO</t>
  </si>
  <si>
    <t>DEC.84 DEL 19 DE FEBRERO DE 2013</t>
  </si>
  <si>
    <t>ESC. EL BEJUCAL</t>
  </si>
  <si>
    <t>EL TIJERA</t>
  </si>
  <si>
    <t>ESC. EL BOQUERON</t>
  </si>
  <si>
    <t>EL CALABACITO</t>
  </si>
  <si>
    <t>ESC. EL CALABACITO</t>
  </si>
  <si>
    <t>ESC. EL CAÑAFISTULO</t>
  </si>
  <si>
    <t>CAPURÍ</t>
  </si>
  <si>
    <t>ESC. EL CAPURI</t>
  </si>
  <si>
    <t>DEC.415 DEL 23 DE AGOSTO DE 1963, APARECE CON EL NOMBRE DE CAPURI</t>
  </si>
  <si>
    <t>LAS LLANAS</t>
  </si>
  <si>
    <t>ESC. EL CARACUCHO</t>
  </si>
  <si>
    <t>EL TORO</t>
  </si>
  <si>
    <t>ESC. EL CHIROTE</t>
  </si>
  <si>
    <t>DEC.40 DEL 1 DE ABRIL DE 1998</t>
  </si>
  <si>
    <t>CHUMICAL</t>
  </si>
  <si>
    <t>DEC. 945 DEL 15 DE DICIEMBRE DEL 2017 QUE CREA EL C.E.B.G.</t>
  </si>
  <si>
    <t>DEC. 945 DEL 5 DE DICIEMBRE DE 2017</t>
  </si>
  <si>
    <t>ESC. EL CIRUELITO</t>
  </si>
  <si>
    <t>EL CIRUELO</t>
  </si>
  <si>
    <t>ESC. EL CIRUELO</t>
  </si>
  <si>
    <t>ESC. EL COCUYO</t>
  </si>
  <si>
    <t>QUEBRADA EL CIPRIAN</t>
  </si>
  <si>
    <t>QUEBRADA DEL ROSARIO</t>
  </si>
  <si>
    <t>ESC. EL GALLO</t>
  </si>
  <si>
    <t>DEC.97 DEL 12 DE DICIEMBRE DE 1971</t>
  </si>
  <si>
    <t>ESC. EL GUARUMAL</t>
  </si>
  <si>
    <t>DEC.557 DEL 14 DE NOVIEMBRE DE 1951</t>
  </si>
  <si>
    <t>ESC. EL GUAYABITO</t>
  </si>
  <si>
    <t>DEC.529 DEL 24 DE JUNIO DE 1953</t>
  </si>
  <si>
    <t>ESC. EL HATILLO</t>
  </si>
  <si>
    <t>ESC. EL JACINTILLO</t>
  </si>
  <si>
    <t>DEC.415 DEL 23 DE AGOSTO DE 1963, APARECE CON EL NOMBRE DE JACINTILLO.</t>
  </si>
  <si>
    <t>ESC. SABINO FIGUEROA MENDOZA (ANTES EL JACINTO)</t>
  </si>
  <si>
    <t>DEC. 763 DE 9 DE DICIEMBRE DE 1969</t>
  </si>
  <si>
    <t>DEC. 232 11 DE JUNIO 2018 AUTORIZA EL CAMBIO DE NOMBRE  DE LA ESCUELA EL JACINTO A C.E.B.G. SABINO FIGUEROA</t>
  </si>
  <si>
    <t>EL PÁJARO</t>
  </si>
  <si>
    <t>ESC. EL JAZMIN</t>
  </si>
  <si>
    <t>ESC. EL MANGLILLO</t>
  </si>
  <si>
    <t>ESC. EL MAURE</t>
  </si>
  <si>
    <t>ESC. EL NEGRITO</t>
  </si>
  <si>
    <t>ESC. EL PAJARO</t>
  </si>
  <si>
    <t>DEC.  355 DEL 13 DE MAYO DE 1953</t>
  </si>
  <si>
    <t>DEC. 84 DEL 19 DE FEBRERO DE 2013</t>
  </si>
  <si>
    <t>ESC. EL PEDERNAL</t>
  </si>
  <si>
    <t>DEC. 294 DEL 25 DE JUNIO DE 1969</t>
  </si>
  <si>
    <t>EL PEDREGOSO</t>
  </si>
  <si>
    <t>ESC. EL PEDREGOSITO</t>
  </si>
  <si>
    <t>DEC.  294 DEL 25 DE JUNIO DE 1969</t>
  </si>
  <si>
    <t>ESC. EL PIRO</t>
  </si>
  <si>
    <t>DEC. 188 DEL 11 DE MAYO DE 1962</t>
  </si>
  <si>
    <t>ESC. EL PLATITO</t>
  </si>
  <si>
    <t>DEC. 247 DEL 22 DE MAYO DE 1972</t>
  </si>
  <si>
    <t>MENCHACA</t>
  </si>
  <si>
    <t>ESC. EL POTRERO</t>
  </si>
  <si>
    <t>DEC. 889 DEL 13 DE OCTUBRE DE 2016</t>
  </si>
  <si>
    <t>ESC. EL RASCADOR</t>
  </si>
  <si>
    <t>DEC.  53 DEL 24 DE ABRIL DE 1959</t>
  </si>
  <si>
    <t>LOS CERROS DE PAJA</t>
  </si>
  <si>
    <t>ESC. EL SALITRE</t>
  </si>
  <si>
    <t>DEC. 101 DEL 7 DE ABRIL DE 1961</t>
  </si>
  <si>
    <t>LEONES</t>
  </si>
  <si>
    <t>ESC. EL SUAY</t>
  </si>
  <si>
    <t>DEC. 415 DEL 23 DE AGOSTO DE 1963 APARECE CON  EL NOMBRE DE SUAY.</t>
  </si>
  <si>
    <t>ESC. EL ZAPOTAL</t>
  </si>
  <si>
    <t>DEC. 263 DEL 16 DE JUNIO DE 1960</t>
  </si>
  <si>
    <t>LOS LLANOS</t>
  </si>
  <si>
    <t>ESC. ENTRADERO DE TIJERA</t>
  </si>
  <si>
    <t>DEC. 241 DEL 4 DE MAYO DE 2010</t>
  </si>
  <si>
    <t>ESC. ENTRADERO DEL CASTILLO</t>
  </si>
  <si>
    <t>DEC. 445 DE L 17 DE SEPT. DE 1954, APARECE CON EL NOMBRE DE ENTRADERO DE ANGULO.</t>
  </si>
  <si>
    <t>ESC. ESQUIGUITA</t>
  </si>
  <si>
    <t>ESC. FILO LLANO</t>
  </si>
  <si>
    <t>DEC. 8 DEL 27 DE ENERO DE 1986</t>
  </si>
  <si>
    <t>ESC. GERARDO O. QUINTERO</t>
  </si>
  <si>
    <t>ESC. GREGORIO GILL</t>
  </si>
  <si>
    <t>DEC.  25 DEL 13 DE MARZO DE 1973</t>
  </si>
  <si>
    <t>EL CEDRO</t>
  </si>
  <si>
    <t>ESC. GREGORIO GONZALEZ</t>
  </si>
  <si>
    <t>DEC.  580 DEL 5 DE NOVIEMBRE DE 1992</t>
  </si>
  <si>
    <t>ESC. INES PINTO RODRIGUEZ</t>
  </si>
  <si>
    <t>DEC. 263 DEL 16 DE JUNIO DE 1960/DECT.168 DEL 13 DE JUNIO DE 1985</t>
  </si>
  <si>
    <t>ESC. LA ARENA</t>
  </si>
  <si>
    <t>ESC. LA CABUYA</t>
  </si>
  <si>
    <t>ESC. LA CALIDONIA</t>
  </si>
  <si>
    <t>DEC. 415 DEL 23 DE AGOSTO DE 1963, APARECE CON EL NOMBRE DE CALIDONIA.</t>
  </si>
  <si>
    <t>ESC. LA CANDELARIA</t>
  </si>
  <si>
    <t>ESC. LA CANOA</t>
  </si>
  <si>
    <t>DEC.  85 DEL 30 DE SEPTIEMBRE DE 1952</t>
  </si>
  <si>
    <t>POTUGA</t>
  </si>
  <si>
    <t>ESC. LA CONCEPCION</t>
  </si>
  <si>
    <t>ESC. LA CUCHILLA</t>
  </si>
  <si>
    <t>C.E.B.G. LA DESBARRANCADA</t>
  </si>
  <si>
    <t>DEC. 125 DEL 3 DE MARZO DE 2017 QUE CREA EL C.E.B.G.</t>
  </si>
  <si>
    <t xml:space="preserve">PRIMARIA-PREMEDIA </t>
  </si>
  <si>
    <t>ESC. LA HUACA</t>
  </si>
  <si>
    <t>DEC. 167 DEL 24 DE ABRIL DE 1970</t>
  </si>
  <si>
    <t>ESC. LA PENA DE TEBARIO</t>
  </si>
  <si>
    <t>DEC. 303 DEL 19 DE OCTUBRE DE 1995</t>
  </si>
  <si>
    <t>ESC. LA PEÑA</t>
  </si>
  <si>
    <t>ESC. LA PITALOZA</t>
  </si>
  <si>
    <t>ESC. LA POLONIA</t>
  </si>
  <si>
    <t>DEC. 512 DEL 21 DE NOVIEMBRE 1963</t>
  </si>
  <si>
    <t>ESC. LA SABANETA</t>
  </si>
  <si>
    <t>ESC. LA SONADORA</t>
  </si>
  <si>
    <t>DEC. 100 DEL 8 DE JUNIO DE 1981</t>
  </si>
  <si>
    <t>C.E.B.G. LA TRINIDAD</t>
  </si>
  <si>
    <t>DEC. 120 DEL 3 DE MARZO DE 2017, QUE CREA EL C.E.B.G.</t>
  </si>
  <si>
    <t>ESC. LAS CABRAS</t>
  </si>
  <si>
    <t>DEC. 2081 DEL 7 DE JUNIO DE 1948</t>
  </si>
  <si>
    <t>ESC. LAS CUESTAS</t>
  </si>
  <si>
    <t>DEC.  415 DE 23 DE AGOSTO DE 1963</t>
  </si>
  <si>
    <t>ESC. LAS GUABAS</t>
  </si>
  <si>
    <t>DEC. 729 DEL 13 DE DICEMBRE DE 1962</t>
  </si>
  <si>
    <t>ESC. LAS LAGUNITAS</t>
  </si>
  <si>
    <t>DEC. 196 DEL 7 DE JUNIO DE 1954</t>
  </si>
  <si>
    <t>ESC. LAS MATAS</t>
  </si>
  <si>
    <t>DEC. 38 DEL 13 DE FEBRERO DE 1967</t>
  </si>
  <si>
    <t>ESC. LAS PAREDES</t>
  </si>
  <si>
    <t>ESC. LAS PLAYITAS</t>
  </si>
  <si>
    <t>DEC. 85 DEL 11 DE MARZO DE 1965</t>
  </si>
  <si>
    <t>ESC. LAS YESCAS</t>
  </si>
  <si>
    <t>ESC. LASTENIA C. DE VILLARREAL</t>
  </si>
  <si>
    <t>DEC. 572 DEL 29 DE DICIEMBRE DE 1961</t>
  </si>
  <si>
    <t>ESC. LEONES</t>
  </si>
  <si>
    <t>ESC. LIMON DE TIJERA</t>
  </si>
  <si>
    <t>ESC. LLANA ABAJO</t>
  </si>
  <si>
    <t>ESC. LLANA ARRIBA</t>
  </si>
  <si>
    <t>LLANO DE LA CRUZ</t>
  </si>
  <si>
    <t>ESC. LLANO DE LA CRUZ</t>
  </si>
  <si>
    <t>ESC. LLANO LARGO</t>
  </si>
  <si>
    <t>ESC. LOMA DEL RANCHITO</t>
  </si>
  <si>
    <t>ESC. LOS ASIENTOS</t>
  </si>
  <si>
    <t>DEC. 104 DEL 13 DE JUNIO DE 1949</t>
  </si>
  <si>
    <t>ESC. LOS BAJOS</t>
  </si>
  <si>
    <t>DEC. 745 DEL 15 DE AGOSTO DE 1953</t>
  </si>
  <si>
    <t>LOS CASTILLOS</t>
  </si>
  <si>
    <t>ESC. LOS CASTILLOS</t>
  </si>
  <si>
    <t>DEC.  85 DEL 19 DE FEBRERO DE 2013</t>
  </si>
  <si>
    <t>ESC. LOS CEIBOS</t>
  </si>
  <si>
    <t>DEC. 110 DEL 16 DE FEBRERO DE 1971</t>
  </si>
  <si>
    <t>LOS CERRITOS</t>
  </si>
  <si>
    <t>DEC. 45 DEL 20 DE FEBRERO DE 2017 QUE CREA EL C.E.B.G. LOS CERRITOS</t>
  </si>
  <si>
    <t>ESC. LOS CORRALILLOS</t>
  </si>
  <si>
    <t>ESC. LOS HELECHALES</t>
  </si>
  <si>
    <t>ESC. LOS HIGOS</t>
  </si>
  <si>
    <t>CHUPAMPA</t>
  </si>
  <si>
    <t>ESC. LOS PANAMAES</t>
  </si>
  <si>
    <t>DEC .649 DEL 28 DE DICIEMBRE DE 1970</t>
  </si>
  <si>
    <t>ESC. LOS PELADEROS</t>
  </si>
  <si>
    <t>ESC. LOS PINTOS</t>
  </si>
  <si>
    <t>ESC. LOS POTREROS</t>
  </si>
  <si>
    <t>DEC .745 DEL 15 DE AGOSTO DE 1953</t>
  </si>
  <si>
    <t>ESC. LOS REMEDIOS</t>
  </si>
  <si>
    <t>ESC. LOS VIROTALES</t>
  </si>
  <si>
    <t>DEC .9 DEL 27 DE ENERO DE 1986</t>
  </si>
  <si>
    <t>ESC. MANDINGA</t>
  </si>
  <si>
    <t>DEC.294 DEL 25 DE JUNIO DE 1969</t>
  </si>
  <si>
    <t>ESC. MELANIA PASCAL DE LOPEZ</t>
  </si>
  <si>
    <t>DEC. 63 DEL 4 DE FEBRERO DE 1956</t>
  </si>
  <si>
    <t>ESC. PAN DE AZUCAR</t>
  </si>
  <si>
    <t>PARÍS</t>
  </si>
  <si>
    <t>ESC. PARIS</t>
  </si>
  <si>
    <t>DEC. 85 DEL 19 DE FEBRERO DE 2013</t>
  </si>
  <si>
    <t>ESC. PEÑAS PRIETAS</t>
  </si>
  <si>
    <t>ESC. PERFECTO RIOS FRANCO</t>
  </si>
  <si>
    <t>PORTOBELILLO</t>
  </si>
  <si>
    <t>ESC. PORTOBELILLO</t>
  </si>
  <si>
    <t>ESC. PUERTO LIMON</t>
  </si>
  <si>
    <t>ESC. QUEBRADA DE AGUA</t>
  </si>
  <si>
    <t>ESC. QUEBRADA DE CANTARO</t>
  </si>
  <si>
    <t>DEC. 165 DEL 20 DE JUNIO DE 1991</t>
  </si>
  <si>
    <t>ESC. QUEBRADA DE CIPRIAN</t>
  </si>
  <si>
    <t>DEC .194 DE 19 DE MAYO DE 1965</t>
  </si>
  <si>
    <t>ESC. QUEBRADA DEL ROSARIO ABAJO</t>
  </si>
  <si>
    <t>ESC. QUEBRADA DEL ROSARIO ARRIBA</t>
  </si>
  <si>
    <t>DEC.  49 DEL 13 DE JUNIO DE 1978</t>
  </si>
  <si>
    <t>ESC. RAFAEL QUINTERO VILLARREAL</t>
  </si>
  <si>
    <t>DEC. 297 DEL 25 DE JULIO DE 1969</t>
  </si>
  <si>
    <t>ESC. RICAURTE SALAMIN</t>
  </si>
  <si>
    <t>DEC. 6 DEL 27 DE ENERO DE 1986</t>
  </si>
  <si>
    <t>C.E.B.G. RINCON GRANDE</t>
  </si>
  <si>
    <t>DEC.  119 DEL 3 DE MARZO DE 2017 QUE CREA EL C.E.B.G. RINCON GRANDE</t>
  </si>
  <si>
    <t>ESC. RINCON SANTO</t>
  </si>
  <si>
    <t>ESC. RÍO LA VILLA</t>
  </si>
  <si>
    <t>DEC. 745 DE 15 DE AGOSTO DE 1953</t>
  </si>
  <si>
    <t>ESC. RÍO NEGRO</t>
  </si>
  <si>
    <t>DEC. 103 DEL 5 DE MAYO DE 1986</t>
  </si>
  <si>
    <t>ESC. RÍO VIEJO</t>
  </si>
  <si>
    <t>DEC. 110 DEL 18 DE ABRIL DE 1996</t>
  </si>
  <si>
    <t>ESC. SABANETA</t>
  </si>
  <si>
    <t>DEC.  413 DEL 28 DE AGOSTO DE 1961 (LA SABANETA)</t>
  </si>
  <si>
    <t>DEC. 170 DEL 11 DE AGOSTO DE 1980</t>
  </si>
  <si>
    <t>DEC. 473 DEL 21 DE AGOSTO DE 1970</t>
  </si>
  <si>
    <t>ESC. BILINGÜE  JUAN T. DEL BUSTO</t>
  </si>
  <si>
    <t>ESC.  BILINGÜE  BOCA DE PARITA</t>
  </si>
  <si>
    <t>ESC.  BILINGÜE  GLORIELA N. BARRIA</t>
  </si>
  <si>
    <t>ESC.  BILINGÜE  JOSE DOLORES CARRIZO</t>
  </si>
  <si>
    <t>LOS CANELOS</t>
  </si>
  <si>
    <t>ESC. BILINGÜE  LOS CANELOS</t>
  </si>
  <si>
    <t>C.E.B.G. BILINGÜE  LUCIRIA DE PIMENTEL</t>
  </si>
  <si>
    <t>DEC. EJECUTIVO 48 DEL 20 DE FEBRERO DEL 2017. DEC.  446 DEL 14 DE AGOSTO DE 2018 INCORPORA LA DENOMINACION BILINGÜE AL NOMBRE</t>
  </si>
  <si>
    <t>ESC. BILINGÜE  POTUGA</t>
  </si>
  <si>
    <t>ESC. BILINGÜE  SEBASTIAN PINZON</t>
  </si>
  <si>
    <t>ESC. BILINGÜE  TOMAS HERRERA</t>
  </si>
  <si>
    <t>ESC. BILINGÜE CABUYA</t>
  </si>
  <si>
    <t>I.P.T. LOS LLANOS DE OCU</t>
  </si>
  <si>
    <t>DEC.  20 DEL 26 DE ENERO DE 2010/DECT.241 DEL 4 DE MAYO DE 2010. DEC. 739 DEL 19 DE NOV. DE 2018 QUE DEROGA EN TODAS SUS PARTES EL DEC. EJECUTIVO NO. 1074 DEL 16 DE DIC. DE 2016 Y SE EMPLEMENTA EL SEGUNDO NIVEL DE ENSEÑANZA O EDUCACION MEDIA.</t>
  </si>
  <si>
    <t>I.P.T. LAS MINAS</t>
  </si>
  <si>
    <t>DEC.51 DEL 20 DE FEBRERO DE 2017. DEC. 739 DEL 19 DE NOV. DE 2018 QUE DEROGA EN TODAS SUS PARTES EL DEC. EJECUTIVO NO. 1074 DEL 16 DE DIC. DE 2016 Y SE EMPLEMENTA EL SEGUNDO NIVEL DE ENSEÑANZA O EDUCACION MEDIA.</t>
  </si>
  <si>
    <t>INSTITUTO DE ARTES MECANICAS</t>
  </si>
  <si>
    <t>DEC. 2 DEL 28 DE FEBRERO DE 1949</t>
  </si>
  <si>
    <t xml:space="preserve">CIENCIAS, INDUSTRIAL, SEGUNDO CICLO INDUSTRIAL, </t>
  </si>
  <si>
    <t>INSTITUTO NACIONAL DE AGRICULTURA (ASB)</t>
  </si>
  <si>
    <t>DEC. 310 DEL 5 DE OCTUBRE DE 2007 QUE MODIFICA EL DECRETO 407 DE 20 DE NOV. DE 2000 QUE CREA EL CENTRO DE EDC. SUPERIOR NO UNIVERSITARIO DENOMINADO INS. SUPERIOR NACIONAL DE AGRICULTURA.</t>
  </si>
  <si>
    <t>PROYECTO DE LEY 165, GACETA OFICIAL 29131-B QUE REORGANIZA Y MODERNIZA EL ISNTITUTO DE AGRICULTURA AUGUSTO SAMUEL BOYD Y LO TRANSFORMA EN EL INS. TEC. SUPERIOR AGROTECNOLOGIA DE LAS AMERICAS.</t>
  </si>
  <si>
    <t>ESC. BIENVENIDO QUINTERO</t>
  </si>
  <si>
    <t>DEC. 23 DEL 22 DE MARZO DE 1982</t>
  </si>
  <si>
    <t>EL LIMÓN</t>
  </si>
  <si>
    <t>ESC. EL NANZAL</t>
  </si>
  <si>
    <t>DEC. 1072 DEL 25 DE NOVIEMBRE DE 2016</t>
  </si>
  <si>
    <t>ESC. EL PEDREGOSO</t>
  </si>
  <si>
    <t>DEC.  888 DEL 13 DE OCTUBRE DE 2016</t>
  </si>
  <si>
    <t>ESC. EL TORO</t>
  </si>
  <si>
    <t>DEC.  104 DEL 13 DE JUNIO DE 1949</t>
  </si>
  <si>
    <t>ESC. FRANCISCO HENRIQUEZ</t>
  </si>
  <si>
    <t>DEC. 472 DEL 21 DE AGOSTO DE 1970</t>
  </si>
  <si>
    <t>ESC. LA ARENITA</t>
  </si>
  <si>
    <t>DEC. 49 DEL 20 DE FEBRERO DE 2017</t>
  </si>
  <si>
    <t>ESC. LA VALENCIA</t>
  </si>
  <si>
    <t>ESC. LAS PIPAS</t>
  </si>
  <si>
    <t>ESC. LOS JARAMILLOS</t>
  </si>
  <si>
    <t>ESC. MARIA C. DE VILLARREAL</t>
  </si>
  <si>
    <t>DEC. 90 DEL 5 DE JUNIO DE 1990</t>
  </si>
  <si>
    <t>C.E.L.N.O OCU</t>
  </si>
  <si>
    <t>DEC.  241 DEL 21 DE DICIEMBRE DE 1998</t>
  </si>
  <si>
    <t>DEC.  EJECUTIVO Nº 263 (DE 27 de AGOSTO de 2007) QUE CREA EL PROGRAMA TELE EDUCACIÓN PARA JÓVENESY ADULTOS EN EL MINISTERIO DE EDUCACIÓN.</t>
  </si>
  <si>
    <t>CENTRO LABORAL NOCTURNO OFICIAL DE PARITA</t>
  </si>
  <si>
    <t>DEC. 241 DEL 21 DE AGOSTO DE 1998</t>
  </si>
  <si>
    <t>ESC. ELADIA R. DE COLLADO</t>
  </si>
  <si>
    <t>DEC. 447 DEL 14 DE JUNIO DE 2018</t>
  </si>
  <si>
    <t>ESC. SECUNDARIA NOCTURNA OFICIAL DE CHITRE</t>
  </si>
  <si>
    <t>DEC. 297 DEL 9 DE JUNIO DE 1970</t>
  </si>
  <si>
    <t>EXTENDIDA LA ESPERANZA</t>
  </si>
  <si>
    <t>TELE-EDUCACION CHEPO DE LAS MINAS</t>
  </si>
  <si>
    <t>DEC. EJECUTIVO Nº 263 (DE 27 de AGOSTO de 2007) QUE CREA EL PROGRAMA TELE EDUCACIÓN PARA JÓVENESY ADULTOS EN EL MINISTERIO DE EDUCACIÓN.</t>
  </si>
  <si>
    <t>TELE-EDUCACIÓN EL CEDRO-LOS POZOS</t>
  </si>
  <si>
    <t>TELE-EDUCACIÓN EL POTRERO</t>
  </si>
  <si>
    <t>TELE-EDUCACION EL TORO</t>
  </si>
  <si>
    <t>TELE-EDUCACIÓN LA PITALOZA</t>
  </si>
  <si>
    <t>CENTRO DE CUMPLIMIENTO Y CUSTODIA NUEVO AMANECER (DENTRO DE CHITRE)</t>
  </si>
  <si>
    <t>CAPACITACIÓN LABORAL</t>
  </si>
  <si>
    <t>CENTRO DE ESTUDIOS SUPERIORES DE ARTESANÍAS LA ARENA</t>
  </si>
  <si>
    <t>CENTRO DE ESTUDIOS SUPERIORES DE BELLAS ARTES Y FOLKLORE DE CHITRÉ</t>
  </si>
  <si>
    <t>COLEGIO AGUSTINIANO</t>
  </si>
  <si>
    <t>RES. NO. 1251 DEL 20 DE MAYO DE 1991</t>
  </si>
  <si>
    <t>COLEGIO PSICOPEDAGOGICO BILINGÜE</t>
  </si>
  <si>
    <t>RES. NO. 990 DEL 3 DE JULIO DE 1981</t>
  </si>
  <si>
    <t>COLEGIO SAN JUAN BAUTISTA</t>
  </si>
  <si>
    <t>RES. 352 DEL 26 DE MARZO DE 1999</t>
  </si>
  <si>
    <t>CIENCIAS, LETRAS</t>
  </si>
  <si>
    <t>ESC. SANTA RITA BILINGUAL SCHOOL</t>
  </si>
  <si>
    <t>RES. 61 86 DEL 6 DE SEPTIEMBRE DE 2013</t>
  </si>
  <si>
    <t>CENTRO EDUCATIVO  SOYUS BILINGUAL SCHOOL</t>
  </si>
  <si>
    <t xml:space="preserve">RES. 595 DEL 25 DE MAYO DE 1999 </t>
  </si>
  <si>
    <t>RES.2670 DEL 18 DE MAYO DE 2021 QUE AUTORIZA LA AMPLIACION DE LA OFERTA ACADEMICA BACHILLERATO EN CIENCIAS.</t>
  </si>
  <si>
    <t>MY HAPPY HOUSE MONTESSORI SCHOOL</t>
  </si>
  <si>
    <t>RES. 3821 DEL 29 DE JULIO DE 2021 AUTORIZA EL FUNCIONAMIENTO DEL C.E.</t>
  </si>
  <si>
    <t>INSTITUTO LABORAL C&amp;C TECNOLOGIES</t>
  </si>
  <si>
    <t>RES. NO. 2576 DE 30 - MAYO DE 2018.</t>
  </si>
  <si>
    <t>CENTRO NOCTURNO LABORAL BE-TEL</t>
  </si>
  <si>
    <t>RES. NO. 1188 DEL 8 DE AGOSTO DE 2006</t>
  </si>
  <si>
    <t>INSTITUTO DEL SABER ANDROGOGICO ISABEL TORRES</t>
  </si>
  <si>
    <t>RES. 968 DEL 4 DE JULIO DE 2006</t>
  </si>
  <si>
    <t>INSTITUTO SAN MIGUEL ARCANGEL</t>
  </si>
  <si>
    <t>RES. 1345 DEL 13 DE SEPTIEMBRE DEL 2000</t>
  </si>
  <si>
    <t>INSTITUTO TECNICO PANASYSTEM'S</t>
  </si>
  <si>
    <t>RES. NO. 6142 DEL 22 DE DIC. DE 2016</t>
  </si>
  <si>
    <t>PREMEDIA- MEDIA ACADÉMICA</t>
  </si>
  <si>
    <t>CAIPI EL JARDIN DE MI SUEÑO</t>
  </si>
  <si>
    <t>CAIPI MI ESCUELITA</t>
  </si>
  <si>
    <t>LOS SANTOS</t>
  </si>
  <si>
    <t>GUARARÉ</t>
  </si>
  <si>
    <t>CAIPI GUARARE</t>
  </si>
  <si>
    <t>CAIPI MARGARITA MORENO</t>
  </si>
  <si>
    <t>CAIPI SANTO DOMINGO</t>
  </si>
  <si>
    <t xml:space="preserve"> LA VILLA DE LOS SANTOS</t>
  </si>
  <si>
    <t>CAIPI ALBA GABRIELA PALMA</t>
  </si>
  <si>
    <t>LLANO LARGO</t>
  </si>
  <si>
    <t>CAIPI LLANO LARGO</t>
  </si>
  <si>
    <t>SANTA ANA</t>
  </si>
  <si>
    <t>CAIPI JOSE M. BERNAL</t>
  </si>
  <si>
    <t>LA ESPIGADILLA</t>
  </si>
  <si>
    <t>CAIPI LA ESPIGADILLA</t>
  </si>
  <si>
    <t>LOS OLIVOS</t>
  </si>
  <si>
    <t>CAIPI LOS OLIVOS</t>
  </si>
  <si>
    <t>AGUA BUENA</t>
  </si>
  <si>
    <t>CAIPI AGUA BUENA</t>
  </si>
  <si>
    <t>MACARACAS</t>
  </si>
  <si>
    <t>CAIPI MACARACAS</t>
  </si>
  <si>
    <t>LLANO DE PIEDRA</t>
  </si>
  <si>
    <t>CAIPI LLANO DE PIEDRA</t>
  </si>
  <si>
    <t>PEDASÍ</t>
  </si>
  <si>
    <t>CAIPI ELISA RODRIGUEZ DE MOSCOSO</t>
  </si>
  <si>
    <t>TONOSÍ</t>
  </si>
  <si>
    <t>CAIPI TONOSI</t>
  </si>
  <si>
    <t>EL ESPINAL</t>
  </si>
  <si>
    <t>EIH EL LAGARTILLO</t>
  </si>
  <si>
    <t>LAS PALMITAS</t>
  </si>
  <si>
    <t>EIH  SANTA MARTA</t>
  </si>
  <si>
    <t>JARDÍN DE LA INFANCIA JUANA VERNAZA</t>
  </si>
  <si>
    <t>JARDÍN DE LA INFANCIA LA VILLA</t>
  </si>
  <si>
    <t>JARDÍN DE LA INFANCIA  LIDIA B. DE JAEN</t>
  </si>
  <si>
    <t>LAJAMINA</t>
  </si>
  <si>
    <t>ESC. ABIGAIL ESCALA</t>
  </si>
  <si>
    <t>DEC. 28 DE 10 DE MAYO DE 1910</t>
  </si>
  <si>
    <t>El decreto 28 de 10 de mayo de 1910 crea la escuela Laja Mina en el distrito de Pocri. El dect. 483 del 2 de agosto de 1955 se le da el nombre de Abigail Escala a la escuela de Lajamina</t>
  </si>
  <si>
    <t>CAÑAS</t>
  </si>
  <si>
    <t>1392-29-4-1946</t>
  </si>
  <si>
    <t>NUARIO</t>
  </si>
  <si>
    <t>ESC. ALEJANDRO GONZALEZ H.</t>
  </si>
  <si>
    <t>El dect. 325 del 24 de julio de 1954 crea la escuela Nuario. El dect. 145 del 9 de agosto de 1979 se le da el nombre de Alejandro González Hernández a la escuela de Nuario. Municipio de Las Tablas</t>
  </si>
  <si>
    <t>EL COCAL</t>
  </si>
  <si>
    <t>ESC. ANTONIO GONZALEZ</t>
  </si>
  <si>
    <t>DEC. 8 DEL 10 DE FEBRERO DE 1987</t>
  </si>
  <si>
    <t xml:space="preserve"> El dect. 8 del 10 de febrero de 1987 se le da el nombre de Antonio Gonzales Montenegro la escuela Liberato Trujillo del corregimiento de El Cocal</t>
  </si>
  <si>
    <t>EL BEBEDERO</t>
  </si>
  <si>
    <t>ESC. AQUILINO DOMINGUEZ</t>
  </si>
  <si>
    <t>DEC.224 DEL 29 DE MAYO DE 2003</t>
  </si>
  <si>
    <t>El dect.  224 del 29 de mayo de 2003 se le da el nombre de Aquilino Domínguez Barrios a la escuela de buenos Aires del corregimiento de El Berbedero, distrito de Tonosí</t>
  </si>
  <si>
    <t>GUÁNICO</t>
  </si>
  <si>
    <t>ESC. AVE MARIA</t>
  </si>
  <si>
    <t>DEC.104 DEL 14 DE ABRIL DE 1961</t>
  </si>
  <si>
    <t>LAS TABLAS ABAJO</t>
  </si>
  <si>
    <t>ESC. BENILDA CESPEDES TABLAS ABAJO</t>
  </si>
  <si>
    <t>DEC.388 DEL 28 DE SEPTIEMBRE DE 2001</t>
  </si>
  <si>
    <t>El dect. 388 del 28 de septiembre de 2001 se le da el nombre de Benilda R. Céspedes a la escuela primaria de Las Tablas Abajo ubicada en el corregimiento de Las Tablas Abajo, distrito de Las Tablas.</t>
  </si>
  <si>
    <t>LAS TRANCAS</t>
  </si>
  <si>
    <t>ESC. BENJAMIN VELASQUEZ</t>
  </si>
  <si>
    <t>ALTOS DE GÜERA</t>
  </si>
  <si>
    <t>ESC. BOCA DE QUEMA</t>
  </si>
  <si>
    <t>BAJO DE GÜERA</t>
  </si>
  <si>
    <t>ESC. BAJOS DE GUERA</t>
  </si>
  <si>
    <t>COROZAL</t>
  </si>
  <si>
    <t>CENTRO COROZAL</t>
  </si>
  <si>
    <t>MOGOLLÓN</t>
  </si>
  <si>
    <t>ESC. QUEMA</t>
  </si>
  <si>
    <t>DEC.199  DEL 19 DE MAYO DE 1955</t>
  </si>
  <si>
    <t>CAMBUTAL</t>
  </si>
  <si>
    <t>ESC. CAMBUTAL</t>
  </si>
  <si>
    <t>CAÑAFÍSTULO</t>
  </si>
  <si>
    <t>ESC. CAÑAFISTULO</t>
  </si>
  <si>
    <t>INSTITUTO CARLOS M. BALLESTEROS</t>
  </si>
  <si>
    <t>DEC.1582 DEL 20 DE SEPTIEMBRE DE 1946. DECT. 470 DE MARTES 14 DE AGOSTO DE 2018, QUE IMPLEMENTA EL BACHILLER TECNOLOGICO GENERAL.DEC. 739 DEL 19 DE NOV. DE 2018 QUE DEROGA EN TODAS SUS PARTES EL DEC. EJECUTIVO NO. 1074 DEL 16 DE DIC. DE 2016 Y SE EMPLEMENTA EL SEGUNDO NIVEL DE ENSEÑANZA O EDUCACION MEDIA.DEC. 739 DEL 19 DE NOV. DE 2018 QUE DEROGA EN TODAS SUS PARTES EL DEC. EJECUTIVO NO. 1074 DEL 16 DE DIC. DE 2016 Y SE EMPLEMENTA EL SEGUNDO NIVEL DE ENSEÑANZA O EDUCACION MEDIA.</t>
  </si>
  <si>
    <t>El dect. 1582 del 20 de septiembre de 1946 se le da el nombre de Carlos M. Ballestero a la escuela Liberato Trujillo</t>
  </si>
  <si>
    <t>ESC. CARMELO A. FALCO</t>
  </si>
  <si>
    <t>DEC.361 DEL 16 DE OCTUBRE DE 1958</t>
  </si>
  <si>
    <t>El dect.  361 del 16 de octubre de 1958 se le da el nombre de Carmelo A. Falcón Q a la escuela Pedregal</t>
  </si>
  <si>
    <t>PARITILLA</t>
  </si>
  <si>
    <t>ESC. EL CARRICILLAL</t>
  </si>
  <si>
    <t>CHUPÁ</t>
  </si>
  <si>
    <t>ESC. CHUPÁ</t>
  </si>
  <si>
    <t>COLEGIO FRANCISCO I. CASTILLERO</t>
  </si>
  <si>
    <t>DEC. 1 DEL 15 DE ENERO DE 2004</t>
  </si>
  <si>
    <t>Dect.  1 del 15 de enero de 2004 se le da el nombre de Francisco I. Castillero al colegio secundario Guararé, distrito de Guararé. Este decreto se puede ver.</t>
  </si>
  <si>
    <t>COLEGIO MANUEL M. TEJADA ROCA</t>
  </si>
  <si>
    <t>DEC. 88 DEL 25 DE JUNIO DE 1969</t>
  </si>
  <si>
    <t>El dect.  88 del 25 de junio de 1969 se le da el nombre de Manuel María Tejada Roca a la escuela Las Tablas.  El det.  544 del 18 de agosto de 1972 crea la sección de Educación Comercial  correspondiente a la educación profesional y técnica</t>
  </si>
  <si>
    <t>CIENCIAS, HUMANIDADES, COMERCIO, TURISMO,</t>
  </si>
  <si>
    <t>COLEGIO RAFAEL MORENO</t>
  </si>
  <si>
    <t>DEC.335 DEL 26 DE ABRIL DE 1971</t>
  </si>
  <si>
    <t>El dect. 335 del 26 de abril de 1971 crea el colegio Secundario de Macaracas.  El dect. 25 del 9 de febrero de 1983, denomínese Colegio secundario Rafael Moreno Peralta al colegio secundario de Macaracas</t>
  </si>
  <si>
    <t>EL  MACANO</t>
  </si>
  <si>
    <t>ESC. CUCULA</t>
  </si>
  <si>
    <t>ESC. BILINGÜE SANTA ANA</t>
  </si>
  <si>
    <t>LAS PALMAS</t>
  </si>
  <si>
    <t>ESC. EL CALABAZO</t>
  </si>
  <si>
    <t>DEC.679 DEL 20 DE JUNIO DE 1952</t>
  </si>
  <si>
    <t>ESC. EL CEDRO</t>
  </si>
  <si>
    <t>DEC. 811 DEL 28 DE AGOSTO DE 1953</t>
  </si>
  <si>
    <t>El Dect. 811 del 28 de agosto de 1953 reabre la escuela Los Cedros</t>
  </si>
  <si>
    <t>EL CORTEZO</t>
  </si>
  <si>
    <t>ESC. EL CORTEZO ARRIBA</t>
  </si>
  <si>
    <t>DEC.863  DEL 9 DE SEPTIEMBRE DE 1953</t>
  </si>
  <si>
    <t>FLORES</t>
  </si>
  <si>
    <t>ESC. EL ESPAVE</t>
  </si>
  <si>
    <t>El dect. 207 del 17 de mayo de 1962 es dect. de creación de la escuela  Espave. El dect. 81  del 13 de marzo de 1962 clausura la escuela Espave - El dect. 207 de  17 de 3 julio de 1952 reapertura de la escuela Espavé.  El dect. 207 del 17 de mayo de 1962 es otro decreto de creación de la escuela Espave del municipio de Tonosi</t>
  </si>
  <si>
    <t>ESC. EL ESPAVEITO</t>
  </si>
  <si>
    <t>ESC. EL GUASIMO</t>
  </si>
  <si>
    <t>ESC. EL GUAYABAL</t>
  </si>
  <si>
    <t>EL HATO</t>
  </si>
  <si>
    <t>ESC. EL TALLO</t>
  </si>
  <si>
    <t>DEC.166 DEL 11 DE MAYO  DE 1960</t>
  </si>
  <si>
    <t>ESC. EL TOLU</t>
  </si>
  <si>
    <t>C.E.B.G. ERNESTINA SUCRE</t>
  </si>
  <si>
    <t>El dect. 49 del 13 de junio de 1978 crea el Centro de Educación Básica General Ernestina Sucre Falcón.  El dect. 115 del 4 de abril de 1966 se le da el nombre de Ernestina Sucre Falcón a la escuela Pocri</t>
  </si>
  <si>
    <t>ESC.  BILINGÜE AGUA BUENA</t>
  </si>
  <si>
    <t>ESC. BILINGÜE AMARIS DURÁN</t>
  </si>
  <si>
    <t>DEC.236 DEL 25 DE ABRIL DE 1994</t>
  </si>
  <si>
    <t>El dect. 236 del 25 de abril de 1994 se le da el nombre de Amaris Duran de Vidal a la escuela primaria oficial Las Palmitas. Decreto 446 del 14 de agosto de 2018 incorpora la denominacion Bilingüe al Nombre</t>
  </si>
  <si>
    <t>ESC.  BILINGÜE MARIA BEATRIZ   RODRÍGUEZ</t>
  </si>
  <si>
    <t>ESC.  BILINGÜE CARLOS M. BALLESTEROS</t>
  </si>
  <si>
    <t>ESC. BILINGÜE CLAUDIO VÁSQUEZ</t>
  </si>
  <si>
    <t>DEC.182 DEL 4 DE JULIO DE 1986</t>
  </si>
  <si>
    <t>El dect. 182 del 4 de julio de 1986 da el nombre de Claudio Vásquez a la escuela Presidentes Porras. Decreto 446 del 14 de agosto de 2018 incorpora la denominacion Bilingüe al Nombre</t>
  </si>
  <si>
    <t>ESC.  BILINGÜE JOSÉ DE LOS S. MORENO</t>
  </si>
  <si>
    <t>DEC.155 DEL 29 DE OCTUBRE DE 1976</t>
  </si>
  <si>
    <t>El dect. 155 del 29 de octubre de 1976 se le da el nombre de José de los Santos Moreno a la escuela de Sabana Grande, Distrito de Los Santos</t>
  </si>
  <si>
    <t>ESC. BILINGÜE JUANA VERNAZA</t>
  </si>
  <si>
    <t>DEC.407  DEL 15 DE AGOSTO DE 1942</t>
  </si>
  <si>
    <t>El dect. 407 del 15 de agosto de 1942 se le da el nombre de Juana Vernaza a la escuela Mixta de Guarare. E.Decreto 446 del 14 de agosto de 2018 incorpora la denominacion Bilingüe al Nombre</t>
  </si>
  <si>
    <t>LA COLORADA</t>
  </si>
  <si>
    <t>ESC.  BILINGÜE LA COLORADA</t>
  </si>
  <si>
    <t>ESC.  BILINGÜE LLANO DE PIEDRA</t>
  </si>
  <si>
    <t>ESC.  BILINGÜE LLANO LARGO</t>
  </si>
  <si>
    <t>ESC. BILINGÜE LOS OLIVOS</t>
  </si>
  <si>
    <t>ESC. BILINGÜE MELQUISEDEC VÁSQUEZ</t>
  </si>
  <si>
    <t>DEC.1573 DEL 30 DE AGOSTO DE 1946</t>
  </si>
  <si>
    <t>El dect. 1573 del 30 de agosto de 1946 se le da el nombre de Melquisedes Vásquez a la escuela Santo Domingo. Decreto 446 del 14 de agosto de 2018 incorpora la denominacion Bilingüe al Nombre</t>
  </si>
  <si>
    <t>LA VILLA DE LOS SANTOS</t>
  </si>
  <si>
    <t>ESC. BILINGÜE NICANOR VILLALAZ</t>
  </si>
  <si>
    <t>DEC.585 DEL 27 DE SEPTIEMBRE DE 1955</t>
  </si>
  <si>
    <t>El dect. 585 del 27 de septiembre de 1955 se le da el nombre de Nicanor Villalaz a la escuela Republica de Hondura. Decreto 446 del 14 de agosto de 2018 incorpora la denominacion Bilingüe al Nombre</t>
  </si>
  <si>
    <t>ESC.  BILINGÜE PLINIO A. MOSCOSO</t>
  </si>
  <si>
    <t>El dect. 49 del 13 de junio de 1978 crea el Centro de Educación Básica General Plinio A. Moscoso.Decreto 446 del 14 de agosto de 2018 incorpora la denominacion Bilingüe al Nombre</t>
  </si>
  <si>
    <t>ESC.  BILINGÜE PRESIDENTE PORRAS</t>
  </si>
  <si>
    <t>ESC.  BILINGÜE ROSA M. ANGULO DE ARCE</t>
  </si>
  <si>
    <t>ESC.  BILINGÜE RUDECINDA RODRÍGUEZ</t>
  </si>
  <si>
    <t>ESC.  BILINGÜE SANTA ISABEL</t>
  </si>
  <si>
    <t>ESPINO AMARILLO</t>
  </si>
  <si>
    <t>ESC. ESPINO AMARILLO</t>
  </si>
  <si>
    <t>ESC. FELICIA CASTILLERO DE MORCILLO</t>
  </si>
  <si>
    <t>DEC.578 DEL 21 DE JULIO DE 2004</t>
  </si>
  <si>
    <t>El dect. 578 del 21 de julio de 2004  se le da el nombre de Felicia Castillero de Morcillo a la escuela El Espinal, ubicada en el corregimiento El Espinal, distrito de Guarare</t>
  </si>
  <si>
    <t>ESC. FLORES</t>
  </si>
  <si>
    <t xml:space="preserve">DEC. 768 DEL 28 DE DICIEMBRE DE 2018 QUE CREA EL C.E.B.G. FLOR DE MARIA PRADO BUSTAMANTE </t>
  </si>
  <si>
    <t>LA TRONOSA</t>
  </si>
  <si>
    <t>ESC. GUANIQUITO</t>
  </si>
  <si>
    <t>DEC.138  DEL 16 DE JUNIO DE 1959</t>
  </si>
  <si>
    <t>GUARARÉ ARRIBA</t>
  </si>
  <si>
    <t>ESC. GUARARE ARRIBA</t>
  </si>
  <si>
    <t>DEC.24 DEL 24 DE ABRIL DE 1915</t>
  </si>
  <si>
    <t>El dect. 49 del 13 de junio de 1978 crea el Centro de Educación Básica General Guararé</t>
  </si>
  <si>
    <t>PEÑA BLANCA</t>
  </si>
  <si>
    <t>ESC. GUSTAVO BATISTA</t>
  </si>
  <si>
    <t>El Dect. 69 de 14 de julio de 1910 cre la escuela Alternada en el Caserio de Paña Blanca distrito de Las Tablas. El dect. 223 del 31 de octubre de 1996 se le da el nombre de Gustavo Batista Cedeño a la escuela Peña Blanca</t>
  </si>
  <si>
    <t>LA ENEA</t>
  </si>
  <si>
    <t>ESC. HERACLIO BARLETTA</t>
  </si>
  <si>
    <t>DEC.417 DEL 7 DE AGOSTO DE 1961</t>
  </si>
  <si>
    <t>El dect. 417 del 30 de agosto de 1961 se le da el nombre Heraclio Barletta Bustamante a la escuela primaria de La Enea, ubicada en el corregimiento de Guararé</t>
  </si>
  <si>
    <t>INSTITUTO CORONEL SEGUNDO DE VILLARREAL</t>
  </si>
  <si>
    <t>DEC.165 DEL 22 DE ABRIL DE 1968</t>
  </si>
  <si>
    <t>El dect. 165 del 22 de abril de 1968 crea el Primer Ciclo Coronel Segundo Villarreal. El dect. 62 del 29 de marzo de 1973  Se le da el nombre de Normal de Azuero Coronel Segundo Villareal al Primer ciclo Coronel Segundo Villarreal .  El decreto 19 del 26 de febrero de 1980 elimina la denominación de Normal a la escuela Coronel Segundo Villarreal</t>
  </si>
  <si>
    <t>CIENCIAS, AGROPECUARIO,COMERCIO,CONTABILIDAD</t>
  </si>
  <si>
    <t>INSTITUTO PLINIO MOSCOSO</t>
  </si>
  <si>
    <t>EL CACAO</t>
  </si>
  <si>
    <t>I.P.T. AGROPECUARIO DE TONOSÍ</t>
  </si>
  <si>
    <t>DEC.258 DEL 3 DE OCTUBRE DE 1995</t>
  </si>
  <si>
    <t>El dect. 49 del 13 de junio de 1978 se crea el centro de educación básica general Tonosí. Dect. 258 de 3 de octubre de 1995</t>
  </si>
  <si>
    <t>AGROPECUARIO, COMERCIO</t>
  </si>
  <si>
    <t>I.P.T. DE AZUERO</t>
  </si>
  <si>
    <t>DEC.152 DEL 29 DE OCTUBRE DE 1976</t>
  </si>
  <si>
    <t>INDUSTRIAL, SEGUNDO CICLO INDUSTRIAL, TECNOLOGIA E INFORMATICA, SEVICIOS Y GESTION INSTITUCIONAL</t>
  </si>
  <si>
    <t>ISLA DE CAÑA</t>
  </si>
  <si>
    <t>ESC. ISLA DE CAÑAS</t>
  </si>
  <si>
    <t>DEC.383 DEL 23 DE AGOSTO DE 1960</t>
  </si>
  <si>
    <t>ESC. JOBERO</t>
  </si>
  <si>
    <t>ESC. JUSTO VASQUEZ B.</t>
  </si>
  <si>
    <t>DEC.1697 DEL 14 DE DICIEMBRE DE 1946</t>
  </si>
  <si>
    <t>El dect. 1697 del 14 de diciembre de 1946 se le da el nombre de Justo Vásquez a la escuela de Paritilla</t>
  </si>
  <si>
    <t>ESC. LA GUACA</t>
  </si>
  <si>
    <t>ESC.FLOR DE MARÍA PRADO BUSTAMANTE (ESC. LA LAGUNA)</t>
  </si>
  <si>
    <t>DEC. 768 DEL 28 DE DICIEMBRE DEL 2018 QUE CREA EL C.E.B.G. FLOR DE MARIA PRADO BUSTAMANTE</t>
  </si>
  <si>
    <t>VILLA LOURDES</t>
  </si>
  <si>
    <t>ESC. LA LAJA</t>
  </si>
  <si>
    <t>ESC. LA LOMA</t>
  </si>
  <si>
    <t>DEC.2081 DEL 7 DE JUNIO DE 1948</t>
  </si>
  <si>
    <t>El dect. 2081 del 7 de junio de 1948 y el dect. 101 del 7 de abril de 1961 son decreto de creación.  El decreto 444 del 3 de agosto de 1962 Clausura la escuela La Loma</t>
  </si>
  <si>
    <t>LA PASERA</t>
  </si>
  <si>
    <t>ESC. LA PASERA</t>
  </si>
  <si>
    <t>DEC. 26 DEL 3 DE MAYO DE 1912</t>
  </si>
  <si>
    <t>ESC. LA PAULA</t>
  </si>
  <si>
    <t>DEC.443 DEL 3 DE AGOSTO DE 1962</t>
  </si>
  <si>
    <t>El dect.  332 del 18 de julio de  1973 clausura de la escuela en el Municipio de Las Tablas. El dect. 39 del 14 de abril de 1976 reabre la escuela La Paula</t>
  </si>
  <si>
    <t>ESC. LA PINTADA</t>
  </si>
  <si>
    <t>DEC.129  DEL 8 DE MAYO DE 1954</t>
  </si>
  <si>
    <t>El dect.  325 del 24 de julio de 1954, apertura de la escuela La Pintada en Tonosí</t>
  </si>
  <si>
    <t>ESC. LA PINTADITA</t>
  </si>
  <si>
    <t>LA TIZA</t>
  </si>
  <si>
    <t>ESC. BOLIVAR DE GRACIA GONZALEZ (ANTES ESC. LA TIZA)</t>
  </si>
  <si>
    <t>DEC. 98 DE 21 DE OCTUBRE DE 1912</t>
  </si>
  <si>
    <t>19 DE NOV. DE 2018 QUE AUTORIZA EL CAMBIO DE NOMBRE DEL C.E. LA TIZA A C.E. BOLIVAR ANTONIO DE GRACIA GONZALEZ.</t>
  </si>
  <si>
    <t>ESC. LA TRONOSA</t>
  </si>
  <si>
    <t>ESC. LA ZAPOTOSA</t>
  </si>
  <si>
    <t>DEC.235 DEL 17 DE MAYO DE 1968</t>
  </si>
  <si>
    <t>LAS CRUCES</t>
  </si>
  <si>
    <t>LAS GUABAS</t>
  </si>
  <si>
    <t>ESC. LAS ZATRAS</t>
  </si>
  <si>
    <t>DEC. 863 DEL 9 DE SEPTIEMBRE DE 1953</t>
  </si>
  <si>
    <t>El dect. 267 del 16 de junio de 1960 reabre la escuela Las Zatras, que se clausuro con  el dec. 572 del 20 de septiembre de 1955</t>
  </si>
  <si>
    <t>LLANO ABAJO</t>
  </si>
  <si>
    <t>ESC. LLANO ABAJO</t>
  </si>
  <si>
    <t>BAHÍA HONDA</t>
  </si>
  <si>
    <t>ESC. LOS BOTONCILLOS</t>
  </si>
  <si>
    <t>ESC. LOS DESTILADEROS</t>
  </si>
  <si>
    <t>ESC. LOS GUAYABOS</t>
  </si>
  <si>
    <t>ESC. LOS LEALES</t>
  </si>
  <si>
    <t>EL MACANO</t>
  </si>
  <si>
    <t>ESC. LOS TORETOS</t>
  </si>
  <si>
    <t>RÍO HONDO</t>
  </si>
  <si>
    <t>ESC. OFELIA C. DE ACEVEDO</t>
  </si>
  <si>
    <t>DEC.703 DEL 30 DE DICIEMBRE DE 1992</t>
  </si>
  <si>
    <t>El dect. 703 del 30 de diciembre de 1992 se le da el nombre de Ofelia Cárdenas de Acevedo a la escuela Rio Hondo en las Tablas de los Santos</t>
  </si>
  <si>
    <t>VALLE RICO</t>
  </si>
  <si>
    <t>ESC. ORIA</t>
  </si>
  <si>
    <t>DEC.345 DEL 18 DE NOVIEMBRE DE 1986</t>
  </si>
  <si>
    <t>ORIA ARRIBA</t>
  </si>
  <si>
    <t>LOS ASIENTOS</t>
  </si>
  <si>
    <t>ESC. PABLO BALLESTEROS</t>
  </si>
  <si>
    <t>DEC.1082 DEL 1 DE JUNIO DE 1945</t>
  </si>
  <si>
    <t>El dect.  1082 del 1 de junio de 1945. se le da el nombre de Pablo Ballestero a la escuela de las Tablas</t>
  </si>
  <si>
    <t>ESC. PEDREGAL</t>
  </si>
  <si>
    <t>EL CARATE</t>
  </si>
  <si>
    <t xml:space="preserve"> ESC. PLINIO A. TEJADA</t>
  </si>
  <si>
    <t>DEC.117 DEL 30 DE AGOSTO DE 1978</t>
  </si>
  <si>
    <t>El dect. 117 del 30 de agosto de  1978 se le da el nombre de Plinio A. Tejada a la escuela El Carate del Distrito de las Tablas</t>
  </si>
  <si>
    <t>PURIO</t>
  </si>
  <si>
    <t>ESC. PURIO</t>
  </si>
  <si>
    <t>ESC. RÍO QUEMA</t>
  </si>
  <si>
    <t>ESC. RÍO VIEJO DEL SOLAR</t>
  </si>
  <si>
    <t>ESC. SAN AGUSTIN</t>
  </si>
  <si>
    <t>SAN MIGUEL</t>
  </si>
  <si>
    <t>DEC.113 DEL 16 DE MARZO DE 1956</t>
  </si>
  <si>
    <t>El dect. 113 del 16 de marzo  de 1956 se le da el nombre de San Miguel a la escuela del Antiguo Distrito de las Yescas. Este decreto se puede ver.</t>
  </si>
  <si>
    <t>EL EJIDO</t>
  </si>
  <si>
    <t>ESC. SEÑOR DE LOS MILAGROS</t>
  </si>
  <si>
    <t>BAYANO</t>
  </si>
  <si>
    <t>ESC. TABOGA</t>
  </si>
  <si>
    <t>El dect. 2132 del 9 de junio de 1948 y el dect. 101 del 7 de abril de 1961 son decretos de creación</t>
  </si>
  <si>
    <t>ESC. TUMACO</t>
  </si>
  <si>
    <t>DEC.389 DEL 28 DE SEPTIEMBRE DE 2001</t>
  </si>
  <si>
    <t>El dect. 389 de 28 de septiembre de 2001 le da el nombre de Temistocles R. Céspedes al centro de educación básica general de Vallerriquito</t>
  </si>
  <si>
    <t>ESC. ARTURO PÉREZ CABALLERO</t>
  </si>
  <si>
    <t>BAJO CORRAL</t>
  </si>
  <si>
    <t>ESC. BAJO CORRAL</t>
  </si>
  <si>
    <t>ESC. BOMBACHITO</t>
  </si>
  <si>
    <t>ESC. BUCARO</t>
  </si>
  <si>
    <t>ESC. CARLOS M. ESPINO</t>
  </si>
  <si>
    <t>DEC.106 DEL 5 DE MAYO DE 1986</t>
  </si>
  <si>
    <t>El dect. 106 del 5 de mayo de  1986 se le da el nombre de  Carlos Manuel Espino Frías a la escuela Bayano</t>
  </si>
  <si>
    <t>ESC. EL BIJAO</t>
  </si>
  <si>
    <t>ESC. EL CACAO</t>
  </si>
  <si>
    <t>El dect. 85 del 26 de abril de 1954 clausuran la escuela</t>
  </si>
  <si>
    <t>ESC. EL GUAYABO</t>
  </si>
  <si>
    <t>EL MUÑOZ</t>
  </si>
  <si>
    <t>C.E.B.G. RUDILIA ALFARO ANDERSON (ANTES MUÑOCES)</t>
  </si>
  <si>
    <t>DEC. 415 DEL 23 DE AGOSTO DE 1963. DEC. 43 DE 24 DE MAYO DE 2022 QUE AUTORIZA EL CAMBIO DE NOMBRE DE LA ESCUELA LOS MUÑOCES A C.E.B.G. RUDILIA ALFARO ANDERSON</t>
  </si>
  <si>
    <t>Dect. 415 del 23 de agosto de 1963 se crea la escuela Los Muñoces en el distrito de Las Tablas (En la base de dato apararece la escuela con el nombre de Muñoz)</t>
  </si>
  <si>
    <t>ESC. GUANICO ARRIBA</t>
  </si>
  <si>
    <t>El dect. 361 del 16 de octubre de 1958 se le da el nombre de Guanico a la escuela de la Palmita</t>
  </si>
  <si>
    <t>ESC. GUARAREITO-LA LIMONA</t>
  </si>
  <si>
    <t>DEC. 655 DEL 4 DE JUNIO DE 1952</t>
  </si>
  <si>
    <t>El dect. 692 del 1 de julio de 1952  es decreto de creación de La Limona. El dect. 655 del 4 de junio de 1952 crea la escuela Guararaito.</t>
  </si>
  <si>
    <t>VALLERRIQUITO</t>
  </si>
  <si>
    <t>DEC.406 DEL 31 DE JUNIO DE 2003</t>
  </si>
  <si>
    <t>ESC. LA LLANA</t>
  </si>
  <si>
    <t>LA MIEL</t>
  </si>
  <si>
    <t>El dect. 66 del  12 de mayo de 1949 y el dect.333 del 26 de abril de 1971 son decretos de creación de la escuela  La Peña.</t>
  </si>
  <si>
    <t>MARIABÉ</t>
  </si>
  <si>
    <t>ESC. MARIABE</t>
  </si>
  <si>
    <t>EL MANANTIAL</t>
  </si>
  <si>
    <t>ESC. NEMESIO MEDINA</t>
  </si>
  <si>
    <t>DEC.90 DEL 6 DE MAYO DE 1964</t>
  </si>
  <si>
    <t>El dect. 90 del 6 de mayo de 1964 se le da el nombre de Menesio Medina a la escuela que funciona en la comunidad de Manantial, Municipio de las Tablas.</t>
  </si>
  <si>
    <t>ESC. PABLO BARRIOS</t>
  </si>
  <si>
    <t>DEC.81 DEL 54 DEL 15 DE ABRIL DE 1964</t>
  </si>
  <si>
    <t>El dect. 81 del 15 de abril de 1964. Se le da el nombre de Pablo Barrios a la escuela primaria que funciona en la comunidad de Cañas, Municipio de Tonosí.</t>
  </si>
  <si>
    <t>DEC.554 DEL 14 DE NOVIEMBRE DE 1951</t>
  </si>
  <si>
    <t>El dect. 554 del 14 de noviembre de 1951 se le da el nombre de Palmira a la escuela Caserío de Cangrejos</t>
  </si>
  <si>
    <t>SAN JOSÉ</t>
  </si>
  <si>
    <t>ESC. SAN JOSE</t>
  </si>
  <si>
    <t>ESC. SAN LUIS</t>
  </si>
  <si>
    <t>DEC.36 DEL 14 DE ABRIL DE 1976</t>
  </si>
  <si>
    <t>El dect. 36 del 14 de abril de 1976 se le da el nombre de San Luis a la escuela Cerro Sapo</t>
  </si>
  <si>
    <t>PERALES</t>
  </si>
  <si>
    <t>ESC. SANTA ISABEL</t>
  </si>
  <si>
    <t>DEC.590 DEL 3 DE OCTUBRE DE 1962</t>
  </si>
  <si>
    <t>El dect. 590 del 3 de octubre 1962 se le da el nombre de Santa Isabel a la escuela el Gallo/  Dec. 1037 del 15 de octubre del 2013 se crea la escuela Santa Isabel.</t>
  </si>
  <si>
    <t>ESC. SERGIO GONZALEZ RUIZ</t>
  </si>
  <si>
    <t>DEC.524 DE. 14 DE AGOSTO DE 2003</t>
  </si>
  <si>
    <t>El dect. 524  del 14 de agosto de 2003 se le da el nombre de escuela Doctor Sergio González Ruiz a la escuela primaria de Canajagua</t>
  </si>
  <si>
    <t>TRES QUEBRADAS</t>
  </si>
  <si>
    <t>ESC. TRES QUEBRADAS</t>
  </si>
  <si>
    <t>ESC. VILLA LOURDES</t>
  </si>
  <si>
    <t>CENTRO LABORAL NOCTURNO MACARACAS</t>
  </si>
  <si>
    <t>CENTRO PENITENCIARIO LAS TABLAS</t>
  </si>
  <si>
    <t>ESC. ERNESTINA SUCRE ENCONTRANDO EL CAMINO CORRECTO</t>
  </si>
  <si>
    <t>ESC.  NOCTURNA OFICIAL DE LAS TABLAS</t>
  </si>
  <si>
    <t>CIENCIAS, HUMANIDADES, CONTABILIDAD</t>
  </si>
  <si>
    <t>ESC. NOCTURNA OFICIAL TONOSI</t>
  </si>
  <si>
    <t>I.P.T. NOCTURNO DE AZUERO</t>
  </si>
  <si>
    <t>ESC. JOSÉ DE LOS SANTOS MORENO</t>
  </si>
  <si>
    <t>ESC. LA COLORADA</t>
  </si>
  <si>
    <t>ESC. LETICIA MONTENEGRO-EXTENDIDA</t>
  </si>
  <si>
    <t>NOCTURNA LABORAL DE PEDASI</t>
  </si>
  <si>
    <t>TELE-EDUCACION AGUA BUENA-LLANO ABAJO</t>
  </si>
  <si>
    <t>TELE-EDUCACION EL CARATE</t>
  </si>
  <si>
    <t>TELE-EDUCACION CARLOS ESPINO (ANTES GUSTAVO BATISTA)</t>
  </si>
  <si>
    <t>TELE-EDUCACIÓN JUANA VERNAZA</t>
  </si>
  <si>
    <t>TELE-EDUCACION LLANO DE PIEDRA</t>
  </si>
  <si>
    <t>TELE-EDUCACION LOS BOTONCILLOS</t>
  </si>
  <si>
    <t>TELE-EDUCACIÓN SANTA ANA</t>
  </si>
  <si>
    <t>EL SESTEADERO</t>
  </si>
  <si>
    <t>TELE-EDUCACIÓN SANTA ISABEL</t>
  </si>
  <si>
    <t>CENTRO DE ESTUDIO SUPERIOR DE FOLKLORE DE LOS SANTOS</t>
  </si>
  <si>
    <t>ESC.  BELLAS ARTES DE LAS TABLAS</t>
  </si>
  <si>
    <t>ESC. LA CANOA (ANEXA A ESC. QUEMO)</t>
  </si>
  <si>
    <t>IPHE DE LOS SANTOS</t>
  </si>
  <si>
    <t>INDUSTRIAL, TECNICO INTERMEDIO,BELLEZA</t>
  </si>
  <si>
    <t>ACADEMIA INTERNACIONAL SANTA FE</t>
  </si>
  <si>
    <t>C.A.D.I  BILINGUAL SCHOOL ACADEMY</t>
  </si>
  <si>
    <t>COLEGIO INTEGRAL DE AZUERO</t>
  </si>
  <si>
    <t>RES. 4143 DEL 16 DICIEMBRE DE 2020 QUE AUTORIZA EL FUNCIONAMIENTO.</t>
  </si>
  <si>
    <t>COLEGIO THE OXFORD SCHOOL AZUERO</t>
  </si>
  <si>
    <t>RES. 1045 DE MAYO DE 2022 QUE AUTORIZA FUNCIONAMIENTO</t>
  </si>
  <si>
    <t>ACADEMIA BILINGÜE ROSE MARIE TAPIA</t>
  </si>
  <si>
    <t>RES. 2284 DEL 26 DE ABRIL DE 2021 QUE AUTORIZA EL FUNCIONAMIENTO DEL C.E.</t>
  </si>
  <si>
    <t>INSTITUTO COMPUTACIONAL Y LABORAL DE LAS TABLAS</t>
  </si>
  <si>
    <t>COMARCA NGÄBE BUGLE</t>
  </si>
  <si>
    <t>NGABE BUGLE NEDRINI</t>
  </si>
  <si>
    <t>MUNÄ</t>
  </si>
  <si>
    <t>ALTO CABALLERO</t>
  </si>
  <si>
    <t>CAIPI SUEÑOS FELICES</t>
  </si>
  <si>
    <t>COM. NGÄBE BUGLÉ</t>
  </si>
  <si>
    <t>MIRONÓ</t>
  </si>
  <si>
    <t>HATO JULÍ</t>
  </si>
  <si>
    <t>CEFACEI BAJO LIMON</t>
  </si>
  <si>
    <t>NOLE DUIMA</t>
  </si>
  <si>
    <t>CERRO IGLESIA</t>
  </si>
  <si>
    <t>CEFACEI BRIGUNI</t>
  </si>
  <si>
    <t>HATO PILÓN</t>
  </si>
  <si>
    <t>CEFACEI CARACOL</t>
  </si>
  <si>
    <t>BESIKO</t>
  </si>
  <si>
    <t>BOCA DE BALSA</t>
  </si>
  <si>
    <t>CEFACEI CERRO IGLESIA</t>
  </si>
  <si>
    <t>QUEBRADA DE LORO</t>
  </si>
  <si>
    <t>CEFACEI LORO ARRIBA</t>
  </si>
  <si>
    <t>CEFACEI TOLOTE</t>
  </si>
  <si>
    <t>CHICHICA</t>
  </si>
  <si>
    <t>CEFACEI ALTO ARENA</t>
  </si>
  <si>
    <t>JÄDEBERI</t>
  </si>
  <si>
    <t>CEFACEI ALGARROBO</t>
  </si>
  <si>
    <t>SALTO DUPÍ</t>
  </si>
  <si>
    <t>CEFACEI ALTO GUAYABAL N° 2</t>
  </si>
  <si>
    <t>CEFACEI ALTO NANCITO</t>
  </si>
  <si>
    <t>CEFACEI BAJO COMUN</t>
  </si>
  <si>
    <t>CEFACEI BELLA VISTA</t>
  </si>
  <si>
    <t>CEFACEI BISIRA</t>
  </si>
  <si>
    <t>CEFACEI BUENOS AIRES</t>
  </si>
  <si>
    <t>HATO COROTÚ</t>
  </si>
  <si>
    <t>CEFACEI CALABAZAL</t>
  </si>
  <si>
    <t>CASCABEL</t>
  </si>
  <si>
    <t>CEFACEI CERRO BALSA</t>
  </si>
  <si>
    <t>CERRO PUERCO</t>
  </si>
  <si>
    <t>CEFACEI CERRO CENIZA N° 1</t>
  </si>
  <si>
    <t>HATO JOBO</t>
  </si>
  <si>
    <t>CEFACEI CERRO CHOMBO</t>
  </si>
  <si>
    <t>CEFACEI CERRO CONCHA N° 1</t>
  </si>
  <si>
    <t>CEFACEI CERRO CONCHA N° 2</t>
  </si>
  <si>
    <t>HATO CULANTRO</t>
  </si>
  <si>
    <t>CEFACEI CERRO MAMITA</t>
  </si>
  <si>
    <t>CEFACEI CERRO MESA</t>
  </si>
  <si>
    <t>NIBA</t>
  </si>
  <si>
    <t>CEFACEI CERRO MOLENA</t>
  </si>
  <si>
    <t>KIKARI</t>
  </si>
  <si>
    <t>CEFACEI CERRO ÑAME</t>
  </si>
  <si>
    <t>CERRO  DE PATENA</t>
  </si>
  <si>
    <t>CEFACEI CERRO PALMA ABAJO</t>
  </si>
  <si>
    <t>CEFACEI CERRO PLATA</t>
  </si>
  <si>
    <t>CERRO BANCO</t>
  </si>
  <si>
    <t>CEFACEI CERRO SOBRINO</t>
  </si>
  <si>
    <t>CERRO DE PATENA</t>
  </si>
  <si>
    <t>CEFACEI CERRO SOL</t>
  </si>
  <si>
    <t>CEFACEI CERRO VACA</t>
  </si>
  <si>
    <t>EMPLANADA DE CHORCHA</t>
  </si>
  <si>
    <t>CEFACEI CERRO VIEJO ARRIBA</t>
  </si>
  <si>
    <t>CEFACEI CHICHICA</t>
  </si>
  <si>
    <t>CEFACEI CLEVA</t>
  </si>
  <si>
    <t>CEFACEI CUERNA VACA</t>
  </si>
  <si>
    <t>DIKO</t>
  </si>
  <si>
    <t>CEFACEI DIKO</t>
  </si>
  <si>
    <t>SOLOY</t>
  </si>
  <si>
    <t>CEFACEI GASPARILLO</t>
  </si>
  <si>
    <t>CEFACEI GUAYABAL</t>
  </si>
  <si>
    <t>CEFACEI HATO COROTU</t>
  </si>
  <si>
    <t>CEFACEI HATO LORO</t>
  </si>
  <si>
    <t>CEFACEI HATO RATON</t>
  </si>
  <si>
    <t>CEFACEI LA ESPERANZA</t>
  </si>
  <si>
    <t>ROKA</t>
  </si>
  <si>
    <t>CEFACEI LLANO BONITO</t>
  </si>
  <si>
    <t>DIKERI</t>
  </si>
  <si>
    <t>CEFACEI LLANO MIRANDA</t>
  </si>
  <si>
    <t>SUSAMA</t>
  </si>
  <si>
    <t>CEFACEI MOLEJON</t>
  </si>
  <si>
    <t>CEFACEI NANCITO</t>
  </si>
  <si>
    <t>SITIO PRADO</t>
  </si>
  <si>
    <t>CEFACEI NOMON KIA</t>
  </si>
  <si>
    <t>BAKAMA</t>
  </si>
  <si>
    <t>CEFACEI QUEBRADA CAÑA</t>
  </si>
  <si>
    <t>CEFACEI QUEBRADA CHÁCARA</t>
  </si>
  <si>
    <t>CEFACEI QUEBRADA CHICHA</t>
  </si>
  <si>
    <t>CEFACEI QUEBRADA ZAPOTE</t>
  </si>
  <si>
    <t>CEFACEI SABANA DE HUSO</t>
  </si>
  <si>
    <t>CEFACEI SALITRE</t>
  </si>
  <si>
    <t>CEFACEI SARDINA</t>
  </si>
  <si>
    <t>CEFACEI TOLAY</t>
  </si>
  <si>
    <t>CEFACEI. CASICÓN (CACICON)</t>
  </si>
  <si>
    <t>CEFACEI NARANJAL</t>
  </si>
  <si>
    <t>COM. ALTO GUAYABAL</t>
  </si>
  <si>
    <t>COM. ALTO NANCE</t>
  </si>
  <si>
    <t>COM. BUENA VISTA</t>
  </si>
  <si>
    <t>COM. CALABAZAL</t>
  </si>
  <si>
    <t>COM. CAMARON</t>
  </si>
  <si>
    <t>GASPARILLO</t>
  </si>
  <si>
    <t>HATO CHAMÍ</t>
  </si>
  <si>
    <t>COM. CERRO DIOS</t>
  </si>
  <si>
    <t>COM. CERRO GRANDE</t>
  </si>
  <si>
    <t>COM. CERRO MAJAGUA</t>
  </si>
  <si>
    <t>COM. CERRO PIEDRA</t>
  </si>
  <si>
    <t>COM. LECHUZA</t>
  </si>
  <si>
    <t>COM. PLANO RIO HUSO</t>
  </si>
  <si>
    <t>COM. VISTA ALEGRE</t>
  </si>
  <si>
    <t>CEFACEI QUEBRADA VUELTA</t>
  </si>
  <si>
    <t>KRUÄ</t>
  </si>
  <si>
    <t>ESC. ALTO BALSA</t>
  </si>
  <si>
    <t>DEC.467 DE 30 DE DICIEMBRE DE 1985</t>
  </si>
  <si>
    <t>ESC. ALTO BONITO</t>
  </si>
  <si>
    <t>DEC. 649. DEL 1 DE AGOSTO DE 2013 QUE CREA EL CENTRO EDUCATIVO.</t>
  </si>
  <si>
    <t>ESC. ALTO CABALLERO</t>
  </si>
  <si>
    <t>ESC. ALTO CALABACITO</t>
  </si>
  <si>
    <t>C.E.B.G. ALTO CAMARÓN</t>
  </si>
  <si>
    <t>DEC. 463 DEL 14 DE ABRIL DE 2020 QUE AUTORIZA AL C.E.B.G. IMPLEMENTACION DE LA COBERTURA ACADEMICA DEL PRIMER DE ENSEÑANZA O E.B.G.</t>
  </si>
  <si>
    <t xml:space="preserve">SOLOY </t>
  </si>
  <si>
    <t>ÜMANI</t>
  </si>
  <si>
    <t>ESC. ALTO CASTILLO</t>
  </si>
  <si>
    <t>DEC.60 DE 13 DE JUNIO DE 1978</t>
  </si>
  <si>
    <t>ESC. ALTO CIENEGA</t>
  </si>
  <si>
    <t>ESC. ALTO CONEJO</t>
  </si>
  <si>
    <t>C.E.B.G. ALTO ESTRELLA</t>
  </si>
  <si>
    <t>DEC. 957 DEL 15 DE DICIEMBRE DE 2017 QUE CREA EL C.E.B.G</t>
  </si>
  <si>
    <t>ESC. ALTO GRILLO</t>
  </si>
  <si>
    <t>CENTRO EDUCATIVO ALTO GUAYABAL</t>
  </si>
  <si>
    <t>DEC.363 DE 18 DE NOVIEMBRE DE 1986 , DEC 13 DE 9 DE MARZO DE 2022 QUE IMPLEMENTA EL SEGUNDO NIVEL DE ENSEÑANZA O EDUC. MEDIA CON LA OFERTA EDUCATVA DE BACHILLER EN CIENCIAS Y CAMBIA SU DENOMINACION A C.E.</t>
  </si>
  <si>
    <t>El dect. 240 del 18 de abril de 2011 implementa la Educación Premedia en el "Centro Educativo Alto Guayabal", por tanto se denominará "C.E.B.G. Alto Guayabal"</t>
  </si>
  <si>
    <t>C.E.B.G. NICO BEJERANO (ANTES ALTO MANGO)</t>
  </si>
  <si>
    <t>DEC.22 DE 14 DE MARZO DE 1986, DEC. 35 DEL 28 DE ABRIL DE 2022 QUE AUTORIZA EL CAMBIO DE NOMBRE  DEL C.E.B.G. ALTO MANGO A C.E.B.G. NICO BEJERANO</t>
  </si>
  <si>
    <t>C.E.B.G. ALTO REY</t>
  </si>
  <si>
    <t>DEC. 949 DEL 15 DE DICIEMBRE DE 2017 QUE CREA EL C.E.B.G.</t>
  </si>
  <si>
    <t>ESC. ALTO SALDAÑA</t>
  </si>
  <si>
    <t>MARACA</t>
  </si>
  <si>
    <t>CENTRO EDUCATIVO BAJO PALMA</t>
  </si>
  <si>
    <t>DEC.35 DEL 15 DE FEBRERO DE 2018 QUE CREA EL CENTRO EDUCATIVO BAJO PALMA.</t>
  </si>
  <si>
    <t>CENTRO EDUCATIVO BOCA DE BALSA</t>
  </si>
  <si>
    <t>DEC.145 DE 25 DE JUNIO DE 1982. DEC. 739 DEL 19 DE NOV. DE 2018 QUE DEROGA EN TODAS SUS PARTES EL DEC. EJECUTIVO NO. 1074 DEL 16 DE DIC. DE 2016 Y SE EMPLEMENTA EL SEGUNDO NIVEL DE ENSEÑANZA O EDUCACION MEDIA.</t>
  </si>
  <si>
    <t>Decreto 1074 del 16 de diciembre de 2016 que implementa el segundo nivel de enseñanza o educacion media y cambia su denominacion a Centro Educativo. Bachiller en Ciencias.</t>
  </si>
  <si>
    <t>CENTRO EDUCATIVO BOCA DE REMEDIOS</t>
  </si>
  <si>
    <t>DEC.145 DE 25 DE JUNIO DE 1982</t>
  </si>
  <si>
    <t>C.E.B.G. BOCA DE SAGÜI</t>
  </si>
  <si>
    <t>DEC. 145 DE 25 DE JUNIO DE 1982</t>
  </si>
  <si>
    <t>DEC. 817 DEL 1 DE OCTUBRE DE 2020 QUE IMPLEMENTA EL SEGUNDO DE NIVEL DE ENSEÑANZA O EDUCACION MEDIA (BACHILLER EN COMERCIO) Y CAMBIA DE DENOMINACION A C.E.B.G.</t>
  </si>
  <si>
    <t>DEC. 296 DE 12 DE JULIO DE 1965</t>
  </si>
  <si>
    <t xml:space="preserve">El dect. 296 de 12 de julio de 1965 da el nombre de Buena Vista a la escuela de Brazo de Tigre </t>
  </si>
  <si>
    <t>ESC. BUENOS AIRES</t>
  </si>
  <si>
    <t>ESC. CERRO PUERCO ABAJO</t>
  </si>
  <si>
    <t>ESC. BILINGÜE CERRO MIEL</t>
  </si>
  <si>
    <t>CENTRO EDUCATIVO BILINGÜE CERRO PUERCO</t>
  </si>
  <si>
    <t>DEC.110 DE 16 DE FEBRERO DE 1971. DEC. 739 DEL 19 DE NOV. DE 2018 QUE DEROGA EN TODAS SUS PARTES EL DEC. EJECUTIVO NO. 1074 DEL 16 DE DIC. DE 2016 Y SE EMPLEMENTA EL SEGUNDO NIVEL DE ENSEÑANZA O EDUCACION MEDIA.</t>
  </si>
  <si>
    <t>El dect. 110 de 16 de febrero de 1971 crea la escuela Cerro Puerco.Decreto 1074 del 16 de diciembre de 2016 que implementa el segundo nivel de enseñanza o educacion media y cambia su denominacion a Centro Educativo. Bachiller en Ciencias.Decreto 446 del 14 de agosto de 2018 incorpora la denominacion Bilingüe al Nombre</t>
  </si>
  <si>
    <t>C.E.B.G. MIRONO</t>
  </si>
  <si>
    <t>DEC. 739 DEL 19 DE NOV. DE 2018 QUE DEROGA EN TODAS SUS PARTES EL DEC. EJECUTIVO NO. 1074 DEL 16 DE DIC. DE 2016 Y SE EMPLEMENTA EL SEGUNDO NIVEL DE ENSEÑANZA O EDUCACION MEDIA.</t>
  </si>
  <si>
    <t>CIENCIAS, HUMANIDADES, TECNOLOGIA INFORMATICA</t>
  </si>
  <si>
    <t>CAMARÓN ARRIBA</t>
  </si>
  <si>
    <t>ESC. CABECERA DE ULLAMA</t>
  </si>
  <si>
    <t>ESC. CABUYA</t>
  </si>
  <si>
    <t xml:space="preserve">DEC. 831 DEL 1 DE SEPTIEMBRE DE 1953 </t>
  </si>
  <si>
    <t>Dec.61 de 20 de febrero del 2017 implementa el segundo nivel de enseñanza o media en e C.E.B.G. Camaron Arriba</t>
  </si>
  <si>
    <t>ESC. CAÑAZAS</t>
  </si>
  <si>
    <t>ESC. CARACOL</t>
  </si>
  <si>
    <t>DEC.122 DE 13 DE MAYO DE 1987</t>
  </si>
  <si>
    <t>ESC. CARLOS SANTIAGO MARCUCCI</t>
  </si>
  <si>
    <t>DEC. 33 DE 11 DE MAYO DE 1977/ DECRETO 14 DE AGOSTO 2018 QUE IMPLEMENTA EL NIVEL DE  PREMEDIA</t>
  </si>
  <si>
    <t>El dcrto 33 de 11 de mayo de 1977 denomina CARLOS SANTIAGO MARCUCCI, a la escuela primaria de Cerro Banco (San Lorenzo)</t>
  </si>
  <si>
    <t>ESC. CARRIZAL</t>
  </si>
  <si>
    <t>C.E.B.G. CASCABEL</t>
  </si>
  <si>
    <t>DEC.147 DE 25 DE JUNIO DE 1982</t>
  </si>
  <si>
    <t>Dec. 1884 del 27 de sep. De 2021 que implementa la etapa de premedia en el primer nive de enseñanza o Educaicion basica general y cambia su denominacion a la de C.E.B.G.</t>
  </si>
  <si>
    <t>ESC. CERRO ALGODON</t>
  </si>
  <si>
    <t>DEC.325 DE 24 DE JULIO DE 1954</t>
  </si>
  <si>
    <t>ESC. CERRO BALSA</t>
  </si>
  <si>
    <t>ESC. CERRO BANCO</t>
  </si>
  <si>
    <t>ESC. CERRO BRISA</t>
  </si>
  <si>
    <t>ESC. CERRO CACICON</t>
  </si>
  <si>
    <t>CERRO CAÑA</t>
  </si>
  <si>
    <t>ESC. CERRO CAÑA</t>
  </si>
  <si>
    <t>ESC. CERRO CENIZA</t>
  </si>
  <si>
    <t>ESC. CERRO COROZO</t>
  </si>
  <si>
    <t>DEC. 341 DE 18 DE NOVIEMBRE DE 1986 QUE CREA LA ESCUELA PRIMARIA EL COROZO, EN SAN FÉLIX</t>
  </si>
  <si>
    <t>CENTRO EDUCATIVO CODY STEVEN OSER</t>
  </si>
  <si>
    <t>DEC. 579 DEL 4 NOV. DEL 2017</t>
  </si>
  <si>
    <t>ESC. CERRO GUASIMO</t>
  </si>
  <si>
    <t>El dect. 467 de 30 de diciembre de 1965 y el dect. 150 de 30 de junio de 1986 crean ambos la escuela Cerro Guásimo</t>
  </si>
  <si>
    <t>CENTRO EDUCATIVO CERRO IGLESIA</t>
  </si>
  <si>
    <t>DEC. 2132 DEL 9 DE JULIO DE 1948. DEC. 739 DEL 19 DE NOV. DE 2018 QUE DEROGA EN TODAS SUS PARTES EL DEC. EJECUTIVO NO. 1074 DEL 16 DE DIC. DE 2016 Y SE EMPLEMENTA EL SEGUNDO NIVEL DE ENSEÑANZA O EDUCACION MEDIA.</t>
  </si>
  <si>
    <t xml:space="preserve"> Decreto 1074 del 16 de diciembre de 2016 que implementa el segundo nivel de enseñanza o educacion media y cambia su denominacion a Centro Educativo. Bachiller en Ciencias.</t>
  </si>
  <si>
    <t>NIBRA</t>
  </si>
  <si>
    <t>ESC. CERRO MAIZ</t>
  </si>
  <si>
    <t>ESC. CERRO MESA ARRIBA</t>
  </si>
  <si>
    <t>ESC. CERRO MIEL</t>
  </si>
  <si>
    <t>ESC. CERRO MONO</t>
  </si>
  <si>
    <t>ESC. CERRO MOSQUITO</t>
  </si>
  <si>
    <t>El dect. 415 del 23 de agosto de 1963 crea la Escuela Cerro Mosquito</t>
  </si>
  <si>
    <t>ESC. CERRO MULETO</t>
  </si>
  <si>
    <t>DEC. 962 DEL 15 DE DICIEMBRE DEL 2017</t>
  </si>
  <si>
    <t>Decreto 472 del martes 14 de agosto de 2018 que crea el C.E.B.G. Cerro Muleto y deroga el decreto ejecutivo # 962 de 15 de diciembre 2017.</t>
  </si>
  <si>
    <t>C.E.B.G. CERRO ORTIGA</t>
  </si>
  <si>
    <t>DEC. 1294 DE 9 DE JULIO DE 2021 QUE FORMALIZA LA CREACION DEL C.E.B.G.</t>
  </si>
  <si>
    <t>CENTRO EDUCATIVO CERRO OTOE</t>
  </si>
  <si>
    <t>DEC.60 DE 13 DE JUNIO DE 1978. DEC. 739 DEL 19 DE NOV. DE 2018 QUE DEROGA EN TODAS SUS PARTES EL DEC. EJECUTIVO NO. 1074 DEL 16 DE DIC. DE 2016 Y SE EMPLEMENTA EL SEGUNDO NIVEL DE ENSEÑANZA O EDUCACION MEDIA.</t>
  </si>
  <si>
    <t>El dect. 60 de 13 de junio de 1978 crea la escuela Cerro Otoe. El dect. 243 del 18 de abril de 2011 implementa la Educación Premedia en la "Escuela Cerro Otoe", por tanto se denominará "C.E.B.G. Cerro Otoe"Decreto 1074 del 16 de diciembre de 2016 que implementa el segundo nivel de enseñanza o educacion media y cambia su denominacion a Centro Educativo. Bachiller en Ciencias.</t>
  </si>
  <si>
    <t>C.E.B.G. CERRO PATENA</t>
  </si>
  <si>
    <t>ESC. CERRO PIEDRA</t>
  </si>
  <si>
    <t>ESC. CERRO PITA</t>
  </si>
  <si>
    <t>ESC. CERRO PLATA</t>
  </si>
  <si>
    <t>ESC. CERRO SALITRE</t>
  </si>
  <si>
    <t>ESC. CERRO TULA</t>
  </si>
  <si>
    <t>ESC. CERRO VACA</t>
  </si>
  <si>
    <t>ESC. CERRO VENADO</t>
  </si>
  <si>
    <t>DEC.  649 DE 28 DE DICIEMBRE DE 1970 QUE CREA LA ESCUELA CERRO VENADO, EN TOLÉ</t>
  </si>
  <si>
    <t>ESC. CHICHICA</t>
  </si>
  <si>
    <t>DEC. 327 DE 31 DE JULIO DE 2009</t>
  </si>
  <si>
    <t>ESC. CHORCHITA</t>
  </si>
  <si>
    <t xml:space="preserve">DEC. 556 DE 6 DE JULIO DE 1971  </t>
  </si>
  <si>
    <t>ESC. ESCOBAL</t>
  </si>
  <si>
    <t>DEC.365 DE 18 DE NOVIEMBRE DE 1986</t>
  </si>
  <si>
    <t>El dect. 2132 del 9 de julio de 1948 clausura la escuela El Escobal. El dect. 365 de 18 de noviembre de 1986 crea la escuela Escobal.</t>
  </si>
  <si>
    <t>ESC. FLOR DE ANIS</t>
  </si>
  <si>
    <t xml:space="preserve">DEC.11 DE 27 DE ENERO DE 1986 </t>
  </si>
  <si>
    <t>El dect. 11 de 27 de enero de 1986 crea la escuela Flor de Anís</t>
  </si>
  <si>
    <t>ESC. GASPARILLO</t>
  </si>
  <si>
    <t>ESC. GENERINO PRADO SANTOS</t>
  </si>
  <si>
    <t>DEC. 473 DEL 11 DE JUNIO DE 2014.</t>
  </si>
  <si>
    <t>DEC. 955 DEL 15  DICIEMBRE DE 2017, QUE CREA EL C.E.B.G.</t>
  </si>
  <si>
    <t>ESC. GUACAMAYA</t>
  </si>
  <si>
    <t>ESC. GUARI</t>
  </si>
  <si>
    <t>PREESCOLAR-MEDIA PROFESIONAL Y TÉCNICA</t>
  </si>
  <si>
    <t>ESC. GUAYABAL DE PEÑA BLANCA</t>
  </si>
  <si>
    <t>CENTRO EDUCATIVO HATO CHAMI</t>
  </si>
  <si>
    <t>DEC.48 DE 13 DE JULIO DE 1977. DEC. 739 DEL 19 DE NOV. DE 2018 QUE DEROGA EN TODAS SUS PARTES EL DEC. EJECUTIVO NO. 1074 DEL 16 DE DIC. DE 2016 Y SE EMPLEMENTA EL SEGUNDO NIVEL DE ENSEÑANZA O EDUCACION MEDIA.</t>
  </si>
  <si>
    <t>CENTRO EDUCATIVO HATO COMUN</t>
  </si>
  <si>
    <t>DEC.99 DEL 8 DE JUNIO DE 1981. DEC. 739 DEL 19 DE NOV. DE 2018 QUE DEROGA EN TODAS SUS PARTES EL DEC. EJECUTIVO NO. 1074 DEL 16 DE DIC. DE 2016 Y SE EMPLEMENTA EL SEGUNDO NIVEL DE ENSEÑANZA O EDUCACION MEDIA.</t>
  </si>
  <si>
    <t>CENTRO EDUCATIVO HATO COROTÚ</t>
  </si>
  <si>
    <t xml:space="preserve">El dect. 415 del 23 de agosto de 1963 crea la escuela Hato Corotu.  El dect.  239 del 18 de abril de 2011 implementa la Educación Premedia, por tanto el "Centro Educativo Hato Corotú", se denominará "C.E.B.G. Hato Corotú" </t>
  </si>
  <si>
    <t>ESC. HATO DUPI</t>
  </si>
  <si>
    <t>LAJERO</t>
  </si>
  <si>
    <t>ESC. HATO HORCON</t>
  </si>
  <si>
    <t>ESC. HATO JOBO</t>
  </si>
  <si>
    <t>C.E.B.G. HATO JULI</t>
  </si>
  <si>
    <t>Dec. 887 del 13 de octubre del 2017 que crea el C.E.B.G. Hato Juli</t>
  </si>
  <si>
    <t>ESC. HATO RINCON</t>
  </si>
  <si>
    <t>DEC.173 DE 28 DE ABRIL DE 1972</t>
  </si>
  <si>
    <t>I.P.T.  JOAQUINA H. DE TORRIJOS</t>
  </si>
  <si>
    <t>DEC. 49 DE 13 DE JUNIO DE 1978</t>
  </si>
  <si>
    <t>El dect. 49 de 13 de junio de 1978 crea el C.E.B.G. Joaquina H. de Torrijos</t>
  </si>
  <si>
    <t>I.P.T CHICHICA</t>
  </si>
  <si>
    <t>DEC.532 DE 26 DE AGOSTO DE 2003</t>
  </si>
  <si>
    <t>PREMEDIA-MEDIA PROFESIONAL Y TÉCNICA-MEDIA ACADÉMICA</t>
  </si>
  <si>
    <t>CIENCIAS, AGROPECUARIO,COMERCIO</t>
  </si>
  <si>
    <t>ESC. ISRAEL</t>
  </si>
  <si>
    <t>C.E.B.G. JENGIBRE</t>
  </si>
  <si>
    <t>DEC. 637 DEL 6 DE AGOSTO DE 2020 QUE CREA EL C.E.B.G.</t>
  </si>
  <si>
    <t>DEC. 34 DEL 28 DE ABRIL DE 2022 QUE CREA EL C.E.B.G.</t>
  </si>
  <si>
    <t>CENTRO EDUCATIVO JOSE SABINO BONILLA</t>
  </si>
  <si>
    <t>DEC. 739 DEL 26 DE AGOSTO DE 2020 QUE FORMALIZA NIVEL DE EDUCACION DE PREMEDIA</t>
  </si>
  <si>
    <t>ESC. JUAY ARRIBA</t>
  </si>
  <si>
    <t>DEC.473 DE 21 DE AGOSTO DE 1970</t>
  </si>
  <si>
    <t>ESC. JUNTA MANI</t>
  </si>
  <si>
    <t>DEC.235 DEL 17 DE SEPTIEMBRE DE 1982</t>
  </si>
  <si>
    <t>ESC. KABOY</t>
  </si>
  <si>
    <t>El dect. crea la escuela con el nombre con "c", CABOY</t>
  </si>
  <si>
    <t>C.E.B.G. KEABOTO</t>
  </si>
  <si>
    <t>DEC. 946 DEL 15 DE DICIEMBRE DE 2017 QUE CREA EL C.E.B.G.</t>
  </si>
  <si>
    <t>CENTRO EDUCATIVO KUERIMA</t>
  </si>
  <si>
    <t>DEC. 1074 DEL 16 DE DIC. DE 2016 IMPLEMENTA EL SEGÚN NIVEL DE ENSEÑANZA O MEDIA Y CAMBIA LA DENOMINACION A C.E. DEC. 739 DEL 19 DE NOV. DE 2018 QUE DEROGA EN TODAS SUS PARTES EL DEC. EJECUTIVO NO. 1074 DEL 16 DE DIC. DE 2016 Y SE EMPLEMENTA EL SEGUNDO NIVEL DE ENSEÑANZA O EDUCACION MEDIA.</t>
  </si>
  <si>
    <t>NÄMNONI</t>
  </si>
  <si>
    <t>C.E.B.G LAJERO</t>
  </si>
  <si>
    <t>DEC. 461 DEL 14 DE ABRIL DE 2020 QUE IMPLEMENTA EL SEGUNDO NIVEL DE ENSEÑANZA Y CAMBIA SU DENOMINACION A C.E.B.G.</t>
  </si>
  <si>
    <t xml:space="preserve">El dect. 53 de 24 de abril de 1959 crea la escuela LAJERO, en Remedios. El dect. 34 de 11 de mayo de 1977 crea la escuela  Lajero, en San Juan, San Lorenzo.  Dect. 1071 del 25 de noviembre del 2016 que crea los centros educativos que implementan el Programa de Educación Premedia y Media con metodología Escuela Nueva Escuela Activa (ENEA)
</t>
  </si>
  <si>
    <t>CENTRO EDUCATIVO LAJERO ABAJO</t>
  </si>
  <si>
    <t>DEC. 160 DEL 3 DE MARZO DE 2021 QUE FORMALIZA LA CREACION DEL C.E.</t>
  </si>
  <si>
    <t>PREESCOLAR-PRIMARIA-MEDIA PROFESIONAL Y TÉCNICA</t>
  </si>
  <si>
    <t>COMERCIO CONTABILIDAD</t>
  </si>
  <si>
    <t>C.E.B.G LAJERO ARRIBA</t>
  </si>
  <si>
    <t>DEC.577 DE 16 DE AGOS, DE 2017.</t>
  </si>
  <si>
    <t>ESC. LAS TRANCAS</t>
  </si>
  <si>
    <t>ESC. LLANO CULANTRO</t>
  </si>
  <si>
    <t>ESC. LLANO IGLESIA</t>
  </si>
  <si>
    <t>ESC. LLANO JUNCO</t>
  </si>
  <si>
    <t>ESC. LLANO MACANO</t>
  </si>
  <si>
    <t>ESC. LLANO MAJAGUA</t>
  </si>
  <si>
    <t>CENTRO EDUCATIVO LLANO ÑOPO</t>
  </si>
  <si>
    <t>DEC. 204 DE 18 DE ABRIL DE 1967. DEC. 739 DEL 19 DE NOV. DE 2018 QUE DEROGA EN TODAS SUS PARTES EL DEC. EJECUTIVO NO. 1074 DEL 16 DE DIC. DE 2016 Y SE EMPLEMENTA EL SEGUNDO NIVEL DE ENSEÑANZA O EDUCACION MEDIA.</t>
  </si>
  <si>
    <t>El dect. 204 de 18 de abril de 1967 crea la escuela Llano Ñopo, en Tolé.  El dect. 13 de 12 de febrero de 2009 denomina Centro Educativo Llano Ñopo al C.E.B.G. Llano Ñopo.Decreto 1074 del 16 de diciembre de 2016 que implementa el segundo nivel de enseñanza o educacion media y cambia su denominacion a Centro Educativo. Bachiller en Ciencias.</t>
  </si>
  <si>
    <t>ESC. LLANO PALMA</t>
  </si>
  <si>
    <t>DEC. 967 DEL 15 DE DICIEMBRE DEL 2017</t>
  </si>
  <si>
    <t>ESC. LLANO SAN MARTIN</t>
  </si>
  <si>
    <t>CENTRO EDUCATIVO LLANO TUGRI</t>
  </si>
  <si>
    <t>DEC.467 DE 30 DE DICIEMBRE DE 1985. DEC. 739 DEL 19 DE NOV. DE 2018 QUE DEROGA EN TODAS SUS PARTES EL DEC. EJECUTIVO NO. 1074 DEL 16 DE DIC. DE 2016 Y SE EMPLEMENTA EL SEGUNDO NIVEL DE ENSEÑANZA O EDUCACION MEDIA.</t>
  </si>
  <si>
    <t>ESC. LLANO ZEBLE</t>
  </si>
  <si>
    <t>ESC. NUEVA MOLENA</t>
  </si>
  <si>
    <t>ESC. NUEVO PALOMAR</t>
  </si>
  <si>
    <t>DEC. 949 DEL 15 DE DICIEMBRE DE 2017</t>
  </si>
  <si>
    <t>DEC. 964 DEL 15 DE DICIEMBRE DEL 2017.</t>
  </si>
  <si>
    <t>ESC. OLA</t>
  </si>
  <si>
    <t>DEC.703 DEL 15 DE SEPTIEMBRE DE 1971</t>
  </si>
  <si>
    <t>ESC. PALMA GIRA</t>
  </si>
  <si>
    <t>DEC.649 DE 28 DE DICIEMBRE DE 1970</t>
  </si>
  <si>
    <t>ESC. PEÑA BLANCA</t>
  </si>
  <si>
    <t>C.E.B.G. PEÑA PRIETA</t>
  </si>
  <si>
    <t>DEC. 607 DEL 22 DE JULIO DE 2020 QUE IMPLEMENTA EL SEGUNDO NIVEL DE ENSEÑANZA EN LA MODALIDAD DE BACHILLER EN CIENCIAS Y CAMBIA LA DENOMINACION A C.E.B.G.</t>
  </si>
  <si>
    <t>ESC. PETITA SANTOS</t>
  </si>
  <si>
    <t>DEC.  246 DEL 18 DE ABRIL DE 2011 IMPLEMENTA LA EDUCACIÓN PREMEDIA EN EL "CENTRO EDUCATIVO PETITA SANTOS", POR TANTO SE DENOMINARÁ "C.E.B.G. PETITA SANTOS"</t>
  </si>
  <si>
    <t>ESC. PLAN DE CHORCHA</t>
  </si>
  <si>
    <t>El dect. 53 del 24 de abril de 1959 crea la escuela Plan de Chorcha, en el Municipio de San Lorenzo.  El dect.  238 del 18 de abril de 2011 implementa la Educación Premedia en el Centro Educativo Plan de Chorcha , por lo tanto se denominará "C.E.B.G. Plan de Chorcha"</t>
  </si>
  <si>
    <t>ESC. PORTORRICA</t>
  </si>
  <si>
    <t>DEC.415 DE 10 DE MAYO DE 1971</t>
  </si>
  <si>
    <t>ESC. POSOY</t>
  </si>
  <si>
    <t>C.E.B.G. QUEBRADA ARENA</t>
  </si>
  <si>
    <t>El dect. 649 de 28 de diciembre de 1970 crea la escuela Quebrada Arena</t>
  </si>
  <si>
    <t>ESC. QUEBRADA CAÑA</t>
  </si>
  <si>
    <t>DEC. 961 DEL 15 DE DICIEMBRE DEL 2017</t>
  </si>
  <si>
    <t>ESC. QUEBRADA CARRIZO</t>
  </si>
  <si>
    <t xml:space="preserve"> PREESCOLAR-PRIMARIA-PREMEDIA</t>
  </si>
  <si>
    <t>ESC. QUEBRADA CIANCA</t>
  </si>
  <si>
    <t>DEC. 478 DEL 14 DE AGOSTO DE 2018. QUE CREA EL C.E.B.G. QUEBRADA CIANCA</t>
  </si>
  <si>
    <t>C.E.B.G. QUEBRADA COGOLLO</t>
  </si>
  <si>
    <t>ESC. QUEBRADA DE OTOE</t>
  </si>
  <si>
    <t>C.E.B.G. QUEBRADA DE GUABO</t>
  </si>
  <si>
    <t>DEC. 649. DEL 1 DE AGOSTO DE 2013 QUE CREA EL CENTRO EDUCATIVO./ DEC. 53 DEL 24 DE FEBRERO DEL 2015</t>
  </si>
  <si>
    <t>ESC. QUEBRADA DE HACHA</t>
  </si>
  <si>
    <t>C.E.B.G. QUEBRADA HACHA</t>
  </si>
  <si>
    <t>DEC. 42 DEL 20 DE FEBRERO DEL 2017 QUE CREA EL C.E.B.G.</t>
  </si>
  <si>
    <t xml:space="preserve">Dec. 556 de 6 de julio de 1971,El decreto 18 de 31 de enero de 2012 crea El Centro Escolar Básico General Quebrada de Hacha.Dect. 1071 del 25 de noviembre del 2016 que crea los centros educativos que implementan el Programa de Educación Premedia y Media con metodología Escuela Nueva Escuela Activa (ENEA) 
</t>
  </si>
  <si>
    <t>C.E.B.G. QUEBRADA DE LORO</t>
  </si>
  <si>
    <t>ESC. QUEBRADA PERDIZ</t>
  </si>
  <si>
    <t>DEC. 960 DEL 15 DE DIC. 2017</t>
  </si>
  <si>
    <t>se crea el C.E.B.G.</t>
  </si>
  <si>
    <t xml:space="preserve"> I.P.T. SITIO PRADO</t>
  </si>
  <si>
    <t xml:space="preserve"> El dect. 614 del 3/8/2011 crea el Centro Educativo. Decreto 1074 del 16 de diciembre de 2016 que implementa el segundo nivel de enseñanza o educacion media y cambia su denominacion a Centro Educativo. Bachiller en Servicio y Gestion Institucional.</t>
  </si>
  <si>
    <t>SERVICIOS Y GESTION INSTITUCIONAL</t>
  </si>
  <si>
    <t>ESC. SOLOY</t>
  </si>
  <si>
    <t>El dect. 515 del 14 de septiembre de 1951 crea la escuela. El dect. 355 del 13 de mayo de 1953 crea la escuela de SOLOY, en San Lorenzo</t>
  </si>
  <si>
    <t>CENTRO EDUCATIVO TEBUJO</t>
  </si>
  <si>
    <t>DEC.53 DEL 24 DE ABRIL DE 1959. DEC. 1074 DEL 16 DE DIC. DE 2016 IMPLEMENTA EL SEGÚN NIVEL DE ENSEÑANZA O MEDIA Y CAMBIA LA DENOMINACION A C.E.</t>
  </si>
  <si>
    <t>DEC.66 DE 27 DE DICIEMBRE DE 1968</t>
  </si>
  <si>
    <t>El dect. 66 de 27 de diciembre de 1968 crea la escuela TIJERA, en Tolé</t>
  </si>
  <si>
    <t>ESC. TOLAY</t>
  </si>
  <si>
    <t>MREENI</t>
  </si>
  <si>
    <t>ESC. ALTO HIGUERON</t>
  </si>
  <si>
    <t>COMERCIO,</t>
  </si>
  <si>
    <t>ESC. ALTO LORO</t>
  </si>
  <si>
    <t>ESC. ARCOIRIS</t>
  </si>
  <si>
    <t>ESC. BAJO MIRA</t>
  </si>
  <si>
    <t>ESC. BARRANCO</t>
  </si>
  <si>
    <t>ESC. BOCA DE HUSO</t>
  </si>
  <si>
    <t>DEC. 301 DE 19 DE OCTUBRE DE 1995</t>
  </si>
  <si>
    <t>ESC. BOCA DE ULLAMA</t>
  </si>
  <si>
    <t>DEC. 691. DEL 18 DE AGOSTO DEL 2016.</t>
  </si>
  <si>
    <t>ESC. CERRO CRUZ</t>
  </si>
  <si>
    <t>ESC. CERRO FLORES</t>
  </si>
  <si>
    <t>ESC. CERRO JAVILLA</t>
  </si>
  <si>
    <t>C.E.B.G. CERRO MADERA</t>
  </si>
  <si>
    <t>DEC. 954 DEL 15 DE DICIEMBRE DEL 2017 QUE CREA EL C.E.B.G</t>
  </si>
  <si>
    <t>ESC. CERRO PAPAYO</t>
  </si>
  <si>
    <t>ESC. CERRO TETA</t>
  </si>
  <si>
    <t>ESC. CERRO VIEJO</t>
  </si>
  <si>
    <t>Dec. 64 del 20 de febrero de 2017 que crea el centro de educacion basica general de Cerro Viejo.</t>
  </si>
  <si>
    <t>ESC. CHUBE</t>
  </si>
  <si>
    <t>ESC. COGLE</t>
  </si>
  <si>
    <t>ESC. COMUNIDAD TUGRI</t>
  </si>
  <si>
    <t>ESC. LA MEREGILDA</t>
  </si>
  <si>
    <t>ESC. LA UNION</t>
  </si>
  <si>
    <t>ESC. LAGUNA</t>
  </si>
  <si>
    <t>ESC. LAS TINAJAS</t>
  </si>
  <si>
    <t>ESC. LLANO BANCO</t>
  </si>
  <si>
    <t>DEC.26 DEL 2 DE FEBRERO DE 2010</t>
  </si>
  <si>
    <t>ESC. LLANO CAMARON</t>
  </si>
  <si>
    <t>ESC. LOS SANTOS</t>
  </si>
  <si>
    <t>DEC. 965 DE 15 DE DICIEMBRE DE 2017</t>
  </si>
  <si>
    <t>DEC. 109 DE 5 DE MAYO DE 1986  DENOMINA  ESCUELA NUEVA ESPERANZA, A LA ESCUELA PRIMARIA CERRO PAPAYO, EN EL CORREG. SITIO PRADO</t>
  </si>
  <si>
    <t>ESC. NUEVO SAN CRISTOBAL</t>
  </si>
  <si>
    <t>C.E.B.G. QUEBRADA MOLEJON</t>
  </si>
  <si>
    <t>DEC.959 DEL 15 DE DICIEMBRE DEL 2017 QUE CREA EL C.E.B.G</t>
  </si>
  <si>
    <t>ESC. QUEBRADA PECES</t>
  </si>
  <si>
    <t>ESC. QUEBRADA DE PLATA</t>
  </si>
  <si>
    <t>DEC. 963 DEL 15 DE DICIEMBRE DE 2017</t>
  </si>
  <si>
    <t>ESC. VIROLÍ</t>
  </si>
  <si>
    <t>TELE EDUCACION CERRO IGLESIA</t>
  </si>
  <si>
    <t>ESC. PRIMARIA SOLOY</t>
  </si>
  <si>
    <t>ESC. CARLOS S. MARCUCCI (ANTES ERA CERRO BANCO)</t>
  </si>
  <si>
    <t>ESC. ARCO IRIS</t>
  </si>
  <si>
    <t>ESC. JOAQUINA H. DE TORRIJOS</t>
  </si>
  <si>
    <t>TELEDUCACION LLANO TUGRÍ</t>
  </si>
  <si>
    <t>ESC. MIRONO</t>
  </si>
  <si>
    <t>NOCTURNA OFICIAL DE CHICHICA</t>
  </si>
  <si>
    <t>TELE-EDUCACIÓN CERRO PUERCO</t>
  </si>
  <si>
    <t>TELE-EDUCACIÓN KUERIMA</t>
  </si>
  <si>
    <t>TELE-EDUCACIÓN LLANO ÑOPO</t>
  </si>
  <si>
    <t>TELE-EDUCACIÓN SITIO PRADO</t>
  </si>
  <si>
    <t>TELE-EDUCACIÓN BOCA DE SAGUI</t>
  </si>
  <si>
    <t> PRIMRIA-PREMEDIA-MEDIA PROFESIONAL Y TÉCNICA</t>
  </si>
  <si>
    <t>INDUSTRIAL</t>
  </si>
  <si>
    <t>TELE-EDUCACIÓN LAJERO</t>
  </si>
  <si>
    <t>TELE-EDUCACIÓN FLOR DE ANIS</t>
  </si>
  <si>
    <t>CEFACEI BARRERO</t>
  </si>
  <si>
    <t>EDUCACION INICIAL</t>
  </si>
  <si>
    <t>CEFACEI ALTO NARANJO</t>
  </si>
  <si>
    <t>CEFACEI CERRO QUIRATE</t>
  </si>
  <si>
    <t>CEFACEI CAMARON ARRIBA</t>
  </si>
  <si>
    <t>CEFACEI CERRO LIMON # 2</t>
  </si>
  <si>
    <t>CEFACEI SECUARA</t>
  </si>
  <si>
    <t>CEFACEI BALSITA</t>
  </si>
  <si>
    <t>CEFACEI QUEBRADA PIEDRA</t>
  </si>
  <si>
    <t>CEFACEI QUEBRADA COQUITO</t>
  </si>
  <si>
    <t>HOGAR CULTURAL GNABE-BUGLE COMARCA INDÍGENA "QUEBRADA LORO"</t>
  </si>
  <si>
    <t>ESC. EL BUEN PASTOR DUIMA</t>
  </si>
  <si>
    <t>ESC. ADVENTISTA ISMAEL ELLIS</t>
  </si>
  <si>
    <t>ESC. BAHAI DE SOLOY</t>
  </si>
  <si>
    <t>ESC. EL BUEN PASTOR - SOLOY</t>
  </si>
  <si>
    <t>NGABE BUGLE ÑOKRIBO</t>
  </si>
  <si>
    <t>KANKINTÚ</t>
  </si>
  <si>
    <t>CALANTE</t>
  </si>
  <si>
    <t>ESC. CHIBOTE</t>
  </si>
  <si>
    <t>JIRONDAI</t>
  </si>
  <si>
    <t>GUARIVIARA</t>
  </si>
  <si>
    <t>MAN CREEK</t>
  </si>
  <si>
    <t>ESC. PLAYA BELLA (BOCA DEL RIO MANCREK)</t>
  </si>
  <si>
    <t>ESC. BOCA RIO MANCREEK</t>
  </si>
  <si>
    <t>GUORONI</t>
  </si>
  <si>
    <t>ESC. CREMANTUVITY (ODA CAROL)</t>
  </si>
  <si>
    <t>ESC. GOBRANTE</t>
  </si>
  <si>
    <t>BISIRA</t>
  </si>
  <si>
    <t>ESC. CATAVELA</t>
  </si>
  <si>
    <t>ESC. MERIGO</t>
  </si>
  <si>
    <t>BURI</t>
  </si>
  <si>
    <t>ESC. PARAISO</t>
  </si>
  <si>
    <t>ESC. QUEBRADA ALMEJA</t>
  </si>
  <si>
    <t>ESC.  SIRAIN ARRIBA</t>
  </si>
  <si>
    <t>CEFACEI QUEBRADA ARENA</t>
  </si>
  <si>
    <t>CEFACEI PLAYA CAIMITO</t>
  </si>
  <si>
    <t xml:space="preserve">MUNUNI </t>
  </si>
  <si>
    <t>ESC. PRIMARIA MULTIGRADO ORETE</t>
  </si>
  <si>
    <t>TUWAI</t>
  </si>
  <si>
    <t>ESC. ALTO CEDRO</t>
  </si>
  <si>
    <t>DEC. 116 DEL 3 DE MARZO DEL 2017 QUE CREA EL C.E.B.G.</t>
  </si>
  <si>
    <t>ESC. ALTO DEL VALLE</t>
  </si>
  <si>
    <t>ESC. ALTO GUABO</t>
  </si>
  <si>
    <t>ESC. BARRANQUILLA</t>
  </si>
  <si>
    <t>SANTA CATALINA O CALOVÉBORA (BLEDESCHIA)</t>
  </si>
  <si>
    <t>SAN PEDRITO</t>
  </si>
  <si>
    <t>ESC. BOCA DEL RIO GUABO</t>
  </si>
  <si>
    <t>El dect. 293 de 9 de junio de 1956 ordena la apertura de la escuela Buena Vista, en el municipio de Bastimentos</t>
  </si>
  <si>
    <t>KUSAPÍN</t>
  </si>
  <si>
    <t>BAHÍA AZUL</t>
  </si>
  <si>
    <t>ESC. BUCORI</t>
  </si>
  <si>
    <t>DEC. 49 DEL 16 DE JUNIO DE 2022 QUE CREA EL C.E. BUCORI</t>
  </si>
  <si>
    <t>BACHILLER EN TECNOLOGIA INFORMATICA</t>
  </si>
  <si>
    <t>VALLE BONITO</t>
  </si>
  <si>
    <t>CENTRO EDUCATIVO  JIDLAA</t>
  </si>
  <si>
    <t>DEC. 509 DEL 20 DE JULIO DE 2016</t>
  </si>
  <si>
    <t>C.E.B.G. BAHIA AZUL</t>
  </si>
  <si>
    <t>DEC. 739 DEL 19 DE NOV. DE 2018 QUE DEROGA EN TODAS SUS PARTES EL DEC. EJECUTIVO NO. 1074 DEL 16 DE DIC. DE 2016 Y SE EMPLEMENTA EL SEGUNDO NIVEL DE ENSEÑANZA O EDUCACION MEDIA.DEC. 739 DE 19 DE NOVIEMBRE DE 2018</t>
  </si>
  <si>
    <t>CENTRO EDUCATIVO BILINGÜE  KUSAPIN</t>
  </si>
  <si>
    <t>DEC. 49 DE 13 DE JUNIO DE 1978 DEC. 739 DEL 19 DE NOV. DE 2018 QUE DEROGA EN TODAS SUS PARTES EL DEC. EJECUTIVO NO. 1074 DEL 16 DE DIC. DE 2016 Y SE EMPLEMENTA EL SEGUNDO NIVEL DE ENSEÑANZA O EDUCACION MEDIA.</t>
  </si>
  <si>
    <t>Decreto 1074 del 16 de diciembre de 2016 que implementa el segundo nivel de enseñanza o educacion media y cambia su denominacion a Centro Educativo. Bachiller en Ciencias.Decreto 446 del 14 de agosto de 2018 incorpora la denominacion Bilingüe al Nombre</t>
  </si>
  <si>
    <t>SAMBOA</t>
  </si>
  <si>
    <t>C.E.B.G. BILINGÜE COCLESITO</t>
  </si>
  <si>
    <t>DEC. 446 DE 14 DE AGOSTO DE 2018</t>
  </si>
  <si>
    <t>C.E.B.G. BILINGÜE PUEBLO NUEVO</t>
  </si>
  <si>
    <t>DEC. 587 DEL 16 DE JULIO DE 2020 QUE IMPLEMENTA EL SEGUNDO NIVEL DE ENSEÑANZA O EDUCACION MEDIA Y CAMBIA SU DENOMINACON A C.E.B.G.</t>
  </si>
  <si>
    <t>SANTA CATALINA</t>
  </si>
  <si>
    <t>CENTRO EDUCATIVO SANTA  CATALINA</t>
  </si>
  <si>
    <t>El dect. 53 del 24 de abril de 1959 crea la escuela Santa Catalina. El dect. 614 del 3/8/2011 crea el Centro Educativo.
Decreto 1074 del 16 de diciembre de 2016 que implementa el segundo nivel de enseñanza o educacion media y cambia su denominacion a Centro Educativo. Bachiller en Ciencias.</t>
  </si>
  <si>
    <t>ESC. CABALLERO NUTO</t>
  </si>
  <si>
    <t>ESC. CAGUITA</t>
  </si>
  <si>
    <t>DEC. 204 DE 18 DE ABRIL DE 1967</t>
  </si>
  <si>
    <t>ESC. CAGUITA ARRIBA</t>
  </si>
  <si>
    <t>ESC. CALANTE</t>
  </si>
  <si>
    <t>Dto. 739 de 19 de noviembre de 2018, que deroga en todas sus partes el Decreto Ejecutivo N° 1074 de 16 de diciembre de 2016, el Decreto Ejecutivo N° 1301 de 23 de diciembre y se implementa el Segundo Nivel de Enseñanza o  Educación Media en distintos Centros de Educación Media en distitos Centrios de educación de la República</t>
  </si>
  <si>
    <t>ESC. CAMARON</t>
  </si>
  <si>
    <t>ESC. CAÑO SUCIO</t>
  </si>
  <si>
    <t>COLEGIO BILINGÜE SAN AGUSTIN DE KANKINTU</t>
  </si>
  <si>
    <t>DEC. DEL 7 DE JUNIO DE 2019 (DENOMINA CENTRO BILINGÜE DE FORMACION INTEGRAL INTERCOCULTURAL SAN AGUSTIN) DEC. 739 DEL 19 DE NOV. DE 2018 QUE DEROGA EN TODAS SUS PARTES EL DEC. EJECUTIVO NO. 1074 DEL 16 DE DIC. DE 2016 Y SE EMPLEMENTA EL SEGUNDO NIVEL DE ENSEÑANZA O EDUCACION MEDIA.</t>
  </si>
  <si>
    <t>El decreto 941 del 17 de diciembre de 2009 deroga los decretos 587 del 3 de octubre de 1967 (por el cual se creo el centro vocacional indigenista san Agustín, como institución particular) y deroga el dect. 228 del 20 de julio de 2006 (por el cual se creó el Colegio San Agustín de Kankintu)Decreto 446 del 14 de agosto de 2018 incorpora la denominacion Bilingüe al Nombre</t>
  </si>
  <si>
    <t>ESC. CHALITE</t>
  </si>
  <si>
    <t>ESC. CHIRIQUI MALI</t>
  </si>
  <si>
    <t>RÍO CHIRIQUÍ</t>
  </si>
  <si>
    <t>CENTRO EDUCATIVO RIO CHIRIQUI</t>
  </si>
  <si>
    <t>DEC. 556 DE 6 DE JULIO DE 1971, DEC. 739 DEL 19 DE NOV. DE 2018 QUE DEROGA EN TODAS SUS PARTES EL DEC. EJECUTIVO NO. 1074 DEL 16 DE DIC. DE 2016 Y SE EMPLEMENTA EL SEGUNDO NIVEL DE ENSEÑANZA O EDUCACION MEDIA.</t>
  </si>
  <si>
    <t>El dcto 69 de 14 de marzo de 1996 crea el Primer Ciclo Rio Chiriquí, en el correg. de Tobobe. El dect. 556 de 6 de julio de 1971 crea la escuela Rio Chiriquí. Decreto 1074 del 16 de diciembre de 2016 que implementa el segundo nivel de enseñanza o educacion media y cambia su denominacion a Centro Educativo. Bachiller en Ciencias.</t>
  </si>
  <si>
    <t>TOBOBE</t>
  </si>
  <si>
    <t>C.E.B.G. TOBOBE</t>
  </si>
  <si>
    <t>CENTRO EDUCATIVO CORONTE</t>
  </si>
  <si>
    <t>DEC. 166 DEL 11 DE MAYO DE 1960. DEC. 739 DEL 19 DE NOV. DE 2018 QUE DEROGA EN TODAS SUS PARTES EL DEC. EJECUTIVO NO. 1074 DEL 16 DE DIC. DE 2016 Y SE EMPLEMENTA EL SEGUNDO NIVEL DE ENSEÑANZA O EDUCACION MEDIA.</t>
  </si>
  <si>
    <t>El dcrto 136 de 4 de agosto de 1949 ordena su clausura. El decreto 166 del 11 de mayo de 1960 reabre el colegio Coronte. Decreto 1074 del 16 de diciembre de 2016 que implementa el segundo nivel de enseñanza o educacion media y cambia su denominacion a Centro Educativo. Bachiller en Ciencias.</t>
  </si>
  <si>
    <t>ESC. DRIGARY</t>
  </si>
  <si>
    <t>ESC. DUDORI</t>
  </si>
  <si>
    <t>DEC. 327 DE 21 DE DICIEMBRE DE 1987</t>
  </si>
  <si>
    <t>El dect. 327 de 21 de diciembre de 1987 crea la escuela Dudori</t>
  </si>
  <si>
    <t>ESC. ALTO DEL CUAY</t>
  </si>
  <si>
    <t>LOMA YUCA</t>
  </si>
  <si>
    <t>ESC. CAÑO LLANO</t>
  </si>
  <si>
    <t>ESC. CERRO DE LA CRUZ</t>
  </si>
  <si>
    <t>ESC. CHELELE</t>
  </si>
  <si>
    <t>ESC. DE PLAYA LORENZO 1</t>
  </si>
  <si>
    <t>DEC. 101 DE 7 DE ABRIL DE 1961</t>
  </si>
  <si>
    <t>El decreto 101 de 7 de abril de 1961 crea la escuela PLAYA LORENZO</t>
  </si>
  <si>
    <t>ESC. DE PUNTA NISPERO</t>
  </si>
  <si>
    <t>ESC. DOBARI</t>
  </si>
  <si>
    <t xml:space="preserve">DEC. 117 VIERNES 3 DE MARZO DE 2017 CREA EL C.E.B.G. DOS BOCAS DEC.18 DE 26 DE FEBRERO DE 1980 </t>
  </si>
  <si>
    <t>El dect. 18 de 26 de febrero de 1980 crea la escuela Dos Bocas, ubicada en Punta Róbalo, distrito de Chiriquí Grande Dec. 117 del 3 de marzo del 2017 que crea el C.E.B.G. Dos Bocas.</t>
  </si>
  <si>
    <t>ESC. EL MANGO</t>
  </si>
  <si>
    <t>ESC. EL PAJONAL</t>
  </si>
  <si>
    <t>ALTO BILINGÜE</t>
  </si>
  <si>
    <t>ESC. LLANO PIEDRA</t>
  </si>
  <si>
    <t>ESC. PUNTA ESCONDIDA</t>
  </si>
  <si>
    <t>ESC. RÍO CAÑA ABAJO</t>
  </si>
  <si>
    <t>El dect. 110 de 4 de abril de 1966 crea la escuela Rio Caña, en Bastimentos</t>
  </si>
  <si>
    <t>ESC. RÍO CHUCARÁ</t>
  </si>
  <si>
    <t>El dect. 18 de 26 de febrero de 1980 crea la escuela Rio Chucara</t>
  </si>
  <si>
    <t>ESC. RÍO DIABLO</t>
  </si>
  <si>
    <t>ESC. RÍO GRANDE</t>
  </si>
  <si>
    <t>ESC. RÍO VERACRUZ</t>
  </si>
  <si>
    <t>El dect. 20 de 31 de enero de 1972 crea la escuela "RIO VERACRUZ"</t>
  </si>
  <si>
    <t>ESC. RÍO VIENTO</t>
  </si>
  <si>
    <t>ESC. SAN PEDRITO</t>
  </si>
  <si>
    <t>ESC. SULIDU</t>
  </si>
  <si>
    <t>ESC. VALERIO FLORES</t>
  </si>
  <si>
    <t>ESC. VALLE BONITO</t>
  </si>
  <si>
    <t>ESC. VALLE GUACAMAYA</t>
  </si>
  <si>
    <t>ESC. BILINGÜE  EL NORTEÑO</t>
  </si>
  <si>
    <t>DEC. 208 DEL 21 DE  MAYO DE 2019 QUE CREA EL C.E Y SE IMPLEMENTA EL SEGUNDO NIVEL DE ENSEÑANZA O EDUCACION MEDIA.</t>
  </si>
  <si>
    <t>31 del 18 de marzo de 1998.  Decreto 446 del 14 de agosto de 2018 incorpora la denominacion Bilingüe al Nombre</t>
  </si>
  <si>
    <t>ESC. FILO VERDE</t>
  </si>
  <si>
    <t>ESC. GIALI</t>
  </si>
  <si>
    <t>ESC. GUANABANA</t>
  </si>
  <si>
    <t>ESC. GUARIVIARA</t>
  </si>
  <si>
    <t>DEC. 556 DE 6 DE JULIO DE 1971</t>
  </si>
  <si>
    <t>La crea en Chiriquí Grande</t>
  </si>
  <si>
    <t>ESC. GUARUMITO</t>
  </si>
  <si>
    <t>I.P.T. BISIRA</t>
  </si>
  <si>
    <t>DEC. 739 DE 19 DE NOVIEMBRE DE 2018, DEC. 739 DEL 19 DE NOV. DE 2018 QUE DEROGA EN TODAS SUS PARTES EL DEC. EJECUTIVO NO. 1074 DEL 16 DE DIC. DE 2016 Y SE EMPLEMENTA EL SEGUNDO NIVEL DE ENSEÑANZA O EDUCACION MEDIA.</t>
  </si>
  <si>
    <t>El dect. 64 de 6 de marzo de 1996 crea el primer Ciclo Bisira. Decreto 1074 del 16 de diciembre de 2016 que implementa el segundo nivel de enseñanza o educacion media y cambia su denominacion a Centro Educativo. Bachiller en Industrial</t>
  </si>
  <si>
    <t>CIENCIAS, SERVICIO Y GESTIÓN INST. CONSTRUCCIÓN</t>
  </si>
  <si>
    <t>ESC. KUITE</t>
  </si>
  <si>
    <t>C.E.B.G. KUTE</t>
  </si>
  <si>
    <t>DEC. 465 DEL 14 DE ABRIL DE 2020 QUE LEGALIZA EL C.E.B.G.KUTE</t>
  </si>
  <si>
    <t>ESC. LA LOMA ANEXA CAÑAZAS</t>
  </si>
  <si>
    <t>ESC. LOMA DE AGUA</t>
  </si>
  <si>
    <t>PIEDRA ROJA</t>
  </si>
  <si>
    <t>ESC. MAMATATA</t>
  </si>
  <si>
    <t>ESC. MANANTI</t>
  </si>
  <si>
    <t>ESC. MANCREECK</t>
  </si>
  <si>
    <t>El dect.  556 de 6 de julio de 1971 crea la escuela MANCREEK</t>
  </si>
  <si>
    <t>ESC. MANUEL APARICIO</t>
  </si>
  <si>
    <t>El dect. 699 de 7 de octubre de 1993 crea la escuela Manuel Aparicio</t>
  </si>
  <si>
    <t>ESC. MUTARI</t>
  </si>
  <si>
    <t>DEC. 295 DE 12 DE AGOSTO DE 1985.QUE CREA LOS CENTROS EDUCATIVOS QUE IMPLEMENTAN EL PROGRAMA DE EDUCACIÓN PREMEDIA Y MEDIA CON METODOLOGÍA ESCUELA NUEVA ESCUELA ACTIVA (ENEA)</t>
  </si>
  <si>
    <t xml:space="preserve">El dect. 295 de 12 de agosto de 1985 crea la escuela Mutari.que crea los centros educativos que implementan el Programa de Educación Premedia y Media con metodología Escuela Nueva Escuela Activa (ENEA)
</t>
  </si>
  <si>
    <t>ESC. NUTIVI</t>
  </si>
  <si>
    <t>ESC. ODOBATE</t>
  </si>
  <si>
    <t>ESC. OMAR TORRIJOS</t>
  </si>
  <si>
    <t>DEC.134 DE 24 DE MAYO DE 1996</t>
  </si>
  <si>
    <t>ESC. ORIENTE</t>
  </si>
  <si>
    <t>ESC. PALMA BELLA</t>
  </si>
  <si>
    <t>ESC. PLAYA HERMOSA</t>
  </si>
  <si>
    <t>ESC. PLAYA LORENZO Nº2</t>
  </si>
  <si>
    <t>ESC. PLAYA TIGRE</t>
  </si>
  <si>
    <t>ESC. PUEBLO MESA</t>
  </si>
  <si>
    <t>ESC. PUNTA PIÑA</t>
  </si>
  <si>
    <t xml:space="preserve">DEC.248 DE 16 DE JULIO DE 1985 </t>
  </si>
  <si>
    <t>El dect. 248 de 16 de julio de 1985 crea la escuela Punta Piña</t>
  </si>
  <si>
    <t>ESC. QUEBRADA CAYUCO</t>
  </si>
  <si>
    <t>TOLOTE</t>
  </si>
  <si>
    <t>ESC. QUEBRADA HACHA</t>
  </si>
  <si>
    <t xml:space="preserve">DEC. 327 DE 21 DE DICIEMBRE DE 1987 </t>
  </si>
  <si>
    <t>El dect. 327 de 21 de diciembre de 1987 crea la escuela Quebrada Hacha</t>
  </si>
  <si>
    <t>ESC. QUEBRADA VENADO</t>
  </si>
  <si>
    <t>DEC. 233 DEL 11 DE JUNIO DE 2018 QUE CREA EL C.E.B.G.</t>
  </si>
  <si>
    <t>ESC. QUEBRADA PEÑA</t>
  </si>
  <si>
    <t>ESC. RÍO BALSA</t>
  </si>
  <si>
    <t>C.E.B.G. RIO CAÑA ARRIBA</t>
  </si>
  <si>
    <t>ESC. RÍO SUICHE</t>
  </si>
  <si>
    <t>ESC. SAN PEDRO ARRIBA</t>
  </si>
  <si>
    <t>ESC. SAN SOLEDAD</t>
  </si>
  <si>
    <t>El dect. 327 de 21 de diciembre de 1987 crea la escuela San Soledad</t>
  </si>
  <si>
    <t>DEC. 107 DE 5 DE MAYO DE 1986</t>
  </si>
  <si>
    <t>El dect. 107 del 5 de mayo de 1986 crea la escuela SANTA MARTA, en Punta Robalo, Chiriquí Grande</t>
  </si>
  <si>
    <t>ESC. SILICO CREECK</t>
  </si>
  <si>
    <t>ESC. SINETI</t>
  </si>
  <si>
    <t>DEC.327 DE 21 DE DICIEMBRE DE 1987</t>
  </si>
  <si>
    <t>ESC. TIBRA</t>
  </si>
  <si>
    <t>ESC. TORI ANEXA BISIRA</t>
  </si>
  <si>
    <t>ESC. UBAMBITI</t>
  </si>
  <si>
    <t>ESC. URRACA</t>
  </si>
  <si>
    <t>ESC. EL VALLE ABAJO</t>
  </si>
  <si>
    <t>ESC. ZORRA</t>
  </si>
  <si>
    <t>ESC. GUABO ARRIBA</t>
  </si>
  <si>
    <t>ESC. LA TRINCHERA</t>
  </si>
  <si>
    <t xml:space="preserve">DEC. 25 DE 19 DE FEBRERO DE 1987 </t>
  </si>
  <si>
    <t>El dect. 25 de 19 de febrero de 1987 crea la escuela Trinchera</t>
  </si>
  <si>
    <t>C.E.B.G. MAYO</t>
  </si>
  <si>
    <t>DEC. 37 DEL 12 DE MAYO DE 2022 QUE FORMALIZA LA CREACION DEL C.E.B.G.</t>
  </si>
  <si>
    <t>ESC. ALTO CORRALES</t>
  </si>
  <si>
    <t>ESC. ALTO MANCREEK</t>
  </si>
  <si>
    <t>ESC. ALTO PEDREGAL</t>
  </si>
  <si>
    <t>ESC. BOCA DE GUARIVIARA</t>
  </si>
  <si>
    <t>ESC. BOCA DE MANCREECK AN.MANCREECK</t>
  </si>
  <si>
    <t>ESC. BOCA DEL RIO CRICAMOLA</t>
  </si>
  <si>
    <t>ESC. BOCA DE RIO GRANDE</t>
  </si>
  <si>
    <t>El dect. 38 de 13 de febrero de 1967 crea la escuela Boca de Río Grande, en Bastimentos</t>
  </si>
  <si>
    <t>ESC. CAYO PALOMA</t>
  </si>
  <si>
    <t>ESC. CERRO ÑEQUE</t>
  </si>
  <si>
    <t>ESC. CRICAMOLA</t>
  </si>
  <si>
    <t>ESC. DAYRA</t>
  </si>
  <si>
    <t>ESC. DIBOTE</t>
  </si>
  <si>
    <t>ESC. DOBROTE</t>
  </si>
  <si>
    <t>ESC. DRURI</t>
  </si>
  <si>
    <t>ESC. EL TERRON</t>
  </si>
  <si>
    <t>ESC. CERRO REDONDO</t>
  </si>
  <si>
    <t>ESC. CERRO SANTO</t>
  </si>
  <si>
    <t>ESC. CLEAY</t>
  </si>
  <si>
    <t>ESC. EL GIROTE</t>
  </si>
  <si>
    <t>ESC. GUACAMAYO</t>
  </si>
  <si>
    <t>ESC. JUGLÍ</t>
  </si>
  <si>
    <t>ESC. KULY</t>
  </si>
  <si>
    <t>ESC. LOMA VERDE</t>
  </si>
  <si>
    <t>Corregimiento de Tobobe</t>
  </si>
  <si>
    <t>ESC. MUAY</t>
  </si>
  <si>
    <t>ESC. PUNTA CUACO</t>
  </si>
  <si>
    <t>ESC. PUNTA VALIENTE</t>
  </si>
  <si>
    <t>ESC. QUEBRADA ESSEY</t>
  </si>
  <si>
    <t>PREESCOLAR-PRIMARIA-PRIMARIA</t>
  </si>
  <si>
    <t>ESC. QUEBRADADA NASA</t>
  </si>
  <si>
    <t>ESC. RÍO CEDRO</t>
  </si>
  <si>
    <t>El dect. 699 de 7 de octubre de 1993 crea la escuela Rio Piedra en Santa Catalina</t>
  </si>
  <si>
    <t>ESC.PUEBLO NUEVO</t>
  </si>
  <si>
    <t>ESC. GAVILAN</t>
  </si>
  <si>
    <t>ESC. WARY</t>
  </si>
  <si>
    <t>ESC. KENANY</t>
  </si>
  <si>
    <t>ESC. LAS SABANAS</t>
  </si>
  <si>
    <t>ESC. MONTE LIRIO</t>
  </si>
  <si>
    <t>ESC. MONTE VIRGEN</t>
  </si>
  <si>
    <t>ESC. MUNUNI Nº3</t>
  </si>
  <si>
    <t>ESC. MUNUNI N°1</t>
  </si>
  <si>
    <t>ESC. NURY</t>
  </si>
  <si>
    <t>ESC. PALMITO ANEXA PUEBLO NVO.</t>
  </si>
  <si>
    <t>ESC. PIEDRA ROJA</t>
  </si>
  <si>
    <t>DEC. 54 DEL 20 DE FEBRERO DEL 2017.</t>
  </si>
  <si>
    <t>ESC. PLAYA VERDE</t>
  </si>
  <si>
    <t>ESC. POMANCREECK</t>
  </si>
  <si>
    <t>ESC. POMAN KIARY</t>
  </si>
  <si>
    <t>ESC. QUEBRADA NEGRITA</t>
  </si>
  <si>
    <t>ESC. QUEBRADA CARACOL</t>
  </si>
  <si>
    <t>ESC. QUEBRADA MIRONI</t>
  </si>
  <si>
    <t>ESC. QUEBRADA TIGRE</t>
  </si>
  <si>
    <t>El dect. 150 de 30 de junio de 1986 crea la escuela Quebrada Tigre</t>
  </si>
  <si>
    <t>ESC. RÍO BUENO</t>
  </si>
  <si>
    <t>El dect. 107 de 5 de mayo de 1986 crea la escuela RIO BUENO</t>
  </si>
  <si>
    <t>ESC. SIROTE</t>
  </si>
  <si>
    <t>El dect. 327 de 21 de diciembre de 1987 crea la escuela Sirote</t>
  </si>
  <si>
    <t>ESC. SOLAITE</t>
  </si>
  <si>
    <t>ESC. TIGRE</t>
  </si>
  <si>
    <t>ESC. TOBORI</t>
  </si>
  <si>
    <t>ESC. TOROKI</t>
  </si>
  <si>
    <t>Crea la escuela con el nombre de TOROKU</t>
  </si>
  <si>
    <t>ESC. TURURY</t>
  </si>
  <si>
    <t>ESC. VALLE DE COMUN</t>
  </si>
  <si>
    <t>COL. NOCT. SAN AGUSTIN DE KANKINTU EXT.</t>
  </si>
  <si>
    <t xml:space="preserve">EDJA QUEBRADA CAYUCO </t>
  </si>
  <si>
    <t>CIENCIAS, BACHILLERATO INTEGRAL</t>
  </si>
  <si>
    <t>TELE-EDUCACIÓN CORONTE</t>
  </si>
  <si>
    <t>TELE-EDUCACIÓN TRINCHERA</t>
  </si>
  <si>
    <t>PREMEDIA-MEDIA</t>
  </si>
  <si>
    <t>TELE-EDUCACIÓN SANTA CATALINA</t>
  </si>
  <si>
    <t xml:space="preserve">NGABE BUGLE ÑURUM </t>
  </si>
  <si>
    <t>ÑURUM</t>
  </si>
  <si>
    <t>GUAYABITO</t>
  </si>
  <si>
    <t>CEFACEI LLANO SALINA</t>
  </si>
  <si>
    <t>CEFACEI VIROTAL</t>
  </si>
  <si>
    <t>EL PIRO N°2</t>
  </si>
  <si>
    <t>CEFACEI EL PRADO</t>
  </si>
  <si>
    <t>BUENOS AIRES</t>
  </si>
  <si>
    <t>CAIPI BUENOS AIRES</t>
  </si>
  <si>
    <t>ALTO DE JESÚS</t>
  </si>
  <si>
    <t>ESC. ALTO DE JESUS</t>
  </si>
  <si>
    <t>ESC. ALTO GALERA</t>
  </si>
  <si>
    <t>AGUA DE SALUD</t>
  </si>
  <si>
    <t>ESC. BATATA</t>
  </si>
  <si>
    <t>El dect. 53 del 24 de abril de 1959 crea la escuela Batata</t>
  </si>
  <si>
    <t>El dect. 49 de 13 de junio de 1978 crea el C.E.B.G. Buenos Aires</t>
  </si>
  <si>
    <t>AGROPECUARIO, SERVICIOS Y GESTION INSTITUCIONAL</t>
  </si>
  <si>
    <t>C.E.B.G. VIROTAL</t>
  </si>
  <si>
    <t>El dect. 53 de 24 de abril de 1959 crea la escuela Virotal, en el área indígena. El dect. 131 de 2 de junio de 1964 crea la escuela Virotal, en Las Palmas</t>
  </si>
  <si>
    <t>GUIBALE</t>
  </si>
  <si>
    <t>ESC. CABECERA DE SAN PABLO N° 2</t>
  </si>
  <si>
    <t>CERRO PELADO</t>
  </si>
  <si>
    <t>ESC. CAÑAZAL</t>
  </si>
  <si>
    <t>C.E.B.G. CERRO PELADO</t>
  </si>
  <si>
    <t>DEC. 325 DEL 15 DE JULIO DE 1963</t>
  </si>
  <si>
    <t>El dect. 325 del 15 de julio de 1963 crea la Escuela CERRO PELADO, en el municipio de Las Palmas.  El dect. 262 del 25 de marzo de 2004 crea el C.E.B.G. Cerro Pelado.  El dect. 28 de 2 de febrero de 2010, autoriza la implementación del segundo nivel de enseñanza en el C.E.B.G. de Cerro Pelado</t>
  </si>
  <si>
    <t>CIENCIAS, HUMANIDADES, TURISMO</t>
  </si>
  <si>
    <t>ESC. EL CHUMICO</t>
  </si>
  <si>
    <t>DEC. 294 DE 25 DE JULIO DE 1969</t>
  </si>
  <si>
    <t>El dect. 294 de 25 de julio de 1969 crea la escuela Chumico. El dect.  145 de 5 de marzo de 1971 clausura esta escuela</t>
  </si>
  <si>
    <t>ESC. EL COPE DE ÑURUM</t>
  </si>
  <si>
    <t>DEC. 69 DE 16 DE FEBRERO DE 2011.</t>
  </si>
  <si>
    <t>CENTRO EDUCATIVO PASCUALA RODRÍGUEZ EL PEÑON (ANTES EL PEÑON)</t>
  </si>
  <si>
    <t>DEC.150 DE 30 DE JUNIO DE 1986. DEC. 739 DEL 19 DE NOV. DE 2018 QUE DEROGA EN TODAS SUS PARTES EL DEC. EJECUTIVO NO. 1074 DEL 16 DE DIC. DE 2016 Y SE EMPLEMENTA EL SEGUNDO NIVEL DE ENSEÑANZA O EDUCACION MEDIA.</t>
  </si>
  <si>
    <t>El dect. 150 de 30 de junio de 1986 crea la escuela El Peñón. Existe dect. 166 de 20 de junio de 1991 que crea la escuela El Peñón, señalando que desde 1990 ,funcionaba sin providencia legal, en Agua de Salud, Cañazas.Decreto 1074 del 16 de diciembre de 2016 que implementa el segundo nivel de enseñanza o educacion media y cambia su denominacion a Centro Educativo. Bachiller en Ciencias.Dec.12 del 2 de marzo de 2022, que autoriza el cambio de nombre del C.E. a Centro Educativo PASCUALA RODRIGUEZ EL PEÑON.</t>
  </si>
  <si>
    <t>CENTRO EL PORVENIR</t>
  </si>
  <si>
    <t>DEC. 691 DEL 12 DE AGOSTO DEL 2014</t>
  </si>
  <si>
    <t>EL BALE</t>
  </si>
  <si>
    <t>CENTRO  EDUCATIVO HERMANA MARIA MERCEDES PEREZ</t>
  </si>
  <si>
    <t xml:space="preserve">DEC.216 DE 27 DE JUNIO DE 2000 </t>
  </si>
  <si>
    <t>El dect. 216 de 27 de junio de 2000 crea el primer Ciclo Hermana María Mercedes Pérez. El dect. 138 de 13 de mayo de 2009 denomina Centro Educativo Hermana María Mercedes Pérez al Primer Ciclo con este nombre</t>
  </si>
  <si>
    <t>AGROPECUARIO,COMERCIO,TURISMO</t>
  </si>
  <si>
    <t>ESC. LAS FILIPINAS</t>
  </si>
  <si>
    <t>DEC.166 DE 20 DE JUNIO DE 1991</t>
  </si>
  <si>
    <t>El dcrto 166 de 20 de junio de 1991 crea la escuela "FILIPINAS", En el corregimiento El Prado, Las Palmas</t>
  </si>
  <si>
    <t>ESC. LAS MESITAS</t>
  </si>
  <si>
    <t>EL PAREDÓN</t>
  </si>
  <si>
    <t>ESC. LOS GUARUMOS</t>
  </si>
  <si>
    <t>EL PEÑÓN</t>
  </si>
  <si>
    <t>ESC. MOJARRAS</t>
  </si>
  <si>
    <t>DEC. 166 DE 20 DE JUNIO DE 1991</t>
  </si>
  <si>
    <t>El dect. 53 del 24 de abril de 1959 crea la escuela.  El dcrto 684 de 15 de noviembre de 1962 la clausura.  Existe dcrto 166 de 20 de junio de 1991 que crea esta escuela, señalando que desde 1990 funcionaba sin providencia legal</t>
  </si>
  <si>
    <t>EL PIRO</t>
  </si>
  <si>
    <t>C.E.B.G. MWAGUADA</t>
  </si>
  <si>
    <t>DEC.140 DEL 9 DE MARZO DE 2011</t>
  </si>
  <si>
    <t>DEC.104 DE18 DE MAYO DE 1984</t>
  </si>
  <si>
    <t>ESC. PIEDRA GRANDE</t>
  </si>
  <si>
    <t>DEC.9 DE 10 DE FEBRERO DE 1987</t>
  </si>
  <si>
    <t>DEC. 103 DE 17 DE FEBRERO DE 1994 QUE CREA LA ESCUELA, EN CAÑAZAS</t>
  </si>
  <si>
    <t>ESC. QUEBRADA EL JAGUA</t>
  </si>
  <si>
    <t>DEC.108 DE 5 DE MAYO DE 1986</t>
  </si>
  <si>
    <t>El dect. 108 de 5 de mayo de 1986 crea la escuela Quebrada El Jagua en el Corregimiento El Prado, Distrito Las Palmas</t>
  </si>
  <si>
    <t>ESC. AGUA DE SALUD</t>
  </si>
  <si>
    <t>DEC. 763 DE 9 DE DICIEMBRE DE 1969 CREA LA ESCUELA AGUA DE SALUD, EN CAÑAZAS</t>
  </si>
  <si>
    <t>ESC. ALTO TOLICA</t>
  </si>
  <si>
    <t>DEC. 34 DE 24 DE ENERO DE 1966 QUE CREA LA ESCUELA "TÓLICA"</t>
  </si>
  <si>
    <t>ESC. CABECERA DE SAN PABLO N° 1</t>
  </si>
  <si>
    <t>DEC.84 DE  20 DE ABRIL DE 1964</t>
  </si>
  <si>
    <t>El dect. 84 de 20 de abril de 1964 crea la Escuela Llano de Limón. El dect. 145 de 5 de marzo de 1971 asigna el nombre de CABECERA DE SAN PABLO,  a la escuela Llano de Limón de San Pablo</t>
  </si>
  <si>
    <t>ESC. CABECERA DE VIRIGUA</t>
  </si>
  <si>
    <t>DEC. 422 DE 18 DE AGOSTO DE 1966</t>
  </si>
  <si>
    <t>ESC. EL MURCIELAGO (ANEXO NANZAL)</t>
  </si>
  <si>
    <t>El dect. 68 de 9 de marzo de 1993 crea la escuela en el Correg.de Cerro Plata, distrito de Cañazas</t>
  </si>
  <si>
    <t>ESC. EL PAREDON</t>
  </si>
  <si>
    <t>ESC. EL PIRO Nº 2</t>
  </si>
  <si>
    <t>DEC.146 DE 25 DE JUNIO DE 1982</t>
  </si>
  <si>
    <t>ESC. GUAYABALITO</t>
  </si>
  <si>
    <t>DEC.401 DE 22 DE JULIO DE 2003</t>
  </si>
  <si>
    <t>El dect. 401 del 22 de julio de 2003 crea el "C.E.B.G. Rio Guayabito"</t>
  </si>
  <si>
    <t>ESC. PUEBLO NUEVO 2</t>
  </si>
  <si>
    <t>ESC. TIERRA BLANCA</t>
  </si>
  <si>
    <t>DEC.167 DE 24 DE ABRIL DE 1970</t>
  </si>
  <si>
    <t>ESC. VIRIGUA</t>
  </si>
  <si>
    <t>TELE-EDUCACIÓN AGUA DE SALUD</t>
  </si>
  <si>
    <t>TELE-EDUCACIÓN AGUA BOCA DE BALSA</t>
  </si>
  <si>
    <t>TERMINACIÓN DE ESTUDIOS PRIMARIOS</t>
  </si>
  <si>
    <t>NUEVA CREACIÓN 2024</t>
  </si>
  <si>
    <t>CAÑO BONITO</t>
  </si>
  <si>
    <t>PANAMÁ</t>
  </si>
  <si>
    <t>PANAMÁ CENTRO</t>
  </si>
  <si>
    <t>SAN FELIPE</t>
  </si>
  <si>
    <t>JARDÍN DE LA INFANCIA DE LA FUNDACION SAN FELIPE</t>
  </si>
  <si>
    <t>ANCÓN</t>
  </si>
  <si>
    <t>CENTINELA DEL FUTURO</t>
  </si>
  <si>
    <t>TOCUMEN</t>
  </si>
  <si>
    <t>ESC. NIÑOS FELICES</t>
  </si>
  <si>
    <t>SAN ANTONIO</t>
  </si>
  <si>
    <t>SANTA EDUVIGES</t>
  </si>
  <si>
    <t>SEÑOR DE LOS MILAGROS</t>
  </si>
  <si>
    <t>LAS GARZAS</t>
  </si>
  <si>
    <t>ESC. SAN DIEGO</t>
  </si>
  <si>
    <t>PACORA</t>
  </si>
  <si>
    <t>ESC. JUSTINO GALLARDO</t>
  </si>
  <si>
    <t>PUEBLO NUEVO</t>
  </si>
  <si>
    <t>SAN FRANCISCO</t>
  </si>
  <si>
    <t>C.O.I.F EL CAMINITO</t>
  </si>
  <si>
    <t>CAIPI SANTA TERESA DE CALCUTA -MINISTERIO DE LA PRESIDENCIA</t>
  </si>
  <si>
    <t>BETHANIA</t>
  </si>
  <si>
    <t>CAIPI ESMERALDA AROSEMENA DE TROITIÑO/ MINISTERIO DE TRABAJO</t>
  </si>
  <si>
    <t>CAIPI RAYITO DE SOL / POLICIA NACIONAL</t>
  </si>
  <si>
    <t>CURUNDÚ</t>
  </si>
  <si>
    <t>CAIPI PASITOS FIRMES AERONAVAL</t>
  </si>
  <si>
    <t>LA EXPOSICIÓN O CALIDONIA</t>
  </si>
  <si>
    <t xml:space="preserve">CEDI ALCALDIA DE PANAMÁ </t>
  </si>
  <si>
    <t>CEDI SANTA ANA</t>
  </si>
  <si>
    <t>CEDI MINERVA MARIN</t>
  </si>
  <si>
    <t>CEDI LA SIESTA</t>
  </si>
  <si>
    <t>EL CHORRILLO</t>
  </si>
  <si>
    <t>CEDI CHORRILO</t>
  </si>
  <si>
    <t>CEDI JUAN DIAZ</t>
  </si>
  <si>
    <t>COIF LOTERIA NACIONAL DE BENEFICENCIA</t>
  </si>
  <si>
    <t>COIF MINISTERIO DE OBRAS PUBLICAS</t>
  </si>
  <si>
    <t>CAIPI BANCONAL</t>
  </si>
  <si>
    <t>COIF CAJA DE SEGURO SOCIAL</t>
  </si>
  <si>
    <t>CAIPI CONTRALORIA GENERAL DE LA REPUBLICA</t>
  </si>
  <si>
    <t>CAIPI/ COIF MINISTERIO DE SALUD</t>
  </si>
  <si>
    <t>CAIPI IFARHU</t>
  </si>
  <si>
    <t>CAIPI/ TRIBUNAL ELECTORAL</t>
  </si>
  <si>
    <t>CAIPI MINISTERIO DE ECONOMIA Y FINANZAS</t>
  </si>
  <si>
    <t>COIF MINISTERIO DE COMERCIO (MICI)</t>
  </si>
  <si>
    <t>CEFACEI SALEM</t>
  </si>
  <si>
    <t>CEFACEI TE AMO PEQUEÑIN</t>
  </si>
  <si>
    <t>CEFACEI PASITOS DE LUZ</t>
  </si>
  <si>
    <t>LAS MAÑANITAS</t>
  </si>
  <si>
    <t>CEDI  LAS MAÑANITAS</t>
  </si>
  <si>
    <t>PARQUE LEFEVRE</t>
  </si>
  <si>
    <t>CEDI ANDRES GESTO PANAMA VIEJO</t>
  </si>
  <si>
    <t>CEDI BETHANIA</t>
  </si>
  <si>
    <t>CEDI EL CHORRILLO</t>
  </si>
  <si>
    <t>CEDI MUNICIPAL JUAN DIAZ</t>
  </si>
  <si>
    <t>CAIPI PERSONITAS DEL MAÑANA</t>
  </si>
  <si>
    <t>ESC. ARRULLITO MIO</t>
  </si>
  <si>
    <t>CAIPI MIDES-SEDE</t>
  </si>
  <si>
    <t>COIF EL PORVENIR</t>
  </si>
  <si>
    <t>CAIPI LORENA D. MARIN</t>
  </si>
  <si>
    <t>CAIPI HEIDI</t>
  </si>
  <si>
    <t>CAIPI MONTERIA</t>
  </si>
  <si>
    <t>CAIPI DE JUAN DIAZ POLICIA NACIONAL</t>
  </si>
  <si>
    <t>CEDI PEDREGAL</t>
  </si>
  <si>
    <t>CEDI PUEBLO NUEVO</t>
  </si>
  <si>
    <t>RÍO ABAJO</t>
  </si>
  <si>
    <t>CEDI RIO ABAJO JOAQUINA H. DE TORRIJOS</t>
  </si>
  <si>
    <t>SAN MARTIN</t>
  </si>
  <si>
    <t>CEDI SAN MARTIN</t>
  </si>
  <si>
    <t>24 DE DICIEMBRE</t>
  </si>
  <si>
    <t>CEFACEI CABUYITA</t>
  </si>
  <si>
    <t>CEFACEI CASCABEL</t>
  </si>
  <si>
    <t>CEFACEI CORAZONES FELICES</t>
  </si>
  <si>
    <t>CEFACEI EJERCITO DE DIOS</t>
  </si>
  <si>
    <t>CEFACEI HEFZÍ-BA</t>
  </si>
  <si>
    <t>CEFACEI LA LUZ DEL SABER #1 #2</t>
  </si>
  <si>
    <t>CEFACEI LA PRIMAVERA #1</t>
  </si>
  <si>
    <t>CEFACEI NIÑOS DEL MAÑANA</t>
  </si>
  <si>
    <t>CEFACEI PASITOS A JUAN GIL</t>
  </si>
  <si>
    <t>CEFACEI PEDACITOS DE LUZ</t>
  </si>
  <si>
    <t>CEFACEI SAN CRISTOBAL</t>
  </si>
  <si>
    <t>CEFACEI SAN MARCOS</t>
  </si>
  <si>
    <t>CEFACEI YUSIMAR</t>
  </si>
  <si>
    <t>CECREDIN MAGISTRADA SANDRA HUERTAS DE ICAZA (ORGANO JUDICIAL)</t>
  </si>
  <si>
    <t>C.O.I.F. SOY FELIZ</t>
  </si>
  <si>
    <t>DEC. 174 DE 1991, RES. 17 DE FEBRERO DE 1990</t>
  </si>
  <si>
    <t>COIF MEDUCA</t>
  </si>
  <si>
    <t>DEC. 1 DE NOV DE 1977</t>
  </si>
  <si>
    <t>CENTRO EDUCATIVO PRESIDENTE VALDES</t>
  </si>
  <si>
    <t>DEC. 83  DE 23 DE MAYO DE 1949.</t>
  </si>
  <si>
    <t>DEC. 156 DE 2 DE MARZO DE 2021 QUE ASCIENDE A PRIMERA CATEGORIA AL C.E.</t>
  </si>
  <si>
    <t xml:space="preserve">ESC. BILINGÜE  SIMON BOLIVAR  </t>
  </si>
  <si>
    <t>DEC. 6 DE 13 DE FEBRERO DE 1925.</t>
  </si>
  <si>
    <t>ESC. HOGAR DE LA INFANCIA</t>
  </si>
  <si>
    <t xml:space="preserve">COLEGIO SANTA FAMILIA   </t>
  </si>
  <si>
    <t>DEC. 6 DE 1 DE OCTUBRE DE 1929</t>
  </si>
  <si>
    <t xml:space="preserve">INSTITUTO BOLIVAR  </t>
  </si>
  <si>
    <t>DEC. 79 DE 2 DE MAYO DE 1959.</t>
  </si>
  <si>
    <t>ESC. ESTADOS UNIDOS DE AMERICA</t>
  </si>
  <si>
    <t>ESC. BILINGÜE REPÚBLICA DE MEXICO</t>
  </si>
  <si>
    <t>DEC. 61 DE 1 DE OCTUBRE DE 1929.</t>
  </si>
  <si>
    <t>ESC. BILINGÜE MANUEL JOSE HURTADO</t>
  </si>
  <si>
    <t>ESC. REPUBLICA DE EL SALVADOR</t>
  </si>
  <si>
    <t>DEC.  579 DE 5 DE NOVIEMBRE DE 1992</t>
  </si>
  <si>
    <t>ESC. DR. JUSTO AROSEMENA</t>
  </si>
  <si>
    <t xml:space="preserve">INSTITUTO NACIONAL  </t>
  </si>
  <si>
    <t>CIENCIAS,  HUMANIDADES</t>
  </si>
  <si>
    <t>C.E.B.G. REP. FEDERATIVA DEL BRASIL</t>
  </si>
  <si>
    <t xml:space="preserve">DEC. 311 DE 28 DE ABRIL DE 1953. </t>
  </si>
  <si>
    <t>INSTITUTO COMERCIAL BOLIVAR</t>
  </si>
  <si>
    <t>DEC. 389 DE 16 DE DICIEMBRE DE 1986.</t>
  </si>
  <si>
    <t>COMERCIO, CONTABILIDAD,TURISMO</t>
  </si>
  <si>
    <t xml:space="preserve">C.E.B.G. REPUBLICA DE VENEZUELA  </t>
  </si>
  <si>
    <t xml:space="preserve">DEC. 6 DE 1 DE OCTUBRE DE 1929. </t>
  </si>
  <si>
    <t xml:space="preserve">ESC. BILINGÜE  PEDRO J. SOSA          </t>
  </si>
  <si>
    <t xml:space="preserve">ESC. BILINGÜE  REPUBLICA DE CHILE  </t>
  </si>
  <si>
    <t>ESC. FE Y ALEGRIA</t>
  </si>
  <si>
    <t xml:space="preserve">DEC. 388 DE 15 DE JULIO DE 1970. </t>
  </si>
  <si>
    <t>ESC. DE ARTES Y OFICIOS  M.L.V.</t>
  </si>
  <si>
    <t>DEC. LEY NO.35 DE 26 DE JUNIO DE 1907</t>
  </si>
  <si>
    <t>INDUSTRIAL, SEGUNDO CICLO INDUSTRIAL, MARITIMO, TECNOLOGIA E INFORMATICA</t>
  </si>
  <si>
    <t>ESC. JAMAICA</t>
  </si>
  <si>
    <t>DEC. 94 DE 10 DE JUNIO DE 1988.</t>
  </si>
  <si>
    <t>ESC. BILINGÜE EL JAPON</t>
  </si>
  <si>
    <t xml:space="preserve">DEC. 545 DE 30 DE DICIEMBRE DE 1963. </t>
  </si>
  <si>
    <t xml:space="preserve">INSTITUTO FERMIN NAUDEAU  </t>
  </si>
  <si>
    <t>DEC. LEY NO.  7 DE 29 DE ABRIL DE 1958.</t>
  </si>
  <si>
    <t>CIENCIAS E INFORMATICA</t>
  </si>
  <si>
    <t xml:space="preserve">I.P.T. DE COMERCIO  </t>
  </si>
  <si>
    <t>DEC. 142 DE 6 DE JULIO DE 1981</t>
  </si>
  <si>
    <t>COMERCIO, CONTABILIDAD, TURISMO</t>
  </si>
  <si>
    <t>CENTRO EDUCATIVO DR. OCTAVIO MENDEZ PEREIRA</t>
  </si>
  <si>
    <t>DEC. 58 DE 16 DE MARZO DE 1972. DEC. 1074 DEL 16 DE DIC. DE 2016 IMPLEMENTA EL SEGÚN NIVEL DE ENSEÑANZA O MEDIA Y CAMBIA LA DENOMINACION A C.E. DEC. 739 DEL 19 DE NOV. DE 2018 QUE DEROGA EN TODAS SUS PARTES EL DEC. EJECUTIVO NO. 1074 DEL 16 DE DIC. DE 2016 Y SE EMPLEMENTA EL SEGUNDO NIVEL DE ENSEÑANZA O EDUCACION MEDIA.</t>
  </si>
  <si>
    <t>INSTITUTO AMERICA</t>
  </si>
  <si>
    <t>DEC. 135 DE 5 DE JUNIO DE 1975</t>
  </si>
  <si>
    <t>ESC. JOSE A. ARANGO</t>
  </si>
  <si>
    <t>DEC. 25 DE 4 DE ABRIL DE 1959</t>
  </si>
  <si>
    <t>ESC. MANUEL E. AMADOR</t>
  </si>
  <si>
    <t xml:space="preserve">DEC. 741 DE 15 DE AGOSTO DE 1953. </t>
  </si>
  <si>
    <t>PRIMER CICLO PANAMA</t>
  </si>
  <si>
    <t xml:space="preserve">ESC. BILINGÜE  RICARDO MIRO  </t>
  </si>
  <si>
    <t>DEC. 515 DE 14 DE SEPTIEMBRE DE 1951.</t>
  </si>
  <si>
    <t xml:space="preserve">INSTITUTO COMERCIAL PANAMÁ  </t>
  </si>
  <si>
    <t xml:space="preserve">DEC. 63 DE 29 DE MARZO DE 1973 </t>
  </si>
  <si>
    <t>CIENCIAS, COMERCIO BILINGUE, CONTABILIDAD, TECNOLOGIA E INFORMATICA</t>
  </si>
  <si>
    <t>ESC. BILINGÜE   FRANCISCO ARIAS PAREDES</t>
  </si>
  <si>
    <t xml:space="preserve"> ESC. FEDERICO A. VELASQUEZ</t>
  </si>
  <si>
    <t>DEC. 47 DE 10 DE DICIEMBRE DE 1968.</t>
  </si>
  <si>
    <t xml:space="preserve">ESC. PROFESIONAL I. H. OBALDIA  </t>
  </si>
  <si>
    <t>DEC. 28 DE 21 DE JULIO DE 1923</t>
  </si>
  <si>
    <t>COMERCIO, CONTABILIDAD, TURISMO, SERVICIOS Y GESTION INSTITUCIONAL</t>
  </si>
  <si>
    <t>COLEGIO RICHARD NEWMAN</t>
  </si>
  <si>
    <t xml:space="preserve">DEC. 69 DE 8 DE ABRIL DE 1958. </t>
  </si>
  <si>
    <t>COLEGIO JOSE A. REMON CANTERA</t>
  </si>
  <si>
    <t>DEC. 140 DE 5 DE MARZO DE 1971.</t>
  </si>
  <si>
    <t>ESC. BILINGÜE DR. BELISARIO PORRAS</t>
  </si>
  <si>
    <t xml:space="preserve">DEC. 454 DE 23 DE SEPTIEMBRE DE 1954. </t>
  </si>
  <si>
    <t>ESC. BILINGÜE PUERTO RICO</t>
  </si>
  <si>
    <t>DEC. 2199 DE 20 DE SEPTIEMBRE DE 1948.</t>
  </si>
  <si>
    <t>ESC. REPUBLICA DE FINLANDIA</t>
  </si>
  <si>
    <t>DEC. 194 DE 19 DE MAYO DE 1965</t>
  </si>
  <si>
    <t>CENTRO EDUCATIVO BILINGÜE REPUBLICA DE HAITI</t>
  </si>
  <si>
    <t>DEC. 676 DE 2 DE OCTUBRE DE 1943. DEC. 739 DEL 19 DE NOV. DE 2018 QUE DEROGA EN TODAS SUS PARTES EL DEC. EJECUTIVO NO. 1074 DEL 16 DE DIC. DE 2016 Y SE EMPLEMENTA EL SEGUNDO NIVEL DE ENSEÑANZA O EDUCACION MEDIA.</t>
  </si>
  <si>
    <t>INSTITUTO JOSE DOLORES MOSCOTE</t>
  </si>
  <si>
    <t>DEC. 173 DE 4 DE MAYO DE 1956.</t>
  </si>
  <si>
    <t>CIENCIAS, HUMANIDADES, TURISMO, TECNOLOGÍA E INFORMÁTICA</t>
  </si>
  <si>
    <t xml:space="preserve">ESC.  BILINGÜE  MARIA OSSA DE AMADOR  </t>
  </si>
  <si>
    <t>DEC. 421 DE 6 DE JULIO DE 1972.</t>
  </si>
  <si>
    <t xml:space="preserve"> ESC. JUAN B. SOSA</t>
  </si>
  <si>
    <t>ESC. BILINGÜE MANUEL ESPINOSA BATISTA</t>
  </si>
  <si>
    <t>ESC. BILINGÜE SARA SOTILLO</t>
  </si>
  <si>
    <t>DEC. 416 DE 29 DE AGOSTO DE 1961.</t>
  </si>
  <si>
    <t>ESC. MATEO ITURRALDE</t>
  </si>
  <si>
    <t>DEC. 34 DE 24 DE ENERO DE 1966.</t>
  </si>
  <si>
    <t>CENTRO EDUCATIVO BILINGÜE ESTADO DE LIBIA</t>
  </si>
  <si>
    <t>DEC. 49 DE 25 DE ABRIL DE 1975</t>
  </si>
  <si>
    <t>DON BOSCO</t>
  </si>
  <si>
    <t>C.E.B.G. VILLA CATALINA</t>
  </si>
  <si>
    <t>DEC. 123, DEL 3 DE MARZO DEL 2017 SE CREA EL C.E.B.G.</t>
  </si>
  <si>
    <t>ESC. JOSE MARIA TORRIJOS</t>
  </si>
  <si>
    <t>DEC. 81 DE 2 DE MARZO DE 1966.</t>
  </si>
  <si>
    <t>ESC. REPUBLICA DE GUATEMALA</t>
  </si>
  <si>
    <t>DEC. 137 DE 5 DE ABRIL DE 1966.</t>
  </si>
  <si>
    <t>ESC. CARMEN SOLE BOSCH</t>
  </si>
  <si>
    <t>DEC. 53 DE 21 DE MARZO DE 1974.</t>
  </si>
  <si>
    <t xml:space="preserve">I.P.T. DE DON BOSCO   </t>
  </si>
  <si>
    <t>DEC. 243 DE 28 DE DICIEMBRE DE 1998.</t>
  </si>
  <si>
    <t>INDUSTRIAL, SEGUNDO CICLO INDUSTRIAL, TECNOLOGIA E INFORMATICA</t>
  </si>
  <si>
    <t>I.P.T. DE JUAN DIAZ</t>
  </si>
  <si>
    <t>DEC. 58 DE 2 DE ABRIL DE 1997.</t>
  </si>
  <si>
    <t xml:space="preserve">C.E.B.G. ERNESTO T. LEFEVRE  </t>
  </si>
  <si>
    <t xml:space="preserve">DEC. 454 DE 23 DE SEPTIEMBRE DE 1954 </t>
  </si>
  <si>
    <t xml:space="preserve">COLEGIO ELENA CH.  DE PINATE  </t>
  </si>
  <si>
    <t>DEC. 62 DE 14 DE MAYO DE 1981</t>
  </si>
  <si>
    <t>ESC. MARCIA A. DE CAÑELLAS</t>
  </si>
  <si>
    <t>DEC. 27 DE 11 DE FEBRERO DE 1999.</t>
  </si>
  <si>
    <t>ESC. BILINGÜE DON BOSCO</t>
  </si>
  <si>
    <t>DEC.  882 DE 21 DICIEMBRE DE 1971.</t>
  </si>
  <si>
    <t>ESC. BILINGÜE FEDERICO ESCOBAR</t>
  </si>
  <si>
    <t>DEC. 317 DE 29 DE JUNIO DE 1994.</t>
  </si>
  <si>
    <t>ESC. TORIBIO BERRIO SOSA</t>
  </si>
  <si>
    <t>DEC. 5 DE 10 DE OCTUBRE DE 1952.</t>
  </si>
  <si>
    <t>ESC. GASPAR OCTAVIO HERNANDEZ</t>
  </si>
  <si>
    <t>DEC. 110 DE 4 DE ABRIL DE 1966.</t>
  </si>
  <si>
    <t>ESC. NARCISO GARAY</t>
  </si>
  <si>
    <t>DEC. 494 DE 5 DE AGOSTO DE 1955</t>
  </si>
  <si>
    <t>ESC. BILINGÜE CIRILO J. MARTINEZ</t>
  </si>
  <si>
    <t>DEC. 75 DE 25 DE FEBRERO DE 1965</t>
  </si>
  <si>
    <t>C.E.B.G. ASCANIO VILLALAZ  P.</t>
  </si>
  <si>
    <t>DEC.71 DE 5 DE MAYO DE 1982.</t>
  </si>
  <si>
    <t>ESC. BILINGÜE GRAN BRETAÑA</t>
  </si>
  <si>
    <t>DEC. 470 DE 19 DE OCTUBRE DE 1965</t>
  </si>
  <si>
    <t>DEC. 31 DE 19 DE ENERO DE 1965</t>
  </si>
  <si>
    <t>ESC. JOSE PABLO PAREDES</t>
  </si>
  <si>
    <t>DEC. 88 DE 26 DE MAYO DE 1980</t>
  </si>
  <si>
    <t>ESC. BILINGÜE OMAR TORRIJOS H.</t>
  </si>
  <si>
    <t>DEC. 263 DE 26 DE JULIO DE 1984.</t>
  </si>
  <si>
    <t>C.E.B.G. 24 DE DICIEMBRE</t>
  </si>
  <si>
    <t>ESC. PASO BLANCO Nº 1</t>
  </si>
  <si>
    <t>DEC. 138 DE 16 DE JUNIO DE 1959</t>
  </si>
  <si>
    <t>DEC. 422 DE 18 DE AGOSTO DE 1966.</t>
  </si>
  <si>
    <t>CENTRO EDUCATIVO GUMERCINDA PÁEZ</t>
  </si>
  <si>
    <t>DEC. 65 DE 9 DE MARZO DE 1993, DECRETO 1074 DEL 16 DE DICIEMBRE DE 2016 IMPLEMENTA C.E. DEC. 739 DEL 19 DE NOV. DE 2018 QUE DEROGA EN TODAS SUS PARTES EL DEC. EJECUTIVO NO. 1074 DEL 16 DE DIC. DE 2016 Y SE EMPLEMENTA EL SEGUNDO NIVEL DE ENSEÑANZA O EDUCACION MEDIA.</t>
  </si>
  <si>
    <t>Dect. 65 de 9 de marzo de 1993,  se le asigna el nombre de Primer Ciclo Gumercinda Páez al primer ciclo Los Lotes, el Los Lotes, corregimiento de Pacora.</t>
  </si>
  <si>
    <t>AGROPECUARIO,CONTABILIDAD,COMERCIO Y TURISMO</t>
  </si>
  <si>
    <t>COLEGIO JEPTHA B. DUNCAN</t>
  </si>
  <si>
    <t>DEC. 120 DE 3 DE MAYO DE 1996.</t>
  </si>
  <si>
    <t>INDUSTRIAL, SEGUNDO CICLO INDUSTRIAL,CONTABILIDAD, TURISMO, TECNOLOGIA E INFORMATICA</t>
  </si>
  <si>
    <t>ESC. SEC. FRANCISCO DE MIRANDA</t>
  </si>
  <si>
    <t>DEC. 233 DE 25 DE ABRIL DE 1994</t>
  </si>
  <si>
    <t>ESC. JUAN E. JIMENEZ</t>
  </si>
  <si>
    <t>DEC. 332 DEL 14 DE MAYO DE 2013</t>
  </si>
  <si>
    <t>ESC. REPUBLICA DE HONDURAS</t>
  </si>
  <si>
    <t>DEC. 585 DE 27 DE SEPTIEMBRE  DE 1955</t>
  </si>
  <si>
    <t>ESC. VISTA HERMOSA</t>
  </si>
  <si>
    <t xml:space="preserve">DEC. 25 DE 4 DE ABRIL DE 1959, </t>
  </si>
  <si>
    <t>ESC. ALTOS DE CABUYA</t>
  </si>
  <si>
    <t>DEC. 140 DE 30 DE JUNIO DE 1986.</t>
  </si>
  <si>
    <t>DEC. 97 DE 19 DE MARZO 1967</t>
  </si>
  <si>
    <t>ESC. UTIVE</t>
  </si>
  <si>
    <t>DEC. 2132 DE 9 DE JULIO DE 1948.</t>
  </si>
  <si>
    <t>ESC. LUIS N. HERAZO</t>
  </si>
  <si>
    <t>DEC. 101 DE 7 DE ABRIL DE 1961.</t>
  </si>
  <si>
    <t>ESC. SANTA MARIA DE LOS ANGELES</t>
  </si>
  <si>
    <t>DEC. 578 DE 5 DE NOVIEMBRE DE 1992</t>
  </si>
  <si>
    <t>ESC. PUEBLO NUEVO DE PACORA</t>
  </si>
  <si>
    <t>DEC. 193 DE 12 DE MAYO DE 1961.</t>
  </si>
  <si>
    <t>ESC. MAMONI ARRIBA</t>
  </si>
  <si>
    <t xml:space="preserve">DEC. 204 DE 18 DE ABRIL DE 1967  </t>
  </si>
  <si>
    <t>Dec. 825 del 3 de octubre de 2012</t>
  </si>
  <si>
    <t>ESC. CARRIAZO</t>
  </si>
  <si>
    <t>DEC. 293 DE 25 DE JULIO DE 1969</t>
  </si>
  <si>
    <t>ESC. LA CHAPA</t>
  </si>
  <si>
    <t>DEC. 354 DE 2 DE JULIO DE 1970.</t>
  </si>
  <si>
    <t>ESC. DR. RICARDO J. ALFARO</t>
  </si>
  <si>
    <t>DEC. 400 DEL 29 DE MAYO DE 1973</t>
  </si>
  <si>
    <t>ESC. GENESIS</t>
  </si>
  <si>
    <t>DEC. 112 DE 2 DE JUNIO DE 2000</t>
  </si>
  <si>
    <t>PRIMER CICLO SAN MIGUEL ARCANGEL</t>
  </si>
  <si>
    <t>DEC. 995 DE 30 DE DICIEMBRE DE 1993</t>
  </si>
  <si>
    <t xml:space="preserve">PRIMER CICLO DE TOCUMEN  </t>
  </si>
  <si>
    <t>DEC. 25 DE 4 DE ABRIL DE 1959.</t>
  </si>
  <si>
    <t>ESC. BILINGÜE SECTOR SUR</t>
  </si>
  <si>
    <t>ESC. NUEVO BELEN</t>
  </si>
  <si>
    <t>DEC. 4 DEL 27 DE ENERO DE 1986.</t>
  </si>
  <si>
    <t>ESC. EMPERATRIZ TABOADA</t>
  </si>
  <si>
    <t>ESC. CIUDAD JARDIN LAS MAÑANITAS</t>
  </si>
  <si>
    <t>DEC. 345 DE 18 DE NOVIEMBRE DE 1986.</t>
  </si>
  <si>
    <t>ESC. BILINGÜE REINO DE LOS PAISES BAJOS HOLANDA</t>
  </si>
  <si>
    <t>ESC. BILINGÜE KUNA NEGA</t>
  </si>
  <si>
    <t>DEC. 299 DE 19 DE OCTUBRE DE 1995.</t>
  </si>
  <si>
    <t>ESC. MANUEL AMADOR G.</t>
  </si>
  <si>
    <t>ESC. LA SIESTA (EMPERATRIZ TABOADA)</t>
  </si>
  <si>
    <t>DEC. 17 DE 31 DE ENERO DE 2012</t>
  </si>
  <si>
    <t>DEC. 85 DE 11 DE MARZO DE 1965.</t>
  </si>
  <si>
    <t>CENTRO EDUCATIVO HOMERO AYALA</t>
  </si>
  <si>
    <t>DEC. 473 DE 4 DE AGOSTO DE 1956. DEC. 1064 DEL 14 DE AGOSTO 2016 QUE CREA LA SECUNDARIA COMPLETA. DEC. 739 DEL 19 DE NOV. DE 2018 QUE DEROGA EN TODAS SUS PARTES EL DEC. EJECUTIVO NO. 1074 DEL 16 DE DIC. DE 2016 Y SE EMPLEMENTA EL SEGUNDO NIVEL DE ENSEÑANZA O EDUCACION MEDIA.</t>
  </si>
  <si>
    <t>CENTRO EN BUSCA DE UN MAÑANA</t>
  </si>
  <si>
    <t xml:space="preserve">INSTITUTO BILINGÜE  NUESTRA SRA. DE LA MERCED </t>
  </si>
  <si>
    <t>DEC. 530 DEL JUEVES 30 DE AGOSTO 2018 QUE CAMBIA LA DENOMINACION A CENTRO BILINGÜE DE FORMACION INTEGRAL.</t>
  </si>
  <si>
    <t>CENTRO DE FORMACIÓN INTEGRAL BILINGÜE CHINA - TAIWAN</t>
  </si>
  <si>
    <t>DEC. 22 DEL 28 DE FEBRERO DE 2019 QUE AUTORIZA EL CAMBIO DE NOMBRE A C.E.REPUBLICA DE CHINA (TAIWAN)</t>
  </si>
  <si>
    <t>TURISMO, MARÍTIMA,CONTABILIDAD, COMERCIO</t>
  </si>
  <si>
    <t>CENTRO EDUCATIVO ARTES DIVERSIFICADA</t>
  </si>
  <si>
    <t>CENTRO DE FORMACION INTEGRAL BILINGÜE PADRE FERNANDO GUARDIA JAEN P.J.</t>
  </si>
  <si>
    <t>DEC.4 DEL 10 DE ENERO DEL 2018</t>
  </si>
  <si>
    <t>CENTRO EDUCATIVO DR. JUAN ARTURO MARTINELLI SOSA</t>
  </si>
  <si>
    <t>ESC. ALTOS DE PACORA</t>
  </si>
  <si>
    <t>ESC. JUAN GIL</t>
  </si>
  <si>
    <t>DEC. 268 DE 30 DE JUNIO DE 1954.</t>
  </si>
  <si>
    <t>ESC. SECUNDARIA NOCTURNA OFICIAL DE PANAMA</t>
  </si>
  <si>
    <t>I.P.T. NOCTURNO DE PANAMA</t>
  </si>
  <si>
    <t>CENTRO EDUCACIÓN LABORAL (PUEBLO NUEVO)</t>
  </si>
  <si>
    <t>CENTRO DE RESOC. EL RENACER (EXT/CP)</t>
  </si>
  <si>
    <t>CIENCIAS Y LETRAS</t>
  </si>
  <si>
    <t>INSTITUTO COMERCIAL NOCTURNO DE FELIPILLO</t>
  </si>
  <si>
    <t>CENTRO EDUCATIVO FE Y ESPERANZA (LA JOYA, LA JOYITA Y LA GRAN JOYA)</t>
  </si>
  <si>
    <t>EDJA - MINSEG(PN)-INSTITUTO EDUCATIVA INTEGRAL</t>
  </si>
  <si>
    <t>TELE-EDUCACIÓN VIRGEN DE GUADALUPE</t>
  </si>
  <si>
    <t>TELE-EDUCACIÓN CIUDAD J. LAS MAÑANITAS</t>
  </si>
  <si>
    <t>CENTRO EDUCATIVO LABORAL MADRE CARIDAD BRADER</t>
  </si>
  <si>
    <t>CENTRO DE CUMPLIMIENTO DE MENORES DE PACORA</t>
  </si>
  <si>
    <t>CENTRO DE CUSTODIA ARCORIS</t>
  </si>
  <si>
    <t>PENITENCIARIO ROSA V. PELETTIER (ES UNA EXT DEL IPT NOCTURNO)</t>
  </si>
  <si>
    <t>EDJA -MUPA-LOTERIA-MINGOB</t>
  </si>
  <si>
    <t>ESC. NOCTURNA LA SIESTA</t>
  </si>
  <si>
    <t>CENTRO DE CUMPLIMIENTO Y CUSTODIA FEMENINA</t>
  </si>
  <si>
    <t>ESC. DR RICARDO J. ALFARO</t>
  </si>
  <si>
    <t>EDJA MANUEL JOSE HURTADO (ANTES SAN FELIPE CASCO ANTIGUO)</t>
  </si>
  <si>
    <t>EDJA-ATT-MOP</t>
  </si>
  <si>
    <t>TECNO-EDUCAME</t>
  </si>
  <si>
    <t>INSTITUTO NACIONAL DE MÚSICA</t>
  </si>
  <si>
    <t>ISBA/  ESCUELA DE TEATRO</t>
  </si>
  <si>
    <t>ISBA/ ESCUELA DE DANZAS</t>
  </si>
  <si>
    <t>ISBA/  ESCUELA DE ARTES PLÁSTICAS</t>
  </si>
  <si>
    <t>ESC.  JUVENIL DE MÚSICA</t>
  </si>
  <si>
    <t>ACADEMIA BILINGÜE PANAMA PARA EL FUTURO</t>
  </si>
  <si>
    <t>DEC. 125 DEL 10 DE FEBRERO 2020</t>
  </si>
  <si>
    <t>ESC. DE ENSEÑANZA ESPECIAL</t>
  </si>
  <si>
    <t>ESC. VOCACIONAL ESPECIAL</t>
  </si>
  <si>
    <t>ESC. NACIONAL DE SORDOS</t>
  </si>
  <si>
    <t>ESC. DE CIEGOS HELLEN KELLER</t>
  </si>
  <si>
    <t>ESC. DE AUTISMO</t>
  </si>
  <si>
    <t>ESC. DE ESTIMULACIÓN PRECOZ</t>
  </si>
  <si>
    <t>ESC. DE PARÁLISIS CEREBRAL</t>
  </si>
  <si>
    <t>IPHE DE TOCUMEN</t>
  </si>
  <si>
    <t>CENTRO EDUCATIVO ANGEL FACE</t>
  </si>
  <si>
    <t>JARDÍN TU GUÍA</t>
  </si>
  <si>
    <t>JARDÍN DE INFANCIA IRASEMA</t>
  </si>
  <si>
    <t>ESC. PARTICULAR GABRIEL ANDRES</t>
  </si>
  <si>
    <t>RES. 5104 DEL 20 DE OCTUBRE DE 2021 QUE AUTORIZA EL FUNCIONAMIENTO DE LA ESCUELA PARTICULAR GABRIEL ANDRÉS</t>
  </si>
  <si>
    <t>CENTRO PREESCOLAR CANDY HOUSE</t>
  </si>
  <si>
    <t>C.E.B.G. BILINGÜE MONTE DE LOS OLIVOS</t>
  </si>
  <si>
    <t>JARDÍN DE INFANCIA EL PRINCIPITO</t>
  </si>
  <si>
    <t>JARDÍN DE PÁRVULOS (SINAÍ)</t>
  </si>
  <si>
    <t>JARDÍN DE INFANCIA YESI</t>
  </si>
  <si>
    <t>COLEGIO BRIGHT YOUNG MINDS ACADEMY</t>
  </si>
  <si>
    <t>CAMINITO DE SALVACIÓN</t>
  </si>
  <si>
    <t>CENTRO EDUCATIVO EL JARDÍN DE LUNA</t>
  </si>
  <si>
    <t>CENTRO DE APRENDIZAJE CREATIVO EL JARDÍN DE LA CUADRA (COSTA DEL ESTE)</t>
  </si>
  <si>
    <t>CENTRO DE APRENDIZAJE CREATIVO EL JARDÍN DE LA CUADRA (PARQUE LEFEVRE)</t>
  </si>
  <si>
    <t>CENTRO DE ESTIMULACIÓN TEMPRANA APRENDEMOS</t>
  </si>
  <si>
    <t>CENTRO DE ORIENTACIÓN INFANTIL LUISA</t>
  </si>
  <si>
    <t>CENTRO DE ORIENTACIÓN INFANTIL TEACHER CRISTINA</t>
  </si>
  <si>
    <t>CENTRO DE ORIENTACIÓN INFANTIL Y FAMILIAR PICASSITOS</t>
  </si>
  <si>
    <t>CENTRO INFANTIL MIS OSITOS</t>
  </si>
  <si>
    <t>CENTRO PREESCOLAR VIRGEN MILAGROSA</t>
  </si>
  <si>
    <t>COLEGIO BILINGÜE LA FE DE JESUS</t>
  </si>
  <si>
    <t>COLEGIO LUZ Y ALEGRÍA</t>
  </si>
  <si>
    <t>ESC.  ALTOS DE PACORA</t>
  </si>
  <si>
    <t>ESC. CARRUCEL</t>
  </si>
  <si>
    <t>JARDÍN DE INFANCIA MILAGROS</t>
  </si>
  <si>
    <t>JARDÍN DE LA INFANCIA BILINGÜE LAS ABEJITAS</t>
  </si>
  <si>
    <t>RAYITOS DE SOL</t>
  </si>
  <si>
    <t>PCA INTERNATIONAL (PCA CLAYTON ACADEMY)</t>
  </si>
  <si>
    <t>CENTRO EDUCATIVO CORINTO</t>
  </si>
  <si>
    <t>RES. 3185 DEL 24 DEL 24 DE JUNIO DE 2019 POR EL CUAL AUTORIZA EL FUNCIONAMIENTO.</t>
  </si>
  <si>
    <t>ESC. CRISTIANA AMIGUITOS DE JESUS</t>
  </si>
  <si>
    <t>CENTRO PREESCOLAR HAPPY KIDS  1</t>
  </si>
  <si>
    <t>CENTRO EDUCATIVO MARGEL</t>
  </si>
  <si>
    <t>CENTRO EDUCATIVO GIRASOLES DE MARIA</t>
  </si>
  <si>
    <t xml:space="preserve">CENTRO PREESCOLAR MI CASITA DE COLORES  </t>
  </si>
  <si>
    <t>CENTRO EDUCATIVO THE HILLS SCHOOL (FUNDACIÓN AYUDANDO A VIVIR)</t>
  </si>
  <si>
    <t>RES. 1058 DEL 12 DE MAYO DE 2022 QUE AUTORIZA FUNCIONAMIENTO</t>
  </si>
  <si>
    <t>RES. 2935 AL 08 DE NOVIEMBRE DE 2022 POR EL CUAL CONCEDE AMPLIACION DE LA OFERTA ACADEMICA PARA IMPARTIR EDUCACION EN EL SUBSISTEMA NO REGULAR O JOVENES Y ADULTOS (PREMEDIA)</t>
  </si>
  <si>
    <t>COLEGIO THOMASA RIDDELL PRE-SCHOOL</t>
  </si>
  <si>
    <t>ESC. KIMDERLAN COORPORATION</t>
  </si>
  <si>
    <t>ALFALIT RAYITO DE VERDAD</t>
  </si>
  <si>
    <t>ALFALIT PEREGRINITOS</t>
  </si>
  <si>
    <t>C.E. PREESCOLAR OASIS</t>
  </si>
  <si>
    <t>ALFALIT MI PALACIO</t>
  </si>
  <si>
    <t>C.E. PREESCOLAR MI CASITA DE COLORES</t>
  </si>
  <si>
    <t>ALFALIT MI ALEGRIA</t>
  </si>
  <si>
    <t>C.E. PREESCOLAR MANITOS DE ANGEL</t>
  </si>
  <si>
    <t>C.E. PREESCOLAR LA LUZ DE JESUS</t>
  </si>
  <si>
    <t>ALFALIT ESTRELLITA DEL CIELO EMANUEL</t>
  </si>
  <si>
    <t xml:space="preserve">ACADEMIA CRISTIANA ELDAD </t>
  </si>
  <si>
    <t>C.E PREESCOLAR DESPERTANDO EL SABER</t>
  </si>
  <si>
    <t>C.E. PREESCOLAR SHALOM EL BUEN PASTOR</t>
  </si>
  <si>
    <t>C.E. PREESCOLAR EBEN EZER</t>
  </si>
  <si>
    <t>ALFALIT CASITA DEL SABER</t>
  </si>
  <si>
    <t>C.E. PREESCOLAR MORIACH</t>
  </si>
  <si>
    <t>C.E. PREESCOLAR BELEN DE JUDA</t>
  </si>
  <si>
    <t>C.E. PREESCOLAR APRENDO CON JESUS</t>
  </si>
  <si>
    <t>C.E. PREESCOLAR  AMOR Y LUZ</t>
  </si>
  <si>
    <t>C.E. PREESCOLAR  ACTION LOVE</t>
  </si>
  <si>
    <t>CENTRO MI PALACIO</t>
  </si>
  <si>
    <t>C.E.PREESCOLAR CASA DE BENDICION KIDS</t>
  </si>
  <si>
    <t>CENTRO PARVULARIO ARMANDO SALAZAR</t>
  </si>
  <si>
    <t>ESC. PASITO A PASITO  CENTRO INFANTIL</t>
  </si>
  <si>
    <t>CAIPI ASTRID'S PREESCOLAR EARLY CHILDHOOD EDUCATION CENTER</t>
  </si>
  <si>
    <t>CAIPI CITY KIDS LEARNING AND CARE CENTER</t>
  </si>
  <si>
    <t>PEEKABOO PRESCHOOL</t>
  </si>
  <si>
    <t xml:space="preserve">CAIPI CLEVERST EARLY EDUCATION AT COCO DEL MAR  </t>
  </si>
  <si>
    <t xml:space="preserve">COSTA KIDS </t>
  </si>
  <si>
    <t>CAIPI BABY HOUSE</t>
  </si>
  <si>
    <t>ALFALIT CENTRO EDUCATIVO LUZ DE VIDA</t>
  </si>
  <si>
    <t>C.E. PARTICULAR MANITOS A LA OBRA CON JESUS (T)</t>
  </si>
  <si>
    <t>PEPE IGLESIA BAUTISTA SHALOM EN CABRA</t>
  </si>
  <si>
    <t>C.E.  PREESCOLAR BERACA</t>
  </si>
  <si>
    <t>ESC. FRANCO PANAMEÑA LOUIS PASTEUR</t>
  </si>
  <si>
    <t>INSTITUTO BILINGÜE ELIEL</t>
  </si>
  <si>
    <t>COLEGIO SANTO DOMINGO SAVIO</t>
  </si>
  <si>
    <t>CENTRO EDUCATIVO MARIE POUSSEPIN</t>
  </si>
  <si>
    <t>CIENCIAS,TURISMO</t>
  </si>
  <si>
    <t>ACADEMIA INTERAMERICANA DE PANAMA</t>
  </si>
  <si>
    <t>INSTITUTO COMERCIAL OVIDIO DE LEON</t>
  </si>
  <si>
    <t>ESC. CLARA OPHELIA WATTLEY</t>
  </si>
  <si>
    <t>ESC. BILINGÜE ARCO IRIS</t>
  </si>
  <si>
    <t>COLEGIO MOISÉS BILINGÜE COLLEGE</t>
  </si>
  <si>
    <t>CIENCIAS, HUMANIDADES,COMERCIO</t>
  </si>
  <si>
    <t>ESC. PARTICULAR OSIRIS</t>
  </si>
  <si>
    <t>COLEGIO PARROQUIAL SAN JUDAS TADEO</t>
  </si>
  <si>
    <t>CENTRO EDUCATIVO BELEN</t>
  </si>
  <si>
    <t>ESC. PREPARATORIA BILINGÜE SAN FRANCISCO</t>
  </si>
  <si>
    <t>COLEGIO NUESTRA SEÑORA DEL CARMEN</t>
  </si>
  <si>
    <t>COLEGIO  ADVENTISTA DE CIUDAD RADIAL</t>
  </si>
  <si>
    <t>RES. 2934-AL 08 DE NOV. DE 2022 POR EL CUAL RECONOCE EL CAMBIO DE NOMBRE DEL C.E. PARTICULAR DENOMINADO ESC. ADVENTISTA DE CIUDAD RADIAL A COLEGIO ADVENTISTA DE CIUDAD RADIAL.</t>
  </si>
  <si>
    <t>CENTRO EDUCATIVO TSUNESABURO MAKIGUCHI</t>
  </si>
  <si>
    <t>JARDÍN DE INFANCIA VIRGEN MARÍA</t>
  </si>
  <si>
    <t>COLEGIO CLARET</t>
  </si>
  <si>
    <t>ESC. CRISTIANA ABRAHAM</t>
  </si>
  <si>
    <t>ESC. JONATHAN BILINGÜE SCHOOL</t>
  </si>
  <si>
    <t>ACADEMIA JIREH</t>
  </si>
  <si>
    <t xml:space="preserve">RES. 1646 DEL 15 DE JUNIO DE 2009 POR EL CUAL AUTORIZA EL FUNCIONAMIENTO </t>
  </si>
  <si>
    <t xml:space="preserve">RES. 2818 AL 24 DE OCT. DE 2022 POR EL CUAL RECONOCE EL CAMBIO DE NOMBRE DEL COLEGIO EL BUEN PASTOR JIREH A ACADEMIA JIREH A FIN DE QUE IMPARTA SEGUNDO NIVEL DE ENSEÑANZA O EDUCACION MEDIA </t>
  </si>
  <si>
    <t>ESC. LA NUEVA JERUSALEN</t>
  </si>
  <si>
    <t>CENTRO CULTURAL CHINO PANAMEÑO SUN-YAT-SEN</t>
  </si>
  <si>
    <t>COLEGIO LAS ESCLAVAS DEL SAGRADO CORAZON DE JESÚS</t>
  </si>
  <si>
    <t>COLEGIO SAN VICENTE DE PAUL</t>
  </si>
  <si>
    <t>INSTITUTO ATENEA</t>
  </si>
  <si>
    <t>COLEGIO ISAAC RABIN</t>
  </si>
  <si>
    <t>COLEGIO REAL DE PANAMA</t>
  </si>
  <si>
    <t>ESC. PANAMA CHRISTIAN ACADEMY</t>
  </si>
  <si>
    <t>ESC. INMACULADA CONCEPCION DE MARIA</t>
  </si>
  <si>
    <t>CENTRO EDUCATIVO BILINGÜE TOCUMEN</t>
  </si>
  <si>
    <t>RES. 3460 DEL 7 DE JULIO DE 2021 SE CONCEDE AMPLIACION DE LA OFERTA ACADEMICA (BACHILLER CIENCIAS Y COMERCIO)</t>
  </si>
  <si>
    <t>RES. 1007 DEL 7 DE JULIO DE 2006 AUTORIZA FUNCIONAMIENTO</t>
  </si>
  <si>
    <t>CENTRO EDUCATIVO FUENTE DE AGUA VIVA</t>
  </si>
  <si>
    <t>ESC. BILINGÜE LA ACADEMIA</t>
  </si>
  <si>
    <t>INSTITUTO NUEVO AMANECER</t>
  </si>
  <si>
    <t>ESC. BILINGÜE TOMAS A. EDISON</t>
  </si>
  <si>
    <t>COLEGIO JAVIER</t>
  </si>
  <si>
    <t>ESC. PANAMA (PANAMA SCHOOL)</t>
  </si>
  <si>
    <t>ESC. LATINOAMERICANA</t>
  </si>
  <si>
    <t>CIENCIAS,LETRAS, COMERCIO</t>
  </si>
  <si>
    <t>INSTITUTO BILINGÜE SANTA MARIA LA ANTIGUA</t>
  </si>
  <si>
    <t>ACADEMIA CRISTIANA DOULOS</t>
  </si>
  <si>
    <t>COLEGIO  INTERNACIONAL DE MARIA  INMACULADA</t>
  </si>
  <si>
    <t>OXFORD INTERNATIONAL SCHOOL</t>
  </si>
  <si>
    <t>CENTRO EDUCATIVO COMUNITARIO SAN ANTONIO</t>
  </si>
  <si>
    <t>ASOCIACIÓN ACADEMIA HEBREA DE PANAMA</t>
  </si>
  <si>
    <t>CENTRO EDUCATIVO INTEGRAL MONTESSORI</t>
  </si>
  <si>
    <t>RES. 3114 DEL 15 DE JUNIO DE 2021 POR EL CUAL AUTORIZA EL FUNCIONAMIENTO.</t>
  </si>
  <si>
    <t>CIENCIAS,HUMANIDADES</t>
  </si>
  <si>
    <t>COLEGIO CRISTIANO BUEN PASTOR DE BETHANIA</t>
  </si>
  <si>
    <t>COLEGIO THE OXFORD SCHOOL</t>
  </si>
  <si>
    <t>COLEGIO EPISCOPAL DE PANAMA</t>
  </si>
  <si>
    <t>CIENCIAS,LETRAS</t>
  </si>
  <si>
    <t>COLEGIO LA SALLE</t>
  </si>
  <si>
    <t>ESC. JAPONESA DE PANAMA</t>
  </si>
  <si>
    <t>ESC. THE LINCOLN ACADEMY</t>
  </si>
  <si>
    <t>ACADEMIA HOSANNA</t>
  </si>
  <si>
    <t>INSTITUTO DE CIENCIAS APLICADAS</t>
  </si>
  <si>
    <t>CIENCIAS,  COMERCIO</t>
  </si>
  <si>
    <t>INSTITUTO MARITIMO JUAN SEBASTIAN ELCANO</t>
  </si>
  <si>
    <t>CIENCIAS ,MARITIMO</t>
  </si>
  <si>
    <t>COLEGIO REGIOMONTANO</t>
  </si>
  <si>
    <t>RES. 971-AL DEL 28 DE ABRIL DE 2022 POR EL CUAL AUTORIZA EL FUNCIONAMIENTO DEL CENTRO PARTICULAR AL COLEGIO REGIOMONTANO.</t>
  </si>
  <si>
    <t>COMERCIO,CONTABILIDAD</t>
  </si>
  <si>
    <t>ESC. AMERICANA</t>
  </si>
  <si>
    <t>CIENCIAS,HUMANIDADES,COMERCIO,TURISMO</t>
  </si>
  <si>
    <t>ESC. KING´S SCHOOL</t>
  </si>
  <si>
    <t>ESC. TECNICA DE CONTABILIDAD Y DE COMERCIO GASTON FARAUDO</t>
  </si>
  <si>
    <t>COLEGIO BILINGÜE VISTA HERMOSA</t>
  </si>
  <si>
    <t>CIENCIAS,LETRAS,COMERCIO,CONTABILIDAD</t>
  </si>
  <si>
    <t>COLEGIO SANTA MARTA</t>
  </si>
  <si>
    <t>ESC. EL BUEN PASTOR DE CATEDRAL DE VIDA</t>
  </si>
  <si>
    <t>INSTITUTO ADVENTISTA METROPOLITANO</t>
  </si>
  <si>
    <t>INSTITUTO ALBERTO EINSTEIN</t>
  </si>
  <si>
    <t>CIENCIAS,COMERCIO CON INFORMATICA</t>
  </si>
  <si>
    <t>INSTITUTO ITALIANO ENRICO FERMI</t>
  </si>
  <si>
    <t xml:space="preserve">RES. 127 DE 18 DE FEBRERO DE 1976 AUTORIZA FUNCIOMANIENTO </t>
  </si>
  <si>
    <t>RES. 119 DEL 29 DE ENERO DE 2020 AMPLIACION DE LA OFERTA O NIVEL DE ENSEÑANZA (BACHILLER HUMANIDADES)</t>
  </si>
  <si>
    <t>ESC. MONTESORI DE PANAMA</t>
  </si>
  <si>
    <t>PRIMARIA-PREMEDIA-MEDIA ACADÉMICA-MEDIA PROFESIONAL Y TÉCNICA</t>
  </si>
  <si>
    <t>CIENCIAS, COMERCIO, TECNOLOGIA INFORMATICA</t>
  </si>
  <si>
    <t>INSTITUTO TECNOLOGICO BARU</t>
  </si>
  <si>
    <t>COLEGIO  EUROPEO PANAMA</t>
  </si>
  <si>
    <t>RES. 3120 AL 22 DE NOV. DE 2022 POR EL CUAL CONCEDE LA AMPLIACION DE LA OFERTA EDUCATIVA PARA IMPARTIR EL SEGUNDO NIVEL DE ENSEÑANZA O EDUCACION MEDIA (BACHILLER EN CIENCIAS)</t>
  </si>
  <si>
    <t>COLEGIO  LOGOS</t>
  </si>
  <si>
    <t>INSTITUTO EPISCOPAL SAN CRISTOBAL</t>
  </si>
  <si>
    <t>ACADEMIA BILINGÜE SIMON RODRIGUEZ</t>
  </si>
  <si>
    <t>INSTITUTO WILLIAN H. KILPATRICK</t>
  </si>
  <si>
    <t>ESC. LAS MAÑANITAS EL BUEN PASTOR</t>
  </si>
  <si>
    <t>CENTRO EDUCACION BASICO GENERAL  LA LUZ</t>
  </si>
  <si>
    <t>INSTITUTO BERN</t>
  </si>
  <si>
    <t>CENTRO EDUCATIVO BILINGÜE RICAURTE SOLER</t>
  </si>
  <si>
    <t>CENTRO EDUCATIVO QUIRIAT-SALEM</t>
  </si>
  <si>
    <t>RES. 3823 DEL 29 DE JULIO DE 2021 QUE AUTORIZA EL FUNCIONAMIENTO DEL C.E.</t>
  </si>
  <si>
    <t>CENTRO EDUCATIVO BILINGÜE UN PASO HACIA EL FUTURO</t>
  </si>
  <si>
    <t xml:space="preserve">RES. 8213 DEL 05 DE DICIEMBRE DE 2011 QUE AUTORIZA FUNCIONAMIENTO </t>
  </si>
  <si>
    <t>RES. 1463 DEL 20 DE JUNIO DE 2022 AUTORIZA AMPLIACION DE LA OFERTA ACADEMICA (BACHILLERATOS EN CIENCIAS, TECNOLOGIA EDUCATIVA, COMERCIO Y TURISMO)</t>
  </si>
  <si>
    <t>CIENCIAS, COMERCIO, TURISMO, TECNOLOGIA EDUCATIVA</t>
  </si>
  <si>
    <t>COLEGIO BRADER</t>
  </si>
  <si>
    <t>ESC. ADVENTISTA BILINGÜE DE NUEVA ESPERANZA</t>
  </si>
  <si>
    <t>RES. 1639 AL 07 DE JULIO DE 2022 POR EL CUAL AUTORIZA FUNCIONAMIENTO.</t>
  </si>
  <si>
    <t>ESC. COMUNITARIA 24 DE DICIEMBRE</t>
  </si>
  <si>
    <t>CENTRO DE DESARROLLO INTEGRAL LOS DELFINES</t>
  </si>
  <si>
    <t>CENTRO EDUCATIVO EASY TO LEARN</t>
  </si>
  <si>
    <t>COLEGIO BILINGÜE LA BIBLIA ABIERTA</t>
  </si>
  <si>
    <t>RES. 384 DEL 25 DE ENERO DE 2021 QUE AUTORIZA EL FUNCIONAMIENTO DEL C.E.</t>
  </si>
  <si>
    <t>CENTRO EDUCATIVO EL BUEN PASTOR VOZ DE ALERTA</t>
  </si>
  <si>
    <t>RES. 1647 DE 15 DE JUNIO DE 2009 QUE AUTORIZA FUNCIONAMIENTO</t>
  </si>
  <si>
    <t>RES. 3745 AL 30 DE DICIEMBRE DE 2022 POR EL CUAL CAMBIA LA DENOMINACION DE C.E.B. EL BUEN PASTOR VOZ DE ALERTA A C.E. BUEN PASTOR VOZ DE ALERTA PARA EL SEGUNDO NIVEL  DE ENSEÑANZA O EDUCACION MEDIA BECHILLER EN CIENCIAS, COMERCIO, TURISMO HUMANIDADES CONTABILIDAD Y TECNOLOGIA EN INFORMATICA</t>
  </si>
  <si>
    <t>CIENCIAS, COMERCIO, TURISMO, HUMANIDADES, CONTABILIDAD, TECNOLOGÍA EN INFORMATICA</t>
  </si>
  <si>
    <t xml:space="preserve">ACADEMIA CRISTIANA BILINGÜE BET-EL </t>
  </si>
  <si>
    <t>CIENCIAS, COMERCIO, TURISMO</t>
  </si>
  <si>
    <t>CENTRO EDUCATIVO EBEN-EZER</t>
  </si>
  <si>
    <t>CENTRO EDUCATIVO GOTITAS DEL SABER</t>
  </si>
  <si>
    <t>CENTRO EDUCATIVO JUAN PABLO II</t>
  </si>
  <si>
    <t>CENTRO EDUCATIVO NUEVO TOCUMEN</t>
  </si>
  <si>
    <t xml:space="preserve">RES. 1473 DEL 18 DE MARZO DE 2021 QUE AUTORIZA EL FUNCIONAMIENTO </t>
  </si>
  <si>
    <t>CENTRO EDUCATIVO MC-LEAN CHRISTIAN SCHOOL</t>
  </si>
  <si>
    <t>RES. 3237 AL 06 DE DICIEMBRE DE 2022 QUE AUTORIZA FUNCIONAMIENTO</t>
  </si>
  <si>
    <t>CENTRO EDUCATIVO BAUTISTA DE BALBOA</t>
  </si>
  <si>
    <t>ACADEMIA DE BELLAS ARTES GANEXA</t>
  </si>
  <si>
    <t>ARTES DIVERSIFICADAS</t>
  </si>
  <si>
    <t>COLEGIO  BILINGÜE LAS NACIONES</t>
  </si>
  <si>
    <t>COLEGIO CANADIAN INTERNATIONAL SCHOOL</t>
  </si>
  <si>
    <t>CENTRO  EDUCATIVO MITZVA TOTS</t>
  </si>
  <si>
    <t>RES. 124 DEL 29 DE ENERO DE 2020 QUE AUTORIZA FUNCIONAMIENTO</t>
  </si>
  <si>
    <t>Comercio</t>
  </si>
  <si>
    <t>INSTITUTO PSICOPEDAGOGICO LA DIVINA MISERICORDIA</t>
  </si>
  <si>
    <t>CIENCIAS,PEGAGOGICO, HUMANIDADES</t>
  </si>
  <si>
    <t>CENTRO DE APRENDIZAJE CREATIVO LA COLINA DE COLORES (ANTES GALILEO GALILEI)</t>
  </si>
  <si>
    <t>ACADEMIA BILINGÜE JUNTOS PODEMOS</t>
  </si>
  <si>
    <t>COLEGIO BILINGÜE SAN GABRIEL</t>
  </si>
  <si>
    <t>COLONIAS ADVENTIST SCHOOL</t>
  </si>
  <si>
    <t>CENTRO EDUCATIVO  BILINGÜE LA CASA DE LOS NIÑOS</t>
  </si>
  <si>
    <t>CENTRO EDUCATIVO BILINGÜE CASTILLO DE LUZ</t>
  </si>
  <si>
    <t>CENTRO EDUCATIVO BILINGÜE SHADDAI</t>
  </si>
  <si>
    <t>CENTRO EDUCATIVO COPO DE NIEVE</t>
  </si>
  <si>
    <t>C.E.B.G. EL BUEN PASTOR OASIS DE PAZ</t>
  </si>
  <si>
    <t>INSTITUTO FERRINI BILINGÜE PANAMA</t>
  </si>
  <si>
    <t>ESC. NEW ARKANSAS TECHNOLOGY SCHOOL</t>
  </si>
  <si>
    <t>CENTRO EDUCATIVO BASICO GENERAL GEORGE</t>
  </si>
  <si>
    <t>CENTRO GASTON MALARET</t>
  </si>
  <si>
    <t>CENTRO EDUCATIVO PAMELA BETESH</t>
  </si>
  <si>
    <t>CENTRO EDUCATIVO REJOICE</t>
  </si>
  <si>
    <t>COLEGIO DE PANAMA</t>
  </si>
  <si>
    <t>INSTITUTO TECNICO DON BOSCO</t>
  </si>
  <si>
    <t>CIENCIAS , BACHILLER INDUSTRIAL</t>
  </si>
  <si>
    <t>CENTRO EDUCATIVO BRIGHT KIDS</t>
  </si>
  <si>
    <t>RES. 1766 DEL 8 DE ABRIL DE 2021 QUE AUTORIZA EL FUNCIONAMIENTO DEL C.E.</t>
  </si>
  <si>
    <t>INSTITUTO  ACADEMICO PANAMA (INSTACAP)</t>
  </si>
  <si>
    <t>CIENCIAS COMERCIO Y TURISMO</t>
  </si>
  <si>
    <t>ESC. ADVENTISTA DE PEDREGAL</t>
  </si>
  <si>
    <t>RES.3685 DEL 22 DE JULIO DE 2021 SE AUTORIZA EL C.E.</t>
  </si>
  <si>
    <t>CENTRO EDUCATIVO EL TREBOL DEL SABER</t>
  </si>
  <si>
    <t>RES. 1161 DEL 24 DE MAYO DE 2022 POR EL CUAL AUTORIZA FUNCIONAMIENTO DEL C.E.</t>
  </si>
  <si>
    <t>ESC. BUEN PASTOR CIUDAD DE LA VERDAD</t>
  </si>
  <si>
    <t>CENTRO EDUCATIVO BET-EL PACORA</t>
  </si>
  <si>
    <t>RES. N°2463 AL 19  DE SEP. 2022 QUE AUTORIZA FUNCIONAMIENTO.</t>
  </si>
  <si>
    <t>CENTRO EDUCATIVO BILINGÜE CALEB</t>
  </si>
  <si>
    <t>COLEGIO DIVINO NIÑO</t>
  </si>
  <si>
    <t>RES. 3119-AL 22 DE NOV. DE 2022 QUE AUTORIZAFUNCIONAMIENTO</t>
  </si>
  <si>
    <t>COLEGIO SAINT JOHN ACADEMY</t>
  </si>
  <si>
    <t>ACADEMIA BILINGÜE DANJEN</t>
  </si>
  <si>
    <t>CENTRO EDUCATIVO SAN JUAN LEONARDI</t>
  </si>
  <si>
    <t>ESC. PIERRE FAURE SCHOOL</t>
  </si>
  <si>
    <t>CIENCIAS , HUMANIDADES</t>
  </si>
  <si>
    <t>COLEGIO BILINGÜE SANTISIMA TRINIDAD</t>
  </si>
  <si>
    <t>RES. 1637 AL 07 DE JULIO DE 2022 QUE AUTORIZA FUNCIONAMIENTO.</t>
  </si>
  <si>
    <t>CENTRO EDUCATIVO EL BUEN PASTOR GETSEMANI</t>
  </si>
  <si>
    <t>RES. 3599 DEL 13 DE JULIO 2021 QUE AUTORIZA EL FUNCIONAMIENTO DEL C.E.</t>
  </si>
  <si>
    <t>CENTRO EDUCATIVO PALABRA VIVA</t>
  </si>
  <si>
    <t>RES. 1474 DEL 18 DE MARZO DE 2021 QUE AUTORIZA EL FUNCIONAMIENTO DEL C.E.</t>
  </si>
  <si>
    <t>ACADEMIA BILINGÜE SANTA FE</t>
  </si>
  <si>
    <t>COLEGIO BILINGÜE DE LAS AMERICAS</t>
  </si>
  <si>
    <t>COLEGIO CRISTIANO JAYIL</t>
  </si>
  <si>
    <t>CENTRO EDUCATIVO CAMINO A JERUSALEM</t>
  </si>
  <si>
    <t>RES. 383 DEL 25 DE ENERO DE 2021 QUE AUTORIZA EL FUNCIONAMIENTO DEL C.E.</t>
  </si>
  <si>
    <t>CENTRO EDUCATIVO CASTILLO DE ORO</t>
  </si>
  <si>
    <t>CENTRO EDUCATIVO DANIEL</t>
  </si>
  <si>
    <t>RES. 2806 DEL 26 DE MAYO DE 2021 QUE AUTORIZA EL FUNCIONAMIENTO</t>
  </si>
  <si>
    <t>CENTRO EDUCATIVO JHOSEMMEL</t>
  </si>
  <si>
    <t>RES. 1323 DEL 31 DE MAYO DE 2022 QUE AUTORIZA EL FUNCIONAMIENTO DEL CENTRO EDUCATIVO.</t>
  </si>
  <si>
    <t>CIENCIAS,CONTABILIDAD, TURISMO</t>
  </si>
  <si>
    <t>CENTRO EDUCATIVO MARIA AUXILIADORA DE BELEN</t>
  </si>
  <si>
    <t>CENTRO EDUCATIVO PUNTA DEL ESTE</t>
  </si>
  <si>
    <t>RES.8344 DEL 09 DE DICIEMBRE DE 2011 QUE AUTORIZA FUNCIONAMIENTO DEL C.E.</t>
  </si>
  <si>
    <t>RES. 274 AL-08 DE FEB. DE 2023 POR EL CUAL CONCEDE AMPLIACION DE LA OFERTA ACADEMICA PARA EL SEGUNDO NIVEL DE ENSEÑANZA O EDUCACION MEDIA (BACHILLER EN CIENCIAS).</t>
  </si>
  <si>
    <t>CENTRO PREESCOLAR HAPPY SCHOOL FOR KIDS</t>
  </si>
  <si>
    <t>COLEGIO THOMAS JEFFERSON SCHOOL</t>
  </si>
  <si>
    <t>COLEGIO INTERNACIONAL YORK</t>
  </si>
  <si>
    <t>COLEGIO TALMUD TORA HAR-SINAI</t>
  </si>
  <si>
    <t>RES. 4926 DEL 7 DE OCT. DE 2021 QUE AUTORIZA FUNCIONAMIENTO</t>
  </si>
  <si>
    <t>COLEGIO YESHIVA HAR-SINAI</t>
  </si>
  <si>
    <t>COLEGIO BILINGÜE LOS ANGELES</t>
  </si>
  <si>
    <t>CENTRO EDUCATIVO SANTA ISABEL</t>
  </si>
  <si>
    <t>C.E.B.G. JOSE RAMON CRESPO</t>
  </si>
  <si>
    <t>ESC. JEANS CARLOS JIMENEZ</t>
  </si>
  <si>
    <t>CENTRO EDUCATIVO CASA DEL PAN</t>
  </si>
  <si>
    <t>C.E.B.G. EL MUNDO DEL SABER / THE WORLD OF KNOWLEDGE</t>
  </si>
  <si>
    <t>ESC.  WILLIAM H. KILPATRIK (RURAL)</t>
  </si>
  <si>
    <t>CENTRO EDUCATIVO JEHOVA NISSI</t>
  </si>
  <si>
    <t>C.E.B.G. BILINGÜE LAS MERCEDES</t>
  </si>
  <si>
    <t>CENTRO EDUCATIVO MESA ADVENTIST SCHOOL</t>
  </si>
  <si>
    <t>RES. 1985 AL 14 DE MARZO 2021</t>
  </si>
  <si>
    <t>CENTRO EDUCATIVO  EVEREST</t>
  </si>
  <si>
    <t>CENTRO EDUCATIVO EVANGELICO CUADRANGULAR BET-VISTA HERMOSA</t>
  </si>
  <si>
    <t>COLEGIO PARROQUIAL SANTA MARÍA GORETTI</t>
  </si>
  <si>
    <t>RES.4032 DEL 16 DE AGOSTO 2021 QUE AUTORIZA EL FUNCIONAMIENTO  DEL C.E.</t>
  </si>
  <si>
    <t>C.E.B.G EL TRENCITO DEL SABER ABC</t>
  </si>
  <si>
    <t>RES. 1986 DEL 24 DE JUNIO DE 2020 QUE AUTORIZA EL FUNCIONAMIENTO DEL C.E.</t>
  </si>
  <si>
    <t>ACADEMIA CRISTIANA HADASA</t>
  </si>
  <si>
    <t>CENTRO EDUCATIVO LA MISION CRISTIANA</t>
  </si>
  <si>
    <t>CENTRO EDUCATIVO UN MUNDO DE JUGUETES</t>
  </si>
  <si>
    <t>RES. 3111 DEL 15 DE JUNIO DE 2021 QUE AUTORIZA EL FUNCIONAMIENTO</t>
  </si>
  <si>
    <t>CENTRO EDUCATIVO EL BUEN PASTOR GOLDEN HEAVEN</t>
  </si>
  <si>
    <t>CENTRO EDUCATIVO KAIMA</t>
  </si>
  <si>
    <t>ACADEMIA CRISTIANA VIDA NUEVA</t>
  </si>
  <si>
    <t>RES. 1987 DEL 14 DE ABRIL DE 2021 POR EL CUAL AUTORIZA EL FUNCIONAMIENTO DEL C.E.</t>
  </si>
  <si>
    <t>ACADEMIA PROF. Y TÉCNICA OLGA TOWNSLEY WALKER</t>
  </si>
  <si>
    <t>CENTRO EDUCATIVO PHILADELPHIA INSTERNATIONAL SCHOOL</t>
  </si>
  <si>
    <t>RES. 1671 DEL 29 DE MARZO DE 2021 QUE AUTORIZA EL FUNCIONAMIENTO DEL C.E.</t>
  </si>
  <si>
    <t>CENTRO EDUCATIVO SAN OSCAR ROMERO</t>
  </si>
  <si>
    <t>CENTRO EDUCATIVO SUZZETTE ARCHBOLD</t>
  </si>
  <si>
    <t>RES.4646 DEL 22 DE SEP. DE 2021 QUE AUTORIZA EL FUNCIONAMIENTO DEL C.E</t>
  </si>
  <si>
    <t>C.E. PREESCOLAR MORADA DE SION (T)</t>
  </si>
  <si>
    <t xml:space="preserve">RES. 3238 AL 06 DE DICIEMBRE 2022 QUE AUTORIZA FUNCIONAMIENTO </t>
  </si>
  <si>
    <t>C.E. LA VID VERDADERA</t>
  </si>
  <si>
    <t>RES. 3476 AL 16 DE DICIEMBRE 2022</t>
  </si>
  <si>
    <t>ACADEMIA TECNICA DE BELLEZA MARIBEL</t>
  </si>
  <si>
    <t>INSTITUTO FUTURAMA</t>
  </si>
  <si>
    <t>INSTITUTO TECNICO PANA SYSTEMS</t>
  </si>
  <si>
    <t>RES. 4647 DEL 22 DE SEP. DE 2021 QUE AUTORIZA EL FUNCIONAMIENTO DEL C.E.</t>
  </si>
  <si>
    <t>INSTITUTO DE CIENCIAS COMPUTACIONALES</t>
  </si>
  <si>
    <t>GLOBAL INTERNATIONAL BILINGUAL SCHOOL</t>
  </si>
  <si>
    <t>INSTITUTO INTERAMERICANO</t>
  </si>
  <si>
    <t>INSTITUTO INTERNACIONAL DEL PACIFICO</t>
  </si>
  <si>
    <t>CENTRO DE EDUCACION LABORAL PARTICULAR SE APRENDE</t>
  </si>
  <si>
    <t>ACADEMIA JUNTOS PODEMOS LABORAL</t>
  </si>
  <si>
    <t>COLEGIO LABORAL INTERNATIONAL BILINGUAL SCHOOL</t>
  </si>
  <si>
    <t>INSTITUTO SUPERIOR DE FORMACION TURISTICA (INFORTUR)</t>
  </si>
  <si>
    <t>COLEGIO UNIVERSAL DE PANAMA</t>
  </si>
  <si>
    <t>CENTRO EDUCATIVO LABORAL NOCTURNO ANDRES BELLO</t>
  </si>
  <si>
    <t>CENTRO LABORAL NOCTURNO NEHEMIAS</t>
  </si>
  <si>
    <t>CENTRO EDUCATIVO PADRE JOAQUIN LOPEZ Y LOPEZ</t>
  </si>
  <si>
    <t>INSTITUTO LABORAL PANAMA ESTE</t>
  </si>
  <si>
    <t>LABORAL MONTE HOREB</t>
  </si>
  <si>
    <t>RES. 4580 DEL 17 DE SEP. DE 2021 POR EL CUAL SE LE CONCEDE AMPLIACION DE OFERTA ACADEMICA AL C.E. QUE PUEDA IMPARTIR  EDUCACION PARA EL PRIMER NIVEL DE ENSEÑANZA (PREMEDIA)</t>
  </si>
  <si>
    <t>RES. 575 DEL 25 DE MAYO DE 2005 QUE AUTORIZA EL FUNCIONAMIENTO DEL C.E.</t>
  </si>
  <si>
    <t>ESC. AMERICAN CHRISTIAN SCHOOL CORP.</t>
  </si>
  <si>
    <t>INSTITUTO DE JOVENES Y ADULTOS WILLIAM KILPATRICK</t>
  </si>
  <si>
    <t>CENTRO LABORAL NOCTURNO DE TOCUMEN</t>
  </si>
  <si>
    <t>INSTITUTO PROFESIONAL DE LAS AMERICAS</t>
  </si>
  <si>
    <t>RES. 2874 DEL 1 DE JUNIO DE 2021 POR EL CUAL AUTORIZA EL FUNCIONAMIENTO.</t>
  </si>
  <si>
    <t>INSTITUTO SUPERIOR DE CIENCIAS Y TECNOLOGIA</t>
  </si>
  <si>
    <t>INSTITUTO PANAMERICANO NOCTURNO</t>
  </si>
  <si>
    <t>CENTRO EDUCATIVO DE JOVENES Y ADULTOS EL BUEN PASTOR LAS MAÑANITAS</t>
  </si>
  <si>
    <t>CENTRO NOCTURNO LABORAL BET-EL</t>
  </si>
  <si>
    <t>LETRAS, COMERCIO</t>
  </si>
  <si>
    <t>INSTITUTO TECNICO DE BELLEZA Y ESTETICA MARINA</t>
  </si>
  <si>
    <t>INSTITUTO NACIONAL DE COMPUTACION E INGLES</t>
  </si>
  <si>
    <t>INSTITUTO DE ESTETICA Y COSMETOLOGIA CORYSE SALOME</t>
  </si>
  <si>
    <t>INSTITUTO SUPERIOR DE ADIESTRAMIENTO Y SOPORTE TECNICO ALL COMPUTER</t>
  </si>
  <si>
    <t>ESC. AMERICAN ENGLISH OVERSEAS CENTER</t>
  </si>
  <si>
    <t>CENTRO DE FORMACION PARA LA MUJER (CECAMA)</t>
  </si>
  <si>
    <t>ACADEMIA DE MUSICA DE PANAMA</t>
  </si>
  <si>
    <t>CANADIAN INTERNATIONAL SCHOOL PANAMA</t>
  </si>
  <si>
    <t>CENTRO EDUCATIVO LABORAL BLESSED GOD</t>
  </si>
  <si>
    <t>CENTRO EDUCATIVO LABORAL EDUCACIÓN PARA TODOS</t>
  </si>
  <si>
    <t>CENTRO EDUCATIVO SEMBRANDO EN BUENA TIERRA PARA JOVENES Y ADULTOS</t>
  </si>
  <si>
    <t>EDUCACIÓN LABORAL TECNICA DE CONTABILIDAD GASTON FARAUDO</t>
  </si>
  <si>
    <t>INSTITUTO TECNICO PROF. LABORAL EMMANUEL</t>
  </si>
  <si>
    <t>INSTITUTO ACADEMICO PANAMA (ISTACAP)</t>
  </si>
  <si>
    <t>INSTITUTO DE FORMACIÓN ACADÉMICA Y LABORAL (IFAL)</t>
  </si>
  <si>
    <t>INSTITUTO DE MARINA MERCANTE OCUPACIONAL DE PANAMA BALBOA NOCTURNA</t>
  </si>
  <si>
    <t>INSTITUTO LABORAL JERUSALEN</t>
  </si>
  <si>
    <t>INSTITUTO LABORAL SAN PABLO APOSTOL</t>
  </si>
  <si>
    <t>INSTITUTO P.C. CENTER CORPORATION</t>
  </si>
  <si>
    <t xml:space="preserve">NOCTURNA LABORAL METANOIA PANAMÁ FLEX ACADEMY </t>
  </si>
  <si>
    <t>COLEGIO SAINT MARY´S</t>
  </si>
  <si>
    <t>ESC. CROSSROADS CHRISTIAN ACADEMY</t>
  </si>
  <si>
    <t>ACADEMIA VASCO NUÑEZ DE BALBOA</t>
  </si>
  <si>
    <t>COLEGIO ANGLO MEXICANO</t>
  </si>
  <si>
    <t xml:space="preserve">ESC. BOSTON  SCHOOL INTERNACIONAL </t>
  </si>
  <si>
    <t>RES. 4091 DEL 31 DE MAYO DE 2013 QUE AUTORIZA FUNCIONAMIENTO</t>
  </si>
  <si>
    <t>RES. 277-AL 08 DE FEBRERO DE 2023 QUE AUTORIZA EL CAMBIO DE DIRECCION DEL C.E. A SU NUEVA UBICACIÓN FISICA EN LA PROVINCIA DE PANAMA, DISTRITO DE PMA, CORREGIMIENTO DE PARQUE LEFEVRE, COSTA DEL ESTE.</t>
  </si>
  <si>
    <t>ESC. KING´S COLLEGE SCHOOL PANAMA</t>
  </si>
  <si>
    <t xml:space="preserve">RES. 2817-AL DEL 24 DE OCTUBRE DE 2022 RECONOCER EL CAMBIO DE NOMBRE DE C.E. PARTICULAR DENOMINADO KING COLLEGE A KING COLLEGE SCHOOL PANAMA </t>
  </si>
  <si>
    <t>RES. 4017 DEL 27 DE JULIO DE 2012 AUTORIZA FUNCIONAMIENTO.</t>
  </si>
  <si>
    <t>ESC. METROPOLITAN SCHOOL OF PANAMA</t>
  </si>
  <si>
    <t>RES. 4527 DEL 21 DE AGOSTO DE 2012 SE AUTORIZO FUNCIONAMIENTO</t>
  </si>
  <si>
    <t>RES.3110 DEL 15 DE JUNIO DE 2021 POR EL CUAL SE RECONOCE EL CAMBIO DEL DOMICILIO DEL C.E. A SU NUEVA UBICACIÓN FISICA EN EL DISTRITO DE PANAMA CORREGIMIENTO DE PEDREGAL</t>
  </si>
  <si>
    <t>COLEGIO ALEMÁN DEL ISTMO (ANTES COLEGIO ALEMAN NIKOLAUS KOPERNIKUS PANAMA)</t>
  </si>
  <si>
    <t>RES.1194 DEL 22 DE MARZO DE 2018 QUE AUTORIZA FUNCIONAMIENTO DEL CENTRO EDUCATIVO DENOMINADO COLEGIO ALEMAN NIKOLAUS KOPERNIKUS. RES. 917-AL DEL 22 DE ABRIL DE 2022 RECONOCE EL CAMBIO DE NOMBRE DEL COLEGIO ALEMAN NICOLAS KOPERNIKUS PANAMA A COLEGIO ALEMAN DEL ISTMO.</t>
  </si>
  <si>
    <t>COLEGIO JACARANDA DE CASA TALLER</t>
  </si>
  <si>
    <t>RES. 3106 DEL 9 DE JUNIO DE 2021 QUE AUTORIZA EL FUNCIONAMIENTO</t>
  </si>
  <si>
    <t>CENTRO EDUCATIVO PARTICULAR  THE CASCO SCHOOL</t>
  </si>
  <si>
    <t>RES. 355 DEL 16 DE FEB. DE 2022 POR EL CUAL AUTORIZA FUNCIONAMIENTO DEL C.E. PARTICULAR</t>
  </si>
  <si>
    <t>UNITED SCHOOL OF PANAMÁ</t>
  </si>
  <si>
    <t>RES. 5767 DEL 31 DE DICIEMBRE DE 2021 QUE AUTORIZA EL FUNCIONAMIENTO</t>
  </si>
  <si>
    <t>COL. BILINGUE SANTA TERESA DE JESUS</t>
  </si>
  <si>
    <t>PANAMÁ ESTE</t>
  </si>
  <si>
    <t xml:space="preserve">CHIMÁN </t>
  </si>
  <si>
    <t>UNIÓN SANTEÑA</t>
  </si>
  <si>
    <t>C.E.B.G. 10 DE NOVIEMBRE</t>
  </si>
  <si>
    <t>DEC. 397 DE 30 DE MAYO DE 2012</t>
  </si>
  <si>
    <t>EL LLANO</t>
  </si>
  <si>
    <t>DEC. 1083 DE 12 DE DICIEMBRE DE 2011</t>
  </si>
  <si>
    <t>TORTÍ</t>
  </si>
  <si>
    <t>DEC. 1036 DE 29 DE NOVIEMBRE DE 2011</t>
  </si>
  <si>
    <t>ESC. AMBROYA</t>
  </si>
  <si>
    <t>TABOGA</t>
  </si>
  <si>
    <t>ESC. BENJAMIN QUINTERO</t>
  </si>
  <si>
    <t>DEC. 676 DEL 2 DE OCTUBRE DE 1943</t>
  </si>
  <si>
    <t xml:space="preserve">Dect. 6 de 1 de Octubre de 1929 designese como República de Haiti  a la Escuela de Taboga. Dect. 676 del 2 de octubre de 1943 se le designa República de Haiti a la Escuela de Rió Abajo nombre que anteriomente fue designado a la Escuela de Taboga(61 de 1 de octubre de 1929). </t>
  </si>
  <si>
    <t>ESC. BETHEL</t>
  </si>
  <si>
    <t>DEC. 119 DE 14 DE MARZO DE 1994.</t>
  </si>
  <si>
    <t>Dect. 119 de 14 de marzo de 1994 créase la escuela primaria Bethel el  corregimiento de Cañita distrito de Chepo. Dect. 1036 de 29 de noviembre de 2011 se creo el centro educativo Bethel.</t>
  </si>
  <si>
    <t>CAÑITA</t>
  </si>
  <si>
    <t>DEC. 105 DE 8 DE MAYO DE 1963.</t>
  </si>
  <si>
    <t>Dect. 105 de 8 de mayo de 1963 créase la Escuela de Buenos Aires. Dect. 1036 de 29 de noviembre de 2011 se crea el centro educativo Buenos Aires.</t>
  </si>
  <si>
    <t>CENTRO EDUCATIVO BILINGÜE ESTADO DE QATAR</t>
  </si>
  <si>
    <t>DEC. 474 DEL 14 DE AGOSTO DEL 2018 QUE AUTORIZA EL CAMBIO DE NOMBRE A C.E.B.G. ESTADO DE QATAR. DECRETO 446 DEL 14 DE AGOSTO DE 2018 SE INCORPORA LA DENOMINACION BILINGÜE.</t>
  </si>
  <si>
    <t>CENTRO EDUCATIVO BILINGÜE TORTÍ</t>
  </si>
  <si>
    <t>DEC. 61 DE 6 DE MARZO DE 1996.</t>
  </si>
  <si>
    <t>Dect. 61 de 6 de marzo de 1996 se crea el Primer Ciclo Tortí. Dect. 2 del 12 de enero de 1994 como Primer Ciclo El Llano. Dect. 22 de 6 de marzo de 1998 se fusiona el Primer Ciclo El Llano y el Primer Ciclo Tortí y se le denominará Primer Ciclo Tortí.  Dect. 600 de 20 de noviembre de 2008 cambia la denominación de C.E.B.G. de Tortí a Centro Educativo de Tortí. Decreto 446 del 14 de agosto de 2018 incorpora la denominacion Bilingüe al Nombre</t>
  </si>
  <si>
    <t>C.E.B.G. BILINGÜE CLÍMACO DELGADO</t>
  </si>
  <si>
    <t>DEC. 279 DE 6 DE JUNIO DE 1955.</t>
  </si>
  <si>
    <t>Dect. 279 de 6 de junio de 1955 se ordena la apertura de la Escuela Cañitas en el Municipio de Chepo.Dect. 514 de 18 de diciembre de 1973 Se le da el nombre  de Clímaco Delgado B. a la escuela de "Cañitas", Municipio de Chepo. Dect. 49 de 13 de junio de 1978 créase el Centro de Educación Básica General Clímaco Delgado. Dect.  614 de 3 de agosto de 2011 se crea C.E Clímaco Delgado. Decreto 446 del 14 de agosto de 2018 incorpora la denominacion Bilingüe al Nombre</t>
  </si>
  <si>
    <t>COMARCA KUNA DE  MADUGANDÍ</t>
  </si>
  <si>
    <t>C.E.B.G. BILINGÜE ICANTI</t>
  </si>
  <si>
    <t>COM. MADUNGANDÍ</t>
  </si>
  <si>
    <t xml:space="preserve">DEC. 152 DE 17 DE ABRIL DE 1972. </t>
  </si>
  <si>
    <t>Dect. 152 de 17 de abril de 1972  se crea la Escuela Icantí (Reserva Indígena)Decreto 446 del 14 de agosto de 2018 incorpora la denominacion Bilingüe al Nombre</t>
  </si>
  <si>
    <t>LAS MARGARITAS</t>
  </si>
  <si>
    <t>C.E.B.G. BILINGÜE JOSÉ DEL CARMEN ECHEVERS</t>
  </si>
  <si>
    <t>Dect. 83  de 23 de mayo de 1949  se ordena el establecimiento de la Escuela La Margarita en el Municipio de Chepo. Dect. 89 de 6 de mayo de 1964  se le da el nombre de Escuela José del C. Echevers a la Escuela La Margarita en el Distrito de Chepo. Dect. 614 del 3 de Agosto de 2011 se crea el C.E. José del C. Echevers.Decreto 446 del 14 de agosto de 2018 incorpora la denominacion Bilingüe al Nombre</t>
  </si>
  <si>
    <t>C.E.B.G. BILINGÜE JOSÉ GABRIEL DUQUE</t>
  </si>
  <si>
    <t>DEC. 42 DE 3 DE DICIEMBRE DE 1930.</t>
  </si>
  <si>
    <t>Dect. 42 de 3 de diciembre de 1930  designase con el nombre de José Gabriel Duque a la escuela mixta ubicada en la cabecera del Distrito Municipal de Chepo.Decreto 446 del 14 de agosto de 2018 incorpora la denominacion Bilingüe al Nombre</t>
  </si>
  <si>
    <t>BALBOA</t>
  </si>
  <si>
    <t>C.E.B.G. BILINGÜE JOSÉ IRENE MUÑOZ</t>
  </si>
  <si>
    <t>Dect. 367 de 4 de agosto de 1960, se le asigna el nombre de José Irene Muñoz a la Escuela Primaria de San Miguel en el Municipio de Balboa. Dect. 49 de 13 de junio de 1978, créase el Centro de Educación Básica General José Irene Muñoz. Decreto 446 del 14 de agosto de 2018 incorpora la denominacion Bilingüe al Nombre</t>
  </si>
  <si>
    <t>C.E.B.G. BILINGÜE LOMA DEL NARANJO</t>
  </si>
  <si>
    <t>DEC. 243 DE 5 DE MAYO DE 1966.</t>
  </si>
  <si>
    <t>Dect. 243 de 5 de mayo de 1966  créase la Escuela Loma de Los Naranjos en el Municipio de Chepo. Dect. 1071 del 25 de noviembre del 2016 que crea los centros educativos que implementan el Programa de Educación Premedia y Media con metodología Escuela Nueva Escuela Activa (ENEA). Decreto 446 del 14 de agosto de 2018 incorpora la denominacion Bilingüe al Nombre</t>
  </si>
  <si>
    <t>C.E.B.G. BILINGÜE PIRIATÍ EMBERÁ</t>
  </si>
  <si>
    <t>TIERRAS COLECTIVAS DE ALTO BAYANO</t>
  </si>
  <si>
    <t>C.E.B.G. BILINGÜE SANTA ISABEL</t>
  </si>
  <si>
    <t>DEC. 198 DE 31 DE MARZO DE 1971, DEC. 9 DE 23 DE FEB. 2022 QUE ASCIENDE DE CATEGORIA ESPECIAL AL C.E.B.G DEC.60 DEL 21 DE NOV. DE 2022 QUE ASCIENDE A PRIMERA CATEGORIA AL C.E.B.G. SANTA ISABEL Y DEROGA EL DEC. 9 DEL 23 DE FEB. 2022 QUE ASCIENDE A CATEGORIA ESPECIAL.</t>
  </si>
  <si>
    <t>Dect. 198 de 31 de Marzo de 1971 se crea la Escuela Primaria Santa Isabel. Dect. 595 de 13 de Noviembre de 2008 CAMBIA DE DENOMINACIÓN DE ESCUELA SANTA ISABEL A C.E.B.G. SANTA ISABEL. Dect.  614 de 3 de agosto de 2011 crea el C.E. Santa Isabel.Decreto 446 del 14 de agosto de 2018 incorpora la denominacion Bilingüe al Nombre</t>
  </si>
  <si>
    <t>C.E.B.G. BILINGÜE SUPERACIÓN CAMPESINA</t>
  </si>
  <si>
    <t>C.E.B.G. BILINGÜE TIERRA PROMETIDA</t>
  </si>
  <si>
    <t>Dect. 580 de 5 de noviembre de 1992  se crea la Escuela Primaria Tierra Prometida en Pacora. Decreto 446 del 14 de agosto de 2018 incorpora la denominacion Bilingüe al Nombre.Decreto 446 del 14 de agosto de 2018 incorpora la denominacion Bilingüe al Nombre</t>
  </si>
  <si>
    <t>C.E.B.G. BILINGÜE UNIÓN DE AZUERO</t>
  </si>
  <si>
    <t>ESC. CALOBRE ABAJO</t>
  </si>
  <si>
    <t>ESC. CERRO PLANO</t>
  </si>
  <si>
    <t>ESC. CHARARE</t>
  </si>
  <si>
    <t>DEC. 167 DE 24 DE ABRIL DE 1970.</t>
  </si>
  <si>
    <t>Dect. 167 de 24 de abril de 1970 se crea la Escuela Chararé.</t>
  </si>
  <si>
    <t>SANTA CRUZ DE CHININA</t>
  </si>
  <si>
    <t>ESC. CHININA ABAJO</t>
  </si>
  <si>
    <t>DEC. 348 DE 21 DE JUNIO DE 1955.</t>
  </si>
  <si>
    <t>Dect. 348 de 21 de junio de 1955 se ordena la apertura de la Escuela Chinina en el Municipio de Chepo.</t>
  </si>
  <si>
    <t>CHEPILLO</t>
  </si>
  <si>
    <t>ESC. CIRO RIVERA</t>
  </si>
  <si>
    <t>DEC. 67 DE 19 DE AGOSTO DE 1977</t>
  </si>
  <si>
    <t>Dect. 67 de 19 de agosto de 1977 se le asigna el nombre de Ciro Rivera a la Escuela Primaria Oficial de Chepillo, corregimiento de Chepillo, Distrito de Chepo.</t>
  </si>
  <si>
    <t>ESC. CORPUS CRISTI</t>
  </si>
  <si>
    <t>DEC. 105 DE 5 DE MAYO DE 1986.</t>
  </si>
  <si>
    <t>Dect. 105 de 5 de mayo de 1986 se crea la Escuela Corpus Christi.   Dect. 579 de 5 de noviembre de 1992,  se crea la Escuela Primaria Oficial Río Bonito de Corpus Cristy en Las Margaritas de Chepo.</t>
  </si>
  <si>
    <t>C.E.B.G. CRISTO REDENTOR</t>
  </si>
  <si>
    <t>DEC. 117 DE 14 DE MARZO DE 1994.</t>
  </si>
  <si>
    <t>Dect. 117 de 14 de marzo de 1994, créase la Escuela Primaria Cristo Redentor en el corregimiento El Llano distrito de Chepo</t>
  </si>
  <si>
    <t>ESC. CURTI</t>
  </si>
  <si>
    <t>ESC. DIWARSICUA</t>
  </si>
  <si>
    <t>DEC. 17 DE 18 DE MARZO DE 1988.</t>
  </si>
  <si>
    <t>Dect. 17 de 18 de marzo de 1988  se crea la Escuela El Jagüito.</t>
  </si>
  <si>
    <t>Dect. 194 de 19 de Mayo de 1965, se crea la Escuela El Hato del Bayano. Dect. 323 de 14 de diciembre de 1987 se crea la Escuela El Hato. Dect. 1036 de 29 de noviembre de 2011 se crea el centro educativo El Hato.</t>
  </si>
  <si>
    <t>ESC. EL JAGUITO</t>
  </si>
  <si>
    <t>ESC. EL TRAPICHITO</t>
  </si>
  <si>
    <t>DEC. 38 DE 13 DE FEBRERO DE 1967.</t>
  </si>
  <si>
    <t>Dect. 38 de 13 de febrero de 1967, créase la Escuela El Trapichito. Dect. 1036 de 29 de noviembre de 2011, se crea el centro educativo El Trapichito.</t>
  </si>
  <si>
    <t>ESC. ENSENADA RICA</t>
  </si>
  <si>
    <t xml:space="preserve">ESC. BILINGÜE AKUA YALA </t>
  </si>
  <si>
    <t>ESC. BILINGÜE ATANACIO MORALES</t>
  </si>
  <si>
    <t>Dect. 234 de 25 de abril de 1994, se le asigna el nombre de Atanacio Morales, a la escuela primaria Ipetí Kuna.Decreto 446 del 14 de agosto de 2018 incorpora la denominacion Bilingüe al Nombre</t>
  </si>
  <si>
    <t>ESC. BILINGÜE MARIA ELENA DIAZ</t>
  </si>
  <si>
    <t>69 de 9 de marzo de 1993,  se le asigna el nombre de María Elena Díaz a la Escuela Primaria Guacuco en el corregimiento de El Llano, Distrito de Chepo. 1036 de 29 de noviembre de 2011, se crea el Centro Educativo María Elena Díaz. Decreto 446 del 14 de agosto de 2018 incorpora la denominacion Bilingüe al Nombre</t>
  </si>
  <si>
    <t>GONZALO VÁSQUEZ</t>
  </si>
  <si>
    <t>ESC. GONZALO VASQUEZ</t>
  </si>
  <si>
    <t>ESC. HIGUERONAL ARRIBA</t>
  </si>
  <si>
    <t>ESC. HIGUERONAL CABECERA</t>
  </si>
  <si>
    <t>I.P.T. MEXICO PANAMÁ</t>
  </si>
  <si>
    <t>ESC. IPETÍ CHOCÓ</t>
  </si>
  <si>
    <t>Dect. 70 DE 21 DE MARZO DE 1972  se crea la Escuela Primaria Oficial Ipeti (Indígena). Dect. 1036 de 29 de noviembre de 2011 se crea el centro educativo Ipetí.  Chocó.</t>
  </si>
  <si>
    <t>PEDRO GONZÁLEZ</t>
  </si>
  <si>
    <t>ESC. JOSE DOLORES LUNA RIVERA</t>
  </si>
  <si>
    <t>DEC. 148 DE 25 DE JUNIO DE 1982</t>
  </si>
  <si>
    <t>Dect. 148 de 25 de junio de 1982 se denomina José Dolores Luna Rivera a la Escuela Primaria Pedro González del Corregimiento Pedro González en Balboa.</t>
  </si>
  <si>
    <t>CHIMÁN</t>
  </si>
  <si>
    <t>ESC. JOSE SOTERO ANGULO</t>
  </si>
  <si>
    <t>170 de 8 de mayo de 1962, se le da el nombre de José Sotero Angulo a la Escuela Pública Primaria de Chimán.  Dect. 614 de 3 de agosto de 2011 se crea el C.E. José Sotero Angulo.</t>
  </si>
  <si>
    <t>ESC. JUAN BAÑON ADENTRO</t>
  </si>
  <si>
    <t>DEC. 649 DE 28 DE DICIEMBRE DE 1970.</t>
  </si>
  <si>
    <t>. Dect. 649 de 28 de diciembre de 1970 se crea la Escuela Juan Bañon Adentro.</t>
  </si>
  <si>
    <t>ESC. JUAN BAÑON AFUERA</t>
  </si>
  <si>
    <t>DEC. 478 DE 4 DE OCTUBRE DE 1961.</t>
  </si>
  <si>
    <t>Dect. 478 de 4 de octubre de 1961. Se crea la Escuela Juan Bayon</t>
  </si>
  <si>
    <t>ESC. KAPANDI</t>
  </si>
  <si>
    <t>LA ENSENADA</t>
  </si>
  <si>
    <t>DEC. 171 DE 4 DE MAYO DE 1956.</t>
  </si>
  <si>
    <t>Dect. 171 de 4 de mayo de 1956 se ordena la apertura  la Escuela La Ensenada. Dect. 1036 de 29 de noviembre de 2011 se crea el centro educativo La Ensenada.</t>
  </si>
  <si>
    <t>LA ESMERALDA</t>
  </si>
  <si>
    <t>ESC. LA ESMERALDA</t>
  </si>
  <si>
    <t>LA GUINEA</t>
  </si>
  <si>
    <t>Dect. 268 de 30 de junio de 1954 apertura de la Escuela La Guinea en el Municipio de Balboa.</t>
  </si>
  <si>
    <t>PÁSIGA</t>
  </si>
  <si>
    <t>DEC. 244 DE 31 DE JULIO DE 1986.</t>
  </si>
  <si>
    <t>Dect. 244 de 31 de julio de 1986 se crea la Escuela La Mina</t>
  </si>
  <si>
    <t>ESC. LA OCHO</t>
  </si>
  <si>
    <t>ESC. LA PAVITA DE MAJE</t>
  </si>
  <si>
    <t>DEC. 125 DE 27 DE FEBRERO DE 2012</t>
  </si>
  <si>
    <t>ESC. LA RIVIERA</t>
  </si>
  <si>
    <t>Dect. 140 de 30 de junio de 1986 se crea la Escuela La Riviera. Dect. 1036 de 29 de noviembre de 2011 se creo el centro educativo Bethel.</t>
  </si>
  <si>
    <t>ESC. LA ZAHINA</t>
  </si>
  <si>
    <t>Dect. 47 de 26 de marzo de 1991,  se le asigna el nombre de Santa Rosa De Lima No.2, a la escuela primaria La Zaína en el corregimiento de Las Margaritas. Dect. 1036 de 29 de noviembre de 2011 se crea el C.E. La Zahína.</t>
  </si>
  <si>
    <t>ESC. LAS CLARITAS</t>
  </si>
  <si>
    <t>ESC. LAS LAJITAS</t>
  </si>
  <si>
    <t>ESC. LIMONADA ARRIBA</t>
  </si>
  <si>
    <t xml:space="preserve">DEC. 105 DE 5 DE MAYO DE 1986. </t>
  </si>
  <si>
    <t>Dect. 105 de 5 de mayo de 1986 se crea la Escuela Primaria La Limonada Arriba.</t>
  </si>
  <si>
    <t xml:space="preserve">ESC. LIMONADA </t>
  </si>
  <si>
    <t>DEC. 354 DE 2 DE JULIO DE 1970</t>
  </si>
  <si>
    <t>Dect. 354 de 2 de julio de 1970 se crea la Escuela Primaria Limonada.</t>
  </si>
  <si>
    <t>ESC. LLANO CARTI</t>
  </si>
  <si>
    <t>DEC. 264 DE 7 DE OCTUBRE DE 1980.</t>
  </si>
  <si>
    <t>Dect. 264 de 7 de octubre de 1980 créase la Escuela Llano Cartí.</t>
  </si>
  <si>
    <t>ESC. LORENZA G. DE LASSO</t>
  </si>
  <si>
    <t>DEC. 505 DE 19 DE NOVIEMBRE DE 1973.</t>
  </si>
  <si>
    <t>Dect. 505 de 19 de noviembre de 1973 se le da el nombre de "Lorenza G. Lasso a la escuela de El Llano, Municipio de Chepo.</t>
  </si>
  <si>
    <t>ESC. MAJE - CHIMAN</t>
  </si>
  <si>
    <t>DEC. 415 DE 23 DE AGOSTO DE 1963.</t>
  </si>
  <si>
    <t>415 de 23 de agosto de 1963,  se crea la escuela Mage. Dect. 1036 de 29 de noviembre de 2011, se crea el centro educativo Majé de Chimán.</t>
  </si>
  <si>
    <t>ESC. MARTINAMBO</t>
  </si>
  <si>
    <t>Dect. 1036 de 29 de noviembre de 2011 se crea el centro educativo Martinambo</t>
  </si>
  <si>
    <t>ESC. NARGANDI</t>
  </si>
  <si>
    <t>ESC. OQUENDO</t>
  </si>
  <si>
    <t>ESC. PASIGA</t>
  </si>
  <si>
    <t>DEC. 94 DE 8 DE JUNIO DE 1981.</t>
  </si>
  <si>
    <t>Dect. 94 de 8 de junio de 1981 créase la Escuela Primaria Oficial de Pásiga.</t>
  </si>
  <si>
    <t>ESC. PEÑAS BLANCAS A. V CHARCO RICO</t>
  </si>
  <si>
    <t>ESC. PIGANDI</t>
  </si>
  <si>
    <t>DEC. 207 DE 20 DE JULIO DE 1987</t>
  </si>
  <si>
    <t>Dect. 207 de 20 de julio de 1987 se crea la Escuela Primaria Pigandi. Dect. 1036 de 29 de noviembre de 2011 se crea el centro educativo  Pigandí</t>
  </si>
  <si>
    <t>ESC. PIGANDI GRANDE</t>
  </si>
  <si>
    <t>ESC. PINTUPO</t>
  </si>
  <si>
    <t>ESC. PIRIA</t>
  </si>
  <si>
    <t>ESC. PIRIATI ARRIBA</t>
  </si>
  <si>
    <t>ESC. PLATANARES</t>
  </si>
  <si>
    <t>Dect. 194 del 19 de mayo de 1965,  créase la Escuela Primaria Platanales en el municipio de Chepo. Dect. 1036 de 29 de noviembre de 2011 se creo el centro educativo Platanares</t>
  </si>
  <si>
    <t>ESC. PLAYA CHUZO ADENTRO</t>
  </si>
  <si>
    <t>ESC. PLAYA CHUZO AFUERA</t>
  </si>
  <si>
    <t>Dect.1036 de 29 de noviembre de 2011 se crea el centro educativo Playa Chuzo Afuera.</t>
  </si>
  <si>
    <t>ESC. PLAYA CHUZO CENTRO</t>
  </si>
  <si>
    <t>Dect. 1036 de 29 de noviembre de 2011 se crea el centro educativo Playa Chuzo Afuera.</t>
  </si>
  <si>
    <t>BRUJAS</t>
  </si>
  <si>
    <t>CENTRO EDUCATIVO PLAYA DE LAS MERCEDES</t>
  </si>
  <si>
    <t>Dect. 117 de 14 de marzo de 1994 créase la Escuela Primaria Puerto Limón en el corregimiento Cañazas distrito de Chepo. Dect. 1036 de 29 de noviembre de 2011, se creo el centro educativo Puerto Limón.</t>
  </si>
  <si>
    <t xml:space="preserve"> TORTÍ</t>
  </si>
  <si>
    <t>ESC. QUEBRADA CALI</t>
  </si>
  <si>
    <t>Dect. 1036 de 29 de noviembre de 2011 se crea el centro educativo Quebrada Cali</t>
  </si>
  <si>
    <t>ESC. RÍO HONDO</t>
  </si>
  <si>
    <t>Dect. 726 de 13 de agosto de 1953  se crea la Escuela de Río Indio en la Provincia de Panamá. Dect. 1036 de 29 de noviembre de 2011 se crea el centro educativo Rio Indio de Torti.</t>
  </si>
  <si>
    <t>ESC. RÍO LAGARTO</t>
  </si>
  <si>
    <t>ESC. RÍO MARCOS</t>
  </si>
  <si>
    <t>DEC. 579 DE 5 DE NOVIEMBRE DE 1992.</t>
  </si>
  <si>
    <t>Dect. 579 de 5 de noviembre de 1992 se crea la Escuela Primaria Río Marcos en Brujas Chimán.</t>
  </si>
  <si>
    <t>ESC. RÍO NAZARENO ANEXA</t>
  </si>
  <si>
    <t>Dect. 167 de 24 de abril de 1970  se crea la Escuela Rio Piedra</t>
  </si>
  <si>
    <t>ESC. RÍO TIGRE ABAJO</t>
  </si>
  <si>
    <t>ESC. RÍO TIGRE ARRIBA</t>
  </si>
  <si>
    <t>ESC. SAN BUENAVENTURA</t>
  </si>
  <si>
    <t xml:space="preserve">DEC. 104 DE 14 DE ABRIL DE 1961. </t>
  </si>
  <si>
    <t>Dect. 104 de 14 de abril de 1961 por el cual se crean escuelas en varias Provincias de la República de Panamá, se crea la Escuela San Buenaventura.</t>
  </si>
  <si>
    <t>ESC. SAN FRANCISCO DE PIRIATI</t>
  </si>
  <si>
    <t>1036 de 29 de noviembre de 2011 se crea el centro educativo San Francisco de Piriatí</t>
  </si>
  <si>
    <t>ESC. SAN JOSE DE CAÑAZAS</t>
  </si>
  <si>
    <t>Dect. 140 de 30 de junio de 1986 se crea la Escuela San José de Cañazas.</t>
  </si>
  <si>
    <t>ESC. SAN JOSE DE CHININA</t>
  </si>
  <si>
    <t>DEC. 210 DE 17 DE JULIO DE 1987.</t>
  </si>
  <si>
    <t>Dect. 210 de 17 de julio de 1987,  se crea la Escuela Primaria San José de Chinina. Dect. 1036 de 29 de noviembre de 2011, se crea el centro educativo San José de Chinina</t>
  </si>
  <si>
    <t>ESC. SAN JOSE DE LOMA BONITA</t>
  </si>
  <si>
    <t>ESC. SAN JOSE DE MADROÑO</t>
  </si>
  <si>
    <t>ESC. SAN JOSE DE TORTI</t>
  </si>
  <si>
    <t>DEC. 11 DE 10 DE FEBRERO DE 1987.</t>
  </si>
  <si>
    <t xml:space="preserve">Dect. 11 de 10 de febrero de 1987  se crea la Escuela Primaria San José de Tortí en Tortí corregimiento del Llano Distrito de Chepo. Dect. 1036 de 29 de noviembre de 2011 se crea el centro educativo San José de Tortí. </t>
  </si>
  <si>
    <t>ESC. SAN JUDAS TADEO</t>
  </si>
  <si>
    <t>Dect. 85 de 11 de marzo de 1965 se crea la Escuela Primaria Oficial San Judas. Dect. 1036 de 29 de noviembre de 2011 se creo el centro educativo San Judas Calobre</t>
  </si>
  <si>
    <t>ESC. SANTA ROSA DE LIMA</t>
  </si>
  <si>
    <t>DEC. 151 DE 30 DE JUNIO DE 1986.</t>
  </si>
  <si>
    <t>Dect. 151 de 30 de junio de 1986 se crea la Escuela Santa Rosa De Lima. Dect. 1036 de 29 de noviembre de 2011 se crea el centro educativo Santa Rosa De Lima</t>
  </si>
  <si>
    <t>ESC. EL TIGRE ABAJO</t>
  </si>
  <si>
    <t xml:space="preserve">DEC. 194 DE 19 DE MAYO DE 1965. </t>
  </si>
  <si>
    <t>Dect. 194 de 19 de mayo de 1965 créanse las siguientes escuelas Platanales, El Tigre y Hato del Bayano  en el Municipio deChepo.</t>
  </si>
  <si>
    <t>ESC. TIGRE ARRIBA</t>
  </si>
  <si>
    <t>DEC. 182 DE 18 DE MARZO DE 1971.</t>
  </si>
  <si>
    <t>Dect. 182 de 18 de marzo de 1971 créase la Escuela Tres Quebradas en la Comunidad de Majecito Arriba, Distrito de Chepo. Dect. 1036 de 29 de noviembre de 2011 se creo el centro educativo Tres Quebradas</t>
  </si>
  <si>
    <t>ESC. TRINIDACITA ANEXA RIO MARCOS</t>
  </si>
  <si>
    <t>ESC. TRINIDAD ANEXA BRUJAS</t>
  </si>
  <si>
    <t>DEC. 94 DE 21 DE SEPTIEMBRE DE 1914</t>
  </si>
  <si>
    <t>Decreto 94 de 21 de septiembre de 1914, por el cual se crea una escuela alternada en el caserío de Bruja (Distrito de Chimán).</t>
  </si>
  <si>
    <t>ESC. UNION HERRERANA</t>
  </si>
  <si>
    <t>ESC. UNION VERAGUENSE</t>
  </si>
  <si>
    <t>DEC. 323 DE 14 DE DICIEMBRE DE 1987.</t>
  </si>
  <si>
    <t>Dect. 323 de 14 de diciembre de 1987, se crea la Escuela Unión Veragüense. Dect. 1036 de 29 de noviembre de 2011 se crea el centro educativo Unión Veragüense</t>
  </si>
  <si>
    <t>ESC. VALLE DE CHARCO RICO</t>
  </si>
  <si>
    <t>Dect. 11 de 10 de febrero de 1987  se crea la Escuela Primaria oficial Valle de Charco Rico. Dect. 1036 de 29 de noviembre de 2011 se crea el centro educativo Valle de Charco Rico</t>
  </si>
  <si>
    <t>ESC. VALLE DE LA UNION</t>
  </si>
  <si>
    <t>COLEGIO VENANCIO FENOSA PASCUAL</t>
  </si>
  <si>
    <t>DEC. 81 DE 27 DE ENERO DE 1971. DEC. 1537 DEL 21 DE DIC. DEL 2015 ASCENSO DE CATEGORIA</t>
  </si>
  <si>
    <t>Dect. 81 de 27 de enero de 1971, créase en la población de Chepo, Distrito de Chepo un Primer Ciclo de Educación Secundaria. Dect. 544 de 18 de diciembre de 1973 denomínese Primer Ciclo Venacio Fenosa Pascual al actual primer Ciclo de Chepo.  Dect. 49 de 13 de junio de 1978 créase el Centro de Educación Básica General Venacio Fenosa P.  Dect. 282 de 24 de noviembre de 1982  denomínece en lo sucesivo Colegio Secundario Venacio Fenosa Pascual al actual Primer Ciclo Venacio  Fenosa Pascual en el Distrito de Chepo.</t>
  </si>
  <si>
    <t>CIENCIAS, COMERCIO, CONTABILIDAD, TURISMO, TECNOLOGIA E INFORMATICA</t>
  </si>
  <si>
    <t>ESC. VÍRGEN DEL CARMEN</t>
  </si>
  <si>
    <t>C.E.B.G. KUINUBDI</t>
  </si>
  <si>
    <t>DEC. 49 DE 16 DE JUNIO DE 2022 QUE CREA EL C.E.B.G.</t>
  </si>
  <si>
    <t>ESC. CATRIGANDI</t>
  </si>
  <si>
    <t>DEC. 327 DE 21 DE DICIEMBRE DE 1987.</t>
  </si>
  <si>
    <t>Dect. 327 de 21 de diciembre de 1987 se crea la Escuela Primaria Oficial Catrigandí. Dect. 1036 de 29 de noviembre de 2011 se crea el centro educativo, Catrigandí</t>
  </si>
  <si>
    <t>ESC. CHININA ARRIBA</t>
  </si>
  <si>
    <t>DEC. 214 DE 18 DE MAYO DE 1970.</t>
  </si>
  <si>
    <t>Dect. 214 de 18 de Mayo de 1970 créase las Escuela Primaria Oficial Chinina Arriba.</t>
  </si>
  <si>
    <t>SABOGA</t>
  </si>
  <si>
    <t>ESC. ISLA CONTADORA</t>
  </si>
  <si>
    <t>OTOQUE ORIENTE</t>
  </si>
  <si>
    <t>ESC. JUANA DE JIMENEZ</t>
  </si>
  <si>
    <t>DEC. 63 DE 30 DE MAYO DE 1979.</t>
  </si>
  <si>
    <t>Dect. 63 de 30 de mayo de 1979  se le asigna el nombre  de Juana María Menacho de Jiménez a la escuela primaria de Otoque Oriente. Dect. 76 de 26 de mayo de 1980 se asciende de categoría a la Escuela Primaria Oficial Juana María Menacho de Jiménez.</t>
  </si>
  <si>
    <t>ESC. LA TOSCA</t>
  </si>
  <si>
    <t>DEC. 1841 DE 19 DE JULIO DE 1947.</t>
  </si>
  <si>
    <t>1841 de 19 de julio de 1947, se establece la Escuela Loma Bonita . 1036 de 29 de noviembre se crea el centro educativo Loma Bonita.</t>
  </si>
  <si>
    <t>ESC. MAJE CORDILLERA C.I.</t>
  </si>
  <si>
    <t>Dect. 105 de 5 de mayo de 1986 se crea la Escuela Primaria Nuevo Panamá.</t>
  </si>
  <si>
    <t>ESC. PALMAS BELLAS</t>
  </si>
  <si>
    <t>Dect. 1036 de 29 de noviembre de 2011 se crea el centro educativo Palmas Bellas.</t>
  </si>
  <si>
    <t>ESC. RÍO PLATANARES</t>
  </si>
  <si>
    <t>ESC. RÍO TORTI ABAJO</t>
  </si>
  <si>
    <t>ESC. SABOGA</t>
  </si>
  <si>
    <t>ESC. TABARDI</t>
  </si>
  <si>
    <t>ESC. UNICITO</t>
  </si>
  <si>
    <t>DEC. 445 DE 17 DE SEPTIEMBRE DE 1954.</t>
  </si>
  <si>
    <t>Dect. 445 de 17 de septiembre de 1954 se ordena la apertura de la Escuela Unicito.</t>
  </si>
  <si>
    <t>TELE EDUCACION 10 DE NOVIEMBRE</t>
  </si>
  <si>
    <t>ESC. AKUA YALA</t>
  </si>
  <si>
    <t>CENTRO EDUCATIVO DE JOVENES Y ADULTOS LOMA DEL NARANJO</t>
  </si>
  <si>
    <t>CENTRO LABORAL NOCTURNO OFICIAL DE CHEPO</t>
  </si>
  <si>
    <t>ESC. SECUNDARIA NOCTURNA OFICIAL DE TORTI</t>
  </si>
  <si>
    <t>COMERCIO, TECNOLOGIA E INFORMATICA</t>
  </si>
  <si>
    <t>IPT MEXICO PANAMA</t>
  </si>
  <si>
    <t xml:space="preserve">CHEPO </t>
  </si>
  <si>
    <t>TERMINACION JOSE GABRIEL DUQUE</t>
  </si>
  <si>
    <t>TELE EDUCACION JOSE SOTERO ANGULO</t>
  </si>
  <si>
    <t>ESC. JOSE IRENE MUÑOZ</t>
  </si>
  <si>
    <t>ESC. PIRIATI EMBERA</t>
  </si>
  <si>
    <t>TERMINACIÓN TIERRA PROMETIDA</t>
  </si>
  <si>
    <t>IPHE DE PANAMÁ ESTE</t>
  </si>
  <si>
    <t>HAPPY HANDS SCHOOL</t>
  </si>
  <si>
    <t>ESC. BUEN PASTOR</t>
  </si>
  <si>
    <t>CENTRO EDUCATIVO CRISTIANO HEFZI-BÁ</t>
  </si>
  <si>
    <t>RES.8031 DEL 11 DE DIC. DE 2012 QUE AUTORIZA FUNCIONAMIENTO</t>
  </si>
  <si>
    <t>RES. 578 DEL 06 DE MARZO DE 2023 QUE CONCEDE AMPLIACION DE LA OFERTA ACADEMICA PARA EL SEGUNDO NIVEL DE ENSEÑANZA O EDUCACIÓN MEDIA (BACHILLER EN CIENCIAS Y HUMANIDADES</t>
  </si>
  <si>
    <t>CENTRO EDUCATIVO PARTICULAR LUZ DEL SABER</t>
  </si>
  <si>
    <t>RES. 5241 DEL 11 DE NOV. DE 2021 AUTORIZAR EL FUNCIONAMIENTO DEL C.E.</t>
  </si>
  <si>
    <t>ESC. CRISTIANO HEFZI-BA</t>
  </si>
  <si>
    <t>HUMANIDADES,COMERCIO, TECNOLOGIA E INFORMATICA</t>
  </si>
  <si>
    <t>PANAMÁ NORTE</t>
  </si>
  <si>
    <t>LAS CUMBRES</t>
  </si>
  <si>
    <t>CEDI ALCALDE DIAZ</t>
  </si>
  <si>
    <t>ERNESTO CÓRDOBA CAMPOS</t>
  </si>
  <si>
    <t>CEFACEI MIS PRIMEROS PASOS</t>
  </si>
  <si>
    <t>CEFACEI LOS PINITOS</t>
  </si>
  <si>
    <t>CEFACEI ANGELITOS DE MARÍA</t>
  </si>
  <si>
    <t>CHILIBRE</t>
  </si>
  <si>
    <t>CAIPI MI JARDIN</t>
  </si>
  <si>
    <t>CAIPI MI CAJITA DE SORPRESA</t>
  </si>
  <si>
    <t>CAIPI MARIANA DE VASQUEZ</t>
  </si>
  <si>
    <t>ALCALDE DÍAZ</t>
  </si>
  <si>
    <t>CAIPI MARIA ENRIQUEZ</t>
  </si>
  <si>
    <t>CAIPI FE Y ALEGRIA</t>
  </si>
  <si>
    <t>CEEI LUCERITO DEL SABER</t>
  </si>
  <si>
    <t>CEEI ALEGRE DESPERTAR</t>
  </si>
  <si>
    <t xml:space="preserve">C.E.B.G. PARARA PURU </t>
  </si>
  <si>
    <t>DEC. 55 DEL 20 DE FEBRERO DE 2017</t>
  </si>
  <si>
    <t xml:space="preserve">Que crea el C.E.B.G Parara Puru </t>
  </si>
  <si>
    <t>ESC. BILINGÜE PRESIDENTE JOHN F. KENNEDY</t>
  </si>
  <si>
    <t>Dect. 470 de 19 de octubre de 1965 la Escuela Agua Buena , llámese en adelante Escuela Presidente John F. Kennedy. Decreto 446 del 14 de agosto de 2018 incorpora la denominacion Bilingüe al Nombre</t>
  </si>
  <si>
    <t>C.E.B.G. BILINGÜE EL ÑAJU</t>
  </si>
  <si>
    <t>DEC. 446 DE 14 DE AGOSTO DE 2018.</t>
  </si>
  <si>
    <t>ESC. BILINGÜE GRECIA</t>
  </si>
  <si>
    <t>DEC. 140 DE 16 DE MAYO DE 1963.</t>
  </si>
  <si>
    <t>Dect. 140 de 16 de mayo de 1963, por el cual se crea la Escuela de Manteca. Dect. 573 de 21 de noviembre de 1966 se cambia el nombre a la Escuela Manteca por el de Escuela Grecia. Dect. 1158 de 31 de diciembre de 2010 se implementa el Primer Nivel de enseñanza(premedia) en la Escuela Grecia, se le denominará C.E.B.G. Grecia. Decreto 446 del 14 de agosto de 2018 incorpora la denominacion Bilingüe al Nombre</t>
  </si>
  <si>
    <t>CENTRO EDUCATIVO BILINGÜE JOSE ARTIGAS</t>
  </si>
  <si>
    <t>ESC. BILINGÜE REPUBLICA ARABE DE EGIPTO</t>
  </si>
  <si>
    <t>DEC. 70 DE 16 DE FEBRERO DE 2011.</t>
  </si>
  <si>
    <t>El decreto 25 de 4 de abril de 1959 no crea escuelas, crea inspecciones escolares.  Dect. 608 de 15 de Diciembre de 1966 se le cambia el nombre a la Escuela Las Lajas  por el de República Árabe Unida. Dect. 291 de 16 de diciembre de 1975  se le cambia el nombre a la Escuela de Las Lajas por el de República Árabe de Egipto. Dect. 70 de 16 de febrero de 2011 se implementa la educación premedia en la Esc. Árabe de Egipto se le denominará C.E.B.G. Árabe de Egipto. Decreto 446 del 14 de agosto de 2018 incorpora la denominacion Bilingüe al Nombre</t>
  </si>
  <si>
    <t>ESC. EMBERA 2.60</t>
  </si>
  <si>
    <t>CENTRO EDUCATIVO MONSEÑOR FRANCISCO BECKMANN</t>
  </si>
  <si>
    <t xml:space="preserve">DEC. 137 DE 8 DE MAYO DE 1969. DEC. 303 DEL 8 DE SEP. DE 2006 SE CREA EL C.E </t>
  </si>
  <si>
    <t>Dect. 137 de 8 de mayo de 1969  se crea un primer ciclo de educación secundaria en Las Cumbres (Seminario San José). Dect. 3 de 14 de febrero de 1975  se le asigna el nombre de Monseñor Francisco Beckmann al Primer Ciclo de Las Cumbres. Dect. 49 de 13 de junio de 1978 créase el Centro de Educación Básica General Francisco Beckman.  Dect. 303 de 8 de septiembre de 2006 se crea el C.E. Monseñor Francisco Beckmann.</t>
  </si>
  <si>
    <t>ESC. BILINGÜE LA CABIMA</t>
  </si>
  <si>
    <t>Dect. 294 de 28 de junio de 1961 se crea en la comunidad de Alcalde Díaz   la Escuela La Cabima, independientes de la Escuela de Alcalde Díaz. Dect. 507 de 24 de octubre de 1961 désele el nombre de Melchor Lasso De La Vega a la escuela que funciona en la población de Alcalde Díaz con el nombre de La Cabima.  Dect. 97 de 19 de marzo de 1968, créase la Escuela primaria La Cabima. Dect. 97 de 8 de junio de 1981 créase la Escuela Primaria Oficial de La Cabima. Decreto 446 del 14 de agosto de 2018 incorpora la denominacion Bilingüe al Nombre</t>
  </si>
  <si>
    <t>TECNOLOGIA E INFORMATICA</t>
  </si>
  <si>
    <t>ESC. BILINGÜE MARIA HENRIQUEZ</t>
  </si>
  <si>
    <t>DEC. 20 DE 31 DE ENERO DE 1972.</t>
  </si>
  <si>
    <t>Dect. 20 de 31 de enero de 1972 se crea la Escuela Primaria Oficial María Henríquez. Decreto 446 del 14 de agosto de 2018 incorpora la denominacion Bilingüe al Nombre</t>
  </si>
  <si>
    <t>CENTRO EDUCATIVO BILINGÜE NUEVO PROGRESO</t>
  </si>
  <si>
    <t>Dect. 614 de 3 de agosto de 2011 se crea el C.E. Nuevo Progreso. Decreto 446 del 14 de agosto de 2018 incorpora la denominacion Bilingüe al Nombre</t>
  </si>
  <si>
    <t>ESC. PRIMARIA DOMINGO ROMERO</t>
  </si>
  <si>
    <t>DEC. 5 DE 27 DE ENERO DE 1986.</t>
  </si>
  <si>
    <t>Dect. 5 de 27 de enero de 1986 se crea la Escuela Primaria Domingo Romero. Dec. 2063 del 20 de octubre 2021 que asciende segunda categoria a la escuela  primaria oficial Domingo Romero</t>
  </si>
  <si>
    <t>ESC. BILINGÜE DON BOSCO RURAL</t>
  </si>
  <si>
    <t>DEC. 747 DE 28 DE DICIEMBRE DE 1962.</t>
  </si>
  <si>
    <t>Dect. 747 de 28 de diciembre de 1962 créase la Escuela Don Bosco. Decreto 446 del 14 de agosto de 2018 incorpora la denominacion Bilingüe al Nombre</t>
  </si>
  <si>
    <t>C.E.B.G. BILINGÜE MARIA LA TORRE</t>
  </si>
  <si>
    <t>DEC. 6 DE 27 DE ENERO DE 1964</t>
  </si>
  <si>
    <t>Dect. 6 de 27 de enero de 1964  se le da el nombre de María Latorre G. a la Escuela de Calzada Larga en el Municipio de Panamá. Decreto 446 del 14 de agosto de 2018 incorpora la denominacion Bilingüe al Nombre</t>
  </si>
  <si>
    <t>ESC. BILINGÜE NICOLLE GARAY</t>
  </si>
  <si>
    <t>Dect. 194 de 19 de mayo de 1965 créanse las siguientes escuelas Mocambo Abajo, Quebrada Ancha, Las Mañanitas y Punta Paitilla en el Municipio de Panamá. Dect. 24 de 11 de enero de 1971  dar el nombre de Nicolle Garay a la Escuela de Quebrada Ancha. Decreto 446 del 14 de agosto de 2018 incorpora la denominacion Bilingüe al Nombre. Decreto 446 del 14 de agosto de 2018 incorpora la denominacion Bilingüe al Nombre</t>
  </si>
  <si>
    <t>ESC. BILINGÜE REPUBLICA DE LA INDIA</t>
  </si>
  <si>
    <t>DEC. 201 DE 10 DE JUNIO DE 1954.</t>
  </si>
  <si>
    <t>Dect. 201 de 10 de junio de 1954,  apertura de la Escuela Lucha Franco. Dect. 382 de 21 de julio de 1966  la Escuela Lucha Franco se denominará Escuela República de La India.Decreto 446 del 14 de agosto de 2018 incorpora la denominacion Bilingüe al Nombre</t>
  </si>
  <si>
    <t>ESC. BILINGÜE SAN JUAN PABLO II</t>
  </si>
  <si>
    <t>DEC. 204 DE 18 DE ABRIL DE 1967.</t>
  </si>
  <si>
    <t>Dect. 204 de 18 de abril de 1967 se crea la Escuela Primaria Gonzalillo. Dec. 1351 del 29 de noviembre del 2013 asigna el nombre de C.E. San Juan Pablo II a la escuela Republica de Rumania.Decreto 446 del 14 de agosto de 2018 incorpora la denominacion Bilingüe al Nombre</t>
  </si>
  <si>
    <t>ESC. BILINGÜE SAN PABLO Y VILLANUEVA</t>
  </si>
  <si>
    <t>ESC. BILINGÜE SANTOS JORGE A.</t>
  </si>
  <si>
    <t>Dect. 1101 de 4 de diciembre de 1953 desígnese a la Escuela de Chilibre con el nombre de Escuela Santos Jorge. Dect. 49 de 13 de junio de 1978, créase el Centro de Educación Básica General Santos Jorge.Decreto 446 del 14 de agosto de 2018 incorpora la denominacion Bilingüe al Nombre</t>
  </si>
  <si>
    <t>ESC. BILINGÜE TOMAS ARIAS</t>
  </si>
  <si>
    <t xml:space="preserve">DEC. 30 DE 20 DE NOVIEMBRE DE 1952 </t>
  </si>
  <si>
    <t>Dect. 30 de 20 de Noviembre de 1952  se cambia el nombre a Buenos Aires a la anterior Escuela de la comunidad de Matahambre. Dect. 1106 de 7 de Diciembre de 1953 desígnese a la Escuela de Buenos Aires con el nombre de Escuela Tomás Arias. Decreto 446 del 14 de agosto de 2018 incorpora la denominacion Bilingüe al Nombre</t>
  </si>
  <si>
    <t>ESC. BILINGÜE UNION PANAMERICANA</t>
  </si>
  <si>
    <t>DEC. 2234 DE 15 DE OCTUBRE DE 1948.</t>
  </si>
  <si>
    <t>Dect. 2234 de 15 de octubre de 1948 se ordena el establecimiento de la Escuela Alcalde Díaz en el Municipio de Panamá. Dect. 169 de 8 de mayo de 1962  se le da el nombre de Unión Panamericana a la Escuela Pública Primaria de Alcalde Díaz en el Municipio de Panamá. Decreto 446 del 14 de agosto de 2018 incorpora la denominacion Bilingüe al Nombre</t>
  </si>
  <si>
    <t>ESC. BILINGÜE VILLA UNIDA</t>
  </si>
  <si>
    <t>Dect. 20 de 31 de enero de 1972 se crea la Escuela Primaria Oficial de Villa Unida de Chilibre. Decreto 446 del 14 de agosto de 2018 incorpora la denominacion Bilingüe al Nombre</t>
  </si>
  <si>
    <t>ESC. GUILLERMO PATTERSON</t>
  </si>
  <si>
    <t>El decreto 166 de 11 de mayo de 1960, por el cual se crea la escuela Mocambo en el Municipio de Panamá. Dect. 60 de 21 de Febrero de 1962  se le cambia el nombre a la Escuela de Mocambo por el de Guillermo Patterson.</t>
  </si>
  <si>
    <t>I.P.T. CHILIBRE</t>
  </si>
  <si>
    <t>DEC. 578 DE 15 DE SEPTIEMBRE DE 2003.</t>
  </si>
  <si>
    <t>COMERCIO,INDUSTRIAL</t>
  </si>
  <si>
    <t>ESC. LA TRANQUILLA</t>
  </si>
  <si>
    <t>DEC. 51 DE 21 DE MARZO DE 1974</t>
  </si>
  <si>
    <t>Dect. 51 de 21 de marzo de 1974 se crea la Escuela La Tranquilla en el Municipio de Panamá.</t>
  </si>
  <si>
    <t>C.E.B.G. MELCHOR LASSO DE LA VEGA</t>
  </si>
  <si>
    <t>ESC. MONO CONGO</t>
  </si>
  <si>
    <t>CAIMITILLO</t>
  </si>
  <si>
    <t>DEC. 211 DE 7 DE MAYO DE 1968.</t>
  </si>
  <si>
    <t>Dect. 211 de 7 de mayo de 1968 se crea la Escuela Primaria Oficial Nuevo Caimitillo.</t>
  </si>
  <si>
    <t>C.E.B.G. PRESIDENTE ROOSEVELT</t>
  </si>
  <si>
    <t>Dect. 268 de 30 de junio de 1954 apertura de la Escuela Agua Bendita. Dect. 635 del 24 de octubre de 1962 se le da el nombre de Escuela Presidente Roosevelt a la de Escuela Agua Bendita</t>
  </si>
  <si>
    <t>HUMANIDADES,COMERCIO</t>
  </si>
  <si>
    <t>DEC. 110 DE 16 DE FEBRERO DE 1971.</t>
  </si>
  <si>
    <t>Dect. 110 de 16 de febrero de 1971 créase la Escuela Quebrada Ancha en Chilibre.</t>
  </si>
  <si>
    <t xml:space="preserve">ESC. SAN JUAN DE PEQUENI </t>
  </si>
  <si>
    <t>C.E.B.G. SAN JUAN DE PEQUENI RURAL</t>
  </si>
  <si>
    <t>C.E.B.G. SANTA LIBRADA (RURAL)</t>
  </si>
  <si>
    <t>Dect. 422 de 18 de agosto de 1966 créase la Escuela Primaria Oficial Victoriano Lorenzo.</t>
  </si>
  <si>
    <t>ESC. VILLA CARDENAS</t>
  </si>
  <si>
    <t xml:space="preserve"> Dect. 299 de 8 de junio de 1962 créase la Escuela de Mocambo Abajo en el Municipio de Panamá.Dect. 194 de 19 de mayo de 1965 créase la escuela Mocambo Abajo.  Dect. 143 de 29 de octubre de 1976 se le cambia el nombre a la Escuela de Mocambo Abajo por el de Villa Cárdenas, se deroga el decreto 194 de 19 de mayo de 1965 por medio del cual se le asignó el nombre de Mocambo Abajo.</t>
  </si>
  <si>
    <t>ESC. VILLA MILAGRO</t>
  </si>
  <si>
    <t>DEC. 51 DE 26 DE MARZO DE 1991.</t>
  </si>
  <si>
    <t>Dect. 51 de 26 de marzo de 1991 se le asigna el nombre de Villa Milagro a la escuela primaria Santa Marta No.2.</t>
  </si>
  <si>
    <t>INSTITUTO PANAMA NORTE</t>
  </si>
  <si>
    <t xml:space="preserve"> MEDIA ACADÉMICA-MEDIA PROFESIONAL Y TÉCNICA</t>
  </si>
  <si>
    <t>C.E.B.G. EMBERA PURU</t>
  </si>
  <si>
    <t>DEC. 44 DEL 20 DE FEBRERO DEL 2017</t>
  </si>
  <si>
    <t>TELE-EDUCACIÓN SAN JUAN DE PEQUENI RURAL</t>
  </si>
  <si>
    <t>TELE-EDUCACIÓN VICTORIANO LORENZO</t>
  </si>
  <si>
    <t xml:space="preserve">PANAMÁ </t>
  </si>
  <si>
    <t>ALFALIT  NUEVO PROGRESO</t>
  </si>
  <si>
    <t>CENTRO EDUCATIVO NOCTURNO LAS CUMBRES</t>
  </si>
  <si>
    <t>TELE-EDUCACIÓN GRECIA ES NICOLLE GARAY</t>
  </si>
  <si>
    <t>TELE-EDUCACIÓN NUEVO CAIMITILLO</t>
  </si>
  <si>
    <t>TELE-EDUCACIÓN SAN JUAN DE PEQUENI INDIGENA</t>
  </si>
  <si>
    <t>CENTRO EDUCATIVO SHEKINA</t>
  </si>
  <si>
    <t>ALFALIT CRISTAL HOUSE</t>
  </si>
  <si>
    <t>ALFALIT MKADDESH</t>
  </si>
  <si>
    <t>ALFALIT PASITOS AL FUTURO</t>
  </si>
  <si>
    <t>ALFALIT SENDERO DE LUZ</t>
  </si>
  <si>
    <t>COLEGIO BILINGÜE AYUDANDO A ENSEÑAR</t>
  </si>
  <si>
    <t>ESC. BLESSED KIDS BILINGUAL ACADEMY</t>
  </si>
  <si>
    <t>ACADEMIA BILINGÜE SAN LORENZO</t>
  </si>
  <si>
    <t>CENTRO EDUCATIVO PARTICULAR ACADEMIA GEDEON</t>
  </si>
  <si>
    <t xml:space="preserve">RES. 354 DEL 16 DE FEB. DE 2022 QUE AUTORIZA EL FUNCIONAMIENTO </t>
  </si>
  <si>
    <t>CENTRO EDUCATIVO BILINGÜE SALOMON</t>
  </si>
  <si>
    <t>RES. 5420 DEL 26 DE NOV.  DE 2021 QUE AUTORIZA EL FUNCIONAMIENTO</t>
  </si>
  <si>
    <t>CENTRO EDUCATIVO BILINGÜE ABBA PADRE</t>
  </si>
  <si>
    <t>RES. 5496 DEL 3 DE DICIEMBRE 2021</t>
  </si>
  <si>
    <t>COLEGIO PANAMA BRIGHT ACADEMY</t>
  </si>
  <si>
    <t>ESC. BUEN PASTOR GONZALILLO</t>
  </si>
  <si>
    <t>CENTRO EDUCATIVO COLINAS DE LAS CUMBRES</t>
  </si>
  <si>
    <t>Dect. 75 de 14 de mayo de 1997 se crea el Centro de Educación Laboral Nocturno de Jóvenes y Adultos de Las Cumbres en el Corregimiento de Alcalde Díaz.</t>
  </si>
  <si>
    <t>CENTRO EDUCATIVO EL TALLER DE LAS IDEAS</t>
  </si>
  <si>
    <t>RES. 692 DEL 10 DE FEBRERO DE 2021 QUE AUTORIZA EL FUNCIONAMIENTO DEL C.E.</t>
  </si>
  <si>
    <t>CENTRO EDUCATIVO INTEGRAL SAN FRANCISCO DE ASIS</t>
  </si>
  <si>
    <t>CENTRO EDUCATIVO MAS QUE VENCEDORES</t>
  </si>
  <si>
    <t>COLEGIO ADVENTISTA CHILIBRE</t>
  </si>
  <si>
    <t>COLEGIO ADVENTISTA LAS CUMBRES</t>
  </si>
  <si>
    <t>RES. 1153 20 DE MAYO DE 2022 POR EL CUAL AUTORIZA EL FUNCIONAMIENTO DEL CENTRO EDUCATIVO.</t>
  </si>
  <si>
    <t>COLEGIO ADVENTISTA SAN VICENTE</t>
  </si>
  <si>
    <t>COLEGIO BILINGÜE EMANUEL</t>
  </si>
  <si>
    <t>RES. 5102 DEL 20 DE OCTUBRE 2021 QUE AUTORIZA EL FUNCIONAMIENTO DEL C. E.</t>
  </si>
  <si>
    <t>COLEGIO BILINGÜE JOHN LOCKE</t>
  </si>
  <si>
    <t>RES. 3439 DE 01 DE JULIO DE 2021 QUE AUTORIZA EL FUNCIONAMIENTO</t>
  </si>
  <si>
    <t>CENTRO EDUCATIVO MARULY</t>
  </si>
  <si>
    <t>RES. 2039 AL 03 DE AGOSTO DE 2022 QUE AUTORIZA FUNCIONAMIENTO.</t>
  </si>
  <si>
    <t>ESC. EL BUEN PASTOR SHALOM</t>
  </si>
  <si>
    <t>ESC. EL BUEN PASTOR VILLA GRECIA</t>
  </si>
  <si>
    <t>ESC. BILINGÜE EL OCASO</t>
  </si>
  <si>
    <t>ESC. BILINGÜE SAINT JOHN</t>
  </si>
  <si>
    <t>CIENCIAS,COMERCIO,TURISMO</t>
  </si>
  <si>
    <t>ESC. MANUEL F. ZARATE</t>
  </si>
  <si>
    <t>ESC. NUESTRA SEÑORA DE BETHLEM</t>
  </si>
  <si>
    <t>ESC. ADVENTISTA DE NUEVO MEXICO</t>
  </si>
  <si>
    <t>ESC.  BADI</t>
  </si>
  <si>
    <t>ESC.  BET-EL</t>
  </si>
  <si>
    <t>EXPLORE CHISTIAN ACADEMY</t>
  </si>
  <si>
    <t>INSTITUTO ANDRES BELLO</t>
  </si>
  <si>
    <t>INSTITUTO BILINGÜE INT. DE PANAMÁ</t>
  </si>
  <si>
    <t>INSTITUTO BILINGÜE SAN LORENZO</t>
  </si>
  <si>
    <t>INSTITUTO POLITECNICO BILINGÜE GOSEN</t>
  </si>
  <si>
    <t>CIENCIAS, HUMANIDADES, COMERCIO, INDUSTRIAL, MARITIMO, TURISMO,TECNOLOGIA E INFORATICA</t>
  </si>
  <si>
    <t>CENTRO EDUCATIVO LLUVIA DE GRACIA</t>
  </si>
  <si>
    <t>ESC. SAINT JOSEPH SALESIAN SCHOOL</t>
  </si>
  <si>
    <t>ESC. SAINT PATRICK</t>
  </si>
  <si>
    <t>ESC .THE OXFORD SCHOOL PASEO DEL NORTE</t>
  </si>
  <si>
    <t>CENTRO EDUCATIVO LABORAL A.J CROSSFIELD</t>
  </si>
  <si>
    <t>ESC.  LABORAL BET-EL</t>
  </si>
  <si>
    <t xml:space="preserve">INSTITUTO ANDRES BELLO </t>
  </si>
  <si>
    <t>ESC. SAN ISIDRO LABRADOR</t>
  </si>
  <si>
    <t>PANAMÁ OESTE</t>
  </si>
  <si>
    <t>PANAMA OESTE</t>
  </si>
  <si>
    <t>LA CHORRERA</t>
  </si>
  <si>
    <t>BARRIO COLÓN</t>
  </si>
  <si>
    <t>CAIPI LOS PININOS NUEVA GENERACION</t>
  </si>
  <si>
    <t>ARRAIJÁN</t>
  </si>
  <si>
    <t>VERACRUZ</t>
  </si>
  <si>
    <t>CEFACEI COSTA DEL SOL</t>
  </si>
  <si>
    <t>CEFACEI LA INDUSTRIAL</t>
  </si>
  <si>
    <t>NUEVO EMPERADOR</t>
  </si>
  <si>
    <t>CEFACEI NUEVO EMPERADOR</t>
  </si>
  <si>
    <t>CEFACEI RAUDAL #1</t>
  </si>
  <si>
    <t>PUERTO CAIMITO</t>
  </si>
  <si>
    <t>CEFACEI LOS ANGELITOS</t>
  </si>
  <si>
    <t>BARRIO BALBOA</t>
  </si>
  <si>
    <t>C.E.B.G. EL MARAÑONAL</t>
  </si>
  <si>
    <t>ESC. CIUDAD DEL NIÑO</t>
  </si>
  <si>
    <t>COIF LA TULIHUECA/ MEDUCA</t>
  </si>
  <si>
    <t>CAPIRA</t>
  </si>
  <si>
    <t>LA TRINIDAD</t>
  </si>
  <si>
    <t>ESC. AGUACATE ABAJO</t>
  </si>
  <si>
    <t>Dect. 138 de 16 de junio de 1959 se crea la escuela EL Aguacate de Trinidad Abajo.</t>
  </si>
  <si>
    <t>ESC. AHOGADO CENTRO</t>
  </si>
  <si>
    <t>GUADALUPE</t>
  </si>
  <si>
    <t>CENTRO DE EDUCACIÓN ALTOS DE SAN FRANCISCO</t>
  </si>
  <si>
    <t>DEC. 649 DE 28 DE DICIEMBRE DE 1970. DEC. EJECUTIVO 118 DEL 3 DE MARZO DE 2017 QUE IMPLEMENTA LOS NIVELES DE EDUCACIÓN DE PREMEDIA Y  MEDIA.</t>
  </si>
  <si>
    <t xml:space="preserve">Dec. 649 de 28 de diciembre de 1970 se crea la Escuela PRIMARIA, Dec.118, del 3 de marzo de 2017,q se implementa premedia y media C.E.B.G. Altos de San Francisco. </t>
  </si>
  <si>
    <t>ESC. ALTOS DE ESPAVE</t>
  </si>
  <si>
    <t>DEC. 207 DE 17 DE MAYO DE 1962.</t>
  </si>
  <si>
    <t>Dect. 207 de 17 de mayo de 1962 créase la Escuela Altos de Espave.</t>
  </si>
  <si>
    <t>ESC. ALTOS DE NUEVO LIMON</t>
  </si>
  <si>
    <t>AMADOR</t>
  </si>
  <si>
    <t>C.E.B.G. AMINTA MARTINEZ</t>
  </si>
  <si>
    <t>DEC. 1 DE 1 DE ENERO DE 1994.</t>
  </si>
  <si>
    <t>Dect. 320 de 6 de julio de 1992  se le asigna el nombre de Aminta Martínez a la Escuela Primaria Cerro Cama. Dect. 1 de 12 de enero de 1994 se crea el Primer Ciclo Cerro Cama en el corregimiento de Amador La Chorrera.</t>
  </si>
  <si>
    <t>Dect. 85 de 11 de marzo de 1965 se crea la Escuela Bajo Bonito en el municipio de Capira.Dect. 1071 del 25 de noviembre del 2016 que crea los centros educativos que implementan el Programa de Educación Premedia y Media con metodología Escuela Nueva Escuela Activa (ENEA)</t>
  </si>
  <si>
    <t>DEC. 460 DE 31 DE JULIO DE 1956.</t>
  </si>
  <si>
    <t>Dec. 460 de 31 de julio de 1956 se ordena la apertura de la Escuela Bajo Grande en el Municipio de La Chorrera.</t>
  </si>
  <si>
    <t>ESC. BIANCHERI</t>
  </si>
  <si>
    <t>DEC. 329 DEL 14 DE MAYO DEL 2013</t>
  </si>
  <si>
    <t>CERRO SILVESTRE</t>
  </si>
  <si>
    <t>Dect. 2234 de 15 de octubre de 1948 se ordena el establecimiento de las Escuela Bique en el Municipio de Arraiján. Dect. 423 de 17 de julio de 1956 se ordena la apertura de la Escuela Bique en el Municipio de Arraiján.</t>
  </si>
  <si>
    <t>CIRÍ GRANDE</t>
  </si>
  <si>
    <t>ESC. BONGA ARRIBA</t>
  </si>
  <si>
    <t>DEC. 208 DE 17 DE JULIO DE 1987.</t>
  </si>
  <si>
    <t>Dect. 208 de 17 de julio de 1987  se crea la Escuela Primaria Bonga Arriba en el corregimiento de Ciri Grande.</t>
  </si>
  <si>
    <t>VISTA ALEGRE</t>
  </si>
  <si>
    <t>ESC. BRISAS DEL CHUMICAL</t>
  </si>
  <si>
    <t>Dect. 579 de 5 de noviembre de 1992 se crea la Escuela Primaria Brisas del  Chumical en Vista Alegre Arraiján. Dect. 248 de 18 de abril de 2011 se implementa la educación PREMEDIA en el C.E. Brisas del Chumical y se denominará C.E.B.G. Brisas del Chumical.</t>
  </si>
  <si>
    <t>CERMEÑO</t>
  </si>
  <si>
    <t>CENTRO EDUCATIVO MONTE OSCURO</t>
  </si>
  <si>
    <t>C.E.B.G BILINGÜE EL TECAL</t>
  </si>
  <si>
    <t>DEC. 692 DE 23 DE AGOSTO DE 2012</t>
  </si>
  <si>
    <t>ESC. BILINGÜE LA HERRADURA</t>
  </si>
  <si>
    <t>DEC. 136 DE 8 DE MAYO DE 1969.</t>
  </si>
  <si>
    <t>Dect. 136 de 8 de mayo de 1969  se crea la escuela PRIMARIA Oficial La Herradura. Decreto 446 del 14 de agosto de 2018 incorpora la denominacion Bilingüe al Nombre</t>
  </si>
  <si>
    <t>C.E.B.G. CIUDAD ESPERANZA</t>
  </si>
  <si>
    <t>LÍDICE</t>
  </si>
  <si>
    <t>ESC. CAIMITILLO</t>
  </si>
  <si>
    <t>DEC. 97 DE 14 DE MAYO DE 1964.</t>
  </si>
  <si>
    <t>Dect. 97 de 14 de mayo de 1964  créase la Escuela de Caimitillo.</t>
  </si>
  <si>
    <t>OBALDÍA</t>
  </si>
  <si>
    <t>ESC. CAIMITILLO ABAJO</t>
  </si>
  <si>
    <t>Dect. 193 de 12 de mayo de 1961 se crean escuelas en varias Provincias de la República- Escuela Caimitillo Abajo</t>
  </si>
  <si>
    <t>PLAYA LEONA</t>
  </si>
  <si>
    <t>CENTRO DE FORMACION INTEGRAL BILINGÜE GUILLERMO ENDARA GALIMANY</t>
  </si>
  <si>
    <t>DEC. 1379 DEL 31 DE DICIEMBRE DE  2020,QUE ADOPTA DE CARAPTER TRANSITORIO EL PLAN DE ESTUDIO PARA EL SEGUNDO NIVEL DE ENSEÑANZA O EDUCACION MEDIA DE BACHILLERATO EN COMERCIO BILINGÜE.</t>
  </si>
  <si>
    <t>CENTRO EDUCATIVO BILINGÜE VERACRUZ</t>
  </si>
  <si>
    <t>BURUNGA</t>
  </si>
  <si>
    <t>CENTRO EDUCATIVO BILINGÜE BURUNGA</t>
  </si>
  <si>
    <t>CENTRO EDUCATIVO BILINGÜE LUCAS BÁRCENAS</t>
  </si>
  <si>
    <t>DEC. 30 DE 29 DE JUNIO DE 1994.</t>
  </si>
  <si>
    <t>Dect. 30 de 29 de junio de 1994 se crea la Escuela Primaria Lucas Bárcenas.Decreto 446 del 14 de agosto de 2018 incorpora la denominacion Bilingüe al Nombre</t>
  </si>
  <si>
    <t>CENTRO EDUCATIVO BILINGÜE SAN PEDRO NOLASCO</t>
  </si>
  <si>
    <t xml:space="preserve">DEC. 235 DEL 8 DE ABRIL DEL 2013/ DEC. 30 DE AGOSTO DE 2018 QUE CAMBIA LA DENOMINACION A  CENTRO BILINGÜE DE FORMACION INTEGRAL </t>
  </si>
  <si>
    <t xml:space="preserve">CAPIRA </t>
  </si>
  <si>
    <t>ESC. CERRO CERMEÑO</t>
  </si>
  <si>
    <t>Dect. 194 de 19 de mayo de 1965  créase la Escuela Primaria Cerro Cermeño en el municipio  de Capira.</t>
  </si>
  <si>
    <t>ESC. CERRO SILVESTRE</t>
  </si>
  <si>
    <t>DEC. 66 DE 12 DE MAYO DE 1949.</t>
  </si>
  <si>
    <t>Dect. 66 de 12 de mayo de 1949 se ordena el establecimiento de la Escuela Cerro Silvestre en el Municipio de Arraiján. Dect. 276 de 4 de junio de 1968, modifica al decreto 468 de 18 de agosto de 1967 debe decir Municipio de Arraiján.</t>
  </si>
  <si>
    <t>JUAN DEMOSTENES AROSEMENA</t>
  </si>
  <si>
    <t>ESC. CERRO TIGRE</t>
  </si>
  <si>
    <t>Dect. 614 de 3 de agosto de 2011 se crea el C.E. Cerro Tigre</t>
  </si>
  <si>
    <t>LOS LLANITOS</t>
  </si>
  <si>
    <t>ESC. CHICHIVALI</t>
  </si>
  <si>
    <t>CIRÍ DE LOS SOTOS</t>
  </si>
  <si>
    <t>ESC. CIRICITO LOS SOTOS</t>
  </si>
  <si>
    <t>Dec. 167 de 24 de Abril de 1970 se crea la Escuela PRIMARIA CIRICITOS LOS SOTOS</t>
  </si>
  <si>
    <t>COLEGIO VERACRUZ</t>
  </si>
  <si>
    <t>Dect. 614 de 3 de agosto de 2011 se crea el C.E. Veracruz en Veracruz Arraiján.</t>
  </si>
  <si>
    <t>ESC. LAS COLINAS DE CACERES</t>
  </si>
  <si>
    <t>DEC. 130 DE 18 DE ABRIL DE 1960.</t>
  </si>
  <si>
    <t>Dect. 130 de 18 de abril de 1960  créase la Escuela Las Colinas de Cáceres.</t>
  </si>
  <si>
    <t>CHAME</t>
  </si>
  <si>
    <t>NUEVA GORGONA</t>
  </si>
  <si>
    <t>ESC. COLONCITO</t>
  </si>
  <si>
    <t xml:space="preserve">DEC. 171 DE 8 DE AGOSTO DE 1962. </t>
  </si>
  <si>
    <t>Dec. 171 de 8 de agosto de 1962 por el cual se crea la Escuela de Coloncito.</t>
  </si>
  <si>
    <t>HURTADO</t>
  </si>
  <si>
    <t>ESC. COROZALES AFUERA</t>
  </si>
  <si>
    <t>ESC. COSECHA AMISTAD</t>
  </si>
  <si>
    <t>Dect. 579 de 5 de noviembre de 1992 se crea la Escuela Primaria Chumical en Veracruz Arraiján. Dect. 284 de 9 de julio de 1993  se  le asigna el nombre de Cosecha Amistad al la Escuela Primaria Chumical en Veracruz.</t>
  </si>
  <si>
    <t>ESC. CRISTÓBAL ADÁN DE URRIOLA</t>
  </si>
  <si>
    <t>DEC. 24 DE 11 DE MAYO DE 2023</t>
  </si>
  <si>
    <t>Dect. 24 de 11 de mayo de 2023 se crea la Escuela Secundaria Cristóbal Adán de Urriola. Dect. 73 de 27 de enero de 1971 se crea el Primer Ciclo de Educación Secundaria el mismo llevará el nombre de Cristóbal Adán Urriola. Dect. 45 de 21 de Abril de 1981  se denominará Colegio Secundario Cristóbal Adán Urriola al actual Primer Ciclo Cristóbal Adán Urriola. Dect. 339 de 20 de julio de 1992 se crea la Escuela Secundaria Cristóbal Adán Urriola en el Corregimiento de Arraiján.</t>
  </si>
  <si>
    <t>CIENCIAS,HUMANIDADES,TURISMO,TECNOLOGIA E INFORMATICA</t>
  </si>
  <si>
    <t>VILLA CARMEN</t>
  </si>
  <si>
    <t>ESC. DOMINGO DIAZ AROSEMENA</t>
  </si>
  <si>
    <t>DEC. 625 DE 21 DE JULIO DE 1953.</t>
  </si>
  <si>
    <t>Dect. 625 de 21 de julio de 1953  desígnese a la Escuela Mixta de Villa Carmen con el nombre de Escuela Domingo Díaz Arosemena.</t>
  </si>
  <si>
    <t>ESC. DOS AGUAS</t>
  </si>
  <si>
    <t>Dect. 204 de 18 de abril de 1967  se crean las Escuelas Mamoní Arriba, Cauchigua, La Conga (Capira) Dos Aguas(Capira) Maje (Indígena) y Gonzalillo en Panamá.</t>
  </si>
  <si>
    <t>EL ARADO</t>
  </si>
  <si>
    <t>C.E.B.G. EL ARADO</t>
  </si>
  <si>
    <t>CENTRO EDUCATIVO EL CACAO</t>
  </si>
  <si>
    <t>Dect. 49 de 13 de junio de 1978 créase el Centro de Educación Básica General El Cacao. Dect. 302 de 8 de septiembre de 2006 se crea el C.E. El Cacao.</t>
  </si>
  <si>
    <t>ESC. CARACOLAR</t>
  </si>
  <si>
    <t>ESC. EL CARAÑO</t>
  </si>
  <si>
    <t>Dect. 415 de 23 de agosto de 1963 se crea la Escuela El Caraño</t>
  </si>
  <si>
    <t>EL ESPINO</t>
  </si>
  <si>
    <t>ESC. EL COPECITO</t>
  </si>
  <si>
    <t>SAJALICES</t>
  </si>
  <si>
    <t>Dect. 415 de 23 de agosto de 1963 se crea la Escuela Espave</t>
  </si>
  <si>
    <t>DEC. 53 DE 30 DE JUNIO DE 1925.</t>
  </si>
  <si>
    <t>Dect. 53 de 30 de junio de 1925  se crea la escuela mixta rural en el caserío de El Cuayabito en San Carlos.</t>
  </si>
  <si>
    <t>EL HIGO</t>
  </si>
  <si>
    <t>DEC. 710 DE 29 DE AGOSTO DE 2011.</t>
  </si>
  <si>
    <t>Dect. 710 de 29 de Agosto de 2011 se crea el C.E. El Higo.</t>
  </si>
  <si>
    <t>C.E.B.G. EL HIJO DEL CARPINTERO</t>
  </si>
  <si>
    <t>ESC. EL JAGUA</t>
  </si>
  <si>
    <t>SORÁ</t>
  </si>
  <si>
    <t>DEC. 188 DE 11 DE MAYO DE 1962.</t>
  </si>
  <si>
    <t>Dec. 188 de 11 de mayo de 1962 se crea la Escuela de El Jobo.</t>
  </si>
  <si>
    <t>EL LÍBANO</t>
  </si>
  <si>
    <t>ESC. EL LIBANO</t>
  </si>
  <si>
    <t>DEC. 66 DE 27 DE DICIEMBRE DE 1968.</t>
  </si>
  <si>
    <t>Dect. 66 de 27 de diciembre de 1968  se crea la Escuela El Limón</t>
  </si>
  <si>
    <t>ESC. EL LIRIO</t>
  </si>
  <si>
    <t>ESC. EL MANGLARITO</t>
  </si>
  <si>
    <t>Dect. 515 de 14 de septiembre de 1951 se crea la Escuela Manglarito. Dect. 171 de 4 de mayo de 1956 se ordena la apertura de la Escuela El Manglarito.</t>
  </si>
  <si>
    <t>Dect. 34 de 24 de enero de 1966 créase la Escuela  Nanzal  en el Municipio de Chame.</t>
  </si>
  <si>
    <t>ESC. EL NAZARENO</t>
  </si>
  <si>
    <t>Dect. 614 de 3 de agosto de 2011 se crea el C.E. El Nazareno en la Chorrera</t>
  </si>
  <si>
    <t>LA LAGUNA</t>
  </si>
  <si>
    <t>DEC. 267 DE 16 DE JUNIO DE 1960.</t>
  </si>
  <si>
    <t>Dect. 267 de 16 de junio de 1960 se crea la Escuela El Picacho en el Distrito de San Carlos.</t>
  </si>
  <si>
    <t> PREESCOLAR-PRIMARIA</t>
  </si>
  <si>
    <t>Dect. 244 de 31 de julio de 1986 se crea la Escuela El Progreso.</t>
  </si>
  <si>
    <t>C.E.B.G. EL TRAPICHITO</t>
  </si>
  <si>
    <t>DEC. 244 DE 18 DE ABRIL DE 2011 SE IMPLEMENTA LA EDUCACIÓN PREMEDIA EN EL C.E. EL TRAPICHITO</t>
  </si>
  <si>
    <t>BEJUCO</t>
  </si>
  <si>
    <t>ESC. BILINGÜE BERTA E. FERNANDEZ</t>
  </si>
  <si>
    <t>DEC. 369 DE 4 DE AGOSTO DE 1961.</t>
  </si>
  <si>
    <t>Dect. 369 de 4 de agosto de 1961 se le da el nombre de Berta Elida Fernández a la escuela primaria de Bejuco.Decreto 446 del 14 de agosto de 2018 incorpora la denominacion Bilingüe al Nombre</t>
  </si>
  <si>
    <t>ESC. BILINGÜE EL COCO</t>
  </si>
  <si>
    <t>Dec. 614 de 3 de agosto de 2011 se crea el C.E. El Coco en la Chorrera. Decreto 446 del 14 de agosto de 2018 incorpora la denominacion Bilingüe al Nombre</t>
  </si>
  <si>
    <t>ESC. BILINGÜE FEDERICO BOYD</t>
  </si>
  <si>
    <t>DEC. 123 DE 15 DE OCTUBRE DE 1940.</t>
  </si>
  <si>
    <t>Dect. 123 de 15 de octubre de 1940 se le da el nombre de Federico Boyd a la Escuela Mixta de Capira.Decreto 446 del 14 de agosto de 2018 incorpora la denominacion Bilingüe al Nombre</t>
  </si>
  <si>
    <t>ESC. BILINGÜE GUILLERMO ANDREVE</t>
  </si>
  <si>
    <t>DEC. 356 DE 13 DE MAYO DE 1953.</t>
  </si>
  <si>
    <t>Dect. 356 de 13 de mayo de 1953 desde esta fecha el Centro Escolar de Arraiján se llamará Escuela Guillermo Andreve.  Dect. 303c del 27 de octubre de 1995 se crea el Primer Ciclo Arraiján en el corregimiento de Arraiján, Distrito de Arraiján, funcionará en las instalaciones de la Escuela Guillermo Andreve. Decreto 446 del 14 de agosto de 2018 incorpora la denominacion Bilingüe al Nombre</t>
  </si>
  <si>
    <t>VILLA ROSARIO</t>
  </si>
  <si>
    <t>ESC. BILINGÜE HARMODIO ARIAS MADRID</t>
  </si>
  <si>
    <t>DEC. 50 DE 28 DE ENERO DE 1965</t>
  </si>
  <si>
    <t>Dec. 50 de 28 de enero de 1965  se  le cambia el nombre a la Escuela Villa Rosario por el de Dr. Harmodio Arias Madrid.  Dect. 299 de 10 de junio de 1970 se crea el Ciclo de Educación Profesional y Técnica en el Primer Ciclo Harmodio Arias Madrid. Dect. 390 de 16 de diciembre de 1986 se crea el segundo ciclo de comercio. Decreto 446 del 14 de agosto de 2018 incorpora la denominacion Bilingüe al Nombre</t>
  </si>
  <si>
    <t>C.E.B.G. BILINGÜE LA POLVAREDA</t>
  </si>
  <si>
    <t>Dect. 515 de 14 de septiembre de 1951 se ordena el establecimiento de la Escuela La Polvareda en  Municipio de Arraiján. Decreto 446 del 14 de agosto de 2018 incorpora la denominacion Bilingüe al Nombre</t>
  </si>
  <si>
    <t>ESC. BILINGÜE  NACIONES UNIDAS</t>
  </si>
  <si>
    <t>Dect. 101 de 7 de abril de 1961 se crea la Escuela Matuna. Dect. 269 de 4 de junio de 1968 se reforma el decreto 101 de 7 de abril de 1961 de creación de la Escuela Matuna y se le denomina Escuela Matuna No. 1, se crea la Escuela Matuna No.2. Dect. 288 de 25 de julio de 1969 se deroga el decreto 269 de 4 de junio de 1968, de creación de la Escuela Matuna No.2 en el municipio de La Chorrera se fusionan las Escuelas Matuna No.1 y No.2 y se le dará el nombre de Escuela Matuna. Dect. 579 de 22 de octubre de 1970  se le cambia el nombre a la Escuela Matuna por el de Naciones Unidas.</t>
  </si>
  <si>
    <t>C.E.B.G. BILINGÜE NUEVO CHORRILLO</t>
  </si>
  <si>
    <t>DEC. 14 DE 5 DE ABRIL DE 1978.</t>
  </si>
  <si>
    <t>Dect. 14 de 5 de abril de 1978  se crea la Escuela Nuevo Chorrillo en el corregimiento Juan Demóstenes Arosemena. Dect. 614 de 3 de agosto de 2011 se crea el C.E. Nuevo Chorrillo en El  Coco de La Chorrera. Dect. 14 de 5 de abril de 1978  se crea la Escuela Nuevo Chorrillo en el corregimiento Juan Demóstenes Arosemena.Decreto 446 del 14 de agosto de 2018 incorpora la denominacion Bilingüe al Nombre</t>
  </si>
  <si>
    <t>C.E.B.G. BILINGÜE NUEVO EMPERADOR</t>
  </si>
  <si>
    <t>CENTRO EDUCATIVO DE FORMACIÓN INTEGRAL NUEVO EMPERADOR</t>
  </si>
  <si>
    <t>DEC. 63 DE 23 DE OCTUBRE DE 2023</t>
  </si>
  <si>
    <t xml:space="preserve">Dec. 63 de 23 de octubre de 2023. La Dirección General de Educación, mediante la nota de DGE-124-1927 de 11 de julio de 2023, remitio la documentación que sustenta la creación del Centro Educativo de Formación Integral Nuevo Emperador, ubicado en la provincia de Panamá Oeste, distrito de Arraiján, corregiento de Nuevo Emperador.  </t>
  </si>
  <si>
    <t>ESC. BILINGÜE RAFAEL MADURO G.</t>
  </si>
  <si>
    <t>DEC. 27 DE 13 DE ENERO DE 1965.</t>
  </si>
  <si>
    <t>Dect. 27 de 13 de enero de 1965 el nombre correcto es Rafael Maduro Garibaldo y no Rafael Maduro Grimaldo.Decreto 446 del 14 de agosto de 2018 incorpora la denominacion Bilingüe al Nombre</t>
  </si>
  <si>
    <t>ESC. BILINGÜE REPUBLICA DE COSTA RICA</t>
  </si>
  <si>
    <t>DEC. 6 DE 1 DE OCTUBRE DE 1929.</t>
  </si>
  <si>
    <t>Dec. 6 de 1 de octubre de 1929  desígnese como República de Costa Rica a la escuela de La Chorrera.Decreto 446 del 14 de agosto de 2018 incorpora la denominacion Bilingüe al Nombre</t>
  </si>
  <si>
    <t>ESC. BILINGÜE RESIDENCIAL VACAMONTE</t>
  </si>
  <si>
    <t>Dect. 614 de 3 de agosto de 2011 se crea el C.E. Residencial Vacamonte en Vista Alegre, Arraiján.Decreto 446 del 14 de agosto de 2018 incorpora la denominacion Bilingüe al Nombre</t>
  </si>
  <si>
    <t>ESC. BILINGÜE ROBERTO EISENMANN</t>
  </si>
  <si>
    <t>DEC. 694 DE 17 DE NOVIEMBRE DE 1969.</t>
  </si>
  <si>
    <t>Dect. 694 de 17 de noviembre de 1969 se crea la Escuela de El Níspero en Chame. Dect. 705 de 7 de diciembre de 1994 se le asigna el nombre de Roberto Eisenmann a la Escuela Primaria Los Nísperos en el Corregimiento de Las Lajas.Decreto 446 del 14 de agosto de 2018 incorpora la denominacion Bilingüe al Nombre</t>
  </si>
  <si>
    <t>ESC. BILINGÜE ROBERTO F. CHIARI</t>
  </si>
  <si>
    <t>DEC. 1 DE 15 DE ENERO DE 1982.</t>
  </si>
  <si>
    <t>Dect. 1 de 15 de enero de 1982 se le asigna el nombre de Roberto Francisco Chiari a la Escuela de Vista Alegre, Corregimiento de Vista Alegre. Decreto 446 del 14 de agosto de 2018 incorpora la denominacion Bilingüe al Nombre</t>
  </si>
  <si>
    <t>C.E.B.G. BILINGÜE STELLA MA. SIERRA</t>
  </si>
  <si>
    <t>DEC. 238 DE 21 DE DICIEMBRE DE 1998.</t>
  </si>
  <si>
    <t>Dec. 238 de 21 de diciembre de 1998  por el cual se le asigna el nombre de Stella Sierra, Poesía y Naturaleza al centro de educación básica general ubicado en el distrito de Arraiján , área revertida, Sector Sur, Barriada La Paz.Decreto 446 del 14 de agosto de 2018 incorpora la denominacion Bilingüe al Nombre</t>
  </si>
  <si>
    <t>CIENCIAS,TECNOLOGIA E INFORMATICA</t>
  </si>
  <si>
    <t>C.E.B.G. BILINGÜE VICTORIANO CHACON</t>
  </si>
  <si>
    <t>DEC. 142 DE 30 DE JUNIO DE 1986.</t>
  </si>
  <si>
    <t>Dect. 142 de 30 de junio de 1986  denomínese Victoriano Chacón a la Escuela Primaria de Puerto Caimito, el corregimiento de Puerto Caimito La Chorrera.Decreto 446 del 14 de agosto de 2018 incorpora la denominacion Bilingüe al Nombre</t>
  </si>
  <si>
    <t>ESC. ESTADO DE MINNESOTA</t>
  </si>
  <si>
    <t>DEC. 58 DE 17 DE FEBRERO DE 1994.</t>
  </si>
  <si>
    <t>Dect. 58 de 17 de febrero de 1994 se crea la Escuela Primaria Oficial Loma Cová. Dect. 159 de 27 de agosto de 1998 se le asigna el nombre de Estado de Minnesota a la Escuela Primaria Loma Cová.</t>
  </si>
  <si>
    <t>C.E.B.G. FEDERICO YICO VELASQUEZ</t>
  </si>
  <si>
    <t>DEC. 886 DEL 13 DE OCTUBRE DEL 2016 / DEC. 690 DEL 18 DE AGOSTO DEL 2016</t>
  </si>
  <si>
    <t xml:space="preserve">esta escuela mantiene 2 decretos </t>
  </si>
  <si>
    <t>ESC. FILIPINA</t>
  </si>
  <si>
    <t>ESC. FUENTE DE AMOR</t>
  </si>
  <si>
    <t>ESC. FUENTE DEL CHASE</t>
  </si>
  <si>
    <t>DEC. 267 DE 2 DE JULIO DE 1991.</t>
  </si>
  <si>
    <t>Dect. 267 de 2 de julio de 1991  créase la escuela Primaria Oficial Fuente del Chase.</t>
  </si>
  <si>
    <t>ESC.GREGORIO VELÁSQUEZ</t>
  </si>
  <si>
    <t>DEC. 27 DE 22 DE JUNIO DE 2023.</t>
  </si>
  <si>
    <t xml:space="preserve">Dec. 27 de 22 de junio de 2023. El Centro Educativo Gregorio Velásquez inicia sus labores el 21 de marzo de 1974, como Escuela Santa Rosa de los Cárdenas, y mediante el Decreto Número 51 de 21 de marzo de 1974, se legaliza su creación, manteniendo el mismo nombre.  </t>
  </si>
  <si>
    <t>ESC. HARMODIO ARIAS MADRID</t>
  </si>
  <si>
    <t>DEC. 525 DE 19 DE OCTUBRE DE 1966.</t>
  </si>
  <si>
    <t>Dect. 525 de 19 de octubre de 1966 por el cual se modifica el decreto 107 de 18 de mayo de 1964 y se le cambia el nombre al primer ciclo secundario de Chame por el de Harmodio  Arias Madrid . Dect. 299 de 10 de junio de 1970 se crea en el Primer ciclo Harmodio Arias, el ciclo de Enseñanza Profesional y Técnica. Dect. 49 de 13 de junio de 1978, créase el Centro de Educación Básica General Harmodio Arias Madrid.</t>
  </si>
  <si>
    <t>CIENCIAS,HUMANIDADES, COMERCIO, INDUSTRAL, TURISMO, TECNOLOGIA E INFORMATICA, SERVICIOS Y GESTION INSTITUCIONAL</t>
  </si>
  <si>
    <t>ESC. HERNANDO BARCENAS</t>
  </si>
  <si>
    <t>DEC. 7 DE 10 DE FEBRERO DE 1987.</t>
  </si>
  <si>
    <t>Dect. 7 de 10 de Febrero de 1987  se crea la Escuela Primaria Hernando Bárcenas. Dect. 237 de 18 de abril de 2011 se implementa la educación PREMEDIA en el C.E.. Hernando Bárcenas y se le denominará C.E.B.G. Hernando Bárcenas</t>
  </si>
  <si>
    <t>ESC. HIERBA BUENA</t>
  </si>
  <si>
    <t>ESC. HUILE</t>
  </si>
  <si>
    <t>ESC. HULES ABAJO</t>
  </si>
  <si>
    <t>Dec. 415 de 23 de agosto de 1963 se crea la Escuela Hules Arriba</t>
  </si>
  <si>
    <t>I.P.T. CAPIRA</t>
  </si>
  <si>
    <t>Dect. 164 de 25 de abril de 1972 se crea en Centro Vocacional Agrícola de Capira. Dect. 49 de 13 de junio de 1978 créase el Centro de Educación Básica General Capira. Dect. 232 de 17 de septiembre de 1980 se le asigna el nombre de Instituto Profesional y Técnico de Capira al Centro Vocacional  de Capira.</t>
  </si>
  <si>
    <t>CIENCIAS, AGROPECARIO,COMERCIO</t>
  </si>
  <si>
    <t>I.P.T. FERNANDO DE LESSEPS</t>
  </si>
  <si>
    <t>DEC. 324 DE 29 DE JUNIO DE 1994.</t>
  </si>
  <si>
    <t>Dect. 324 de 29 de junio de 1994  se crea el Instituto Profesional y Técnico Fernando De Lesseps.</t>
  </si>
  <si>
    <t>COMERCIO,INDUSTRIAL,CONTABILIDAD,TURISMO</t>
  </si>
  <si>
    <t>I.P.T. LA CHORRERA</t>
  </si>
  <si>
    <t>DEC. 647 DE 28 DE DICIEMBRE DE 1970.</t>
  </si>
  <si>
    <t>Dect. 647 de 28 de diciembre de 1970 se crea en la Escuela de La Chorrera el Ciclo de Enseñanza Profesional y Técnica. Dect. 1032 de 23 de noviembre de 2011 implementa la educación preescolar y primaria en el IPT La Chorrera.</t>
  </si>
  <si>
    <t>INDUSTRIAL,SEGUNDO CICLO INDUSTRIAL, MARITIMO</t>
  </si>
  <si>
    <t>ESC. INES MARTINEZ GOMEZ</t>
  </si>
  <si>
    <t>Dect. 167 de 24 de abril de 1970 se crea la Escuela Arena Blanca en el Municipio de Capira. Dect. 157 de 28 de marzo de 1994 se le asigna el nombre de Inés Martínez Gómez a la Escuela Arenas Blancas</t>
  </si>
  <si>
    <t>ING. TOMÁS GUARDIA</t>
  </si>
  <si>
    <t>DEC. 1160 DE 31 DE DICIEMBRE DE 2010</t>
  </si>
  <si>
    <t xml:space="preserve">Dect. 1160 de 31 de diciembre de 2010 se le asigna el nombre de Colegio de Educación Media Ingeniero Tomás Guardia al Colegio Medio de La Chorrera Des. 604 del 21 de julio de 2020 que crea educacion media  </t>
  </si>
  <si>
    <t>CIENCIAS, COMERCIO,CONTABILIDAD,TURISMO, TECNOLOGIA E INFORMATICA</t>
  </si>
  <si>
    <t>ESC. JESUS EN LOS POBRES</t>
  </si>
  <si>
    <t>ESC. JOSE DE LA ROSA BERNAL</t>
  </si>
  <si>
    <t>C.E.B.G. JOSE E. ESCALA</t>
  </si>
  <si>
    <t>DEC. 758 DE 4 DE OCTUBRE DE 1991</t>
  </si>
  <si>
    <t>Dect. 46 de 26 de marzo de 1991  se le asigna el nombre de José Encarnación Escala a la escuela primaria Santa Rita. Dect. 758 de 4 de octubre de 1991  se crea el Primer Ciclo Santa Rita  en el Corregimiento de Santa Rita.</t>
  </si>
  <si>
    <t>C.E.B.G. JOSE MARÍA BARRANCO</t>
  </si>
  <si>
    <t>DEC.896 DE 19 DE SEPTIEMBRE DE 1953.</t>
  </si>
  <si>
    <t>Dect. 896 de 19 de septiembre de 1953 se ordena la apertura de la Escuela José María Barranco V.  Dect. 49 de 13 de junio de 1978 créase el Centro de Educación Básica General José María Barranco. Dect. 2 de 21 de marzo de 1984  se modifica la denominación de José María Barranco por el de Primer Ciclo La Chorrera.</t>
  </si>
  <si>
    <t>Dect. 614 de 3 de agosto de 2011 se crea el C.E. Koskuna en Vista Alegre, Arraiján.</t>
  </si>
  <si>
    <t>ESC. LA CASCADA</t>
  </si>
  <si>
    <t>ITURRALDE</t>
  </si>
  <si>
    <t>AROSEMENA</t>
  </si>
  <si>
    <t>ESC. LA DIVISA</t>
  </si>
  <si>
    <t>Dect. 70 de 21 de Marzo de 1972  se crea la Escuela Primaria Oficial  La Divisa</t>
  </si>
  <si>
    <t>FEUILLET</t>
  </si>
  <si>
    <t>ESC. LA DORADILLA</t>
  </si>
  <si>
    <t>LA ERMITA</t>
  </si>
  <si>
    <t>ESC. LA ERMITA</t>
  </si>
  <si>
    <t>DEC. 29 DE 29 DE ABRIL DE 1915</t>
  </si>
  <si>
    <t>ESC. LA GLORIA</t>
  </si>
  <si>
    <t>DEC. 247 DE 18 DE ABRIL DE 2011.</t>
  </si>
  <si>
    <t>Dect. 247 de 18 de abril de 2011 se crea el C.E.B.G. La Gloria.</t>
  </si>
  <si>
    <t>Decreto 166 de 11 de mayo de 1960 por el cual se crea la escuela La Humildad en el Municipio de Capira</t>
  </si>
  <si>
    <t>ESC. LA LAGUNITA</t>
  </si>
  <si>
    <t>Dec. 182 de 18 de marzo de 1971 créase la Escuela Lagunita en el Distrito de Chame.</t>
  </si>
  <si>
    <t>C.E.B.G. LA MITRA</t>
  </si>
  <si>
    <t>Dec. 279 de 6 de junio de 1955 se ordena la apertura de la Escuela La Mitra en el Municipio de La Chorrera. Dect. 189 de 9 de mayo de 2003 se crea el Centro de Educación Básica General La Mitra, Corregimiento de La Mitra.</t>
  </si>
  <si>
    <t>ESC. LA NEGRITA</t>
  </si>
  <si>
    <t>Dect. 34 de 24 de enero de 1966 créase la Escuela La Negrita en el Municipio de Capira.</t>
  </si>
  <si>
    <t>DEC. 292 DE 23 DE JUNIO DE 1960.</t>
  </si>
  <si>
    <t>Dect. 292 de 23 de junio de 1960 se crea la Escuela La Pita en el Municipio de Capira.</t>
  </si>
  <si>
    <t>ESC. LA UVA</t>
  </si>
  <si>
    <t>ESC. LA VALDESA</t>
  </si>
  <si>
    <t>DEC. 194 DE 31 DE MARZO DE 1971.</t>
  </si>
  <si>
    <t>Dect. 194 de 31 de marzo de 1971 se crea la Escuela La Valdesa en el distrito de La Chorrera.</t>
  </si>
  <si>
    <t>ESC. LAGARTERA GRANDE</t>
  </si>
  <si>
    <t>ESC. LAGARTERITA</t>
  </si>
  <si>
    <t>ESC. LAS GAITAS</t>
  </si>
  <si>
    <t>Dect. 579 de 5 de noviembre de 1992  se crea la Escuela Primaria Las Gaitas en Ciri Grande Capira.</t>
  </si>
  <si>
    <t>Dec. 126 de 1 de julio de 1949 se ordena el establecimiento de la Escuela Las Lajas en el Municipio de Chame. Dect. 167 de 24 de abril de 1970 se crea la Escuela PRIMARIA</t>
  </si>
  <si>
    <t>ESC. LAS MARGARITAS</t>
  </si>
  <si>
    <t>ESC. LAS PETRAS</t>
  </si>
  <si>
    <t>Dect. 70 de 21 de Marzo de 1972  se crea la Escuela Primaria Oficial  Las Petras</t>
  </si>
  <si>
    <t>LAS UVAS</t>
  </si>
  <si>
    <t>ESC. LAS UVAS</t>
  </si>
  <si>
    <t xml:space="preserve">DEC. 26 DE 23 DE ENERO DE 1962 </t>
  </si>
  <si>
    <t>Dect. 26 de 23 de enero de 1962  asígnese a la Escuela del caserío de Las Uvas en el Municipio de San Carlos el nombre de Vidal Coronado. Dect. 348 de 12 de agosto de 1965 cambiar el nombre Vidal Coronado por el de Las Uvas a la Escuela de Las Uvas.</t>
  </si>
  <si>
    <t>ESC. LAS YAYAS</t>
  </si>
  <si>
    <t>Dec. 66 de 12 de mayo de 1949 se ordena el establecimiento de la Escuela Las Yallas Afuera en el Municipio de Chorrera.</t>
  </si>
  <si>
    <t>ESC. LAS ZANGUENGAS</t>
  </si>
  <si>
    <t>ESC. LEONIDAS DELGADO VARGAS</t>
  </si>
  <si>
    <t>Dect. 515 de 14 de septiembre de 1951  es establece la Escuela Nuevo Guararé en el Municipio de Arraiján. Dect. 222 de 31 de octubre de 1996  deséele el nombre de Leonidas Delgado Vargas a la Escuela PRIMARIA Oficial Nuevo Guararé</t>
  </si>
  <si>
    <t>C.E.B.G. LEOPOLDO CASTILLO G.</t>
  </si>
  <si>
    <t xml:space="preserve">DEC. 33 DE 25 DE MARZO DE 1998 </t>
  </si>
  <si>
    <t>Dec. 33 de 25 de marzo de 1998 se crea el Primer Ciclo Básico Leopoldo Castillo.</t>
  </si>
  <si>
    <t>ESC. LIDICE</t>
  </si>
  <si>
    <t>ESC. LIMON RAUDALES</t>
  </si>
  <si>
    <t>DEC. 260 DE 17 DE MAYO DE 1966.</t>
  </si>
  <si>
    <t>Dect. 260 de 17 de mayo de 1966 créase la Escuela Llano Largo en el Municipio de La Chorrera</t>
  </si>
  <si>
    <t>DEC. 67 DE 20 DE MAYO DE 1980.</t>
  </si>
  <si>
    <t>Dect. 67 de 20 de mayo de 1980 se crea la escuela primaria Loma Bonita.</t>
  </si>
  <si>
    <t>ESC. LOS CAÑONES</t>
  </si>
  <si>
    <t>Dect. 138 de 16 de junio de 1959 se crea la escuela Los Cañones.</t>
  </si>
  <si>
    <t>ESC. LOS CHORROS</t>
  </si>
  <si>
    <t>Dec. 194 de 19 de mayo de 1965  créase la Escuela Primaria Los Chorros en el municipio  de Capira.</t>
  </si>
  <si>
    <t>ESC. LOS FALDARES</t>
  </si>
  <si>
    <t>DEC. 83 DE 30 DE MARZO DE 1955.</t>
  </si>
  <si>
    <t>Dect. 83 de 30 de marzo de 1955  se ordena la apertura de la Escuela Los Faldares.</t>
  </si>
  <si>
    <t>C.E.B.G. LOS PINOS</t>
  </si>
  <si>
    <t>DEC. 37 DEL 1 DE MARZO DE 2019 QUE CREA EL CENTRO DE EDUCACION BASICA GENERAL</t>
  </si>
  <si>
    <t>ESC. LOS POZOS</t>
  </si>
  <si>
    <t>DEC. 126 DE 1 DE JULIO DE 1949.</t>
  </si>
  <si>
    <t>Dect. 126 de 1 de julio de 1949 se ordena el establecimiento de la Escuela Uveros en el Municipio de Capira.</t>
  </si>
  <si>
    <t>ESC. LOS YERBOS</t>
  </si>
  <si>
    <t>C.E.B.G. MANUEL B. HIGUERO</t>
  </si>
  <si>
    <t>DEC. 58 DE 14 DE MAYO DE 1981</t>
  </si>
  <si>
    <t>Dect. 58 de 14 de mayo de 1981,  se asigna el nombre de Manuel Benigno Higuero G, a la Escuela Primaria de San Carlos</t>
  </si>
  <si>
    <t>ESC. MARGANAO</t>
  </si>
  <si>
    <t>ESC. MATA AHOGADO</t>
  </si>
  <si>
    <t>DEC. 21 DE 13 DE ENERO DE 1965.</t>
  </si>
  <si>
    <t>Dect. 21 de 13 de enero de 1965 se crea la Escuela Primaria Oficial Mata Ahogado en San Carlos</t>
  </si>
  <si>
    <t>MENDOZA</t>
  </si>
  <si>
    <t>ESC. MENDOZA</t>
  </si>
  <si>
    <t>COLEGIO MOISES CASTILLO OCAÑA</t>
  </si>
  <si>
    <t>DEC. 72 DE 27 DE ENERO DE 1971.</t>
  </si>
  <si>
    <t>Dect. 72 de 27 de enero de 1971  se crea el Primer Ciclo de Educación Secundaria en el distrito de La Chorrera. Dect. 178 de 22 de julio de 1975 se denomina Moisés Castillo Ocaña al Primer Ciclo Secundario de La Chorrera</t>
  </si>
  <si>
    <t>ESC. MONTE CLARO</t>
  </si>
  <si>
    <t>C.E.B.G. MONTE OSCURO</t>
  </si>
  <si>
    <t>DEC. 1 DE 4 DE ENERO DE 1962.</t>
  </si>
  <si>
    <t>Dect. 1 de 4 de enero de 1962 créase la Escuela de Monte Oscuro. Dect. 289 de 25 de julio de 1969 créase la Escuela Monte Oscuro Arriba. Dect. 49 de 13 de junio de 1978  créase el Centro de Educación Básica General Monte Oscuro</t>
  </si>
  <si>
    <t>ESC. NUESTRA SRA. DE FATIMA</t>
  </si>
  <si>
    <t>Dect. 327 de 21 de diciembre de 1987 se crea la Escuela Primaria Nuestra Señora de Fátima.</t>
  </si>
  <si>
    <t>ESC. NUEVA GORGONA</t>
  </si>
  <si>
    <t>DEC. 727 DE 13 DE AGOSTO DE 1953.</t>
  </si>
  <si>
    <t xml:space="preserve">Dect. 727 de 13 de agosto de 1953 se reabre la Escuela Nueva Gorgona. </t>
  </si>
  <si>
    <t>ESC. NUEVA JERUSALEN</t>
  </si>
  <si>
    <t>C.E.B.G. NUEVO ARRAIJAN</t>
  </si>
  <si>
    <t>Dect. 614 de 3 de agosto de 2011 se crea el C.E. Nuevo Arraiján</t>
  </si>
  <si>
    <t>C.E.B.G. NUEVO PARAISO</t>
  </si>
  <si>
    <t>Dect. 101 de 7 de abril de 1961 se crea la Escuela Nuevo Paraíso</t>
  </si>
  <si>
    <t>ESC. NUEVO PROGRESO</t>
  </si>
  <si>
    <t>LAS OLLAS ARRIBA</t>
  </si>
  <si>
    <t>ESC. OLLAS ARRIBA</t>
  </si>
  <si>
    <t>DEC. 49 DE 26 DE MARZO DE 1991.</t>
  </si>
  <si>
    <t>Dect. 49 DE 26 DE MARZO DE 1991 se le asigna el nombre de Emiliano Lorenzo a la escuela primaria de la Julianita corregimiento de Ollas Arriba distrito de Capira.</t>
  </si>
  <si>
    <t>COLEGIO PEDRO PABLO SÁNCHEZ</t>
  </si>
  <si>
    <t>Dect. 56 de 29 de abril de 1959 establécese el segundo ciclo de enseñanza secundaria el  Primer Ciclo de La Chorrera. Dect. 647 de 28 de diciembre de 1970 créase en la Escuela Secundaria de La Chorrera el ciclo de Enseñanza Profesional y Técnica. Dect. 853 de 15 de diciembre de 1971 se la el nombre de Pedro Pablo Sánchez  a la Escuela Secundaria de La Chorrera.</t>
  </si>
  <si>
    <t>DEC. 494 DE 5 DE DICIEMBRE DE 2005.</t>
  </si>
  <si>
    <t>Dect. 494 de 5 de diciembre de 2005 se crea el C.E. Playa Chiquita en Puerto Caimito La Chorrera.</t>
  </si>
  <si>
    <t>ESC. PLAYA LEONA</t>
  </si>
  <si>
    <t>DEC. 381 DE 16 DE AGOSTO DE 1960.</t>
  </si>
  <si>
    <t>Dect. 381 de 16 de agosto de 1960 se crea la Escuela Playa Leona en el Municipio de La Chorrera.</t>
  </si>
  <si>
    <t>ESC. POTRERO GRANDE</t>
  </si>
  <si>
    <t>Dec. 293 de 25 de julio de 1969 créase la Escuela Primaria Oficial Potrero Grande.</t>
  </si>
  <si>
    <t>PRIMER CICLO BALBOA</t>
  </si>
  <si>
    <t>DEC. 368 DE 21 DE DICIEMBRE DE 1995.</t>
  </si>
  <si>
    <t>Dec. 368 de 21 de diciembre de 1995 se crea el Primer Ciclo Balboa. Dect. 614 de 3 de agosto de 2011 se crea el C.E. Balboa en el Coco de  La Chorrera</t>
  </si>
  <si>
    <t>DEC. 141 DE 9 DE MARZO DE 2011.</t>
  </si>
  <si>
    <t>Dect. 141 de 9 de marzo de 2011 se crea el C.E.B.G. Pueblo Nuevo.</t>
  </si>
  <si>
    <t>PUNTA CHAME</t>
  </si>
  <si>
    <t>ESC. PUNTA CHAME</t>
  </si>
  <si>
    <t>Dec. 166 de 11 de mayo de 1960, creáse la escuela Punta Chame en el municipio de Chame.</t>
  </si>
  <si>
    <t>C.E.B.G. REINA T. DE ARAUZ</t>
  </si>
  <si>
    <t>DEC. 331 DE 7 DE AGOSTO DE 1984.</t>
  </si>
  <si>
    <t>Dect. 331 de 7 de agosto de 1984 se crea y se asigna el nombre de Doctora Reina Torres de Arauz a la Escuela Primaria de la comunidad del Chorro. Dect. 34 de 25 de marzo de 1998 se crea el Primer Ciclo Básico Reina Torres de Araúz.</t>
  </si>
  <si>
    <t>C.E.B.G. RESIDENCIAL VISTA ALEGRE</t>
  </si>
  <si>
    <t>DEC. 52 DE 18 DE ABRIL DE 1988.</t>
  </si>
  <si>
    <t>Dect. 52 de 18 de abril de 1988 créase la Escuela Residencial Vista Alegre. Dect. 184 de 19 de mayo de 2003 se crea el Centro de Educación Básica General Residencial Vista Alegre corregimiento Vista Alegre.</t>
  </si>
  <si>
    <t>ESC. RIECITO</t>
  </si>
  <si>
    <t>ESC. RIO DE JESUS</t>
  </si>
  <si>
    <t>DEC. 700 DE 7 DE OCTUBRE DE 1993.</t>
  </si>
  <si>
    <t>Dect. 700 de 7 de octubre de 1993  se crea la Escuela Primaria de Río de Jesús</t>
  </si>
  <si>
    <t>ESC. RUFINA GONZALEZ</t>
  </si>
  <si>
    <t>DEC. 394 DE 21 DE AGOSTO DE 1961.</t>
  </si>
  <si>
    <t>Dect. 394 de 21 de agosto de 1961  se le da el nombre de Rufina González a la Escuela Mixta de Cabuya.</t>
  </si>
  <si>
    <t>ESC. SAJALICES</t>
  </si>
  <si>
    <t>Dect. 126 de 1 de julio de 1949 se ordena el establecimiento de la Escuela Sajalices en el Municipio de Capira.</t>
  </si>
  <si>
    <t>CENTRO EDUCATIVO SAN ANTONIO</t>
  </si>
  <si>
    <t>Dec. 649 de 28 de diciembre de 1970 se crea la Escuela PRIMARIA</t>
  </si>
  <si>
    <t>ESC. SAN CARLOS</t>
  </si>
  <si>
    <t>DEC. 122 DE 30 DE JUNIO DE 1949</t>
  </si>
  <si>
    <t>Dect. 122 de 30 de junio de 1949, desígnese a la Escuela de Las Lajas el nombre de Escuela San José.</t>
  </si>
  <si>
    <t>C.E.B.G. SAN JOSE DE BERNARDINO</t>
  </si>
  <si>
    <t>DEC. 608 DEL 22 DE JULIO DE 2020 QUE LEGALIZA LA CREACION DEL C.E.</t>
  </si>
  <si>
    <t>DEC. 696 DE 17 DE NOVIEMBRE DE 1969.</t>
  </si>
  <si>
    <t>Dec. 696 de 17 de noviembre de 1969 se crea la Escuela Santa Cruz.</t>
  </si>
  <si>
    <t>DEC. 31 DE 20 DE NOVIEMBRE DE 1952.</t>
  </si>
  <si>
    <t>Dect. 31 de 20 de NOVIEMBRE de 1952 se da el nombre de Escuela de Santa Cruz a la Escuela de la comunidad de Lagarto.</t>
  </si>
  <si>
    <t xml:space="preserve">Dect. 51 de 21 de marzo de 1974 se crea la Escuela Primaria Oficial Santa Rosa de los Cárdenas, Dec. 180 del 1 de abril del 2014 cambio de nombre Gregorio Velasquez </t>
  </si>
  <si>
    <t>ESC. EL MANGOTE</t>
  </si>
  <si>
    <t>DEC.227 DEL 23 DE JUNIO DE 1960 POR EL CUAL SE CREA LAESCUELA, EN EL 2014 SE DESACTIVA,EN EL AÑO 2022  SE ACTIVA NUEVAMENTE.</t>
  </si>
  <si>
    <t>ESC. TERIA DE NACIMIENTO</t>
  </si>
  <si>
    <t>DEC. 105 DE 5 DE MAYO DE 1986</t>
  </si>
  <si>
    <t>Dect. 105 de 5 de mayo de 1986 se crea la Escuela Teria Nacimiento. Dect. 230 de 7 de julio de 1964 se reabre la Escuela de Teria en el Municipio de Capira</t>
  </si>
  <si>
    <t>ESC. TINAJONES ARRIBA</t>
  </si>
  <si>
    <t>DEC. 294 DE 25 DE JULIO DE 1969.</t>
  </si>
  <si>
    <t>Dec. 294 de 25 de julio de 1969 créase las Escuela Tinajones Arriba en el Municipio de La Chorrera. Dect. 863 de 9 de septiembre de 1953 se ordena la apertura de la Escuela Los Tinajones.</t>
  </si>
  <si>
    <t>C.E.B.G. TOMAS MARTIN FEUILLET</t>
  </si>
  <si>
    <t>Dect. 243 de 5 de mayo de 1966 créase la Escuela Las Albertas en el Municipio de La Chorrera. Dect. 31 de 11 de mayo de 1977 en lo sucesivo la Escuela Primaria Las Albertas se denominará Escuela Primaria Tomás Martín Feuillet.</t>
  </si>
  <si>
    <t>ESC. TORIBIO LORA PUCHE</t>
  </si>
  <si>
    <t>DEC. 487 DE 4 DE SEPTIEMBRE DE 2002.</t>
  </si>
  <si>
    <t>Dect. 487 de 4 de septiembre de 2002 por el cual se designa con el nombre de Toribio Lora Puche a la Escuela Primaria de Sorá</t>
  </si>
  <si>
    <t>ESC. TRES HERMANAS</t>
  </si>
  <si>
    <t>Dect. 445 de 17 de septiembre de 1954 apertura de la Escuela Tres Hermanas.</t>
  </si>
  <si>
    <t>ESC. TRINIDAD ARRIBA</t>
  </si>
  <si>
    <t>DEC. 2178 DE 24 DE AGOSTO DE 1948.</t>
  </si>
  <si>
    <t>Dect. 2178 de 24 de agosto de 1948 se establece la Escuela La Trinidad. Dect. 246 de 1 de abril de 1950 se denominará La Trinidad Arriba a la Escuela La Trinidad.</t>
  </si>
  <si>
    <t>ESC. TRINIDAD DE LAS MINAS</t>
  </si>
  <si>
    <t>DEC. 551 DE 11 DE SEPTIEMBRE DE 1956.</t>
  </si>
  <si>
    <t>Dect. 551 de 11 de septiembre de 1956 se ordena la apertura de la Escuela Trinidad de las Minas en el Municipio de Capira.</t>
  </si>
  <si>
    <t>ESC. TRINIDAD DE LOS LAGOS</t>
  </si>
  <si>
    <t>Dect. 167 de 24 de abril de 1970 se crea la Escuela PRIMARIA</t>
  </si>
  <si>
    <t>ESC. VALLE DEL SOL</t>
  </si>
  <si>
    <t>ESC. VICTORIA D SPINAY</t>
  </si>
  <si>
    <t>DEC. 896 DE 19 DE SEPTIEMBRE DE 1953.</t>
  </si>
  <si>
    <t>Dect. 896 de 19 de septiembre de 1953 se ordena la apertura de la Escuela Victoria D'Spiney</t>
  </si>
  <si>
    <t>DEC. 188 DE 17 DE JULIO DE 1987.</t>
  </si>
  <si>
    <t>Dect. 188 de 17 de julio de 1987  se crea la Escuela Primaria La Pesa. Dect. 15 de 18 de marzo de 1988  se le asigna el nombre de Virgen de Guadalupe a la Escuela PRIMARIA de La Pesa.</t>
  </si>
  <si>
    <t>ESC. VISTA BELLA</t>
  </si>
  <si>
    <t>DEC. 242 DE 18 DE ABRIL DE 2011. SE IMPLEMENTA LA EDUCACIÓN PREMEDIA EN EL C:E. VISTA BELLA. SE LE DENOMINARÁ C.E.B.G. VISTA BELLA</t>
  </si>
  <si>
    <t>C.E.B.G. ZAIDA Z. NUÑEZ</t>
  </si>
  <si>
    <t>Dec. 279 de 6 de junio de 1955 se ordena la apertura de la Escuela La Laguna en el Municipio de La Chorrera. Dect. 136 de 22 de mayo de 1973 se le da el nombre de Zaida Z. Núñez a la escuela La Laguna.</t>
  </si>
  <si>
    <t>CENTRO DE EDUCACION VOCACIONAL CHAPALA</t>
  </si>
  <si>
    <t>ESC. AGUACATE ARRIBA</t>
  </si>
  <si>
    <t>DEC. 751 DE 15 DE AGOSTO DE 1953.</t>
  </si>
  <si>
    <t>Dect. 751 de 15 de agosto de 1953  se crea la Escuela de Aguacate en la Provincia Escolar de Panamá.</t>
  </si>
  <si>
    <t>LA REPRESA</t>
  </si>
  <si>
    <t>ESC. ALTOS DEL JOBO</t>
  </si>
  <si>
    <t>DEC. 2081 DE 7 DE JUNIO DE 1948.</t>
  </si>
  <si>
    <t>Dect. 2081 de 7 de junio de 1948 establecimiento de la Escuela Altos del Jobo.</t>
  </si>
  <si>
    <t>ESC. AROSEMENA</t>
  </si>
  <si>
    <t>Dec. 2081 de 7 de junio de 1948 establecimiento de la Escuela Arosemena.</t>
  </si>
  <si>
    <t>ESC. BAJO DEL RIO</t>
  </si>
  <si>
    <t>Dect. 649 de 28 de diciembre de 1970 se crea la Escuela PRIMARIA</t>
  </si>
  <si>
    <t>Dect. 208 de 17 de julio de 1987  se crea la Escuela Primaria Bella Vista en el corregimiento de Ciri Grande.</t>
  </si>
  <si>
    <t>ESC. BONGA CENTRO</t>
  </si>
  <si>
    <t>Dect. 896 de 19 de septiembre de 1953 se ordena la apertura de la Escuela Buena Vista en el Municipio de La Chorrera</t>
  </si>
  <si>
    <t>CAIMITO</t>
  </si>
  <si>
    <t>CAMPANA</t>
  </si>
  <si>
    <t>ESC. CERRO CAMPANA</t>
  </si>
  <si>
    <t>CHICÁ</t>
  </si>
  <si>
    <t>ESC. CHICA</t>
  </si>
  <si>
    <t>CENTRO EDUCATIVO CIRICITO ARRIBA</t>
  </si>
  <si>
    <t>DEC. 557 DE 14 DE NOVIEMBRE  DE 1951.DEC. 739 DEL 19 DE NOV. DE 2018 QUE DEROGA EN TODAS SUS PARTES EL DEC. EJECUTIVO NO. 1074 DEL 16 DE DIC. DE 2016 Y SE EMPLEMENTA EL SEGUNDO NIVEL DE ENSEÑANZA O EDUCACION MEDIA.</t>
  </si>
  <si>
    <t>Dect. 557 de 14 de noviembre  de 1951  se ordena el establecimiento de la Escuela Ciricito en el Municipio de Capira</t>
  </si>
  <si>
    <t>ESC. CLARAS ABAJO</t>
  </si>
  <si>
    <t>DEC. 197 DE 29 DE MARZO DE 1963.</t>
  </si>
  <si>
    <t>Dec. 197 de 29 de marzo de 1963 créase la Escuela de Las Claras.</t>
  </si>
  <si>
    <t>ESC. CLARAS ARRIBA</t>
  </si>
  <si>
    <t>Dect. 294 de 25 de julio de 1969 créase las Escuelas Las Claras Arriba en el Municipio de Capira.</t>
  </si>
  <si>
    <t>C.E.B.G. COLON</t>
  </si>
  <si>
    <t>DEC.605 DEL 21 DE JULIO DE 2020 QUE CREA EL C.E.B.G.</t>
  </si>
  <si>
    <t>ESC. COROZALES ADENTRO</t>
  </si>
  <si>
    <t>ESC. DR. AUGUSTO SAMUEL BOYD</t>
  </si>
  <si>
    <t>DEC. 505 DE 24 DE OCTUBRE DE 1961.</t>
  </si>
  <si>
    <t>Dect. 505 de 24 de octubre de 1961 se asigna el nombre Dr. Augusto Samuel Boyd a la escuela PRIMARIA pública de Cermeño.</t>
  </si>
  <si>
    <t>ESC. EL CAIMITO</t>
  </si>
  <si>
    <t>ESC. EL ESPINO</t>
  </si>
  <si>
    <t>ESC. EL HARINO</t>
  </si>
  <si>
    <t>ESC. EL HUESITAL</t>
  </si>
  <si>
    <t>ESC. EL LIMITE</t>
  </si>
  <si>
    <t>DEC. 285 DE 8 DE JUNIO DE 1962.</t>
  </si>
  <si>
    <t>Dect. 285 de 8 de junio de 1962 crear la escuela en la comunidad de Quebrada Nueva Arenosa désele el nombre de escuela de El Límite. Dect. 574 de 29 de diciembre de 1961  se le cambia el nombre a la Escuela Nueva Arenosa en Capira por el de Escuela El Límite.</t>
  </si>
  <si>
    <t>DEC. 256 DE 10 DE MAYO DE 1967.</t>
  </si>
  <si>
    <t>Dect. 256 de 10 de mayo de 1967 créase la Escuela El Roble en San Carlos.</t>
  </si>
  <si>
    <t>ESC. ENRIQUE A. JIMENEZ</t>
  </si>
  <si>
    <t>DEC. 429 DE 30 DE JULIO DE 1970.</t>
  </si>
  <si>
    <t>Dec. 429 de 30 de julio de 1970  se le cambia el nombre a la Escuela La Campana por el de Enrique A. Jiménez.</t>
  </si>
  <si>
    <t>ESC. JACINTA HENRIQUEZ</t>
  </si>
  <si>
    <t>ESC. JORDANAL</t>
  </si>
  <si>
    <t>DEC. 131 DE 2 DE JUNIO DE 1964.</t>
  </si>
  <si>
    <t>Dect. 131 de 2 de junio de 1964 se crea la Escuela Jordanal en el Corregimiento de Ciri Grande.Dect. 1071 del 25 de noviembre del 2016 que crea los centros educativos que implementan el Programa de Educación Premedia y Media con metodología Escuela Nueva Escuela Activa (ENEA)</t>
  </si>
  <si>
    <t>C.E.B.G. LA ARENILLA</t>
  </si>
  <si>
    <t>DEC. 1078 DE 10 DE DICIEMBRE DE 2010</t>
  </si>
  <si>
    <t>ESC. LA BONGA</t>
  </si>
  <si>
    <t>Dect. 49 de 13 de junio de 1978 créase el Centro de Educación Básica General La Bonga</t>
  </si>
  <si>
    <t>ESC. LA FLORIDA</t>
  </si>
  <si>
    <t>DEC. 221 DE 17 DE JUNIO DE 1954.</t>
  </si>
  <si>
    <t>Dec. 221 de 17 de junio de 1954 se ordena la apertura de la Escuela de La Florida.</t>
  </si>
  <si>
    <t>ESC. LA HONDA</t>
  </si>
  <si>
    <t>DEC. 423 DE 18 DE AGOSTO DE 1966.</t>
  </si>
  <si>
    <t>Dect. 423 de 18 de agosto de 1966 se crea la Escuela PRIMARIA Oficial La Honda.</t>
  </si>
  <si>
    <t>ESC. LA LAGUNA</t>
  </si>
  <si>
    <t>Dect. 66 de 12 de mayo de 1949  se crea la Escuela La Laguna en el Municipio de Panamá. Dect. 49 de 13 de junio de 1978 créase el Centro de Educación Básica General La Laguna</t>
  </si>
  <si>
    <t>ESC. LA PLAYITA</t>
  </si>
  <si>
    <t>Dect. 152 de 17 de abril de 1972 se crea la escuela Las Lajas de Feullet. En el municipio de La Chorrera.</t>
  </si>
  <si>
    <t>Dect. 105 de 5 de mayo de 1986 se crea la Escuela Las Lajitas. Dect. 20 de 31 de enero de 1972 se crea La Escuela Primaria Oficial La Lajita de Trinidad.  Dect. 104 de 17 de febrero de 1994  se crea para legalizar situación de la Escuela Primaria Oficial Las Lajitas en el Coco de La Chorrera.</t>
  </si>
  <si>
    <t>ESC. LAS PAVAS</t>
  </si>
  <si>
    <t>DEC. 133 DE 3 DE MARZO  DE 1971.</t>
  </si>
  <si>
    <t>Dect. 133 de 3 de marzo de 1971  créase la Escuela La Pava en el municipio de La Chorrera.</t>
  </si>
  <si>
    <t>ESC. LEON A. SOTO</t>
  </si>
  <si>
    <t>DEC. 283 DE 16 DE DICIEMBRE DE 1975.</t>
  </si>
  <si>
    <t>Dec. 283 de 16 de diciembre de 1975  se denomina León A. Soto a la Escuela La Arenosa.</t>
  </si>
  <si>
    <t>Dec. 171 de 4 de mayo de 1956 se ordena la apertura de la Escuela Llano Grande.</t>
  </si>
  <si>
    <t>LOS DÍAZ</t>
  </si>
  <si>
    <t>ESC. LOS MORTALES</t>
  </si>
  <si>
    <t>ESC. LOS LLANITOS</t>
  </si>
  <si>
    <t>ESC. MAJARA</t>
  </si>
  <si>
    <t>ESC. NATIVIDAD GORDON</t>
  </si>
  <si>
    <t>DEC. 198 DE 24 DE AGOSTO DE 1981.</t>
  </si>
  <si>
    <t>Dec. 198 de 24 de agosto de 1981 se le asiga el nombre de Natividad Gordón a la Escuela de Teriá.</t>
  </si>
  <si>
    <t>ESC. OLLAS ABAJO</t>
  </si>
  <si>
    <t>C.E.B.G. CARLOS ARTURO PÉREZ DE GRACIA (ANTES ESC. PEÑA BLANCA)</t>
  </si>
  <si>
    <t>DEC. 606 DEL 21 DE JULIO DE 2020 QUE AUTORIZA EL CAMBIO DE NOMBRE DE PEÑA BLANCA A C.E.B.G.CARLOS ARTURO PERES DE GRACIA</t>
  </si>
  <si>
    <t>ESC. QUEBRADA GRANDE RODEO</t>
  </si>
  <si>
    <t>Dect. 152 de 17 de abril de 1972 se crea la escuela Quebrada Grande Rodeo en el municipio de Capira.</t>
  </si>
  <si>
    <t>CENTRO EDUCATIVO ECONTRANDO EL CAMINO CORRECTO (ACADEMIA INTERNADO ENCONTRANDO EL BUEN CAMINO)</t>
  </si>
  <si>
    <t>DEC. 247 DE 22 DE MARZO DE 1972.</t>
  </si>
  <si>
    <t>Dect. 247 de 22 de marzo de 1972 se crea la escuela primaria oficial  Río Indio Arriba.</t>
  </si>
  <si>
    <t>ESC. RÍO INDIO CENTRO</t>
  </si>
  <si>
    <t>ESC. RÍO INDIO LOS CHORROS</t>
  </si>
  <si>
    <t>ESC. RODEO VIEJO</t>
  </si>
  <si>
    <t>DEC. 537 DE 18 DE SEPTIEMBRE DE 1967.</t>
  </si>
  <si>
    <t>Dect. 537 de 18 de septiembre de 1967  se crea la Escuela Rodeo Viejo en San Carlos.</t>
  </si>
  <si>
    <t>ESC. SAN ANTONIO DE PADUA</t>
  </si>
  <si>
    <t>Dect. 355 de 13 de mayo de 1953 créase las Escuelas Mixtas de Trinidad de Los Raudales y Cirí Grande en el Distrito Municipal de Capira. Dect. 41 de 14 de junio de 1977 asignar el nombre de San Antonio De Padua a la Escuela Primaria Oficial de Cirí Grande en el Corregimiento del Cacao, Distrito de Capira.</t>
  </si>
  <si>
    <t>ESC. TINAJONES ABAJO</t>
  </si>
  <si>
    <t>DEC. 863 DE 9 DE SEPTIEMBRE DE 1953.</t>
  </si>
  <si>
    <t>Dect. 863 de 9 de septiembre de 1953 se ordena la apertura de la Escuela Los Tinajones. Dect. 522 de 3 de septiembre de 1962 se clausura la Escuela de Tinajones en el Municipio de La Chorrera.</t>
  </si>
  <si>
    <t>ESC. 11 DE OCTUBRE</t>
  </si>
  <si>
    <t>ESC. BRISAS DE CHUMICAL</t>
  </si>
  <si>
    <t>CENTRO DE EDUC. DE JOVENES Y ADULTOS VICTORIA D'SPINAY</t>
  </si>
  <si>
    <t>CENTRO EDUCATIVO DE JOVENES Y ADULTOS DE VERACRUZ</t>
  </si>
  <si>
    <t>CENTRO EDUCATIVO JOVENES Y ADULTOS DE LA CHORRERA</t>
  </si>
  <si>
    <t>DEC. 231 DEL 16 DE MARZO DE 2021 QUE LEGALIZA EL C.E. Y SUS OFERTAS ACADEMICAS</t>
  </si>
  <si>
    <t>CIENCIAS, LETRAS, HUMANIDADES, CONTABILIDAD, TURISMO, TECNOLOGIA E INFORMATICA</t>
  </si>
  <si>
    <t>CENTRO EDUCATIVO LABORAL DE ARRAIJAN</t>
  </si>
  <si>
    <t>CENTRO LABORAL FEDERICO OZANAM</t>
  </si>
  <si>
    <t>ESC. NOCTURNA OFICIAL DE CHAME</t>
  </si>
  <si>
    <t>DEC. 462 DE 14 DE ABRIL DE 2020 QUE LEGALIZA LA CREACION DEL CENTRO EDUCATIVO ESCUELA NOCTURNA OFICIAL DE CHAME</t>
  </si>
  <si>
    <t>ESC. SECUNDARIA NOCTURNA OFICIAL DE LA CHORRERA</t>
  </si>
  <si>
    <t>CIENCIAS, COMERCIO, SEGUNDO CICLO INDUSTRIAL, TURISMO</t>
  </si>
  <si>
    <t>ESC. REPÚBLICA DE COSTA RICA</t>
  </si>
  <si>
    <t>TELE-EDUCACIÓN CIRICITO ARRIBA</t>
  </si>
  <si>
    <t>TELE-EDUCACIÓN GREGORIO VELASQUEZ</t>
  </si>
  <si>
    <t>TELE-EDUCACION HERNANDO BARCENAS</t>
  </si>
  <si>
    <t>TELE-EDUCACIÓN LA BONGA</t>
  </si>
  <si>
    <t>TELE-EDUCACIÓN LOS UVEROS</t>
  </si>
  <si>
    <t>TELE-EDUCACION NUEVO EMPERADOR</t>
  </si>
  <si>
    <t>TELE-EDUCACIÓN NUEVO PARAÍSO</t>
  </si>
  <si>
    <t>TELE-EDUCACIÓN SANTA CLARA</t>
  </si>
  <si>
    <t>ACADEMIA INTERNADO ENCONTRANDO EL CAMINO CORRECTO (ACADEMIA INTERNADO ENCONTRANDO EL BUEN CAMINO)</t>
  </si>
  <si>
    <t>TELE-EDUCACION VICTORIANO CHACON</t>
  </si>
  <si>
    <t>EDJA-PLAYA CHIQUITA</t>
  </si>
  <si>
    <t>CENTRO DE ESTUDIOS SUPERIORES DE BELLAS ARTES Y FOLKLORE DE CHORRERA</t>
  </si>
  <si>
    <t>IPHE DE PANAMÁ OESTE</t>
  </si>
  <si>
    <t>AGROPECUARIO, COMERCIO, EDUCACION PARA EL HOGAR, BACHILLER INDUSTRIAL</t>
  </si>
  <si>
    <t>CENTRO PREESCOLAR NIÑOS BRILLANTES</t>
  </si>
  <si>
    <t>RES. 3236 AL 06 DE DICIEMBRE DE 2022 QUE AUTORIZA FUNCIONAMIENTO</t>
  </si>
  <si>
    <t>CENTRO DE APRENDIZAJE CREATIVO REY ARTURO</t>
  </si>
  <si>
    <t>RES. 4281 DEL 30 DE DICIEMBRE DE 2021 QUE AUTORIZA EL FUNCIONAMIENTO DEL C.E.</t>
  </si>
  <si>
    <t>CENTRO EDUCATIVO MAGIC WORLD KIDS.</t>
  </si>
  <si>
    <t>RES. 3670 DEL 11 DE NOV. DE 2020 POR EL AUTORIZA FUNCIONAMIENTO</t>
  </si>
  <si>
    <t>CENTRO EDUCATIVO PASITOS DE ORO</t>
  </si>
  <si>
    <t>CENTRO PREESCOLAR MI PRIMERA ESCUELITA</t>
  </si>
  <si>
    <t>RES. 2461 AL 19 DE SEPT. DE 2022 QUE AUTORIZA FUNCIONAMIENTO.</t>
  </si>
  <si>
    <t>CENTRO PREESCOLAR RAYITOS DE SOL</t>
  </si>
  <si>
    <t>CENTRO PREESCOLAR SEMILLA DE AMOR</t>
  </si>
  <si>
    <t>RES. 91-AL 30 DE ENERO DE 2023 POR EL CUAL AUTORIZA FUNCIONAMIENTO.</t>
  </si>
  <si>
    <t>COLEGIO BILINGÜE LA SEDA</t>
  </si>
  <si>
    <t>CENTRO EDUCATIVO BILINGÜE LA MEDALLA MILAGROSA</t>
  </si>
  <si>
    <t>RES. 2307 DEL 29 DE ABRIL DE 2021 QUE AUTORIZA EL FUNCIONAMIENTO DEL C.E.</t>
  </si>
  <si>
    <t>INSTITUTO PEDAGOGICO BILINGÜE JJJ</t>
  </si>
  <si>
    <t>RES. 3801 DEL 29 DE JULIO DE 2021 QUE UTORIZA EL FUNCIONAMIENTO DEL C.E.</t>
  </si>
  <si>
    <t>COLEGIO BILINGÜE REINO INFANTIL </t>
  </si>
  <si>
    <t>INSTITUTO INTEGRAL GEDEON</t>
  </si>
  <si>
    <t>RES. 2042 AL 3 DE AGOSTO DE 2022 QUE AUTORIZA FUNCIONAMIENTO</t>
  </si>
  <si>
    <t>THE OXFORD SCHOOL - COSTA VERDE</t>
  </si>
  <si>
    <t>ACADEMIA  EDUCACION AGAZZI</t>
  </si>
  <si>
    <t>RES. 1666 DEL 29 DE MARZO DE 2021 QUE AUTORIZA EL FUNCIONAMIENTO DEL C.E.</t>
  </si>
  <si>
    <t>ACADEMIA BILINGÜE JEHOVA ES MI PASTOR</t>
  </si>
  <si>
    <t>RES. 3383 DEL 30 DE JUNIO DE 2021 QUE AUTORIZA EL FUNCIONAMIENTO.</t>
  </si>
  <si>
    <t>ACADEMIA BILINGÜE EL REGOCIJO</t>
  </si>
  <si>
    <t>RES. 2875 DEL 01 DE JUNIO DE 2021 QUE AUTORIZA EL FUNCIONAMIENTO.</t>
  </si>
  <si>
    <t>ACADEMIA BILINGÜE EL REY DAVID</t>
  </si>
  <si>
    <t>ACADEMIA BILINGÜE MONTE LIMAR</t>
  </si>
  <si>
    <t>ACADEMIA BILINGÜE SHEKINAH</t>
  </si>
  <si>
    <t>ACADEMIA COMERCIAL HISPANOAMERICANA (INSTITUTO COMENIUS)</t>
  </si>
  <si>
    <t>RES 0188-AL DEL 25 DE ENERO DE 2024 CAMBIO DEL NOMBRE DE LA ACADEMIA COMERCIAL HISPANOAMERICANA A INSTITUTO COMENIUS. RES. 2249 DEL 27 DE DICIEMBRE DE 2007 QUE AUTORIZA EL FUNCIONAMIENTO DEL C.E.</t>
  </si>
  <si>
    <t>RES. 4364 DEL 31 DE DICIEMBRE DE 2020 QUE CONCEDE AMPLIACION DE OFERTA ACADEMICA</t>
  </si>
  <si>
    <t>ACADEMIA CRISTIANA BILINGÜE DE ARRAIJAN</t>
  </si>
  <si>
    <t>ACADEMIA DEL REY EL BUEN PASTOR</t>
  </si>
  <si>
    <t>ACADEMIA INTEGRAL SAN LUCAS</t>
  </si>
  <si>
    <t>RES. 404 DEL 6 DE 2018 POR EL CUAL SE AUTORIZA EL FUNCIONAMIENTO DE LA ACADEMIA INTEGRAL SAN LUCAS.</t>
  </si>
  <si>
    <t>ACADEMIA LATINA</t>
  </si>
  <si>
    <t>ACADEMIA LUZ Y VIDA</t>
  </si>
  <si>
    <t>RES. 1983 DEL 13 DE ABRIL DE 2021 QUE AUTORIZA EL FUNCIONAMIENTO</t>
  </si>
  <si>
    <t>COLEGIO ADVENTISTA BILINGÜE DE CHORRERA</t>
  </si>
  <si>
    <t>ESC. APRENDO Y JUEGO</t>
  </si>
  <si>
    <t>CENTRO EDUCATIVO   EVANGÉLICO CUADRANGULAR BET-EL</t>
  </si>
  <si>
    <t xml:space="preserve">RES. 5416 DEL 26 DE NOV. DE 2021 QUE AUTORIZA FUNCIONAMIENTO </t>
  </si>
  <si>
    <t>CENTRO EDUCATIVO BILINGÜE DIANE GABRILE</t>
  </si>
  <si>
    <t>CENTRO EDUCATIVO BILINGÜE GRACIA Y PAZ</t>
  </si>
  <si>
    <t>RES. 2692 DE  14 DE OCT. DE 2022 POR EL CUAL AUTORIZA FUNCIONAMIENTO.</t>
  </si>
  <si>
    <t>CENTRO BILINGÜE NUEVO ARRAIJAN</t>
  </si>
  <si>
    <t>RES. 5073 DEL 15 DE OCTUBRE DEL 2021 QUE AUTORIZA EL FUNCIONAMIENTO DEL C.E.</t>
  </si>
  <si>
    <t>ESC. PRINCIPE DE PAZ</t>
  </si>
  <si>
    <t>ESC. VISION DEL SABER</t>
  </si>
  <si>
    <t>CENTRO EDUCATIVO JOHN DEWEY</t>
  </si>
  <si>
    <t>ESC. BILINGÜE VISTA AZUL</t>
  </si>
  <si>
    <t>RES. 8171 DEL 13 DE NOV. DE 2013 QUE AUTORIZA FUNCIONAMIENTO</t>
  </si>
  <si>
    <t>CENTRO DE CUIDADOS Y ENSEÑANZAS PININOS</t>
  </si>
  <si>
    <t>CENTRO DE ORIENTACIÒN INFANTIL Y TERAPÉUTICO KIDS WORLD</t>
  </si>
  <si>
    <t>RES. 1046 DEL 6 DE MAYO DE 2022 POR EL CUAL AUTORIZA EL FUNCIONAMIENTO DEL C.E.</t>
  </si>
  <si>
    <t>CENTRO EDUCATIVO BILINGÜE HE AQUÍ EL SEÑOR</t>
  </si>
  <si>
    <t>RES. 1985 DEL 24 DE JUNIO DE 2020 QUE AUTORIZA EL FUNCIONAMIENTO DEL C.E.</t>
  </si>
  <si>
    <t>CENTRO EDUCATIVO 123 BILINGUAL SCHOOL</t>
  </si>
  <si>
    <t>CENTRO EDUCATIVO ADONAI</t>
  </si>
  <si>
    <t>RES. 2434-A DEL 12 DE AGOSTO DE 2020 QUE AUTORIZA FUNCIONAMIENTO DEL C.E.</t>
  </si>
  <si>
    <t>CENTRO EDUCATIVO BILINGÜE APRENDO MAS</t>
  </si>
  <si>
    <t>RES.122 DEL 29 DE ENERO DE 2020 QUE AUTORIZA FUNCIONAMIENTO</t>
  </si>
  <si>
    <t>CENTRO EDUCATIVO BILINGÜE ARMONIA</t>
  </si>
  <si>
    <t>CENTRO EDUCATIVO BILINGÜE BELLAS LUCES</t>
  </si>
  <si>
    <t>CENTRO EDUCATIVO BILINGÜE JUAN D. AROSEMENA</t>
  </si>
  <si>
    <t>RES. 629 DEL 8 DE MAYO DE 2002 QUE AUTORIZA EL FUNCIONAMIENTO DEL C.E.</t>
  </si>
  <si>
    <t>RES. 2671 DEL 26 DE AGOSTO DE 2020 POR EL CUAL CONCEDE AMPLIACION DE COBERTURA PARA  LAS OFERTAS EDUCATIVAS DEL SEGUNDO NIVEL DE ENSEÑANZA (BACHILLER COMERCIO Y CIENCIAS).</t>
  </si>
  <si>
    <t>CENTRO EDUCATIVO BILINGÜE LOS ÁNGELES DE MARÍA</t>
  </si>
  <si>
    <t>RES. 1655 AL 05 DE JULIO DE 2022 QUE AUTORIZA FUNCIONAMIENTO</t>
  </si>
  <si>
    <t>CENTRO EDUCATIVO BILINGÜE LOS PINOS</t>
  </si>
  <si>
    <t>CENTRO EDUCATIVO BILINGÜE PARKELIE</t>
  </si>
  <si>
    <t>CENTRO EDUCATIVO THE CITY SCHOOL GARDEN</t>
  </si>
  <si>
    <t>RES. 5417 DEL 26 DE NOV. 2021 AUTORIZA FUNCIONAMIENTO.</t>
  </si>
  <si>
    <t>CENTRO EDUCATIVO BILINGÜE  CAPIRA</t>
  </si>
  <si>
    <t>CENTRO EDUCATIVO LAGUNITA</t>
  </si>
  <si>
    <t>CENTRO EDUCATIVO LINCA</t>
  </si>
  <si>
    <t>CENTRO EDUCATIVO LUDOVICO DE CASORIA</t>
  </si>
  <si>
    <t xml:space="preserve">C.E.B.G. EDEN NAZARENO  </t>
  </si>
  <si>
    <t>RES. 2135 AL 16 DE AGOSTO DE 2022 QUE AUTORIZA EL FUNCIONAMIENTO DEL C.E.</t>
  </si>
  <si>
    <t>CENTRO INFANTIL EL COCO</t>
  </si>
  <si>
    <t>RES. 2325 AL 30 DE AGOSTO DE 2022 QUE AUTORIZA FUNCIONAMIENTO.</t>
  </si>
  <si>
    <t>CENTRO INFANTIL LUZ DEL SABER</t>
  </si>
  <si>
    <t>HAPPY NEST KIDS GARDEN (CENTRO PRESCOLAR JARDÍN DE NIÑOS NIDO FELIZ)</t>
  </si>
  <si>
    <t>RES. 1453 DEL 6 DE JUNIO DE 2022 POR EL CUAL SE AUTORIZA FUNCIONAMIENTO DEL C.E.</t>
  </si>
  <si>
    <t>ESC. CHIARA LUBICH ACADEMY</t>
  </si>
  <si>
    <t>COLEGIO ANGLO FRANCES GUADALUPE</t>
  </si>
  <si>
    <t>COLEGIO BILINGÛE ALFRED B. NOBEL</t>
  </si>
  <si>
    <t>COLEGIO BILINGÜE CIUDAD VACAMONTE</t>
  </si>
  <si>
    <t>COLEGIO BILINGÜE JUAN PABLO II</t>
  </si>
  <si>
    <t>COLEGIO BILINGÜE MARIA AUXILIADORA</t>
  </si>
  <si>
    <t>COLEGIO BILINGÜE SAN JOSE DEL CARMEN</t>
  </si>
  <si>
    <t>COLEGIO BILINGÜE SANTA MONICA</t>
  </si>
  <si>
    <t>COLEGIO BILINGÜE VISTA ALEGRE</t>
  </si>
  <si>
    <t>RES. 1303 DEL 8 DE AGOSTO DEL 2007 QUE AUTORIZA EL FUNCIONAMIENTO PERMANENTE.</t>
  </si>
  <si>
    <t>RES. 5362 DEL 23 DE NOV. 2021 POR EL CUAL CONCEDE PERMISO PARA IMPARTIR LA OFERTA EDUCATIVA DE BACHILLER EN TECNOLOGIA INFORMATICA.</t>
  </si>
  <si>
    <t>COLEGIO BILINGÜE WILLIAM SHAKESPEARE</t>
  </si>
  <si>
    <t>COLEGIO SAN AGUSTIN DE LA CHORRERA</t>
  </si>
  <si>
    <t>RES. 545 DEL 3 DE FEBRERO DE 2021 QUE AUTORIZA EL FUNCIONAMIENTO DEL C.E.</t>
  </si>
  <si>
    <t>COLEGIO SAN VICENTE PADRE JESUS SANFELIU</t>
  </si>
  <si>
    <t>RES.4643 DEL 22 DE SEP. DE 2021.</t>
  </si>
  <si>
    <t>CIENCIAS,  COMERCIO, HUMANIDADES</t>
  </si>
  <si>
    <t>COLEGIO YMCA PANAMA SCHOOL</t>
  </si>
  <si>
    <t>ESC. DON BOSCO COLLEGE</t>
  </si>
  <si>
    <t>ESC. EL BUEN PASTOR DE ARRAIJÁN</t>
  </si>
  <si>
    <t>ESC. BUEN PASTOR CIUDAD HEBRON</t>
  </si>
  <si>
    <t>ESC. LA ANUNCIACION</t>
  </si>
  <si>
    <t>C.E.B.G. ESTRELLA DE DAVID</t>
  </si>
  <si>
    <t>RES.2399 AL 13 DE SEPT. 2022 QUE AUTORIZA FUNCIONAMIENTO</t>
  </si>
  <si>
    <t>ESC. FEDERICO J. HUMBERT A.</t>
  </si>
  <si>
    <t>RES. 4365 DEL 31 DE DICIEMBRE DEL 2020 QUE AUTORIZA EL FUNCIONAMIENTO DEL C.E.</t>
  </si>
  <si>
    <t>ESC. GABRIELA MISTRAL</t>
  </si>
  <si>
    <t>CIENCIAS,HUMANIDADES, COMERCIO,TECNOLOGIA E INFORMATICA</t>
  </si>
  <si>
    <t>ESC. HELEN MARY SHOOL</t>
  </si>
  <si>
    <t>ESC. HOWARD  ACADEMY</t>
  </si>
  <si>
    <t>RES. 5136 DEL 26 DE OCT. DE 2021 POR EL CUAL SE CONCEDE AUTORIZACION DEL FUNCIONAMIENTO DEL C.E.</t>
  </si>
  <si>
    <t>INSTITUTO DE FORMACION MARITIMA JUAN SEBASTIAN ELCANO</t>
  </si>
  <si>
    <t>INSTITUTO BERN BAUTISTA BILINGÜE</t>
  </si>
  <si>
    <t>INSTITUTO BILINGÜE EMERSON</t>
  </si>
  <si>
    <t>INSTITUTO BILINGÜE EMMANUEL</t>
  </si>
  <si>
    <t>INSTITUTO BILINGÜE ISAIT</t>
  </si>
  <si>
    <t>INSTITUTO BILINGÜE JEAN PIAGET</t>
  </si>
  <si>
    <t>INSTITUTO BILINGÜE LEONARDO DA VINCI</t>
  </si>
  <si>
    <t>INSTITUTO BILINGÜE SAN JUAN DE DIOS</t>
  </si>
  <si>
    <t xml:space="preserve">BARRIO BALBOA </t>
  </si>
  <si>
    <t>INSTITUTO BILINGÜE SAN JUDAS TADEO</t>
  </si>
  <si>
    <t xml:space="preserve">RES. 3894 DEL 2 DE AGOSTO DE 2021 POR EL CUAL SE AUTORIZA FUNCIONAMIENTO DEL C.E. </t>
  </si>
  <si>
    <t>INSTITUTO BILINGÜE VIRGEN DE GUADALUPE</t>
  </si>
  <si>
    <t>INSTITUTO DE APRENDIZAJE INTEGRAL</t>
  </si>
  <si>
    <t>INSTITUTO DE ENSEÑANZA INTEGRAL BILINGÜE ALPHAS</t>
  </si>
  <si>
    <t>RES. 2133 AL 16 DE AGOSTO DE 2022 QUE AUTORIZA FUNCIONAMIENTO.</t>
  </si>
  <si>
    <t>INSTITUTO DE MARINA MERCANTE OCUPACIONAL DE PANAMÁ – EXTENSIÓN LA CHORRERA</t>
  </si>
  <si>
    <t>INSTITUTO EPISCOPAL SAN JOSE</t>
  </si>
  <si>
    <t>INSTITUTO FUENTE DE GOZO</t>
  </si>
  <si>
    <t>RES. 1557 DEL 24 DE MARZO DE 2021 QUE AUTORIZA EL FUNCIONAMIENTO DEL C.E.</t>
  </si>
  <si>
    <t>CIENCIAS, HUMANIDADES Y TURISMO</t>
  </si>
  <si>
    <t>INSTITUTO NAVAL FERNANDO DE MAGALLANES</t>
  </si>
  <si>
    <t>INSTITUTO PAULO FREIRE</t>
  </si>
  <si>
    <t>RES. 123 DEL 29 DE 2020 POR EL CUAL AUTORIZA FUNCIONAMIENTO.</t>
  </si>
  <si>
    <t>RES. 2040 AL 03 DE AGOSTO DE 2022 POR EL CUAL AUTORIZA EL CAMBIO DE DIRECCION A SU NUEVA UBICACIÓN FISICA EN LA PROVINCIA DE PMA OESTE, DISTRITO DE ARRAIJAN, CORREGIMIENTO DE ARRAIJAN</t>
  </si>
  <si>
    <t>INSTITUTO PEDAGOGICO BAUTISTA</t>
  </si>
  <si>
    <t>INSTITUTO TECNOLOGICO DE CIENCIAS, LETRA, COM Y PROG.</t>
  </si>
  <si>
    <t>INTERNACIONAL CHRISTIAN ACADEMY (ICA)</t>
  </si>
  <si>
    <t>RES. 339 DEL 15 DE MARZO DE 2004 QUE AUTORIZA FUNCIONAMIENTO.</t>
  </si>
  <si>
    <t>CIENCIAS Y TECNOLOGÍA CON ENFASÍS EN INFORMATICA, COMERCIO BILINGÜE CON ENFASÍS EN BANCAS Y FINANZAS.</t>
  </si>
  <si>
    <t>ESC. PASTORCITOS DE FATIMA</t>
  </si>
  <si>
    <t>CENTRO EDUCATIVO LUZ DEL MUNDO</t>
  </si>
  <si>
    <t>RES. 5419 DEL 26 DE NOV. DE 2021 QUE AUTORIZA FUNCIONAMIENTO.</t>
  </si>
  <si>
    <t>CENTRO EDUCATIVO MI NIÑO JESUS</t>
  </si>
  <si>
    <t>RES. 694 DEL 10 DE FEBRERO DE 2021 QUE AUTORIZA EL FUNCIONAMIENTO DEL C.E.</t>
  </si>
  <si>
    <t>CENTRO EDUCATIVO MILK AND HONEY ACADEMY</t>
  </si>
  <si>
    <t>RES. 921-AL DEL 22 DE ABRIL DE 2022 POR EL CUAL AUTORIZA FUNCIONAMIENTO COMO CENTRO EDUCATIVO.</t>
  </si>
  <si>
    <t>ESC. PANAMA HEIGHT INTERNACIONAL ACADEMY</t>
  </si>
  <si>
    <t>CENTRO EDUCATIVO PANINKA SCHOOL</t>
  </si>
  <si>
    <t>RES. 1152 DEL 20 DE MAYO DE 2022 POR EL CUAL SE AUTORIZA FUNCIONAMIENTO DEL C.E.</t>
  </si>
  <si>
    <t>ESC. SAINT JOSEPH SCHOOL</t>
  </si>
  <si>
    <t>COLEGIO SAN GABRIEL DE LA DOLOROSA</t>
  </si>
  <si>
    <t>COLEGIO SAN JOSE DE MALAMBO</t>
  </si>
  <si>
    <t>COLEGIO SAN MARTIN DE PORRES</t>
  </si>
  <si>
    <t>RES. 4 DEL 10 DE ENERO DE 2023 QUE AUTORIZA FUNCIONAMIENTO DEL C.E.</t>
  </si>
  <si>
    <t>RES. 1346 DEL 03 DE JUNIO DE 2022 QUE CONCEDE AMPLIACION PARA EL PRIMER NIVEL DE ENSEÑANZA  O BASICA GENERAL</t>
  </si>
  <si>
    <t>ESC. SCALA INTERNATIONAL SCHOOL BRISAS DEL GOLF</t>
  </si>
  <si>
    <t xml:space="preserve">RES. 3746 AL 30 DE DICIEMBRE DE 2022 QUE AUTORIZA FUNCIONAMIENTO </t>
  </si>
  <si>
    <t>ESC. SCALA INTERNATIONAL SCHOOLS -  LA HACIENDA-VACAMONTE</t>
  </si>
  <si>
    <t>RES. 3744 AL 30 DE DICIEMBRE DE 2022 QUE AUTORIZA FUNCIONAMIENTO</t>
  </si>
  <si>
    <t>CENTRO EDUCATIVO SEMILLERO DEL SABER</t>
  </si>
  <si>
    <t>ESC. SMART LEARNING ACADEMY</t>
  </si>
  <si>
    <t>RES. 4144 DEL 16 DICIEMBRE 2020 POR EL CUAL AUTORIZA EL FUNCIONAMIENTO DEL C.E.</t>
  </si>
  <si>
    <t>ESC. ST. MIGUEL ARCANGEL COLLEGE</t>
  </si>
  <si>
    <t>ESC. SUEÑOS MAGICOS</t>
  </si>
  <si>
    <t>THE NOAH´S ARK BILINGÜAL SCHOOL (EL ARCA DE NOE)</t>
  </si>
  <si>
    <t>RES. 5072 DEL 15 DE OCTUBRE DE 2021 QUE AUTORIZA EL FUNCIONAMIENTO DEL C.E.</t>
  </si>
  <si>
    <t>CENTRO EDUCATIVO ISAAC </t>
  </si>
  <si>
    <t>CENTRO EDUCATIVO PANAMA  WEST COLLEGE </t>
  </si>
  <si>
    <t>RES. 4644 DEL 22 DE SEP. DEL 2021 QUE AUTORIZA EL FUNCIONAMIENTO DEL C.E.</t>
  </si>
  <si>
    <t>ESC. WISDOM ACADEMY</t>
  </si>
  <si>
    <t>ACADEMIA LABORAL EL REY DAVID</t>
  </si>
  <si>
    <t>CENTRO ADVENTISTA DE ESTUDIO LABORAL</t>
  </si>
  <si>
    <t>CENTRO EDUCATIVO LABORAL BELLAS LUCES-SAN CARLOS</t>
  </si>
  <si>
    <t>CENTRO LABORAL BELLAS LUCES-TECAL</t>
  </si>
  <si>
    <t>CENTRO EDUCACIÓN LABORAL PANAMÁ</t>
  </si>
  <si>
    <t>CENTRO LABORAL VISTA ALEGRE</t>
  </si>
  <si>
    <t>CIENCIAS, LETRAS, COMERCIO, TURISMO</t>
  </si>
  <si>
    <t>ESC. DON BOSCO COLLEGUE</t>
  </si>
  <si>
    <t>INSTITUTO INTERAMERICANO DE LA CHORRERA</t>
  </si>
  <si>
    <t>INSTITUTO CIENTIFICO ANDROS</t>
  </si>
  <si>
    <t>CIENCIAS, COMERCIO, TURISMO, TECNOLOGIA E INFORMATICA,</t>
  </si>
  <si>
    <t>INSTITUTO DE ENSEÑANZA LABORAL EMERSON</t>
  </si>
  <si>
    <t>INSTITUTO DE ENSEÑANZA SUPERIOR DE PANAMÁ OESTE</t>
  </si>
  <si>
    <t>INSTITUTO LABORAL FUENTE DE GOZO</t>
  </si>
  <si>
    <t>INSTITUTO GIORDANIO BRUNO</t>
  </si>
  <si>
    <t>INSTITUTO ISAIT LABORAL</t>
  </si>
  <si>
    <t>CIENCIAS, HUMANIDADES, COMERCIO,TURISMO</t>
  </si>
  <si>
    <t>INSTITUTO LABORAL A DISTANCIA DE PANAMA</t>
  </si>
  <si>
    <t>INSTITUTO LABORAL DE SAN FRANCISCO DE PAULA</t>
  </si>
  <si>
    <t>RES. 2117 DEL 19 DE ABRIL DE 2021 POR EL CUAL AUTORIZA EL FUNCIONAMIENTO.</t>
  </si>
  <si>
    <t>INSTITUTO SAN JUDAS TADEO LABORAL</t>
  </si>
  <si>
    <t>INSTITUTO TECNICO LABORAL DE PANAMA OESTE</t>
  </si>
  <si>
    <t>INSTITUTO TECNICO PANASISTEMS</t>
  </si>
  <si>
    <t>INSTITUTO TECNICO LABORAL DE NUEVO ARRAIJÁN</t>
  </si>
  <si>
    <t>ESC. LICEO FRANCES PAUL GAUGUIN</t>
  </si>
  <si>
    <t>RES. 5337</t>
  </si>
  <si>
    <t>COLEGIO INTERNACIONAL SAINT MARY</t>
  </si>
  <si>
    <t>COLEGIO SAINT MARY PANAMA PACIFICO</t>
  </si>
  <si>
    <t>RES. 2507 DEL 17 DE AGOSTO DE 2020 QUE AUTORIZA EL FUNCIONAMIENTO DEL C.E.</t>
  </si>
  <si>
    <t>CORONADO INTERNATIONAL SCHOOL</t>
  </si>
  <si>
    <t>ESC. MAGEN DAVID ACADEMY</t>
  </si>
  <si>
    <t>ESC. PANAMA COAST INTERNATIONAL SCHOOL</t>
  </si>
  <si>
    <t>ESC. SABIS INTERNATIONAL SCHOOL</t>
  </si>
  <si>
    <t>THE RENAISSANCE ACADEMY  OF INTERNATIONAL LEARNING (TRAIL)</t>
  </si>
  <si>
    <t>RES. 5590 DEL 10 DE DICIEMBRE DE 2021 QUE AUTORIZA FUNCIONAMIENTO</t>
  </si>
  <si>
    <t>SAN MIGUELITO</t>
  </si>
  <si>
    <t>ARNULFO ARIAS</t>
  </si>
  <si>
    <t>CEFACEI ALTO DE LA TORRE</t>
  </si>
  <si>
    <t>CEFACEI EL FUTURO 1</t>
  </si>
  <si>
    <t>CEFACEI EL FUTURO 2</t>
  </si>
  <si>
    <t>CEFACEI LA NUEVA SEMILLA DE JESUS</t>
  </si>
  <si>
    <t>CEFACEI NUEVO SENDERITO</t>
  </si>
  <si>
    <t>BELISARIO PORRAS</t>
  </si>
  <si>
    <t xml:space="preserve">CEFACEI DIVINO NIÑO </t>
  </si>
  <si>
    <t>OMAR TORRIJOS H.</t>
  </si>
  <si>
    <t>CAIPI LOS ANDES</t>
  </si>
  <si>
    <t>MATEO ITURRALDE</t>
  </si>
  <si>
    <t>ESC. PARUSIA</t>
  </si>
  <si>
    <t>CAIPI REPUBLICA DE PANAMA</t>
  </si>
  <si>
    <t>CAIPI SAN CRISTOBAL</t>
  </si>
  <si>
    <t>JOSÉ DOMINGO ESPINAR</t>
  </si>
  <si>
    <t>CAIPI LA AURORA</t>
  </si>
  <si>
    <t>CAIPI EL VALLE DE SAN MARTIN</t>
  </si>
  <si>
    <t>CAIPI GOTITAS DE LLUVIA</t>
  </si>
  <si>
    <t>CAIPI CEDECO</t>
  </si>
  <si>
    <t>CAIPI ESTRELLITA</t>
  </si>
  <si>
    <t>CAIPI CRISTO REY</t>
  </si>
  <si>
    <t>CAIPI ASCANIO VILLALAZ</t>
  </si>
  <si>
    <t>CENTRO EDUCATIVO KATIUSKA</t>
  </si>
  <si>
    <t>DEC. 201 DE 30 DE MAYO DE 2018 QUE CREA EL C.E.KATIUSKA</t>
  </si>
  <si>
    <t>C.E.B.G MANUEL BELGRANO</t>
  </si>
  <si>
    <t>DEC. 571 16 DE AGOSTO DEL 2017 QUE AUTORIZA EL CAMBIO DE NOMBRE DELCENTRO EDUCATIVO DENOMINADO REPUBLICA DE YOGOSLAVIA A C.E.B.G. MANUEL BELGRANO.</t>
  </si>
  <si>
    <t>C.E.B.G. BILINGÜE DR. ARNULFO ARIAS MADRID</t>
  </si>
  <si>
    <t>DEC. 11 DE 26 DE ENERO DE 1993.</t>
  </si>
  <si>
    <t>Dect. 11 de 26 de enero de 1993 se crea la Escuela Primaria Presidente Arnulfo Arias Madrid. Dec.59 del 20 de febrero del 2017 que crea el C.E.B.G. Decreto 446 del 14 de agosto de 2018 incorpora la denominacion Bilingüe al Nombre</t>
  </si>
  <si>
    <t>C.E.B.G. BILINGÜE DR. CARLOS A. MENDOZA</t>
  </si>
  <si>
    <t>Dect. 260 de 17 de mayo de 1966, créase la Escuela Nuevo Veranillo en el Municipio de Panamá. Decreto 446 del 14 de agosto de 2018 incorpora la denominacion Bilingüe al Nombre</t>
  </si>
  <si>
    <t>C.E.B.G. BILINGÜE ESTADO DE ISRAEL</t>
  </si>
  <si>
    <t>DEC. 311 DE 5 DE JULIO DE 1960</t>
  </si>
  <si>
    <t>Dect. 311 de 5 de julio de 1960 se le asigna el nombre de República  de Israel  a la Escuela primaria oficial que funciona en el barrio de San Miguelito. Dect. 233 de 30 de mayo de 1961 se crea la Escuela República de Israel No.2, además se deroga el Decreto No. 311 de 5 de julio de 1960 de creación de la Escuela República de Israel.  Dect. 503 de 15 de septiembre de 1970 se reubican Escuelas del Distrito de Panamá al Distrito Especial de San Miguelito. Dect. 28 de 26 de febrero de 1980,  deroga el decreto 233 de 30 de mayo de 1961 restablece el decreto 311 de 5 de mayo de 1960.Decreto 446 del 14 de agosto de 2018 incorpora la denominacion Bilingüe al Nombre</t>
  </si>
  <si>
    <t>RUFINA ALFARO</t>
  </si>
  <si>
    <t>C.E.B.G. BILINGÜE GABRIEL LEWIS GALINDO</t>
  </si>
  <si>
    <t>DEC. 173 DE 28 DE ABRIL DE 1972</t>
  </si>
  <si>
    <t>Dec. 173 de 28 de abril de 1972 se crea la Escuela Primaria Oficial Las Trancas. Dect. 212 de 14 de junio de 2005 se le asigna el nombre de Gabriel Edgardo Lewis Galindo a la Escuela Las Trancas. Decreto 446 del 14 de agosto de 2018 incorpora la denominacion Bilingüe al Nombre</t>
  </si>
  <si>
    <t>BELISARIO FRÍAS</t>
  </si>
  <si>
    <t xml:space="preserve"> C.E.B.G. BILINGÜE GENERAL JOSE DE SAN MARTÍN</t>
  </si>
  <si>
    <t>DEC. 64 DE 2 DE AGOSTO DE 1977.</t>
  </si>
  <si>
    <t>AMELIA DENIS DE ICAZA</t>
  </si>
  <si>
    <t>C.E.B.G. BILINGÜE JERONIMO DE LA OSSA</t>
  </si>
  <si>
    <t>DEC.  49 DE 13 DE JUNIO DE 1978.</t>
  </si>
  <si>
    <t>Dect.  49 de 13 de junio de 1978, créase el Centro de Educación Básica General Jerónimo de La Ossa. Decreto 446 del 14 de agosto de 2018 incorpora la denominacion Bilingüe al Nombre</t>
  </si>
  <si>
    <t>C.E.B.G. BILINGÜE JOSE DOMINGO ESPINAR</t>
  </si>
  <si>
    <t>C.E.B.G. BILINGÜE LOS ANDES</t>
  </si>
  <si>
    <t>DEC. 38 DE 21 DE MARZO DE 1980.</t>
  </si>
  <si>
    <t>Dect. 38 de 21 de marzo de 1980 créase la escuela primaria oficial Los Andes.Decreto 446 del 14 de agosto de 2018 incorpora la denominacion Bilingüe al Nombre</t>
  </si>
  <si>
    <t>VICTORIANO LORENZO</t>
  </si>
  <si>
    <t>C.E.B.G. BILINGÜE REPUBLICA DE ALEMANIA</t>
  </si>
  <si>
    <t>DEC. 173 DE 21 DE JUNIO DE 2001. DECRETO 446 DEL 14 DE AGOSTO DE 2018 INCORPORA LA DENOMINACION BILINGÜE AL NOMBRE</t>
  </si>
  <si>
    <t>Dec. 49 de 16 de marzo de 1964  se le cambia el nombre a la Escuela de Monte Oscuro por el de Escuela Alemania Occidental. Dect. 364 de 18 de septiembre de 1964 corregir el decreto 49 de 16 de marzo de 1964, y se da el nombre de Escuela Alemania a la Escuela Alemania Occidental. Dect. 75 de 25 de febrero de 1965 se le da el nombre de Escuela Alemania No.1 a la Escuela Alemania y se crea la Escuela Alemania No.2 en Monte Oscuro. Dect. 398 de 28 de julio de 1966 la Escuela Alemania No.2 se denominará Amelia Denis de Icaza. Dect.  503 de 15 de septiembre de 1970 se reubican Escuelas del Distrito de Panamá al Distrito Especial de San Miguelito. Dect. 197 de 31 de marzo de 1971  se cambia  el nombre de la Escuela Alemania del municipio de San Miguelito por el de Escuela República Federal de Alemania. Dect. 172 de 28 de abril de 1972 se da un solo nombre a dos escuelas de un mismo edificio, la Esc. Amelia Denis de Icaza y República Federal de Alemania, formaran una sola Escuela, denominada República Federal de Alemania.  Dect. 173 de 21 de junio de 2001 se crea el C.E.B.G. República de Alemania. Dect.  172 de 2 de mayo de 2002, créase el Primer Ciclo República de Alemania.</t>
  </si>
  <si>
    <t>C.E.B.G. BILINGÜE REPUBLICA DE FRANCIA</t>
  </si>
  <si>
    <t>DEC. 322 DE 6 DE JULIO DE 1992.</t>
  </si>
  <si>
    <t>Dect. 322 de 6 de julio de 1992 se le asigna el nombre de República de Francia a la escuela primaria Roberto Durán.Decreto 446 del 14 de agosto de 2018 incorpora la denominacion Bilingüe al Nombre</t>
  </si>
  <si>
    <t>C.E.B.G. BILINGÜE SANTA LIBRADA</t>
  </si>
  <si>
    <t>Dect. 51 de 21 de marzo de 1974 se crea la Escuela Primaria Oficial Santa Librada en el Municipio de Panamá. Dect. 97 de 8 de junio de 1981 créase la Escuela Primaria Oficial de Santa Librada. Dect. 3 de 28 de enero de 2008 se asciende a la primera categoría al C.E.B.G. Santa Librada en el corregimiento Omar Torrijos.Decreto 446 del 14 de agosto de 2018 incorpora la denominacion Bilingüe al Nombre</t>
  </si>
  <si>
    <t>C.E.B.G. BILINGÜE SANTA MARTA</t>
  </si>
  <si>
    <t>C.E.B.G. BILINGÜE TORRIJOS CARTER</t>
  </si>
  <si>
    <t>DEC. 22 DE 24 DE FEBRERO DE 1981.</t>
  </si>
  <si>
    <t>Dec. 22 de 24 de febrero de 1981 se crean escuelas primarias oficiales ESCUELA TORRIJOS CARTER.Decreto 446 del 14 de agosto de 2018 incorpora la denominacion Bilingüe al Nombre</t>
  </si>
  <si>
    <t>C.E.B.G. JOSEFINA TAPIA R.</t>
  </si>
  <si>
    <t>DEC. 2279 DE 24 DE DICIEMBRE DE 1948.</t>
  </si>
  <si>
    <t>Dec. 6 de 13 de Febrero de 1925  funcionará la Escuela República de Chile (Anexa a la Escuela Normal de Institutoras).  Dect. 2279 de 24 de diciembre de 1948 asígnese a la Escuela República de Chile No.1 el nombre de Josefina Tapia y a la Escuela Estados Unidos No.2 el nombre de Federico E. Libby.Dect. 231 de 20 de julio de 2006 se asciende de categoría al C.E.B.G. Josefina Tapia Russ.</t>
  </si>
  <si>
    <t>C.E.B.G. LOUIS MARTINZ</t>
  </si>
  <si>
    <t>DEC. 270 DE 22 DE JULIO DE 2009.</t>
  </si>
  <si>
    <t>270 de 22 de julio de 2009. Se crea el C.E.B.G. Louis Martinz integrado  por la Escuela Louis Martinz y el Primer Ciclo Louis Martinz</t>
  </si>
  <si>
    <t>ESC. AMELIA DENIS DE ICAZA</t>
  </si>
  <si>
    <t>DEC. 301 DE 7 DE JUNIO DE 1972.</t>
  </si>
  <si>
    <t>Dect. 503 de 15 de septiembre de 1970 se reubican Escuelas del Distrito de Panamá al Distrito Especial de San Miguelito. Dect. 760 de 9 de diciembre de 1969  se crea el jardín de infancia y se incorpora a la escuela Amelia Denis de Icaza. Dect. 301 de 7 de junio de 1972 se le cambia el nombre de la Escuela San José por el de Amelia Denis de Icaza.</t>
  </si>
  <si>
    <t>ESC. BILINGÜE DOMINGO F. SARMIENTO</t>
  </si>
  <si>
    <t>DEC. 389 DE 18 DE JULIO DE 1962</t>
  </si>
  <si>
    <t>Dect. 389 de 18 de julio de 1962 désele el nombre de Domingo Faustino Sarmiento a la escuela pública primaria de Cerro Batea. Dect. 503 de 15 de septiembre de 1970. Se reubican Escuelas del Distrito de Panamá al Distrito Especial de San Miguelito. Decreto 446 del 14 de agosto de 2018 incorpora la denominacion Bilingüe al Nombre</t>
  </si>
  <si>
    <t>ESC. BILINGÜE MARTIN LUTHER KING</t>
  </si>
  <si>
    <t>DEC. 190 DE 17 DE JULIO DE 1987.</t>
  </si>
  <si>
    <t>Dec. 190 de 17 de julio de 1987  se crea la Escuela Martín Luther King.Decreto 446 del 14 de agosto de 2018 incorpora la denominacion Bilingüe al Nombre</t>
  </si>
  <si>
    <t>ESC. BILINGÜE PADRE XAVIER VILLANUEVA</t>
  </si>
  <si>
    <t>DEC. 656 DE 30  DE DICIEMBRE DE 1992.</t>
  </si>
  <si>
    <t>Dect. 656 de 30  de diciembre de 1992 se le asigna en nombre de Padre Xavier Villanueva a la Escuela Primaria de Cerro Viento.Decreto 446 del 14 de agosto de 2018 incorpora la denominacion Bilingüe al Nombre</t>
  </si>
  <si>
    <t>ESC. BILINGÜE PEDRO J. AMEGLIO</t>
  </si>
  <si>
    <t>DEC. 4 DE 3 DE ENERO DE 1973.</t>
  </si>
  <si>
    <t>Dect. 4 de 3 de enero de 1973  se crea la Escuela Pedro J. Ameglio T.Decreto 446 del 14 de agosto de 2018 incorpora la denominacion Bilingüe al Nombre</t>
  </si>
  <si>
    <t>ESC. BILINGÜE REPUBLICA DE COLOMBIA</t>
  </si>
  <si>
    <t>DEC. 92 DE 23 DE MAYO DE 1965.</t>
  </si>
  <si>
    <t>Dect. 92 de 23 de mayo de 1965  créase las escuelas Paraíso No.1 y No.2. Dect. 470 de 19 de octubre de 1965  la Escuela Paraíso No.1  llámese en adelante Escuela República de Colombia. Dect. 503 de 15 de septiembre de 1970 se reubican Escuelas del Distrito de Panamá al Distrito Especial de San Miguelito. Dect. 611 de 20 de julio de 1971  las escuelas Paraíso y República de Colombia formarán la Escuela República de Colombia.Decreto 446 del 14 de agosto de 2018 incorpora la denominacion Bilingüe al Nombre</t>
  </si>
  <si>
    <t>ESC. BILINGÜE REPUBLICA DE ITALIA</t>
  </si>
  <si>
    <t>DEC. 214 DE 6 DE JULIO DE 1964.</t>
  </si>
  <si>
    <t>Dec. 214 de 6 de julio de 1964, se le cambia el nombre a la Escuela Pública de la comunidad de Pan de Azúcar y se le da el nombre de República de Italia. Dect. 503 de 15 de septiembre de 1970  se reubican Escuelas del Distrito de Panamá al Distrito Especial de San Miguelito. Decreto 446 del 14 de agosto de 2018 incorpora la denominacion Bilingüe al Nombre</t>
  </si>
  <si>
    <t>ESC. BILINGÜE SANTIAGO DE LA GUARDIA</t>
  </si>
  <si>
    <t>DEC. 210 DE 31 DE MARZO DE 1971.</t>
  </si>
  <si>
    <t>Dec. 210 de 31 de marzo de 1971 se crea la Escuela de El Valle de San Isidro. Dect. 26 de 13 de marzo de 1973 la Escuela El Valle de San Isidro Municipio de San Miguelito se denominará Escuela Santiago De La Guardia.Decreto 446 del 14 de agosto de 2018 incorpora la denominacion Bilingüe al Nombre</t>
  </si>
  <si>
    <t>ESC. BILINGÜE SEVERINO HERNANDEZ</t>
  </si>
  <si>
    <t>Dect. 38 de 13 de febrero de 1967  se crea la Escuela San Miguelito en el municipio de Panamá. Dect. 578 de 20 de octubre de 1969 se le cambia el nombre a la Escuela San Miguelito por el de Severino Hernández Troya. Dect. 503 de 15 de septiembre de 1970 se reubican Escuelas del Distrito de Panamá al Distrito Especial de San Miguelito. Decreto 446 del 14 de agosto de 2018 incorpora la denominacion Bilingüe al Nombre</t>
  </si>
  <si>
    <t>ESC. CERRO VIENTO RURAL</t>
  </si>
  <si>
    <t>DEC. 105 DE 23 DE JULIO DE 1976.</t>
  </si>
  <si>
    <t>Dect. 105 de 23 de julio de 1976 se crea la Escuela Primaria Oficial de Cerro Viento.</t>
  </si>
  <si>
    <t>ESC. DON BOSCO</t>
  </si>
  <si>
    <t xml:space="preserve">DEC. 47 DE 13 DE JUNIO DE 1978. </t>
  </si>
  <si>
    <t>Dect. 47 de 13 de junio de 1978  créase la Escuela primaria oficial Don Bosco en Samaria, Distrito de San Miguelito</t>
  </si>
  <si>
    <t>ESC. EL MIRADOR</t>
  </si>
  <si>
    <t>ESC. JUAN JOSE AMADO</t>
  </si>
  <si>
    <t>DEC. 510 DE 30 DE SEPTIEMBRE DE 1969.</t>
  </si>
  <si>
    <t>Dect. 510 de 30 de septiembre de 1969,  se cambia el nombre a la Escuela de Sonsonate, por el de Juan José Amado Estera. Dect. 503 de 15 de septiembre de 1970. Se reubican Escuelas del Distrito de Panamá al Distrito Especial de San Miguelito</t>
  </si>
  <si>
    <t>ESC. MARIA DEL ROSARIO SALAZAR</t>
  </si>
  <si>
    <t>Dec. 167 de 24 de abril de 1970 créase la Escuela Tinajita en el Municipio de Panamá. Dect. 21 de 26 de marzo de 1991, se le asigna el nombre de María del Rosario Salazar a la escuela primaria Tinajita del corregimiento de Belisario Porras.</t>
  </si>
  <si>
    <t>ESC. NUEVE DE ENERO</t>
  </si>
  <si>
    <t>DEC. 383 DE 29 DE AGOSTO DE 1973.</t>
  </si>
  <si>
    <t>Dect. 383 de 29 de agosto de 1973 se crea la Escuela Primaria Oficial Nueve de Enero.</t>
  </si>
  <si>
    <t>ESC. REPUBLICA DE COREA</t>
  </si>
  <si>
    <t>DEC. 198 DE 22 DE OCTUBRE DE 1979.</t>
  </si>
  <si>
    <t>Dec. 198 de 22 de octubre de 1979 se crea la Escuela Primaria Oficial República de Corea.</t>
  </si>
  <si>
    <t>ESC. REPUBLICA DE POLONIA</t>
  </si>
  <si>
    <t>DEC. 267 DE 20 DE JULIO DE 2000.</t>
  </si>
  <si>
    <t>Dect. 267 de 20 de Julio de 2000 se le asigna el nombre de Escuela República de Polonia a la Escuela Altos de Valle Urraca en el Corregimiento José Domingo Espinar.</t>
  </si>
  <si>
    <t>ESC. ROGELIO SINAN</t>
  </si>
  <si>
    <t>Dect. 614 de 3 de agosto de 2011 se crea el C.E. Rogelio Sinán.</t>
  </si>
  <si>
    <t>ESC. SAMARIA SINAI</t>
  </si>
  <si>
    <t>DEC. 491 DE 7 DE JUNIO DE 1971</t>
  </si>
  <si>
    <t>Dect. 491 de 7 de junio de 1971 se crea la Escuela Primaria Samaria en la comunidad de Nuevo Veranillo, San Miguelito.</t>
  </si>
  <si>
    <t>Dect. 34 de 24 de enero de 1966 créanse las Escuelas El Porvenir, y San Antonio en el Municipio de Panamá. Dect. 503 de 15 de septiembre de 1970 se reubican Escuelas del Distrito de Panamá al Distrito Especial de San Miguelito</t>
  </si>
  <si>
    <t>ESC. VALLE DE URRACA</t>
  </si>
  <si>
    <t>Dect. 614 de 3 de agosto de 2011 se crea el C.E. Valle de Urracá.</t>
  </si>
  <si>
    <t>I.P.T. ANGEL RUBIO</t>
  </si>
  <si>
    <t>DEC. 144 DE 22 DE MAYO DE 1973.</t>
  </si>
  <si>
    <t>Dec. 144 de 22 de mayo de 1973  se crea el Primer Ciclo Secundario de Pedregal. Dect. 117 de 7 de mayo de 1974 se le da el nombre de Primer Ciclo Ángel Rubio al actual Primer Ciclo de   Pedregal.  Dect. 49 de 13 de junio de 1978 créase el Centro de Educación Básica General Ángel Rubio.  Dect. 27 de 9 de febrero de 1983 denomínese Instituto Profesional y Técnico Ángel Rubio al plantel educativo llamado Primer Ciclo Ángel Rubio.</t>
  </si>
  <si>
    <t>INDUSTRIAL,SEGUNDO CICLO INDUSTRIAL</t>
  </si>
  <si>
    <t>I.P.T. LOUIS MARTINZ</t>
  </si>
  <si>
    <t>DEC. 59 DE 14 DE MAYO DE 1981.</t>
  </si>
  <si>
    <t>Dect. 267 de 11 de mayo de 1967 se crea el Centro Vocacional Nuevo Veranillo. Dect. 380 de 15 de julio de 1968, por el cual se da el nombre de Louis Martinz a la Escuela Vocacional de Veranillo. Dect. 632 de 23 de julio de 1971,  se deroga los decretos 267 de 11 de mayo de 1967 y el decreto 219 de 9 de mayo de 1968 y se reestructura el Centro Vocacional Louis Martinz según el decreto 170 de 15 de abril de 1966. Dect. 13 de 8 de enero de 1996 se crea el IPT Los Andes.</t>
  </si>
  <si>
    <t>I.P.T. SAN MIGUELITO</t>
  </si>
  <si>
    <t>DEC. 151 DE 19 DE SEPTIEMBRE DE 1997.</t>
  </si>
  <si>
    <t xml:space="preserve">Dec. 151 de 19 de septiembre de 1997 se crea el Instituto Profesional y Técnico San Miguelito. </t>
  </si>
  <si>
    <t>I.P.T.C. NICOLAS DEL ROSARIO</t>
  </si>
  <si>
    <t>DEC. 13 DE 8 DE ENERO DE 1996.</t>
  </si>
  <si>
    <t>Dect. 13 de 8 de enero de 1996 se crea el IPT Los Andes. Dect. 124 de 10 de mayo de 1996 se le denomina Nicolás Del Rosario al IPT Los Andes.</t>
  </si>
  <si>
    <t>COMERCIO,CONTABILIDAD, TURISMO</t>
  </si>
  <si>
    <t>INSTITUTO DR. ALFREDO CANTON</t>
  </si>
  <si>
    <t>DEC. 85 DE 23 DE ABRIL DE 1969.</t>
  </si>
  <si>
    <t>Dect. 85 de 23 de abril de 1969 se crea el primer ciclo de educación secundaria y se le da el nombre de Dr. Alfredo Cantón. Dect. 107 de 20 de diciembre de 1977 denomínese en lo sucesivo Instituto Dr. Alfredo Cantón al Primer Ciclo Secundario Dr. Alfredo Cantón.</t>
  </si>
  <si>
    <t>INSTITUTO RUBIANO</t>
  </si>
  <si>
    <t>DEC. 89 DE 23 DE MARZO DE 1970</t>
  </si>
  <si>
    <t>Dect. 89 de 23 de marzo de 1970 se segrega la sección normal del Liceo de Señoritas y se incorpora al Primer Ciclo de Las Cumbres. Dect. 134 de 14 de Abril de 1970 se le da el nombre de Instituto Rubiano al Primer Ciclo de Las Cumbres. Dect. 31 de 6 de marzo de 1980 se elimina la denominación de Normal que por decreto 134 de 14 de abril de 1970 se le dio al Instituto Rubiano.</t>
  </si>
  <si>
    <t>CIENCIAS,HUMANIDADES,TECNOLOGIA E INFORMATICA</t>
  </si>
  <si>
    <t>CENTRO EDUCATIVO CICLO LEÓN A. SOTO</t>
  </si>
  <si>
    <t>DEC. 196 DE 18 DE  AGOSTO DE 1981.</t>
  </si>
  <si>
    <t>DEC. 65 DE 05 DE DICIEMBRE DE 2022 QUE IMPLEMENTA EL SEGUNDO NIVEL DE ENSEÑANZA O EDUCACIÓN MEDIA (BACHILLER EN COMERCIO) Y CAMBIA SU DENOMINACIÓN A CENTRO EDUCATIVO. LEON A SOTO</t>
  </si>
  <si>
    <t>PRIMER CICLO SANTA LIBRADA</t>
  </si>
  <si>
    <t>CIENCIAS, HUMANIDADES,MARITIMO, TECNOLOGÍA E INFORMÁTICA</t>
  </si>
  <si>
    <t>C.E.L. BUENA VOLUNTAD PANAMA</t>
  </si>
  <si>
    <t>C.E.L.O. SAN MIGUELITO</t>
  </si>
  <si>
    <t>INDUSTRIAL, TURISMO,TECNOLOGIA E INFORMATICA</t>
  </si>
  <si>
    <t>CENTRO EDUCATIVO TINAJITAS</t>
  </si>
  <si>
    <t>CENTRO PARA LA FORMACION Y DESARROLLO DEL ADOLESCENTE (CEFODEA)</t>
  </si>
  <si>
    <t>ESC. DE ADIESTRAMIENTO VOCACIONAL S.E.D.I.A</t>
  </si>
  <si>
    <t>FORMACIÓN LABORAL (CURSOS)</t>
  </si>
  <si>
    <t>ESC.  SECUNDARIA NOCTURNA OFICIAL RUBIANO</t>
  </si>
  <si>
    <t>HUMANIDADES, COMERCIO, TURISMO</t>
  </si>
  <si>
    <t>LABORAL DON BOSCO SAMARIA</t>
  </si>
  <si>
    <t>ESC. DE FOLKLORE DE SAN MIGUELITO</t>
  </si>
  <si>
    <t>ESC. ST. PETER`S ACADEMY</t>
  </si>
  <si>
    <t xml:space="preserve">KREA PLAY </t>
  </si>
  <si>
    <t>CENTRO EDUCATIVO MAGIC KIDS</t>
  </si>
  <si>
    <t>RES. 2510 DEL 17 DE AGOSTO DE 2020 QUE AUTORIZA EL FUNCIONAMIENTO DEL C.E.</t>
  </si>
  <si>
    <t>COLEGIO BILINGÜE TIA PATY</t>
  </si>
  <si>
    <t>CENTRO EDUCATIVO FIRST STAR</t>
  </si>
  <si>
    <t>EBARI BIA</t>
  </si>
  <si>
    <t>ESC. SMART KIDS</t>
  </si>
  <si>
    <t>ESC. KINDER BILINGÜE PEQUEÑOS PETALOS</t>
  </si>
  <si>
    <t>ESC. GLORIA DE JEHOVA</t>
  </si>
  <si>
    <t>ESC. CREATIVA PANAMÁ (PANAMA CREATIVE SCHOOL)</t>
  </si>
  <si>
    <t>RES. 3600 DEL 13 DE JULIO DE 2021 QUE AUTORIZA EL FUNCIONAMIENTO DEL C.E.</t>
  </si>
  <si>
    <t xml:space="preserve">CENTRO PREESCOLAR FOUR  KIDS </t>
  </si>
  <si>
    <t>ALFALIT CAMINITO DE ESPERANZA</t>
  </si>
  <si>
    <t>ALFALIT MIS PRIMEROS PASOS</t>
  </si>
  <si>
    <t>CENTRO PREESCOLAR MOISES EMANUEL</t>
  </si>
  <si>
    <t>ALFALIT JEHOVA SHALOM</t>
  </si>
  <si>
    <t>LUCERITOS DE ALFALIT</t>
  </si>
  <si>
    <t>ALFALIT SIGUIENDO LOS PASITOS DE JESUS</t>
  </si>
  <si>
    <t>CARITAS FELICES</t>
  </si>
  <si>
    <t>ANTON INTERNATIONAL ACADEMY</t>
  </si>
  <si>
    <t>RES. 1334 DEL 12 DE MARZO DE 2021 QUE AUTORIZA EL FUNCIONAMIENTO DEL C.E.</t>
  </si>
  <si>
    <t>COLEGIO CRISTIANO PALPER</t>
  </si>
  <si>
    <t>RES. 3112 DEL 15 DE JUNIO  2021 QUE AUTORIZA EL FUNCIONAMIENTO DEL C.E.</t>
  </si>
  <si>
    <t>CENTRO EDUCATIVO DIVINO TESORO</t>
  </si>
  <si>
    <t>CENTRO EDUCATIVO EL SENDERO</t>
  </si>
  <si>
    <t>ESC. JUANA M. DANIEL  CAMBIO DE NOMBRE A "BENJAMIN BLOOM"</t>
  </si>
  <si>
    <t>ACADEMIA BILINGÜE DE SAN ANTONIO</t>
  </si>
  <si>
    <t>RES. 3974 DEL 11 DE AGOSTO DE 2021 POR EL CUAL AUTORIZA EL FUNCIONAMIENTO DEL C.E.</t>
  </si>
  <si>
    <t>ACADEMIA BILINGÜE LA CASTELLANA</t>
  </si>
  <si>
    <t>ACADEMIA BILINGÜE LA UNCIÓN</t>
  </si>
  <si>
    <t>RES. 120 DEL 29 DE ENERO DE 2020 POR EL CUAL AUTORIZA FUNCIONAMIENTO</t>
  </si>
  <si>
    <t>ACADEMIA BILINGÜE PANAMERICANA</t>
  </si>
  <si>
    <t>RES. 336 DEL 28 DE ABRIL DE 1998 QUE AUTORIZA EL FUNCIONAMIENTO DE C.E.</t>
  </si>
  <si>
    <t>RES. 4283 DEL 30 DE DICIEMBRE DE 2020 POR EL CUAL RECONOCE EL CAMBIO DE NOMBRE AL CENTRO DE ORIENTACION INFANTIL ALPA KIDS A ACADEMIA BILINGÜE PANAMAERICANA</t>
  </si>
  <si>
    <t>ACADEMIA INTERAMERICANA DE PANAMA C. VIENTO</t>
  </si>
  <si>
    <t>ACADEMIA LA MEDALLA MILAGROSA</t>
  </si>
  <si>
    <t>ESC. BILINGÜE CRISTO DE LOS MILAGROS</t>
  </si>
  <si>
    <t>ESC. BILINGÜE GENESIS</t>
  </si>
  <si>
    <t>COLEGIO BILNGÜE BUENA COSECHA</t>
  </si>
  <si>
    <t>RES. 116 DEL 01 DE FEBRERO DE 2005  POR EL CUAL OTORGA  AUTORIZACION DE FUNCIONAMIENTO</t>
  </si>
  <si>
    <t>CENTRO BASICO NUESTRA SEÑORA DE GUADALUPE</t>
  </si>
  <si>
    <t>CENTRO BASICO SAN MIGUELITO</t>
  </si>
  <si>
    <t>CENTRO DE EDUCACION BASICA GENERAL ENRIQUE LIEBHARTS</t>
  </si>
  <si>
    <t>RES. 1567 AL 5 DE JULIO 2022 AUTORIZA EL FUNCIONAMIENTO DEL CENTRO EDUCATIVO.</t>
  </si>
  <si>
    <t>CENTRO EDUCATIVO  BILINGÜE RAYITOS DE LUZ</t>
  </si>
  <si>
    <t>CENTRO EDUCATIVO BELLAS LUCES</t>
  </si>
  <si>
    <t>CENTRO EDUCATIVO BILINGÜE CARRUSEL</t>
  </si>
  <si>
    <t>CENTRO EDUCATIVO BILINGÛE RAULITO</t>
  </si>
  <si>
    <t>RES.5824 DEL 17 DE NOV. DE 2014 QUE AUTORIZA EL FUNCIONAMIENTO DEL C.E.</t>
  </si>
  <si>
    <t>CENTRO EDUCATIVO SCHOOL SALOMON</t>
  </si>
  <si>
    <t>COLEGIO ADVENTISTA DE PENIEL</t>
  </si>
  <si>
    <t>RES. 5077 DEL 18 DE OCTUBRE DEL 2021 QUE AUTORIZA EL FUNCIONAMIENTO DE C.E.</t>
  </si>
  <si>
    <t>COLEGIO ADVENTISTA SANTA LIBRADA</t>
  </si>
  <si>
    <t xml:space="preserve">RES. 381 DEL 17 DE FEB. DE 2022 POR EL CUAL AUTORIZA FUNCIONAMIENTO COMO C.E. PARTICULAR </t>
  </si>
  <si>
    <t>COLEGIO BILINGÜE DE CERRO VIENTO</t>
  </si>
  <si>
    <t>COLEGIO BILINGÜE DE PANAMA</t>
  </si>
  <si>
    <t>RES.1923 DEL 31 DE AGOSTO DE 2004 POR EL CUAL AUTORIZA FUNCIONAMIENTO.</t>
  </si>
  <si>
    <t>COLEGIO BILINGÜE JESUS DE PRAGA</t>
  </si>
  <si>
    <t>COLEGIO BILINGÜE MARIA  OLIMPIA DE OBALDIA</t>
  </si>
  <si>
    <t>RES. 48 DEL 16 DE ENERO DE 2020 QUE AUTORIZA FUNCIONAMIENTO</t>
  </si>
  <si>
    <t>COLEGIO BILINGÜE REY DE PAZ</t>
  </si>
  <si>
    <t xml:space="preserve">RES. 847 DEL 6 DE JUNIO DE 2007 AUTORIZA EL FUNCIONAMIENTO DE COLEGIO </t>
  </si>
  <si>
    <t>COLEGIO PUREZA DE MARIA</t>
  </si>
  <si>
    <t>CIENCIAS CON INFORMATICA, COMERCIO</t>
  </si>
  <si>
    <t>INSTITUTO DE FORMACIÓN  NOAH (COLEGIO  SAMUEL)</t>
  </si>
  <si>
    <t>RES. DE CREACIÓN # 1417 DEL 1 DE JUNIO 2009</t>
  </si>
  <si>
    <t>RES. #  1417 DEL 1 JUNIO DE 2009 RESUELVE # 1902 DEL 12 DE ABRIL DE 2021 RECONOCER EL CAMBIO DE NOMBRE DEL C.E. DENOMINADO COLEGIO SAMUEL  A INSTITUTO DE FORMACIÓN NOAH</t>
  </si>
  <si>
    <t>ESC. EL BUEN PASTOR CANAAN</t>
  </si>
  <si>
    <t>RES. 3669 DE 29 DE JULIO DE 2015 QUE AUTORIZA FUNCIONAMIENTO</t>
  </si>
  <si>
    <t>RES. 90-AL 30 DE ENERO DE 2023 CONCEDE LA AMPLIACION DE LA OFERTAS ACADEMICAS AL SEGUNDO NIVEL DE ENSEÑANZA O EDUCACION MEDIA (BACHILLER EN CIENCIAS, COMERCIO Y HUMANIDADES).</t>
  </si>
  <si>
    <t>CENTRO EDUCATIVO EL BUEN PASTOR VERANILLO</t>
  </si>
  <si>
    <t>RES. 1670 DEL 29 DE MARZO DE 2021 QUE AUTORIZA EL FUNCIONAMIENTO DEL C.E.</t>
  </si>
  <si>
    <t>ESC. EL CRISOL BILINGUAL ELEMENTARY SCHOOL</t>
  </si>
  <si>
    <t>ESC. SOLDADITOS DE JESUS</t>
  </si>
  <si>
    <t>RES. 1516 DEL 16 DE ABRIL DE 2020 QUE AUTORIZA EL FUNCIONAMIENTO DEL C.E.</t>
  </si>
  <si>
    <t>INSTITUTO BILINGÜE BELISARIO PORRAS</t>
  </si>
  <si>
    <t>INSTITUTO JOHN DEWEY LEARNING</t>
  </si>
  <si>
    <t>INSTITUTO JUSTO AROSEMENA</t>
  </si>
  <si>
    <t>CIENCIAS,LETRAS, COMERCIO,TURISMO</t>
  </si>
  <si>
    <t>INTERNACIONAL SAINT GEORGE</t>
  </si>
  <si>
    <t>ESC. MIRIAM Y. FRENCH</t>
  </si>
  <si>
    <t>CENTRO EDUCATIVO MONTE DE SION EL BUEN PASTOR</t>
  </si>
  <si>
    <t>RES. 3038 DEL 21 DE SEP. DE 2020 POR EL CUAL AUTORIZA FUNCIONAMIENTO</t>
  </si>
  <si>
    <t>ESC. PANAMERICAN SCHOOL</t>
  </si>
  <si>
    <t>RES. 4115 DEL 19 DE AGOSTO DE 2021 CONCEDER LA AMPLIACION DE OFERTA PRIMER NIVEL DE ENSEÑANZA O EDUCACION MEDIA</t>
  </si>
  <si>
    <t>ESC. PARTICULAR AMELIA</t>
  </si>
  <si>
    <t>RES. 1193 DEL 23 DE MARZO 2018</t>
  </si>
  <si>
    <t>ESC. BILINGÜE RAYITOS DE SOL</t>
  </si>
  <si>
    <t>ESC. SAINT ANTHONY SCHOOL</t>
  </si>
  <si>
    <t>CIENCIAS,COMERCIO, TURISMO</t>
  </si>
  <si>
    <t>ESC. SMART ACADEMY PANAMA</t>
  </si>
  <si>
    <t>ESC. THE PREPARATORY SCHOOL</t>
  </si>
  <si>
    <t>RES. 4399 DEL 31 DE DICIEMBRE DE 2021 QUE AUTORIZA EL FUNCIONAMIENTO DEL C.E.</t>
  </si>
  <si>
    <t>COLEGIO SAN MARCOS EVANGELISTA</t>
  </si>
  <si>
    <t>RES.1140 DEL 28 DE JULIO DE 2006 QUE AUTORIZA FUNCIONAMIENTO</t>
  </si>
  <si>
    <t>RES. 89 AL 30 DE ENERO DE 2023 AUTORIZAR EL CAMBIO DE DIRECCION DEL C.E. A SU NUEVA UBICACIÓN FISICA DISTRITO DE SAN MIGUELITO CORREGIMIENTO DE BELISARIO FRIAS.</t>
  </si>
  <si>
    <t>ESC. VILLA LUCRE ELEMENTARY SCHOOL</t>
  </si>
  <si>
    <t>CENTRO EDUCATIVO PARTICULAR ÁGAPE CHRISTIAN ACADEMY</t>
  </si>
  <si>
    <t>RES. 1565 AL 04 DE JULIO DE 2022 POR EL CUAL SE AUTORIZA FUNCIONAMIENTO.</t>
  </si>
  <si>
    <t>CENTRO BÁSICO LABORAL SAN MIGUELITO</t>
  </si>
  <si>
    <t>INSTITUTO DE FORMACIÓN  NOAH (COLEGIO LABORAL SAMUEL)</t>
  </si>
  <si>
    <t>CIENCIAS LETRAS, TURISMO, COMERCIO</t>
  </si>
  <si>
    <t>INSTITUTO TECNICO Y PROFESIONAL SIN FRONTERAS</t>
  </si>
  <si>
    <t>CIENCIAS, LETRAS, AGROPECUARIO,COMERCIO</t>
  </si>
  <si>
    <t>LABORAL BILINGÜE LA MEDALLA MILAGROSA</t>
  </si>
  <si>
    <t>LABORAL NOCTURNO PARAISO</t>
  </si>
  <si>
    <t>LABORAL SAN MARCOS EVANGELISTA</t>
  </si>
  <si>
    <t>RES. 1140 DEL 28 DE JULIO DE 2006 AUTORIZA EL FUNCIONAMIENTO PERMANENTE DEL C.E.</t>
  </si>
  <si>
    <t>ESC. INTERNACIONAL DE PANAMA</t>
  </si>
  <si>
    <t>INSTITUTO CULTURAL</t>
  </si>
  <si>
    <t>VERAGUAS</t>
  </si>
  <si>
    <t>SANTIAGO</t>
  </si>
  <si>
    <t>CAIPI SAN ANTONIO</t>
  </si>
  <si>
    <t xml:space="preserve">DEC. 662 DE 13 DE DICIEMBRE DE 1954 </t>
  </si>
  <si>
    <t>CALOBRE</t>
  </si>
  <si>
    <t>CAIPI CALOBRE</t>
  </si>
  <si>
    <t>CAIPI SAN FRANCISCO</t>
  </si>
  <si>
    <t>SONÁ</t>
  </si>
  <si>
    <t>CAIPI SAN JOSE</t>
  </si>
  <si>
    <t>RÍO DE JESUS</t>
  </si>
  <si>
    <t xml:space="preserve">CAIPI RIO DE JESUS </t>
  </si>
  <si>
    <t>CAIPI LA PRIMAVERA</t>
  </si>
  <si>
    <t xml:space="preserve">DEC. 471 DE 21 DE AGOSTO DE 1970 </t>
  </si>
  <si>
    <t>CAIPI LA RAYA SANTA MARIA</t>
  </si>
  <si>
    <t>LA PEÑA</t>
  </si>
  <si>
    <t>CAIPI LA PEÑA</t>
  </si>
  <si>
    <t>CAIPI LA COLORADA</t>
  </si>
  <si>
    <t>CAIPI GUARUMAL</t>
  </si>
  <si>
    <t>CAIPI EDUARDO SANCHEZ</t>
  </si>
  <si>
    <t xml:space="preserve">CAÑAZAS </t>
  </si>
  <si>
    <t>CERRO PLATA</t>
  </si>
  <si>
    <t>CAIPI CERRO PLATA</t>
  </si>
  <si>
    <t>CEFACEI LLANO LARGO</t>
  </si>
  <si>
    <t>CERRO CASA</t>
  </si>
  <si>
    <t>CEFACEI ALTO CHIBRITAL</t>
  </si>
  <si>
    <t>CEFACEI EL NARANJO</t>
  </si>
  <si>
    <t>PONUGA</t>
  </si>
  <si>
    <t>ESC. SEÑILES</t>
  </si>
  <si>
    <t xml:space="preserve"> SONÁ</t>
  </si>
  <si>
    <t>COLEGIO JOSE B. ALVARADO</t>
  </si>
  <si>
    <t>DEC. 725 10 DICIEMBRE 1962</t>
  </si>
  <si>
    <t>120 del 30 DE AGOSTO 1978</t>
  </si>
  <si>
    <t>CIENCIAS,HUMANIDADES,COMERCIO,INDUSTRIAL,CONTABILIDAD,TURISMO,TECNOLOGIA E INFORMATICA</t>
  </si>
  <si>
    <t>LOS HATILLOS</t>
  </si>
  <si>
    <t>ESC. AGUACATAL</t>
  </si>
  <si>
    <t>CAÑAZAS</t>
  </si>
  <si>
    <t>ESC. ALEJANDRO CAMAÑO</t>
  </si>
  <si>
    <t>El dect. 49 de 13 de junio de 1978 crea el C.E.B.G.  San José. El dect. 514 del 18 de diciembre de 2006, le asigna el nombre de "Alejandro Camaño Camaño" al C.E. B. San José</t>
  </si>
  <si>
    <t>LOS VALLES</t>
  </si>
  <si>
    <t>ESC. ALTO DE LOS PAJARITOS</t>
  </si>
  <si>
    <t>GATUCITO</t>
  </si>
  <si>
    <t>ESC. ALTO CORONA</t>
  </si>
  <si>
    <t>MARIATO</t>
  </si>
  <si>
    <t>TEBARIO</t>
  </si>
  <si>
    <t>ESC. ALTO DE TEBARIO</t>
  </si>
  <si>
    <t>BISVALLES</t>
  </si>
  <si>
    <t>ESC. ALTO EL LLANON</t>
  </si>
  <si>
    <t>DEC.85 DE 11 DE MARZO DE 1965</t>
  </si>
  <si>
    <t>MONJARAS</t>
  </si>
  <si>
    <t>ESC. ALTO LIMON</t>
  </si>
  <si>
    <t xml:space="preserve">DEC.104 DE 14 DE ABRIL DE 1961 </t>
  </si>
  <si>
    <t>El dect. 104 de 14 de abril de 1961 crea la escuela EL HUECO. El dect. 43 de 25 de marzo de 1982 denomina ALTO LIMON, a la escuela EL HUECO</t>
  </si>
  <si>
    <t>RÍO LUIS</t>
  </si>
  <si>
    <t>C.E.B.G. ALTO LIMON</t>
  </si>
  <si>
    <t>DEC. 951 DEL 15 DE DICIEMBRE DE 2017 QUE CREA EL C.E.B.G.</t>
  </si>
  <si>
    <t>ESC. AMELIA A. DE MACHUCA</t>
  </si>
  <si>
    <t>DEC. 227 DE 9 DE NOVIEMBRE DE 1988</t>
  </si>
  <si>
    <t>CENTRO EDUCATIVO  ANA TERESA RODRIGUEZ DE GUERRA</t>
  </si>
  <si>
    <t>DEC. 153 DEL 15 DE ABRIL DE 2016.</t>
  </si>
  <si>
    <t>que asigna el nombre al C.E. Maestra Ana Teresa Rodriguez de Guerra</t>
  </si>
  <si>
    <t>ESC. ANGEL AUGUSTO ORTIZ R.</t>
  </si>
  <si>
    <t>DEC.303 DE 22 DE ABRIL DE 2004</t>
  </si>
  <si>
    <t>303 DEL 22  de abril de 2004, por el cual se asigna el nombre Ángel A. Ortiz Romero a la Escuela La Honda, ubicada en el Corregimiento de Ponuga,Distrito de Santiago, Provincia de Veraguas.</t>
  </si>
  <si>
    <t>NUEVO SANTIAGO</t>
  </si>
  <si>
    <t>ESC. ANGELICA P. DE RIERA</t>
  </si>
  <si>
    <t>DEC.980 DE 17 DE OCTUBRE DE 1953</t>
  </si>
  <si>
    <t>El dcrto 980 de 17 de octubre de 1953 da el nombre de ANGELICA PINILLA DE RIERA,  a la escuela de Cañacillas</t>
  </si>
  <si>
    <t>LLANO DE CATIVAL O MARIATO</t>
  </si>
  <si>
    <t>ESC. ANGULITO</t>
  </si>
  <si>
    <t>DEC. 353 DE 3 DE AGOSTO DE 1960</t>
  </si>
  <si>
    <t>ESC. ARCADIO GAITAN GONZALEZ</t>
  </si>
  <si>
    <t xml:space="preserve">DEC. 284 DE 30 DE JULIO DE 1984 </t>
  </si>
  <si>
    <t>El dect. 284 de 30 de julio de 1984 crea la escuela primaria de Los Guarumos, en el corregimiento de Los Valles, distrito de Cañazas. El dect. 6 de 22 de enero de 2009 denomina "ARCADIO GAITÁN GONZÁLEZ", a la Escuela Los Guarumos, ubicada en el corregimiento de San José, distrito de Cañazas</t>
  </si>
  <si>
    <t>ESC. BAJADA DE LA CRUZ</t>
  </si>
  <si>
    <t>RODEO VIEJO</t>
  </si>
  <si>
    <t>ESC. BAJO DEL COBRE</t>
  </si>
  <si>
    <t>ESC. BAJOS DE HIGUI</t>
  </si>
  <si>
    <t>DEC.515 DEL  14 DE SEPTIEMBRE DE 1951</t>
  </si>
  <si>
    <t>El dect. 515 del  14 de septiembre de 1951 y el dect. 101 de 7 de abril de 1961 crean ambos la escuela Bajos de Higui</t>
  </si>
  <si>
    <t>ATALAYA</t>
  </si>
  <si>
    <t>LA CARRILLO</t>
  </si>
  <si>
    <t>ESC. BALBUENA</t>
  </si>
  <si>
    <t>DEC. 862 DEL 9 DE SEPTIEMBRE DE 1953</t>
  </si>
  <si>
    <t>ESC. BARADERO</t>
  </si>
  <si>
    <t xml:space="preserve">DEC.194 DE 19 DE MAYO DE 1965 </t>
  </si>
  <si>
    <t>apertura</t>
  </si>
  <si>
    <t>BARNIZAL</t>
  </si>
  <si>
    <t>ESC. EL BARNIZAL</t>
  </si>
  <si>
    <t>LA YEGUADA</t>
  </si>
  <si>
    <t>ESC. BARRERO GRANDE</t>
  </si>
  <si>
    <t>ESC. BISVALLE</t>
  </si>
  <si>
    <t>DEC.30 DE 2 DE MAYO DE 1914</t>
  </si>
  <si>
    <t>SAN MARCELO</t>
  </si>
  <si>
    <t>ESC. BOCA DE CORITA</t>
  </si>
  <si>
    <t xml:space="preserve">DEC.445 DEL 17 DE SEPTIEMBRE DE 1954 </t>
  </si>
  <si>
    <t>El dect. 445 del 17 de septiembre de 1954 crea la escuela. El dect.  460 de 31 de julio de 1956 ordena la clausura.  Los dect. 299 de 8 de junio de 1962 y 150 del 17 de mayo de 1963 ambos la crean</t>
  </si>
  <si>
    <t>EL MARAÑON</t>
  </si>
  <si>
    <t>ESC. BOCA DEL MONTE</t>
  </si>
  <si>
    <t>ESC. BOCA DEL MONTE Nº 2</t>
  </si>
  <si>
    <t>DEC.51 DE 21 DE MARZO DE 1974</t>
  </si>
  <si>
    <t>EL PICADOR</t>
  </si>
  <si>
    <t>ESC. BOCLÉ</t>
  </si>
  <si>
    <t>BORO</t>
  </si>
  <si>
    <t>C.E.B.G. BORO</t>
  </si>
  <si>
    <t>DEC. DE 27 DE 25 DE ABRIL DE 1913</t>
  </si>
  <si>
    <t>LA TRINCHERA</t>
  </si>
  <si>
    <t>ESC. BORRACHERON</t>
  </si>
  <si>
    <t>ESC. BRUNILDA BENAVIDES</t>
  </si>
  <si>
    <t>DEC. 322 DE 29 DE JUNIO DE 1994</t>
  </si>
  <si>
    <t>El dcrto 322 de 29 de junio de 1994 asigna este nombre a la escuela Querque</t>
  </si>
  <si>
    <t>ZAPOTILLO</t>
  </si>
  <si>
    <t>ESC. BUBI ARRIBA</t>
  </si>
  <si>
    <t>MONTIJO</t>
  </si>
  <si>
    <t>PILÓN</t>
  </si>
  <si>
    <t>ESC. BUENA VISTA SUR</t>
  </si>
  <si>
    <t>LA SOLEDAD</t>
  </si>
  <si>
    <t>CENTRO EDUCATIVO  ALBERTO L. MARTINELLI DELLA TOGNA (ANTES LA SOLEDAD)</t>
  </si>
  <si>
    <t>DEC. 517 DEL  17 DE JULIO DE 2013</t>
  </si>
  <si>
    <t>CENTRO EDUCATIVO DR. RICARDO MARTINELLI PARDINI</t>
  </si>
  <si>
    <t>Dect. 516 del 16 de julio del 2013 que asigna el cambio de nombre de Guarumal a C.E. Doctor Ricardo Martinelli Pardini</t>
  </si>
  <si>
    <t>EL PRADO</t>
  </si>
  <si>
    <t>ESC. ALTO DE LOS RUICES</t>
  </si>
  <si>
    <t xml:space="preserve">DEC. 393 DEL 29 DE OCTUBRE DE 1959 </t>
  </si>
  <si>
    <t>El dect.  393 del 29 de octubre de 1959 crea la escuela Alto de los Ruices</t>
  </si>
  <si>
    <t>ESC. ANIMAS DE BORO</t>
  </si>
  <si>
    <t>DEC. 399 DE 23 DE JUNIO DE 1962</t>
  </si>
  <si>
    <t>El dect. 399 de 23 de junio de 1962 crea la escuela Animas de Boro</t>
  </si>
  <si>
    <t>ARENAS</t>
  </si>
  <si>
    <t>ESC. ARENAS</t>
  </si>
  <si>
    <t>DEC.126 DE 1 DE JULIO DE 1949 (EN SONÁ)</t>
  </si>
  <si>
    <t>DEC.83 DE 23 DE MAYO DE 1949</t>
  </si>
  <si>
    <t>El dect. 83 de 23 de mayo de 1949 crea la escuela Bahía Honda</t>
  </si>
  <si>
    <t>CALOVÉBORA</t>
  </si>
  <si>
    <t>ESC. BELENCILLO</t>
  </si>
  <si>
    <t>El dect. 194 de 19 de mayo de 1965 crea la escuela Belencillo</t>
  </si>
  <si>
    <t>CENTRO EDUCATIVO BILINGÜE SAN ANTONIO</t>
  </si>
  <si>
    <t>DEC.103 DE 17 DE FEBRERO DE 1994, DEC. 127 DEL 3 DE MARZO 2017 QUE IMPLEMENTA EL NIVEL DE EDUCACIÓN DE PREMEDIA Y MEDIA Y CAMBIAR SU DENOMINACIÓN A C.E. SAN ANTONIO.</t>
  </si>
  <si>
    <t>El dect. 103 de 17 de febrero de 1994  crea la escuela San Antonio, Dec. 127 del 3 de marzo del 2017 que implementa la premedia y media. Decreto 446 del 14 de agosto de 2018 incorpora la denominacion Bilingüe al Nombre</t>
  </si>
  <si>
    <t>C.E.B.G. BOLIVAR</t>
  </si>
  <si>
    <t>DEC. 614 DEL 3/8/2011 CREA EL CENTRO EDUCATIVO.</t>
  </si>
  <si>
    <t>ESC. CALOVEBORA</t>
  </si>
  <si>
    <t>DEC. 21 DEL 29 DE ABRIL DE 1912</t>
  </si>
  <si>
    <t>ESC. CALOVEBORITA</t>
  </si>
  <si>
    <t>DEC.  473 QUE CREA EL 14 DE AGOSTO DE 2018</t>
  </si>
  <si>
    <t>SANTIAGO ESTE</t>
  </si>
  <si>
    <t>ESC. CAÑAZAS ABAJO</t>
  </si>
  <si>
    <t xml:space="preserve">DEC.2081 DE 7 DE JUNIO DE 1948 </t>
  </si>
  <si>
    <t>CATIVÉ</t>
  </si>
  <si>
    <t>ESC. CATIVE</t>
  </si>
  <si>
    <t>El dect. 49 de 13 de junio de 1978 crea el C.E.B.G. Cativé</t>
  </si>
  <si>
    <t>ESC. CERRO CASA</t>
  </si>
  <si>
    <t>EL ALTO</t>
  </si>
  <si>
    <t>C.E.B.G. EL ALTO</t>
  </si>
  <si>
    <t>DEC. 259 DEL 25 DE MARZO DE 2004</t>
  </si>
  <si>
    <t>QUEBRADA DE ORO</t>
  </si>
  <si>
    <t xml:space="preserve">DEC.591 DE 3 DE OCTUBRE DE 1955 </t>
  </si>
  <si>
    <t>El dect. 591 de 3 de octubre de 1955 ordena apertura de la escuela El Espino, En Soná</t>
  </si>
  <si>
    <t>C.E.B.G. EL GUABAL</t>
  </si>
  <si>
    <t>EL AROMILLO</t>
  </si>
  <si>
    <t>ESC. EL HACHA</t>
  </si>
  <si>
    <t>DEC.460 DE 31 DE JULIO DE 1956</t>
  </si>
  <si>
    <t>HICACO</t>
  </si>
  <si>
    <t>ESC. EL HICACO</t>
  </si>
  <si>
    <t xml:space="preserve">DEC. 669 DE 20 DE DICIEMBRE DE 1954 </t>
  </si>
  <si>
    <t>El dect. 669 de 20 de diciembre de 1954 ordena la apertura de la escuela El Hicaco</t>
  </si>
  <si>
    <t>ESC. EL RAIZAL</t>
  </si>
  <si>
    <t xml:space="preserve">DEC.43 DEL 16 DE MARZO DE 1964 </t>
  </si>
  <si>
    <t>El dect. 43 del 16 de marzo de 1964 crea la escuela El raizal</t>
  </si>
  <si>
    <t>ESC. GATU</t>
  </si>
  <si>
    <t>MANUEL A. TERREROS</t>
  </si>
  <si>
    <t>ESC. LA CAMPANA</t>
  </si>
  <si>
    <t>El dect. 53 de 24 de abril de 1959 crea la escuela la Campana</t>
  </si>
  <si>
    <t>ESC. LA CUCURUCHA</t>
  </si>
  <si>
    <t>El dect. 415 del 23 de agosto de 1963 crea la escuela LA CUCURUCHA</t>
  </si>
  <si>
    <t>LA MONTAÑUELA</t>
  </si>
  <si>
    <t>ESC. LA MONTAÑUELA</t>
  </si>
  <si>
    <t>DEC. 53 DE 24 DE ABRIL DE 1959 CREA LA ESCUELA. EL DCTO 176  DE 8 DE MAYO DE 1962 CLAUSURA LA ESCUELA LLANO GRANDE.  EL DCRTO 194 DE 19 DE MAYO DE 1965 CREA LA ESCUELA LLANO GRANDE</t>
  </si>
  <si>
    <t>LOLÁ</t>
  </si>
  <si>
    <t>ESC. LOLA GARNADERA</t>
  </si>
  <si>
    <t>DEC. 33 DE 12 DE FEBRERO DE 1963</t>
  </si>
  <si>
    <t>El dect. 33 de 12 de febrero de 1963 denomina con el nombre de Lola Garnadera a la escuela Mixta de Altamira y deroga el resuelto 486 de 7 de agosto de 1957 por medio del cual se cambió el nombre de la escuela Lola Garnadera por el de Mixta de Altamira.</t>
  </si>
  <si>
    <t>ESC. PANAMAITO</t>
  </si>
  <si>
    <t>ESC. MANUEL S. VASQUEZ</t>
  </si>
  <si>
    <t>EDWIN FABREGA</t>
  </si>
  <si>
    <t>ESC. MARTIN GRANDE</t>
  </si>
  <si>
    <t>SAN BARTOLO</t>
  </si>
  <si>
    <t>ESC. MERCEDES A. DE TRISTAN</t>
  </si>
  <si>
    <t>DEC.161 DE 28 DE AGOSTO DE 1998</t>
  </si>
  <si>
    <t>Dcto 161 de 28 de agosto de 1998 asigna el nombre de MERCEDES AGUILAR DE TRISTAN, a la escuela primaria SAN BARTOLO, ubicada en la Mesa</t>
  </si>
  <si>
    <t>ESC. LA PESCARA</t>
  </si>
  <si>
    <t>El dect. 101 de 7 de abril de 1961 crea la escuela PESCARA</t>
  </si>
  <si>
    <t>ESC. PIEDRA DE AMOLAR</t>
  </si>
  <si>
    <t>El dect. 34 de 24 de enero de 1966 crea la escuela Piedra de Amolar</t>
  </si>
  <si>
    <t>PIXVAE</t>
  </si>
  <si>
    <t>C.E.B.G. EL PIXVAE</t>
  </si>
  <si>
    <t>El dect. 471 de 21 de agosto de 1970 crea la escuela el Pixvae. El dect. 49 de 13 de junio de 1978 crea el C.E.B.G. Pixbae</t>
  </si>
  <si>
    <t>DEC.121 DEL 10 DE MAYO DE 1963</t>
  </si>
  <si>
    <t>C.E.B.G. RIO GUAZARO</t>
  </si>
  <si>
    <t>DECT.167 DE 24 DE ABRIL DE 1970</t>
  </si>
  <si>
    <t>C.E.B.G. RÍO PIEDRA</t>
  </si>
  <si>
    <t>DEC. 950  DEL 15 DE DIC. 2017 QUE CREA EL C.E.B.G.</t>
  </si>
  <si>
    <t>ESC. ROBERTO CIBALA</t>
  </si>
  <si>
    <t>El dect. 49 de 13 de junio de 1978 crea el C.E.B.G. Rio Luis.  El dect. 305 de 28 de julio de 2005 asigna el nombre de ROBERTO CIBALÁ, al centro de Educación Básica General Rio Luis</t>
  </si>
  <si>
    <t>DEC. 61 DE 1 DE JULIO DE 1914</t>
  </si>
  <si>
    <t>ESC. RODOLFO REYES</t>
  </si>
  <si>
    <t xml:space="preserve">DEC. 537 DE 18 DE SEPTIEMBRE DE 1967 </t>
  </si>
  <si>
    <t>REMANCE</t>
  </si>
  <si>
    <t>ESC. ROGELIO E. NURSE</t>
  </si>
  <si>
    <t>El dect. 415 de 23 de agosto de 1963 crea la escuela El Calabacito.  El dcrto 76 de 4 de abril de 1973 asigna el nombre de ROGELO E. NURSE a la escuela El Calabacito</t>
  </si>
  <si>
    <t>C.E.B.G. SAN JOSE Nº 2</t>
  </si>
  <si>
    <t>DEC. 258 DE 25 DE MARZO DE 2004</t>
  </si>
  <si>
    <t>ESC. SAN JUAN DE DIOS</t>
  </si>
  <si>
    <t>C.E.B.G. SANTA FE</t>
  </si>
  <si>
    <t>ESC. SANTIAGUITO</t>
  </si>
  <si>
    <t>DEC. 920 DEL 3 DE OCTUBRE DEL 2013</t>
  </si>
  <si>
    <t>ESC. TIERRA CORTADA</t>
  </si>
  <si>
    <t>C.E.B.G. URRACA</t>
  </si>
  <si>
    <t>DEC. EJECUTIVO 47 DEL 20 DE FEBRERO DEL 2017</t>
  </si>
  <si>
    <t>C.E.B.G. ZAPOTILLO</t>
  </si>
  <si>
    <t>CALIDONIA</t>
  </si>
  <si>
    <t>ESC. CABECERA DE BUBI</t>
  </si>
  <si>
    <t>DEC.102 DE 20 DE JUNIO DE 1983</t>
  </si>
  <si>
    <t>ESC. CABECERA DE QUEBRADA GRANDE</t>
  </si>
  <si>
    <t>ESC. CABISMALES</t>
  </si>
  <si>
    <t>ESC. CAÑAS BLANCAS</t>
  </si>
  <si>
    <t>LOS MILAGROS</t>
  </si>
  <si>
    <t>ESC. CAÑA BRAVA</t>
  </si>
  <si>
    <t>LA RAYA DE SANTA MARIA</t>
  </si>
  <si>
    <t>ESC. CAPELLANIA</t>
  </si>
  <si>
    <t>El dect. 459 de 27 de julio de 1955 ordena la apertura de la escuela "CAPELLANIA", en el municipio de Santiago y el dect. 110 de 4 de abril de 1966 crea la escuela, en Santiago</t>
  </si>
  <si>
    <t>ESC. CARABALI</t>
  </si>
  <si>
    <t>ESC. CASCAJILLOSO</t>
  </si>
  <si>
    <t xml:space="preserve">DEC.439 DE 26 DE SEPTIEMBRE DE 1960 </t>
  </si>
  <si>
    <t>ESC. CATECITO DE CALIDONIA</t>
  </si>
  <si>
    <t>Hay tres decretos: 167 de 24 de abril de 1970, 152 de 17 de abril de 1972 y 51 de 21 de marzo de 1974</t>
  </si>
  <si>
    <t>CEBACO</t>
  </si>
  <si>
    <t>ESC. CEBACO</t>
  </si>
  <si>
    <t>C.E.B.G. BILINGÜE ATALAYA</t>
  </si>
  <si>
    <t xml:space="preserve">DEC.  446 DEL 14 DE AGOSTO DE 2018 INCORPORA LA DENOMINACION BILINGÜE AL NOMBRE. </t>
  </si>
  <si>
    <t>RODRIGO LUQUE</t>
  </si>
  <si>
    <t>C.E.B.G. BILINGÜE LA SOLEDAD</t>
  </si>
  <si>
    <t>CENTRO EDUCATIVO BILINGÜE ADOLFO J. FABREGA</t>
  </si>
  <si>
    <t>DEC.1742 DE 19 DE MARZO DE 1947</t>
  </si>
  <si>
    <t xml:space="preserve">El decreto 1742 del 19 de marzo de 1947 da el nombre de ADOLFO J. FABREGA a la escuela de Montijo. El dect. 614 del 3/8/2011 crea el Centro Educativo.Decreto 446 del 14 de agosto de 2018 incorpora la denominacion Bilingüe al Nombre
</t>
  </si>
  <si>
    <t>ESC. BILINGÜE AGUSTÍN PEREZ COLMENARES</t>
  </si>
  <si>
    <t>DEC.599 DE 13 DE NOVIEMBRE DE 1970</t>
  </si>
  <si>
    <t>El dcrto 599 de 13 de noviembre de 1970 denomina JOSE AGUSTÍN PEREZ COLMENARES, a la escuela de LA PEÑA. Decreto 446 del 14 de agosto de 2018 incorpora la denominacion Bilingüe al Nombre</t>
  </si>
  <si>
    <t>CENTRO EDUCATIVO BILINGÜE ANEXA EL CANADA</t>
  </si>
  <si>
    <t>DEC. 61 DE 1 DE OCTUBRE DE 1929</t>
  </si>
  <si>
    <t>El dcrto 61 de 1° de octubre de 1929 da el nombre de "DOMINIO DE CANADA", a la Escuela de Santiago.  Según dcrto 42 de 30 de abril de 1940 la escuela DOMINIO DE CANADA, será anexa a la Normal de Santiago. El decreto 333 del 18 de julio de 1960, cambia el nombre de la escuela Dominio de Canadá, por escuela El Canadá.Decreto 446 del 14 de agosto de 2018 incorpora la denominacion Bilingüe al Nombre</t>
  </si>
  <si>
    <t>ESC. BILINGÜE CARMEN C. HERRERA</t>
  </si>
  <si>
    <t xml:space="preserve">DEC.20 DE 31 DE ENERO DE 1972 </t>
  </si>
  <si>
    <t xml:space="preserve">El dect. 20 de 31 de enero de 1972 crea la escuela Tribique. El dect. 3 de 27 de e enero de 1986 denomina a la escuela Tríbique con el  nomb re de CARMEN CIELO HERRERA ORTÍZ.El dect. 614 del 3/8/2011 crea el Centro Educativo.Decreto 446 del 14 de agosto de 2018 incorpora la denominacion Bilingüe al Nombre
</t>
  </si>
  <si>
    <t>ESC. BILINGÜE JOSE DE LA C. MERIDA</t>
  </si>
  <si>
    <t xml:space="preserve">El dect.  1675 del 19 de noviembre de 1946 decreta que la escuela DE CAÑAZAS en la prov. Escolar San Francisco se denominará "ESCUELA JOSÉ DE LA CRUZ MERIDA". El dect. 49 de 13 de junio de 1978 crea el C.E.B.G. José de la Cruz Mérida. El dect. 614 del 3/8/2011 crea el Centro Educativo. Decreto 446 del 14 de agosto de 2018 incorpora la denominacion Bilingüe al Nombre
</t>
  </si>
  <si>
    <t>CENTRO EDUCATIVO BILINGÜE LA PRIMAVERA</t>
  </si>
  <si>
    <t>Dec.775 del 9 de septiembre del 2016 que crea el C.E.B.G. La Primavera.Decreto 446 del 14 de agosto de 2018 incorpora la denominacion Bilingüe al Nombre</t>
  </si>
  <si>
    <t>ESC. BILINGÜE MANUEL H. REYES</t>
  </si>
  <si>
    <t>El dect .529 de 27 de junio de 1953 y el dect.  863 del 9 de septiembre de 1953 crean ambos la escuela Las Tranquillas. Decreto 446 del 14 de agosto de 2018 incorpora la denominacion Bilingüe al Nombre</t>
  </si>
  <si>
    <t>C.E.B.G. BILINGÜE MANUELA H. DE PEREZ</t>
  </si>
  <si>
    <t>DEC.174 DE 4 DE MAYO DE 1970</t>
  </si>
  <si>
    <t xml:space="preserve">El decreto 174 de 4 de mayo de 1970 denomina a la escuela EL COCO, como ESCUELA MANUELA HERRERA DE PEREZ.  El decreto 285 de 8 de abril de 1971 crea el Primer Ciclo Secundario de Santiago, que funcionara en esta escuela. El dect. 614 del 3/8/2011 crea el Centro Educativo.Decreto 446 del 14 de agosto de 2018 incorpora la denominacion Bilingüe al Nombre
</t>
  </si>
  <si>
    <t>C.E.B.G. BILINGÜE MIGUEL ALBA</t>
  </si>
  <si>
    <t>DEC.1313 DE 26 DE DICIEMBRE DE 1945</t>
  </si>
  <si>
    <t xml:space="preserve">El dcrto 1313 de 26 de diciembre de 1945 da el nombre de "MIGUEL ALBA", a la escuela de Soná. El dect. 614 del 3/8/2011 crea el Centro Educativo.Decreto 446 del 14 de agosto de 2018 incorpora la denominacion Bilingüe al Nombre
</t>
  </si>
  <si>
    <t>C.E.B.G. BILINGÜE PEDRO ARROCHA GRAELL</t>
  </si>
  <si>
    <t>CANTO DEL LLANO</t>
  </si>
  <si>
    <t>ESC. BILINGÜE ROMULO ARROCHA A.</t>
  </si>
  <si>
    <t>El dect. 173 de 28 de abril de 1972 crea la escuela EL FORESTAL. El dect. 242 de 28 de diciembre de 1998 asigna el nombre de ROMULO ARROCHA ALVAREZ,  a la escuela EL FORESTAL. Decreto 446 del 14 de agosto de 2018 incorpora la denominacion Bilingüe al Nombre</t>
  </si>
  <si>
    <t>C.E.B.G. BILINGÜE RUBEN DARIO</t>
  </si>
  <si>
    <t>DECRETO 446 DEL 14 DE AGOSTO DE 2018 INCORPORA LA DENOMINACION BILINGUE AL NOMBRE</t>
  </si>
  <si>
    <t>ESC. BILINGÜE SAN MARTIN DE PORRES</t>
  </si>
  <si>
    <t>Dec. 110 del 8 de mayo de 2007,que asciende de categoria. Decreto 446 del 14 de agosto de 2018 incorpora la denominacion Bilingüe al Nombre</t>
  </si>
  <si>
    <t>DEC.422 DE 18 DE AGOSTO DE 1966</t>
  </si>
  <si>
    <t>ESC. CERRO NEGRO</t>
  </si>
  <si>
    <t xml:space="preserve">DEC. 97 DE 19 DE MARZO DE 1968 </t>
  </si>
  <si>
    <t>ESC. CHARCO NEGRO</t>
  </si>
  <si>
    <t>UNIÓN DEL NORTE</t>
  </si>
  <si>
    <t>ESC. CHUMICAL</t>
  </si>
  <si>
    <t>LAS GUIAS</t>
  </si>
  <si>
    <t>ESC. COCOBO</t>
  </si>
  <si>
    <t>ESC. COIBITA</t>
  </si>
  <si>
    <t>DEC.193 DEL 12 DE MAYO DE 1961</t>
  </si>
  <si>
    <t>COLEGIO BELISARIO VILLAR P.</t>
  </si>
  <si>
    <t>DEC. 285 DE 8 DE ABRIL DE 1971</t>
  </si>
  <si>
    <t>El dect. 285 de 8 de abril de 1971 crea el Primer Ciclo de Educación Secundaria de Santiago. El dcrto 94 de 19 de abril de 1993 asigna el nombre de BELISARIO VILLAR PEREZ,  al Primer Ciclo Secundario de Santiago</t>
  </si>
  <si>
    <t>COLEGIO EDUARDO SANCHEZ</t>
  </si>
  <si>
    <t>El dect. 49 de 13 de junio de 1978 crea el C.E.B.G. Tigre de San Lorenzo. El dect. 175 de 21 de agosto de 1980 denomina EDUARDO SANCHEZ DIAZ, al Primer Ciclo Tigre de San Lorenzo de la comunidad de Carrizal, corregimiento de Rio Grande, Soná</t>
  </si>
  <si>
    <t>CIENCIAS,HUMANIDADES,TURISMO, SEGUNDO CICLO INDUSTRIAL</t>
  </si>
  <si>
    <t>CENTRO EDUCATIVO JOAQUÍN JOSÉ VALLARINO ESPINOSA (ANTES COLEGIO SECUNDARIO DANIEL ALVAREZ)</t>
  </si>
  <si>
    <t>DEC. 60 DEL 20 DE FEBRERO DE 2017 QUE AUTORIZA EL CAMBIO DE NOMBRE DE COLEGIO SECUNDARIO DANIEL ALVAREZ A C.E.JOAQUIN VALLARINO.</t>
  </si>
  <si>
    <t>COLEGIO SECUNDARIO AGROFORESTAL DE CALOBRE</t>
  </si>
  <si>
    <t>DEC.392 DE 20 DE AGOSTO DE 1954</t>
  </si>
  <si>
    <t>El dcrto 392 de 20 de agosto de 1954 fusiona las escuelas de Calobre, Capellanía y Pedregoso y formarán la escuela de CALOBRE, en el municipio de Calobre. El dect. 29 de 18 de febrero de 1999 crea el colegio</t>
  </si>
  <si>
    <t>CIENCIAS,AGROPECUARIO</t>
  </si>
  <si>
    <t>COLEGIO SECUNDARIO LA PEÑA</t>
  </si>
  <si>
    <t>DEC. 14 DE 18 DE MARZO DE 1988</t>
  </si>
  <si>
    <t>El dect. 14 de 18 de marzo de 1988 crea el Primer Ciclo La Peña. El dect. 390 de 28 de septiembre de 2001 crea el Colegio Secundario la Peña</t>
  </si>
  <si>
    <t>ESC. CORITA DE LOS PEREZ</t>
  </si>
  <si>
    <t>DEC.863 DEL 9 DE SEPTIEMBRE DE 1953</t>
  </si>
  <si>
    <t>CORRAL FALSO</t>
  </si>
  <si>
    <t>ESC. CORRAL FALSO</t>
  </si>
  <si>
    <t>EL CUAY</t>
  </si>
  <si>
    <t>ESC. EL CUAYCITO</t>
  </si>
  <si>
    <t>VIGUI</t>
  </si>
  <si>
    <t>ESC. EL ANON</t>
  </si>
  <si>
    <t>ESC. EL AROMILLO</t>
  </si>
  <si>
    <t>LA TETILLA</t>
  </si>
  <si>
    <t>ESC. EL BACO</t>
  </si>
  <si>
    <t>ESC. EL BARRIGON</t>
  </si>
  <si>
    <t>EL BARRITO</t>
  </si>
  <si>
    <t>ESC. EL BARRITO</t>
  </si>
  <si>
    <t>COSTA HERMOSA</t>
  </si>
  <si>
    <t>ESC. EL BONGO</t>
  </si>
  <si>
    <t>DEC. 354 DE 3 DE AGOSTO DE 1960</t>
  </si>
  <si>
    <t>RUBÉN CANTÚ</t>
  </si>
  <si>
    <t>El dcrto 126 de 1 de julio de 1949 ordena su clausura. El dect. 53 de 24 de abril de 1959 crea la escuela</t>
  </si>
  <si>
    <t>ESC. CAMARENA DE ÑURUM</t>
  </si>
  <si>
    <t>ESC. EL CARRASCO</t>
  </si>
  <si>
    <t>ESC. EL CEDRAL</t>
  </si>
  <si>
    <t>DEC.  85 DEL 11 DE MARZO DE 1965</t>
  </si>
  <si>
    <t>ESC. EL CEIBAL</t>
  </si>
  <si>
    <t>El dect. 1797 de 27 de mayo de 1947 crea la escuela El Ceibal, para reemplazar la escuela Corita Los Pérez que clausura por falta de población. El dect. dcrto 85 de 11 de marzo de 1965 es de reapertura</t>
  </si>
  <si>
    <t>ESC. EL CENTENO</t>
  </si>
  <si>
    <t>ESC. EL CHORRILLITO</t>
  </si>
  <si>
    <t>El dect. 70 de 21 de marzo de 1972 y el dect. 51 de 21 de marzo de 1974 crean ambos la escuela</t>
  </si>
  <si>
    <t>ESC. EL CHORRILLO</t>
  </si>
  <si>
    <t>El dcrto 85 de 11 de marzo de 1965 reapertura</t>
  </si>
  <si>
    <t>ESC. EL COBRIZO</t>
  </si>
  <si>
    <t>EL COCLA</t>
  </si>
  <si>
    <t>ESC. EL COCLA</t>
  </si>
  <si>
    <t>DEC.1068 DEL 19 DE NOVIEMBRE DE 1953</t>
  </si>
  <si>
    <t>El dect. 1068 de 19 de noviembre de 1953 ordena apertura de esta escuela en Atalaya</t>
  </si>
  <si>
    <t>El dcrto 515 de 14 de septiembre de 1951 ordena su establecimiento, en el municipio de Santiago. El dcrto 860 de 9 de septiembre de 1953 reabre la escuela EL COCO, en Santiago</t>
  </si>
  <si>
    <t>ESC. COMUNCITO EL CEIBAL</t>
  </si>
  <si>
    <t>ESC. EL CONEJO</t>
  </si>
  <si>
    <t>LA GARCEANA</t>
  </si>
  <si>
    <t>DEC. 69 DEL 16 FEBRERO DE 2011 SE CREA LA ESC. EL COPE DE ÑURUM</t>
  </si>
  <si>
    <t>ESC. EL EMBALSADERO</t>
  </si>
  <si>
    <t>DEC.202 DE 6 DE NOVIEMBRE DE 1976</t>
  </si>
  <si>
    <t>El decreto 202 del 6 de noviembre de 1976 denomina ESPAVÉ a la escuela LA PALMA</t>
  </si>
  <si>
    <t>ESC. EL ESPAVECITO</t>
  </si>
  <si>
    <t>ESC. EL ESQUINADO</t>
  </si>
  <si>
    <t>ESC. EL GUABO</t>
  </si>
  <si>
    <t>DEC.366 DE 18 DE NOVIEMBRE DE 1986</t>
  </si>
  <si>
    <t>ESC. EL HIGUITO</t>
  </si>
  <si>
    <t>DEC.120 DEL 14 DE MARZO DE 1994</t>
  </si>
  <si>
    <t>DEC.105 DE 18 DE MAYO DE 1984</t>
  </si>
  <si>
    <t>C.E.B.G. FELIX RIOS PEÑALBA</t>
  </si>
  <si>
    <t xml:space="preserve">El dect. 105 de 18 de mayo de 1984 y el dect. 284 de 30 de julio de 1984 crean ambos la escuela. Dec. 947 del 15 de dic. 2017 que autoriza el cambio de nombre de C.E. Juncal a Centro de Educacion Basica General Felix  Rios Peñalba. </t>
  </si>
  <si>
    <t>ESC. EL MACHO</t>
  </si>
  <si>
    <t>EL MARIA</t>
  </si>
  <si>
    <t>DEC. 23 DEL 21 DE FEBRERO DE 1964</t>
  </si>
  <si>
    <t>DEC. 81 DE 7 DE OCTUBRE DE 1987</t>
  </si>
  <si>
    <t>ESC. EL PAJARON</t>
  </si>
  <si>
    <t>DEC.138 DE 16 DE JUNIO DE 1959</t>
  </si>
  <si>
    <t>ESC. EL PALMARITO</t>
  </si>
  <si>
    <t>ESC. EL PALMEÑO</t>
  </si>
  <si>
    <t>DEC.95 DEL 29 DE ABRIL DE 1954</t>
  </si>
  <si>
    <t>DEC. 514 DEL 16 DE JUNIO DE 2013</t>
  </si>
  <si>
    <t>ESC. EL PELIGRO</t>
  </si>
  <si>
    <t>DEC. 209 DEL 14 DE MAYO DE 1956</t>
  </si>
  <si>
    <t>ESC. EL PEÑON</t>
  </si>
  <si>
    <t>C.E.B.G. IDELFONSO CANTO SOLIS</t>
  </si>
  <si>
    <t>DEC. 956 DEL 15 DE DIC. DE 2017 QUE AUTORIZA EL CAMBIO DE NOMBRE  DEL C.E.B.G. EL PILON A C.E.B.G. IDELFONSO CANTO SOLIS. DEC. 234,  20 DE JULIO DE 2006</t>
  </si>
  <si>
    <t>ascenso de categoria a premedia</t>
  </si>
  <si>
    <t>ESC. EL PORTUGUEZ</t>
  </si>
  <si>
    <t>ESC. EL POSTE</t>
  </si>
  <si>
    <t>C.E.B.G. EL RINCON</t>
  </si>
  <si>
    <t>SANTIAGO SUR</t>
  </si>
  <si>
    <t>DEC. 529 DE 27 DE JUNIO DE 1953</t>
  </si>
  <si>
    <t>ESC. EL VIENTO</t>
  </si>
  <si>
    <t>ESC. EL VIGUI</t>
  </si>
  <si>
    <t>DEC. 220 DEL 7 DE JUNIO DE 1963</t>
  </si>
  <si>
    <t>ESC. EL YAYA</t>
  </si>
  <si>
    <t>ESC. ELIGIO TEJADA O.</t>
  </si>
  <si>
    <t>DEC.267 DE 5 DE SEPTIEMBRE DE 1975</t>
  </si>
  <si>
    <t>El dect. 267 de 5 de septiembre de 1975 asigna el nombre de "Eligio Tejada Ortega" a la escuela de Calobre</t>
  </si>
  <si>
    <t>ESC. NORMAL JUAN D. AROSEMENA</t>
  </si>
  <si>
    <t>ESC. BILINGÜE ADOLFO HERRERA</t>
  </si>
  <si>
    <t>DEC.740 DE 26 DE DICIEMBRE DE 1962</t>
  </si>
  <si>
    <t xml:space="preserve">El dcrto 740 de 26 de diciembre de 1962 asigna el nombre de escuela ADOLFO HERRERA, a la escuela del Distrito de Río de Jesús.El dect. 614 del 3/8/2011 crea el Centro Educativo.Decreto 446 del 14 de agosto de 2018 incorpora la denominacion Bilingüe al Nombre
</t>
  </si>
  <si>
    <t>CARLOS SANTANA ÁVILA</t>
  </si>
  <si>
    <t>ESC. BILINGÜE JOSE DE LOS SANTOS GUTIERREZ</t>
  </si>
  <si>
    <t>ESC. BILINGÜE JULIO DANIEL ABREGO</t>
  </si>
  <si>
    <t>DEC.528 DE 12 DE SEPTIEMBRE DE 1967</t>
  </si>
  <si>
    <t>El dcrto 528 de 12 de septiembre de 1967 asigna el nombre de Julio Daniel Abrego a la escuela el uvito. Decreto 446 del 14 de agosto de 2018 incorpora la denominacion Bilingüe al Nombre</t>
  </si>
  <si>
    <t>ESC. BILINGÜE LA RAYA DE SANTA MARIA</t>
  </si>
  <si>
    <t>SAN MARTÍN DE PORRES</t>
  </si>
  <si>
    <t>ESC. BILINGÜE PUNTA DELGADITA</t>
  </si>
  <si>
    <t>ESC. ESPALA ARRIBA</t>
  </si>
  <si>
    <t>ESC. FARFAN</t>
  </si>
  <si>
    <t>ESC. GARNADERA GRANDE</t>
  </si>
  <si>
    <t>ESC. GATUNCITO</t>
  </si>
  <si>
    <t>ESC. GUABAL SALIENTE</t>
  </si>
  <si>
    <t>El decreto 445 del 17 de septiembre de 1954 crea la Escuela El Guabal (en Cañzas). El dcreto 381 de 16 de julio de 1962 clausura la escuela EL GUABAL (en Cañazas). El dect. 38 de 13 de febrero de 1967 señala reapertura de la escuela el Guabal, en Cañazas</t>
  </si>
  <si>
    <t>ESC. GUAYAQUIL</t>
  </si>
  <si>
    <t>ESC. LOS HATILLOS ABAJO</t>
  </si>
  <si>
    <t>ESC. HATILLOS ARRIBA</t>
  </si>
  <si>
    <t>ESC. HATO DE JESUS</t>
  </si>
  <si>
    <t>DEC. 30 DE 28 DE ENERO DE 1970</t>
  </si>
  <si>
    <t>GOBERNADORA</t>
  </si>
  <si>
    <t>ESC. HORACIO ACUÑA</t>
  </si>
  <si>
    <t>DEC.605 DE 23 DE NOVIEMBRE DE 1954</t>
  </si>
  <si>
    <t>El dect. 605 de 23 de noviembre de 1954 da apertura a la escuela La Gobernadora. El dect. 158 de 28 de marzo de 1994 asigna el nombre de Horacio Acuña, a la escuela primaria LA GOBERNADORA</t>
  </si>
  <si>
    <t>ESC. HUESITALES</t>
  </si>
  <si>
    <t>I.P.T. OMAR TORRIJOS HERRERA</t>
  </si>
  <si>
    <t>DEC.42  DEL 2 DE FEBRERO DE 1996</t>
  </si>
  <si>
    <t>COMERCIO,CONTABILIDAD, TURISMO, TECNOLOGIA E INFORMATICA</t>
  </si>
  <si>
    <t>I.P.T. ALTO DE PIEDRA</t>
  </si>
  <si>
    <t>DEC. 49 DE 13 DE JUNIO DE 1978 CREA EL C.E.B.G. ALTO DE PIEDRA. DEC. 739 DEL 19 DE NOV. DE 2018 QUE DEROGA EN TODAS SUS PARTES EL DEC. EJECUTIVO NO. 1074 DEL 16 DE DIC. DE 2016 Y SE EMPLEMENTA EL SEGUNDO NIVEL DE ENSEÑANZA O EDUCACION MEDIA.</t>
  </si>
  <si>
    <t>I.P.T. CESAR CLAVEL</t>
  </si>
  <si>
    <t>DEC. 309 DE 19 DE SEPTIEMBRE DE 1986</t>
  </si>
  <si>
    <t>El dcrto 309 de 19 de septiembre de 1986 denomina CÉSAR A. CLAVEL MÉNDEZ, al Primer Ciclo Secundario, ubicado en Cañazas</t>
  </si>
  <si>
    <t>CIENCIAS,AGROPECUARIO,SERVICIOS Y GESTION INSTITUCIONAL</t>
  </si>
  <si>
    <t>I.P.T. EL RINCON</t>
  </si>
  <si>
    <t>I.P.T. JAIME MELAMED</t>
  </si>
  <si>
    <t>DEC. 1534 DEL 21 DE DIC. DEL 2015</t>
  </si>
  <si>
    <t>que se le asigna el nombre de I.P.T. Jaime Melameb Aviles al  I.P.T. Pilon</t>
  </si>
  <si>
    <t>AGROPECUARIO,TURISMO</t>
  </si>
  <si>
    <t>I.P.T. JESUS HECTOR GALLEGOS</t>
  </si>
  <si>
    <t>DEC.752 DE 30 DE AGOSTO DE 2004</t>
  </si>
  <si>
    <t>El dect. 752 del 30 de agosto de 2004 asigna el nombre de Instituto Profesional y Técnico Jesús Héctor Gallego Herrera al Primer Ciclo San José, ubicado en el Corregimiento de San juan. Dec. 574. 16 de Agos. De 2017 que asciende a segunda categoria al  Instituto Profesional y Tecnico Hector Gallegos.</t>
  </si>
  <si>
    <t>I.P.T. LAS PALMAS</t>
  </si>
  <si>
    <t xml:space="preserve">DEC.61 DE 9 DE MARZO DE 1993 </t>
  </si>
  <si>
    <t xml:space="preserve">El dect. 61 de 9 de marzo de 1993 crea el I. P.T. Las Palmas, el cual funcionará en las instalaciones del Primer Ciclo Las Palmas, que le quedará adscrito </t>
  </si>
  <si>
    <t>CIENCIAS,INDUSTRIAL,SEGUNDO CICLO INDUSTRIAL, TECNOLOGIA E INFORMATICA,SERVICIOS Y GESTION INSTITUCIONAL</t>
  </si>
  <si>
    <t>I.P.T. PABLO PINZON</t>
  </si>
  <si>
    <t>DEC.260 DEL 25 DE MARZO DE 2004</t>
  </si>
  <si>
    <t>AGROPECUARIO,INDUSTRIAL,TECNOLOGIA E INFORMATICA</t>
  </si>
  <si>
    <t>I.P.T. RIO DE JESUS</t>
  </si>
  <si>
    <t>I.P.T. RIO LUIS</t>
  </si>
  <si>
    <t>I.P.T. VERAGUAS</t>
  </si>
  <si>
    <t>DEC. 548 DE 18 DE DICIEMBRE DE 1973</t>
  </si>
  <si>
    <t>INDUSTRIAL,SEGUNDO CICLO INDUSTRIAL,SERVICIOS Y GESTION INSTITUCIONAL</t>
  </si>
  <si>
    <t>INSTITUTO URRACA</t>
  </si>
  <si>
    <t xml:space="preserve">DEC.191 DE 25 DE JUNIO DE 1964 </t>
  </si>
  <si>
    <t xml:space="preserve">Dect.191 de 25 de junio de 1964  crea el Primer Ciclo de Santiago. El dect. 40 de 4 de febrero de 1970 le da el nombre de Instituto Urracá al Primer Ciclo de Santiago. </t>
  </si>
  <si>
    <t>CIENCIAS,LETRAS,HUMANIDADES,COMERCIO,CONTABILIDAD</t>
  </si>
  <si>
    <t>ESC. ISABEL AROSEMENA</t>
  </si>
  <si>
    <t>DEC. 49 DE 19 DE MARZO DE 1999</t>
  </si>
  <si>
    <t>El dcrto 49 de 19 de marzo de 1999 asigna el nombre de "ISABEL AROSEMENA DE ABREGO",  a la escuela "ESCLERE"</t>
  </si>
  <si>
    <t>ESC. ISAURA J. CARRIZO</t>
  </si>
  <si>
    <t>El dect. 49 de 13 de junio de 1978 crea el C.E.B.G. Isauro Carrizo</t>
  </si>
  <si>
    <t>ESC. ISLA DE LEONES</t>
  </si>
  <si>
    <t>ESC. JESUS MARIA GONZALEZ PEREZ</t>
  </si>
  <si>
    <t>PUERTO VIDAL</t>
  </si>
  <si>
    <t>ESC. JORONES</t>
  </si>
  <si>
    <t>ESC. JOSE A. RUIZ</t>
  </si>
  <si>
    <t>El dcrto 1676 de 19 de noviembre de 1946 da el nombre de JOSE AGUSTIN RUIZ  a la escuela de Las Palmas. El dect. 49 de 13 de junio de 1978 crea el C.E.B.G. José A. Ruiz</t>
  </si>
  <si>
    <t>ESC. JOSE DAVID JIMENEZ</t>
  </si>
  <si>
    <t>ESC. JOSE F. VASQUEZ</t>
  </si>
  <si>
    <t>El dect. Dect.85 de 11 de marzo de 1965 crea la escuela El Mono. El dcrto 104 de 29 de mayo de 2001 asigna el nombre de JOSE FORTUNATO VÁSQUEZ, a la escuela primaria EL MONO, en El María</t>
  </si>
  <si>
    <t>ESC. JOSE G. ROBLES</t>
  </si>
  <si>
    <t>DEC.23 DE 9 DE FEBRERO DE 1983</t>
  </si>
  <si>
    <t>El dect. 23 de 9 de febrero de 1983 denomina con el nombre de José Gregorio Robles a la escuela primaria de Capellanía</t>
  </si>
  <si>
    <t>ESC. JOSE MUÑOZ M.</t>
  </si>
  <si>
    <t>El decreto 497 de 30 de septiembre de 1969 asigna el nombre de JOSE MUÑOZ M. a la escuela "LA MESA". El dect. 49 de 13 de junio de 1978 crea el C.E.B.G. JOSE MUÑOZ M.</t>
  </si>
  <si>
    <t>ESC. JUANA B. MACIAS</t>
  </si>
  <si>
    <t>DEC. 507 DE 13 DE NOVIEMBRE DE 1974</t>
  </si>
  <si>
    <t>ESC. LA CAÑASILLA</t>
  </si>
  <si>
    <t>ESC. LA CARRILLO</t>
  </si>
  <si>
    <t>ESC. LA CIJE</t>
  </si>
  <si>
    <t>DEC. 383 DE 23 DE AGOSTO DE 1960</t>
  </si>
  <si>
    <t>C.E.B.G. LA ESTRELLA</t>
  </si>
  <si>
    <t>DEC. 958 DEL 15 DE DICIEMBRE DE 2017 QUE CREA EL C.E.B.G.</t>
  </si>
  <si>
    <t>ESC. LA FLORECITA</t>
  </si>
  <si>
    <t>SAN PEDRO DEL ESPINO</t>
  </si>
  <si>
    <t>ESC. LA FRAGUA</t>
  </si>
  <si>
    <t xml:space="preserve">DEC. 294 DE 25 DE JULIO DE 1969 </t>
  </si>
  <si>
    <t>El dect. 145 de 5 de marzo de 1971 establece que la escuela Fragua de Canazas se denominará Fragua de Santiago</t>
  </si>
  <si>
    <t>LA RAYA DE CALOBRE</t>
  </si>
  <si>
    <t>ESC. LA GALLINAZA</t>
  </si>
  <si>
    <t>DEC.376 DEL 7 DE AGOSTO DE 1961</t>
  </si>
  <si>
    <t>ESC. LA GARCEANA</t>
  </si>
  <si>
    <t>ESC. LA GORDA</t>
  </si>
  <si>
    <t>CHITRA</t>
  </si>
  <si>
    <t>ESC. LA HONDURA</t>
  </si>
  <si>
    <t>ESC. LA HORQUETA</t>
  </si>
  <si>
    <t>DEC. 398 DEL 23 DE JULIO DE 1962</t>
  </si>
  <si>
    <t>CENTRO EDUCATIVO LA LAGUNA</t>
  </si>
  <si>
    <t>DEC. 944 DEL 15 DE DICIEMBRE DE 2017 QUE CREA EL CENTRO EDUCATIVO</t>
  </si>
  <si>
    <t>ESC. LA LIMA</t>
  </si>
  <si>
    <t>El dcrto 78 de 3 de marzo de 1958 ordena su clausura. El dcrto 85 de 11 de marzo de 1965 ordena su reapertura</t>
  </si>
  <si>
    <t>ESC. LA MATA</t>
  </si>
  <si>
    <t>ESC. LA MATA DEL ESPINO</t>
  </si>
  <si>
    <t>ESC. LA MISERICORDIA</t>
  </si>
  <si>
    <t>ESC. LA MONTAÑA</t>
  </si>
  <si>
    <t>ESC. LA PALIZADA</t>
  </si>
  <si>
    <t>ESC. LA PANDURA</t>
  </si>
  <si>
    <t>ESC. LA PASCUALA</t>
  </si>
  <si>
    <t>ESC. LA PEANA</t>
  </si>
  <si>
    <t>DEC.109 DE 21 DE MAYO DE 1964</t>
  </si>
  <si>
    <t>Existe dect. 109 de 21 de mayo de 1964 que crea la escuela , en la comunidad de La Pintada, Municipio de San Francisco. También el dect. 293 del 25 de julio de 1969 la crea</t>
  </si>
  <si>
    <t>DEC. 62 DEL 6 DE JULIO DE 1914</t>
  </si>
  <si>
    <t>El dect. 62 de 6 de julio de 1914 crea la escuela El Pito. El dcrto 21 de 22 de abril de 1915 clausura la escuela de niñas de El Pito. El dcrto 35 de 28 de abril de 1917 clausura la escuela de varones de El Pito</t>
  </si>
  <si>
    <t>ESC. LA RANA</t>
  </si>
  <si>
    <t>ESC. LA RAYA</t>
  </si>
  <si>
    <t>ESC. LA SUBIDITA</t>
  </si>
  <si>
    <t>DEC. 241 DE 26 DE  MAYO DE 1955</t>
  </si>
  <si>
    <t>Dec. 241 de 26 de mayo de 1955 ordena la apertura, en Soná</t>
  </si>
  <si>
    <t>ESC. LA TRINIDAD</t>
  </si>
  <si>
    <t>ESC. LA VALDES</t>
  </si>
  <si>
    <t>ESC. ZUMBONA (ANEXO DE CARRIZAL)</t>
  </si>
  <si>
    <t>ESC. LAS ANIMAS</t>
  </si>
  <si>
    <t>C.E.B.G. LAS BARRERAS</t>
  </si>
  <si>
    <t>DEC. 50 DEL 20 DE FEBRERO DEL 2017 QUE CREA EL C.E.B.G.</t>
  </si>
  <si>
    <t>ESC. LAS BLANDITAS</t>
  </si>
  <si>
    <t xml:space="preserve"> </t>
  </si>
  <si>
    <t>ESC. LAS LAJILLAS</t>
  </si>
  <si>
    <t>ESC. LAS PEÑITAS DE LOS JIMENEZ</t>
  </si>
  <si>
    <t>ESC. LAS PEÑITAS</t>
  </si>
  <si>
    <t>ESC. LAS TETAS</t>
  </si>
  <si>
    <t xml:space="preserve">DEC. 33 DEL 3 DE MARZO DE 1964 </t>
  </si>
  <si>
    <t xml:space="preserve">El decreto 515 de 14 de septiembre de 1951 clausura la escuela LAS TRANCAS, y el dcrto 33 del 3 de marzo de 1964 la reabre </t>
  </si>
  <si>
    <t>ESC. LAS TRANQUILLAS</t>
  </si>
  <si>
    <t>El dect .529 de 27 de junio de 1953 y el dect.  863 del 9 de septiembre de 1953 crean ambos la escuela Las Tranquillas</t>
  </si>
  <si>
    <t>ESC. LIMON SECO</t>
  </si>
  <si>
    <t>ESC. LLANO COLORADO</t>
  </si>
  <si>
    <t>URRACÁ</t>
  </si>
  <si>
    <t>DEC.439 DE 8 DE NOVIEMBRE DE 1974</t>
  </si>
  <si>
    <t>439 de 8 de noviembre de 1974 asigna el nombre de "Joaquina Herrera de Torrijos", a la escuela de Llano de la Cruz, municipio de Santiago</t>
  </si>
  <si>
    <t>ESC. LOMA LLANA</t>
  </si>
  <si>
    <t>ESC. LOS ALGARROBOS</t>
  </si>
  <si>
    <t>ESC. LOS ALMACIGOS</t>
  </si>
  <si>
    <t>ESC. LAS BALSAS</t>
  </si>
  <si>
    <t>ESC. LOS BOQUERONES DE CALOBRE</t>
  </si>
  <si>
    <t>ESC. LOS BRAVOS</t>
  </si>
  <si>
    <t xml:space="preserve">El decreto 27 de 25 de abril de 1913 crea la Escuela Alternada en el caserío de Los Castillos, distrito de Rio de Jesús. El decreto 37 de 18 de mayo de 1914  crea una escuela de varones y de niñas en el caserío de Rio de Jesús.El dcrto 34 de 28 de abril de 1917 clausura esta escuela. </t>
  </si>
  <si>
    <t>ESC. LOS COROTUES</t>
  </si>
  <si>
    <t>DEC.449 DE 8 DE NOVIEMBRE DE 1974</t>
  </si>
  <si>
    <t xml:space="preserve">El dcrto 449 de 8 de noviembre de 1974 denomina "LOS COROTÚES", a la escuela "Cuay Arriba".  </t>
  </si>
  <si>
    <t>ESC. LOS FLORES</t>
  </si>
  <si>
    <t>ESC. LOS GONZALEZ</t>
  </si>
  <si>
    <t>DEC. 329 DE 13 DE JULIO DE 1961</t>
  </si>
  <si>
    <t>ESC. LOS HERNANDEZ</t>
  </si>
  <si>
    <t>CATORCE DE NOVIEMBRE</t>
  </si>
  <si>
    <t>ESC. LOS LEONES</t>
  </si>
  <si>
    <t>El dect. 515 del  14 de septiembre de 1951 crea la escuela. El dect. 751 de 12 de agosto de 1952 clausura la escuela "LOS LEONES". El dect.  391 de 25 de agosto de 1960 crea esta escuela</t>
  </si>
  <si>
    <t>ESC. LOS MONTES</t>
  </si>
  <si>
    <t>DEC. 512 DE 21 DE NOVIEMBRE DE 1963</t>
  </si>
  <si>
    <t>ESC. LOS PILONES</t>
  </si>
  <si>
    <t>ESC. LOS VALDESES</t>
  </si>
  <si>
    <t>ESC. LOVAINA</t>
  </si>
  <si>
    <t>En el decreto aparece con "b", Lobaina</t>
  </si>
  <si>
    <t>ESC. LUIS A. RUIZ</t>
  </si>
  <si>
    <t>DEC.353 DE 4 DE SEPTIEMBRE DE 1974</t>
  </si>
  <si>
    <t>ESC. MAJAGUILLAL</t>
  </si>
  <si>
    <t>C.E.B.G. MARGARITO MOJICA</t>
  </si>
  <si>
    <t xml:space="preserve">El dect. 49 de 13 de junio de 1978 crea el C.E.B.G. de la Colorada. El dect.  105 de 19 de julio de 1978 denomina MARGARITO MOJICA NUÑEZ, al C.E.B.G. de la Colorada, distrito de Santiago.  </t>
  </si>
  <si>
    <t>ESC. MARIA B. DE RODRIGUEZ</t>
  </si>
  <si>
    <t>DEC.23 DE 26 DE MARZO DE 1991</t>
  </si>
  <si>
    <t>El dcrto 23 de 26 de marzo de 1991 asigna el nombre de MARIA BATISTA DE RODRIGUEZ,  a la escuela primaria EL MARIA</t>
  </si>
  <si>
    <t>ESC. MARIO RIERA PINILLA</t>
  </si>
  <si>
    <t xml:space="preserve">DEC. 591 DE 3 DE OCTUBRE DE 1955 </t>
  </si>
  <si>
    <t>ESC. MARTINCITO</t>
  </si>
  <si>
    <t>ESC. MATA REDONDA</t>
  </si>
  <si>
    <t>ESC. MEDIA LUNA</t>
  </si>
  <si>
    <t>ESC. MONJARAS</t>
  </si>
  <si>
    <t>QUEBRO</t>
  </si>
  <si>
    <t>ESC. MORRILLO</t>
  </si>
  <si>
    <t>ESC. NUESTRO AMO</t>
  </si>
  <si>
    <t>ESC. NUEVO CHORRILLITO</t>
  </si>
  <si>
    <t>DEC.296 DE 19 DE OCTUBRE DE 1995</t>
  </si>
  <si>
    <t>CENTRO EDUCATIVO PADRE JUAN JOSÉ CÁNOVAS (ANTES PRIMER CICLO ATALAYA)</t>
  </si>
  <si>
    <t>DEC. 120 DEL 22 DE ABRIL DEL 2019 QUE AUTORIZA EL CAMBIO A C.E. PADRE JUAN JOSE CANOVAS</t>
  </si>
  <si>
    <t>DEC. 460 DEL 14 DE ABRIL DE 2020 QUE IMPLEMENTA EL NIVEL DE ENSEÑANZA (BACHILLER EN CIENCIAS)</t>
  </si>
  <si>
    <t>PRIMER CICLO BORO</t>
  </si>
  <si>
    <t>PRIMER CICLO CHITRA</t>
  </si>
  <si>
    <t>PRIMER CICLO EL ESPINAL</t>
  </si>
  <si>
    <t>PRIMER CICLO INMACULADA CONCEPCION</t>
  </si>
  <si>
    <t>PRIMER CICLO  JOSE SANTOS PUGA</t>
  </si>
  <si>
    <t>El dcrto 507 de 19 de noviembre de 1973 designa con el nombre de JOSE SANTOS PUGA, al Primer Ciclo de Santiago. Los dects. 191 de 25 de junio de 1964 y 10 de 10 de febrero de 1987 ambas crean el Primer C. de Santiago</t>
  </si>
  <si>
    <t>PRIMER CICLO LAS GUIAS</t>
  </si>
  <si>
    <t>PRIMER CICLO LOS VALLES</t>
  </si>
  <si>
    <t>PRIMER CICLO MARGARITO MOJICA</t>
  </si>
  <si>
    <t>DEC.30 DE 14 DE MARZO DE 1986</t>
  </si>
  <si>
    <t>ESC. PACORA</t>
  </si>
  <si>
    <t>ESC. PALO VERDE</t>
  </si>
  <si>
    <t xml:space="preserve">DEC. 243 DE 5 DE MAYO DE 1966 </t>
  </si>
  <si>
    <t>Dec. 298 de 25 de julio de 1969 le denomina PAN DE AZUCAR No.1 a la que se creo según dect. 243 de 5 de mayo de 1966 y PAN DE AZUCAR No.2 a la que se creo según dect. 422 de 18 de agosto de 1966. Además, el decreto 145 de 5 de marzo de 1971 clausura la escuela Pan de Azúcar No. 2</t>
  </si>
  <si>
    <t>ESC. PARAGUAY</t>
  </si>
  <si>
    <t>ESC. PASO HONDO</t>
  </si>
  <si>
    <t>DEC. 300 DE 19 DE OCTUBRE DE 1995</t>
  </si>
  <si>
    <t>ESC. PIEDRA DE AGUA</t>
  </si>
  <si>
    <t>ESC. PIEDRA DEL SOL</t>
  </si>
  <si>
    <t>ESC. PIEDRA HINCADA</t>
  </si>
  <si>
    <t>ESC. PIEDRAS GORDAS</t>
  </si>
  <si>
    <t>Dec. 515 del  14 de septiembre de 1951 crea la escuela. El dect. 445 del 17 de septiembre de 1954 ordena la clausura de esta escuela. El dect. 166 de 20 de junio de 1991 crea la escuela, señalando que estaba funcionando sin provid. Legal</t>
  </si>
  <si>
    <t>ESC. PUERTO VIDAL</t>
  </si>
  <si>
    <t>ESC. QUEBRADA CONGA</t>
  </si>
  <si>
    <t>ESC. QUEBRADA DE BUBI</t>
  </si>
  <si>
    <t>ESC. QUEBRO</t>
  </si>
  <si>
    <t>DEC. 751 DE 12 DE AGOSTO DE 1952</t>
  </si>
  <si>
    <t>El dect. 751 de 12 de agosto de 1952 crea la escuela de Quebro, Distrito de Montijo.  El dect. 415 del 23 de agosto de 1963  crea la escuela Quebro ubicada en Montijo.</t>
  </si>
  <si>
    <t>ESC. RATONES</t>
  </si>
  <si>
    <t>C.E.B.G. REPUBLICA DE OLIVER ALEMAN</t>
  </si>
  <si>
    <t>DEC. 304 DE 13 DE SEPTIEMBRE DE 2006</t>
  </si>
  <si>
    <t>El dect. 304 del 13 de septiembre de 2006 asigna el nombre de República Oliver Alemán a la Escuela Los Boquerones, ubicada en el corregimiento Carlos Santana A., distrito de Santiago</t>
  </si>
  <si>
    <t>ESC. RINCON LARGO DE LA PEÑA</t>
  </si>
  <si>
    <t>DEC.279 DE 6 DE JUNIO DE 1955</t>
  </si>
  <si>
    <t>ESC. RÍO CAÑAZAS</t>
  </si>
  <si>
    <t>ESC. RIO CONCEPCION</t>
  </si>
  <si>
    <t>DEC.133 DE 9 DE JULIO DE 1980</t>
  </si>
  <si>
    <t>ESC. RIO GRANDE</t>
  </si>
  <si>
    <t>DEC. 267 DEL 31 DE MAYO DE 1962</t>
  </si>
  <si>
    <t>ESC. SAN ANDRES</t>
  </si>
  <si>
    <t xml:space="preserve">DEC.662 DE 13 DE DICIEMBRE DE 1954 </t>
  </si>
  <si>
    <t xml:space="preserve">El dect. 662 de 13 de diciembre de 1954 ordena la apertura de la escuela de San Antonio.El dect. 614 del 3/8/2011 crea el Centro Educativo.
</t>
  </si>
  <si>
    <t xml:space="preserve">DEC.97 DE 19 DE MARZO DE 1968 </t>
  </si>
  <si>
    <t>ESC. SAN JUSTINO JACOBI</t>
  </si>
  <si>
    <t>ESC. SAN MARCELO</t>
  </si>
  <si>
    <t>ESC. SAN RAFAEL ARRIBA</t>
  </si>
  <si>
    <t>DEC. 38 DE 13 DE FEBRERO DE 1967 CREA LA ESCUELA  SAN RAFAEL ABAJO Y EL DCRTO 21 DE 13 DE ENERO DE 1965 CREA LA ESCUELA SAN RAFAEL</t>
  </si>
  <si>
    <t>ESC. SANTA BARBARA</t>
  </si>
  <si>
    <t>DEC.361 DE 18 DE NOVIEMBRE DE 1986</t>
  </si>
  <si>
    <t>ESC. SANTIAGO FERNANDEZ GARCIA</t>
  </si>
  <si>
    <t>El dect. 49 de 13 de junio de 1978 crea el C.E.B.G. Las Guias.  El dect. 96 del 30 de abril de 2007 asigna el nombre "Santiago Fernández García", al C.E.B.G. Las Guías Abajo, ubicado en el Correg de Las Guias</t>
  </si>
  <si>
    <t>CENTRO EDUCATIVO LA MESA</t>
  </si>
  <si>
    <t>DEC. 948 DEL 15 DE DICIEMBRE DEL 2017</t>
  </si>
  <si>
    <t>que crea el C.E.</t>
  </si>
  <si>
    <t>CIENCIAS,COMERCIO, TECNOLOGIA E INFORMATICA</t>
  </si>
  <si>
    <t>C.E.B.G. SERAFIN VARGAS QUINTERO</t>
  </si>
  <si>
    <t>DEC. 51 DE 29 DE MARZO DE 2007</t>
  </si>
  <si>
    <t>El decreto 51 del 29 de marzo de 2007, asigna el nombre de "Serafín Vargas Quintero" a la Escuela de Las Flores</t>
  </si>
  <si>
    <t>ESC. SUBI</t>
  </si>
  <si>
    <t>ESC. TABACAL</t>
  </si>
  <si>
    <t>ESC. TARA</t>
  </si>
  <si>
    <t>ESC. TOLECILLO</t>
  </si>
  <si>
    <t>El dect. 1797 del 27 de mayo de 1947 Y 21 de 13 de enero de 1965 crean ambos la escuela</t>
  </si>
  <si>
    <t>ESC. TUTE ABAJO</t>
  </si>
  <si>
    <t>ESC. VIELKA B. DE MARTINEZ</t>
  </si>
  <si>
    <t>DEC.281 DE 30 DE JULIO DE 1984</t>
  </si>
  <si>
    <t>El dect. 281 de 30 de julio de 1984 asigna el nombre de VIELKA BATISTA DE MARTÍNEZ, a la Escuela Rincón largo</t>
  </si>
  <si>
    <t>ESC. VUELTAS LARGAS</t>
  </si>
  <si>
    <t>ESC. ZAPOTAL</t>
  </si>
  <si>
    <t>ESC. ZOVELDA FRANCO</t>
  </si>
  <si>
    <t xml:space="preserve">DEC.1013 DEL 26 DE OCTUBRE DE 1953 </t>
  </si>
  <si>
    <t>El dect. 1013 del 26 de octubre de 1953 da apertura a la escuela Cerro Redondo. El dect. 160 de 28 de agosto de 1998 asigna el nombre de ZODELVA FRANCO DE  MIRANDA a la escuela primaria CERRO REDONDO</t>
  </si>
  <si>
    <t>ESC. ALTO BALA</t>
  </si>
  <si>
    <t>ESC. ALTO DE LOS SANCHEZ</t>
  </si>
  <si>
    <t>DEC.382 DE 17 DE AGOSTO DE 1960</t>
  </si>
  <si>
    <t>El dect. 382 de 17 de agosto de 1960 cambia el nombre de la escuela de La Pintada, por el de ALTO DE LOS SANCHEZ</t>
  </si>
  <si>
    <t>ESC. CALIDONIA</t>
  </si>
  <si>
    <t>ESC. EL CIRUELAR</t>
  </si>
  <si>
    <t>El dect. 515 del 14 de septiembre de 1951 crea la Escuela El Ciruelar</t>
  </si>
  <si>
    <t>ESC. EL JUAN</t>
  </si>
  <si>
    <t>DEC.33 DEL 3 DE MARZO DE 1964</t>
  </si>
  <si>
    <t>El dect. 33 del 3 de marzo de 1964 crea la escuela EL JUAN</t>
  </si>
  <si>
    <t>ESC. LA BODEGA</t>
  </si>
  <si>
    <t>El dect. 84 de  20 de abril de 1964 crea la escuela La Bodega</t>
  </si>
  <si>
    <t>ESC. LOMA DE QUEBRO</t>
  </si>
  <si>
    <t>Dec. 49 de 13 de junio de 1978 crea el C.E.B.G. Loma de Quebro</t>
  </si>
  <si>
    <t>ESC. LOS LLANOS</t>
  </si>
  <si>
    <t>El dect. 415 del 23 de agosto de 1963 crea la ESCUELA "LOS LLANOS"</t>
  </si>
  <si>
    <t>ESC. MONTE GRANDE</t>
  </si>
  <si>
    <t xml:space="preserve">Dec.. 489 de 16 de octubre de 1961 da el nombre de LOS GUARUMOS, a la escuela MONTE GRANDE, en Cañazas. El dect. 21 de 13 de enero de 1965 crea la escuela MONTEGRANDE, en Cañazas. </t>
  </si>
  <si>
    <t>ESC. RÍO VERAGUAS</t>
  </si>
  <si>
    <t>DEC.424 DE 23 DE AGOSTO DE 2002</t>
  </si>
  <si>
    <t>ESC. CAÑASILLA ARRIBA</t>
  </si>
  <si>
    <t>DEC.76 DE 9 DE ABRIL DE 1954</t>
  </si>
  <si>
    <t>ESC. EL CAÑAVERAL</t>
  </si>
  <si>
    <t>DEC.187 DE 17 DE JULIO DE 1987</t>
  </si>
  <si>
    <t>ESC. CAÑAZAS ARRIBA</t>
  </si>
  <si>
    <t>ESC. CUAY ABAJO</t>
  </si>
  <si>
    <t>DEC. 84 DE 20 DE ABRIL DE 1964 CREA LA ESCUELA EL CUAY, EN SAN FRANCISCO.  104 DE 14 DE ABRIL DE 1961 CREA LA ESCUELA EL CUAY, EN SANTA FE</t>
  </si>
  <si>
    <t>ESC. EL CARMEN</t>
  </si>
  <si>
    <t>CENTRO EL CHORRO DE RIO BEJUCO</t>
  </si>
  <si>
    <t>DEC. 264 DEL 5 DE MAYO 2015</t>
  </si>
  <si>
    <t>ESC. EL CIRBULACO</t>
  </si>
  <si>
    <t>ESC. EL CORTEZO</t>
  </si>
  <si>
    <t>ESC. EL GAVILAN</t>
  </si>
  <si>
    <t>ESC. EL LLANILLO</t>
  </si>
  <si>
    <t>EL PANTANO</t>
  </si>
  <si>
    <t>ESC. EL PANTANO</t>
  </si>
  <si>
    <t>ESC. EL PICADOR</t>
  </si>
  <si>
    <t>El dect. 53 de 24 de abril de 1959 crea la escuela EL PIRO</t>
  </si>
  <si>
    <t>ESC. EL PITO</t>
  </si>
  <si>
    <t>DEC.63 DE 9 DE MARZO DE 1993</t>
  </si>
  <si>
    <t>El dect. 63 de 9 de marzo de 1993 y 296 de 19 de octubre de 1995 crean ambos la escuela</t>
  </si>
  <si>
    <t>ESC. EL SATRO</t>
  </si>
  <si>
    <t>ESC. GUABAL PONIENTE</t>
  </si>
  <si>
    <t>ESC. JUAN N. GONZALEZ</t>
  </si>
  <si>
    <t>El dect. 434 de 8 de noviembre de 1974 asigna el nombre de "JUAN NEPOMUCENO GONZÁLEZ", a la escuela de "LOS VALLES". El dect. 49 de 13 de junio de 1978 crea el C.E.B.G. Juan Nepomuceno González</t>
  </si>
  <si>
    <t>ESC. JULIETA DUARTE</t>
  </si>
  <si>
    <t>Dec. 21 de 13 de enero de 1965 crea la escuela TIGRE DE SAN LORENZO, en Soná. El dect.  155 de 12 de agosto de 1998 asigna el nombre de JULIETA DUARTE  a la escuela primaria TIGRE DE SAN LORENZO, ubicada en Rio Grande, Soná</t>
  </si>
  <si>
    <t>DEC.110 DE 16 DE FEBRERO DE 1971</t>
  </si>
  <si>
    <t>DEC.203 DEL 30 DE MAYO DE 1963</t>
  </si>
  <si>
    <t>ESC. LA GUACAMAYA</t>
  </si>
  <si>
    <t>ESC. MONTAÑA DE BORO</t>
  </si>
  <si>
    <t>DEC.659 DE 19 DE OCTUBRE DE 1957</t>
  </si>
  <si>
    <t>ESC. LA PLAYA</t>
  </si>
  <si>
    <t>ESC. LA PURISIMA</t>
  </si>
  <si>
    <t>DEC.537 DE 18 DE SEPTIEMBRE DE 1967</t>
  </si>
  <si>
    <t>ESC. SABANETA DE LA PEÑA</t>
  </si>
  <si>
    <t>ESC. GUIAS ARRIBA</t>
  </si>
  <si>
    <t>DEC. 618 DE 19 DE OCTUBRE DE 1955</t>
  </si>
  <si>
    <t>El decreto 618 del 19 de octubre de 1955 ordena la apertura de la escuela Las Guías Arriba</t>
  </si>
  <si>
    <t>ESC. LAS MENDOZA</t>
  </si>
  <si>
    <t xml:space="preserve"> El dect. 294 de 25 de julio de 1969 crea la escuela Las Mendozas, en Las Palmas.  El dcrto 30 de 28 de enero de 1970 lo corrige a Cañazas</t>
  </si>
  <si>
    <t>ESC. LEONARDO VASQUEZ</t>
  </si>
  <si>
    <t>DEC. 183 DE 19 DE MAYO DE 2003</t>
  </si>
  <si>
    <t>Dec. 183 de 19 de mayo de 2003 asigna el nombre de LEONARDO VÁSQUEZ QUINTERO, a la escuela de La sabaneta</t>
  </si>
  <si>
    <t>ESC. LIMONES</t>
  </si>
  <si>
    <t>ESC. LLANO DEL NANCE</t>
  </si>
  <si>
    <t>ESC. LOS HATILLOS</t>
  </si>
  <si>
    <t>ESC. LOS LAJONES</t>
  </si>
  <si>
    <t>El dect. 1797 del 27 de mayo de 1947 crea la escuela Los Lajones.  El dect.  802 del 27 de agosto de 1953 ordena su clausura.  El decreto 101 de 7 de abril de 1961 crea la escuela LOS LAJONES</t>
  </si>
  <si>
    <t>ESC. LOS POLANCOS</t>
  </si>
  <si>
    <t>ESC. MADRE VIEJA</t>
  </si>
  <si>
    <t>ESC. MALENA</t>
  </si>
  <si>
    <t>ESC. MIRADORES</t>
  </si>
  <si>
    <t>ESC. OLACA DE BORO</t>
  </si>
  <si>
    <t>ESC. PEREQUE</t>
  </si>
  <si>
    <t>ESC. PINO DEL COBRE</t>
  </si>
  <si>
    <t>ESC. QUEBRADA OSCURA</t>
  </si>
  <si>
    <t>DEC.173 DE 2 DE MAYO DE 2002</t>
  </si>
  <si>
    <t>El dect. 20 de 31 de enero de 1972 crea la escuela en Soná. El dcrto 279 de 6 de junio de 1955 crea la escuela "RINCON LARGO", en Montijo</t>
  </si>
  <si>
    <t>ESC. RÍO BEJUCO</t>
  </si>
  <si>
    <t>DEC. 19 DE 20 DE ABRIL DE 1915 QUE CLAUSURA LA ESCUELA DE SAN JUAN</t>
  </si>
  <si>
    <t>ESC. SAN PEDRO RINCON</t>
  </si>
  <si>
    <t>DEC. 2132 DE 9 DE JULIO DE 1948</t>
  </si>
  <si>
    <t>Dec. 2132 de 9 de julio de 1948 crea la escuela Rincón Sucio en el municipio de Santiago.  El dcro 173 del 30 de junio de 2006 asigna el nombre de Escuela Primaria San Pedro Rincón a la Escuela Primaria Rincón Sucio</t>
  </si>
  <si>
    <t>ESC. SEGUIDULES</t>
  </si>
  <si>
    <t>ESC. SOLEDAD CONCEPCION</t>
  </si>
  <si>
    <t>El dect. 34 de 24 de enero de 1966 crea la escuela Rio Camarones. El dect. 18 del 18 de marzo de 1988 asigna el nombre de SOLEDAD CONCEPCION" a la Escuela Rio Camarones</t>
  </si>
  <si>
    <t>ESC. TIERRA HUECA</t>
  </si>
  <si>
    <t>ESC. TIGRE DE LOS AMARILLOS</t>
  </si>
  <si>
    <t>ESC. TORIO</t>
  </si>
  <si>
    <t>UTIRA</t>
  </si>
  <si>
    <t>ESC. UTIRA</t>
  </si>
  <si>
    <t>CENTRO DE TELE-EDUCACIÓN CALOVEBORITA</t>
  </si>
  <si>
    <t>ESC. SECUNDARIA NOCTURNA OFICIAL SANTIAGO</t>
  </si>
  <si>
    <t>DEC. 105 DE 17 DE JUNIO DE 1980</t>
  </si>
  <si>
    <t>INSTITUTO PROFESIONAL Y TECNICO NOCTURNO SONA</t>
  </si>
  <si>
    <t>DEC. 70 DE 5 DE MAYO DE 1997</t>
  </si>
  <si>
    <t>INSTITUTO PROFESIONAL Y TECNICO NOCTURNO VERAGUAS</t>
  </si>
  <si>
    <t>ESC. JOVENES Y ADULTOS SANTIAGO</t>
  </si>
  <si>
    <t>PENITENCIARIA DE  SANTIAGO SUPERIOR JUAN D. AROSEMENA (EXTENDIDA I.P.T. VERAGUAS)</t>
  </si>
  <si>
    <t>ESC. PIXVAE</t>
  </si>
  <si>
    <t>TELE-EDUCACION ALTO DE LOS RUICES</t>
  </si>
  <si>
    <t>TELE-EDUCACION CASCAJILLOSO</t>
  </si>
  <si>
    <t>TELE-EDUCACION JOSÉ AGUSTIN RUIZ</t>
  </si>
  <si>
    <t>TELE-EDUCACION MANUEL H. REYES (LLANO CATIVAL)</t>
  </si>
  <si>
    <t>TELE-EDUCACION PEDRO ARROCHA GRAELL</t>
  </si>
  <si>
    <t>TELE-EDUCACIÓN RIO GUAZARO</t>
  </si>
  <si>
    <t>TELE-EDUCACIÓN RIO PIEDRA</t>
  </si>
  <si>
    <t>TEP-CAÑAZILLAS ARRIBA</t>
  </si>
  <si>
    <t>CENTRO LA SABANETA</t>
  </si>
  <si>
    <t>CENTRO  SAN FRANCISCO</t>
  </si>
  <si>
    <t>HOGAR SANTA ISABEL</t>
  </si>
  <si>
    <t>NUTRE HOGAR</t>
  </si>
  <si>
    <t>OFRECE UN HOGAR</t>
  </si>
  <si>
    <t>CENTRO DE ESTUDIOS SUPERIORES DE BELLAS ARTES Y FOLKLORE DE SANTIAGO</t>
  </si>
  <si>
    <t>IPHE DE VERAGUAS</t>
  </si>
  <si>
    <t>C.O.I.F. MI ALEGRIA</t>
  </si>
  <si>
    <t>CENTRO EDUCATIVO PARTICULAR FAITH AND HOPE SCHOOL PANAMA</t>
  </si>
  <si>
    <t>RES. 2084 DEL 3 DE JULIO DE 2020 AUTORIZA EL FUNCIONAMIENTO</t>
  </si>
  <si>
    <t>COLEGIO SAINT JAMES</t>
  </si>
  <si>
    <t>RES. 118 DEL 29 DE ENERO 2020 QUE AUTORIZA FUNCIONAMIENTO</t>
  </si>
  <si>
    <t>CAIPI CUIDADOS</t>
  </si>
  <si>
    <t>CAIPI MIDA</t>
  </si>
  <si>
    <t>CENTRO INFANTIL MI SABIDURIA</t>
  </si>
  <si>
    <t>ESC. BILINGÜE JUAN RAMON</t>
  </si>
  <si>
    <t>ESC. MIS PRIMEROS PASOS</t>
  </si>
  <si>
    <t>ESC. MODERNA SAN JUAN</t>
  </si>
  <si>
    <t>ESC. ADVENTISTA BILINGÜE DE SANTIAGO</t>
  </si>
  <si>
    <t>INSTITUTO MARINA MERCANTE</t>
  </si>
  <si>
    <t>INSTITUTO JESUS DE NAZARENO</t>
  </si>
  <si>
    <t>ESC. KIDS ACADEMY</t>
  </si>
  <si>
    <t>ESC. THE OXFORD SCHOOL</t>
  </si>
  <si>
    <t>CENTRO EDUCATIVO ANDRES BELLO</t>
  </si>
  <si>
    <t>CENTRO EDUCATIVO LABORAL ORO SOL</t>
  </si>
  <si>
    <t>COLEGIO LABORAL Y COMPUTACIONAL SANTA MARIA</t>
  </si>
  <si>
    <t>INSTITUTO CHIRIQUI, EDUCACION ABIERTA A DISTANCIA</t>
  </si>
  <si>
    <t>INSTITUTO COMPUTACIONAL Y LABORAL DE VERAGUAS (ICLAVE)</t>
  </si>
  <si>
    <t>INSTITUTO LABORAL DE INNOVACION EDUCATIVA</t>
  </si>
  <si>
    <t>TELE-EDUCACION RIO MARCOS</t>
  </si>
  <si>
    <t>TELE-EDUCACION MAJE CHIMAN</t>
  </si>
  <si>
    <t>TELE-EDUCACION BENJAMIN QUINTERO</t>
  </si>
  <si>
    <t xml:space="preserve"> TELE-EDUCACION IPETI CHOCO</t>
  </si>
  <si>
    <t>7584</t>
  </si>
  <si>
    <t>ESC. NACIONAL DE FOLKLORE</t>
  </si>
  <si>
    <t>TELE-EDUCACION CLIMACO DELGADO</t>
  </si>
  <si>
    <t>TELE-EDUCACION KUSAPIN</t>
  </si>
  <si>
    <t xml:space="preserve">PREMEDIA-MEDIA ACADÉMICA </t>
  </si>
  <si>
    <t>CAIPI CHIRIQUI (CAIPI CHIRIQUI FUENTE DEL SABER)</t>
  </si>
  <si>
    <t>Decretos</t>
  </si>
  <si>
    <t>Cuenta de Región</t>
  </si>
  <si>
    <t>Muestra_Meduca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</si>
</sst>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Calibri"/>
    </font>
    <font>
      <sz val="11"/>
      <color theme="1"/>
      <name val="Calibri"/>
      <family val="2"/>
      <scheme val="minor"/>
    </font>
    <font>
      <sz val="11"/>
      <color theme="1"/>
      <name val="Calibri"/>
      <family val="2"/>
      <scheme val="minor"/>
    </font>
    <font>
      <b/>
      <sz val="12"/>
      <color rgb="FF000000"/>
      <name val="Calibri"/>
    </font>
    <font>
      <b/>
      <sz val="11"/>
      <color rgb="FFFA7D00"/>
      <name val="Calibri"/>
      <family val="2"/>
      <scheme val="minor"/>
    </font>
    <font>
      <sz val="14"/>
      <name val="Arial"/>
      <family val="2"/>
    </font>
    <font>
      <sz val="9"/>
      <name val="Arial"/>
      <family val="2"/>
    </font>
    <font>
      <sz val="12"/>
      <name val="Arial"/>
      <family val="2"/>
    </font>
    <font>
      <i/>
      <sz val="9"/>
      <name val="Arial"/>
      <family val="2"/>
    </font>
    <font>
      <sz val="10"/>
      <name val="Arial"/>
      <family val="2"/>
    </font>
    <font>
      <b/>
      <sz val="9"/>
      <color indexed="81"/>
      <name val="Tahoma"/>
      <family val="2"/>
    </font>
    <font>
      <sz val="9"/>
      <color indexed="81"/>
      <name val="Tahoma"/>
      <family val="2"/>
    </font>
    <font>
      <b/>
      <sz val="12"/>
      <color rgb="FF000000"/>
      <name val="Calibri"/>
      <family val="2"/>
    </font>
    <font>
      <sz val="11"/>
      <color rgb="FF000000"/>
      <name val="Calibri"/>
      <family val="2"/>
    </font>
    <font>
      <sz val="11"/>
      <color rgb="FF3F3F76"/>
      <name val="Calibri"/>
      <family val="2"/>
      <scheme val="minor"/>
    </font>
    <font>
      <u/>
      <sz val="10"/>
      <color theme="10"/>
      <name val="MS Sans Serif"/>
      <family val="2"/>
    </font>
    <font>
      <b/>
      <sz val="12"/>
      <name val="Calibri"/>
      <family val="2"/>
    </font>
    <font>
      <sz val="11"/>
      <name val="Calibri"/>
      <family val="2"/>
    </font>
    <font>
      <b/>
      <sz val="12"/>
      <color theme="0"/>
      <name val="Calibri"/>
      <family val="2"/>
    </font>
  </fonts>
  <fills count="19">
    <fill>
      <patternFill patternType="none"/>
    </fill>
    <fill>
      <patternFill patternType="gray125"/>
    </fill>
    <fill>
      <patternFill patternType="solid">
        <fgColor rgb="FFF2F2F2"/>
      </patternFill>
    </fill>
    <fill>
      <patternFill patternType="solid">
        <fgColor rgb="FF66FFFF"/>
        <bgColor indexed="64"/>
      </patternFill>
    </fill>
    <fill>
      <patternFill patternType="solid">
        <fgColor theme="0"/>
        <bgColor indexed="64"/>
      </patternFill>
    </fill>
    <fill>
      <patternFill patternType="solid">
        <fgColor rgb="FF00FF00"/>
        <bgColor indexed="64"/>
      </patternFill>
    </fill>
    <fill>
      <patternFill patternType="solid">
        <fgColor rgb="FF3399FF"/>
        <bgColor indexed="64"/>
      </patternFill>
    </fill>
    <fill>
      <patternFill patternType="solid">
        <fgColor rgb="FFFF7C80"/>
        <bgColor indexed="64"/>
      </patternFill>
    </fill>
    <fill>
      <patternFill patternType="solid">
        <fgColor rgb="FFFFFF99"/>
        <bgColor indexed="64"/>
      </patternFill>
    </fill>
    <fill>
      <patternFill patternType="solid">
        <fgColor rgb="FFFF9966"/>
        <bgColor indexed="64"/>
      </patternFill>
    </fill>
    <fill>
      <patternFill patternType="solid">
        <fgColor rgb="FFFFCC99"/>
      </patternFill>
    </fill>
    <fill>
      <patternFill patternType="solid">
        <fgColor theme="7" tint="0.59999389629810485"/>
        <bgColor indexed="65"/>
      </patternFill>
    </fill>
    <fill>
      <patternFill patternType="solid">
        <fgColor rgb="FFCCFF99"/>
        <bgColor indexed="64"/>
      </patternFill>
    </fill>
    <fill>
      <patternFill patternType="solid">
        <fgColor theme="8" tint="-0.249977111117893"/>
        <bgColor indexed="64"/>
      </patternFill>
    </fill>
    <fill>
      <patternFill patternType="solid">
        <fgColor rgb="FFCCFFFF"/>
        <bgColor indexed="64"/>
      </patternFill>
    </fill>
    <fill>
      <patternFill patternType="solid">
        <fgColor rgb="FFFFCCCC"/>
        <bgColor indexed="64"/>
      </patternFill>
    </fill>
    <fill>
      <patternFill patternType="solid">
        <fgColor rgb="FFFFFFCC"/>
        <bgColor indexed="64"/>
      </patternFill>
    </fill>
    <fill>
      <patternFill patternType="solid">
        <fgColor rgb="FFFFCC99"/>
        <bgColor indexed="64"/>
      </patternFill>
    </fill>
    <fill>
      <patternFill patternType="solid">
        <fgColor rgb="FFA4E43C"/>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9">
    <xf numFmtId="0" fontId="0" fillId="0" borderId="0"/>
    <xf numFmtId="0" fontId="4" fillId="2" borderId="2" applyNumberFormat="0" applyAlignment="0" applyProtection="0"/>
    <xf numFmtId="0" fontId="2" fillId="0" borderId="0"/>
    <xf numFmtId="0" fontId="9" fillId="0" borderId="0"/>
    <xf numFmtId="0" fontId="13" fillId="0" borderId="0"/>
    <xf numFmtId="0" fontId="14" fillId="10" borderId="2" applyNumberFormat="0" applyAlignment="0" applyProtection="0"/>
    <xf numFmtId="0" fontId="1" fillId="11" borderId="0" applyNumberFormat="0" applyBorder="0" applyAlignment="0" applyProtection="0"/>
    <xf numFmtId="0" fontId="1" fillId="0" borderId="0"/>
    <xf numFmtId="0" fontId="15" fillId="0" borderId="0" applyNumberFormat="0" applyFill="0" applyBorder="0" applyAlignment="0" applyProtection="0"/>
  </cellStyleXfs>
  <cellXfs count="98">
    <xf numFmtId="0" fontId="0" fillId="0" borderId="0" xfId="0"/>
    <xf numFmtId="0" fontId="0" fillId="0" borderId="3" xfId="0"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2" fillId="0" borderId="0" xfId="2"/>
    <xf numFmtId="0" fontId="2" fillId="0" borderId="1" xfId="2" applyBorder="1" applyAlignment="1">
      <alignment horizontal="center" vertical="top"/>
    </xf>
    <xf numFmtId="0" fontId="6" fillId="4" borderId="1" xfId="1" applyFont="1" applyFill="1" applyBorder="1" applyAlignment="1">
      <alignment horizontal="center" vertical="center"/>
    </xf>
    <xf numFmtId="0" fontId="13" fillId="0" borderId="0" xfId="4"/>
    <xf numFmtId="0" fontId="13" fillId="0" borderId="1" xfId="4" applyBorder="1" applyAlignment="1">
      <alignment horizontal="center" vertical="center"/>
    </xf>
    <xf numFmtId="0" fontId="6" fillId="4" borderId="0" xfId="7" applyFont="1" applyFill="1" applyAlignment="1">
      <alignment horizontal="center"/>
    </xf>
    <xf numFmtId="0" fontId="6" fillId="4" borderId="0" xfId="7" applyFont="1" applyFill="1"/>
    <xf numFmtId="0" fontId="6" fillId="4" borderId="1" xfId="7" applyFont="1" applyFill="1" applyBorder="1" applyAlignment="1">
      <alignment horizontal="center" vertical="center"/>
    </xf>
    <xf numFmtId="0" fontId="6" fillId="4" borderId="1" xfId="7" applyFont="1" applyFill="1" applyBorder="1" applyAlignment="1">
      <alignment horizontal="center"/>
    </xf>
    <xf numFmtId="0" fontId="6" fillId="4" borderId="1" xfId="6" applyFont="1" applyFill="1" applyBorder="1" applyAlignment="1">
      <alignment horizontal="center"/>
    </xf>
    <xf numFmtId="0" fontId="6" fillId="4" borderId="0" xfId="7" applyFont="1" applyFill="1" applyAlignment="1">
      <alignment horizontal="left" vertical="center"/>
    </xf>
    <xf numFmtId="0" fontId="6" fillId="4" borderId="1" xfId="7" applyFont="1" applyFill="1" applyBorder="1" applyAlignment="1">
      <alignment horizontal="center" vertical="top"/>
    </xf>
    <xf numFmtId="0" fontId="6" fillId="4" borderId="1" xfId="1" applyFont="1" applyFill="1" applyBorder="1" applyAlignment="1">
      <alignment horizontal="center" vertical="center" wrapText="1"/>
    </xf>
    <xf numFmtId="0" fontId="6" fillId="4" borderId="0" xfId="7" applyFont="1" applyFill="1" applyAlignment="1">
      <alignment horizontal="center" vertical="center"/>
    </xf>
    <xf numFmtId="0" fontId="6" fillId="4" borderId="0" xfId="7" applyFont="1" applyFill="1" applyAlignment="1">
      <alignment horizontal="left"/>
    </xf>
    <xf numFmtId="0" fontId="0" fillId="0" borderId="0" xfId="0" applyAlignment="1">
      <alignment horizontal="center"/>
    </xf>
    <xf numFmtId="0" fontId="13" fillId="0" borderId="12" xfId="4" applyBorder="1" applyAlignment="1">
      <alignment horizontal="center" vertical="center"/>
    </xf>
    <xf numFmtId="0" fontId="13" fillId="0" borderId="13" xfId="4" applyBorder="1" applyAlignment="1">
      <alignment horizontal="center" vertical="center"/>
    </xf>
    <xf numFmtId="0" fontId="13" fillId="0" borderId="17" xfId="4" applyBorder="1" applyAlignment="1">
      <alignment horizontal="center" vertical="center"/>
    </xf>
    <xf numFmtId="0" fontId="13" fillId="0" borderId="11" xfId="4" applyBorder="1" applyAlignment="1">
      <alignment horizontal="center" vertical="center"/>
    </xf>
    <xf numFmtId="0" fontId="13" fillId="0" borderId="18" xfId="4" applyBorder="1" applyAlignment="1">
      <alignment horizontal="center" vertical="center"/>
    </xf>
    <xf numFmtId="0" fontId="0" fillId="0" borderId="5" xfId="0" applyBorder="1"/>
    <xf numFmtId="0" fontId="0" fillId="0" borderId="7" xfId="0" applyBorder="1"/>
    <xf numFmtId="0" fontId="0" fillId="0" borderId="6" xfId="0" applyBorder="1"/>
    <xf numFmtId="0" fontId="0" fillId="3" borderId="3" xfId="0" applyFill="1" applyBorder="1"/>
    <xf numFmtId="0" fontId="0" fillId="3" borderId="5" xfId="0" applyFill="1" applyBorder="1"/>
    <xf numFmtId="0" fontId="6" fillId="4" borderId="11" xfId="7" applyFont="1" applyFill="1" applyBorder="1" applyAlignment="1">
      <alignment horizontal="center"/>
    </xf>
    <xf numFmtId="0" fontId="16" fillId="3" borderId="17" xfId="0" applyFont="1" applyFill="1" applyBorder="1" applyAlignment="1">
      <alignment horizontal="center" vertical="center"/>
    </xf>
    <xf numFmtId="0" fontId="16" fillId="3" borderId="11" xfId="0" applyFont="1" applyFill="1" applyBorder="1" applyAlignment="1">
      <alignment horizontal="center" vertical="center"/>
    </xf>
    <xf numFmtId="0" fontId="16" fillId="7" borderId="9" xfId="0" applyFont="1" applyFill="1" applyBorder="1" applyAlignment="1">
      <alignment horizontal="center" vertical="center"/>
    </xf>
    <xf numFmtId="0" fontId="16" fillId="9" borderId="9" xfId="0" applyFont="1" applyFill="1" applyBorder="1" applyAlignment="1">
      <alignment horizontal="center" vertical="center"/>
    </xf>
    <xf numFmtId="0" fontId="16" fillId="8" borderId="9" xfId="0" applyFont="1" applyFill="1" applyBorder="1" applyAlignment="1">
      <alignment horizontal="center" vertical="center"/>
    </xf>
    <xf numFmtId="0" fontId="16" fillId="9" borderId="19" xfId="0" applyFont="1" applyFill="1" applyBorder="1" applyAlignment="1">
      <alignment horizontal="center" vertical="center"/>
    </xf>
    <xf numFmtId="0" fontId="2" fillId="0" borderId="12" xfId="2" applyBorder="1" applyAlignment="1">
      <alignment horizontal="center" vertical="top"/>
    </xf>
    <xf numFmtId="0" fontId="2" fillId="0" borderId="13" xfId="2" applyBorder="1" applyAlignment="1">
      <alignment horizontal="center" vertical="top"/>
    </xf>
    <xf numFmtId="0" fontId="3" fillId="5" borderId="14" xfId="2" applyFont="1" applyFill="1" applyBorder="1" applyAlignment="1">
      <alignment horizontal="center" vertical="top"/>
    </xf>
    <xf numFmtId="0" fontId="3" fillId="5" borderId="15" xfId="2" applyFont="1" applyFill="1" applyBorder="1" applyAlignment="1">
      <alignment horizontal="center" vertical="top"/>
    </xf>
    <xf numFmtId="0" fontId="3" fillId="5" borderId="16" xfId="2" applyFont="1" applyFill="1" applyBorder="1" applyAlignment="1">
      <alignment horizontal="center" vertical="top"/>
    </xf>
    <xf numFmtId="0" fontId="2" fillId="0" borderId="17" xfId="2" applyBorder="1" applyAlignment="1">
      <alignment horizontal="center" vertical="top"/>
    </xf>
    <xf numFmtId="0" fontId="2" fillId="0" borderId="11" xfId="2" applyBorder="1" applyAlignment="1">
      <alignment horizontal="center" vertical="top"/>
    </xf>
    <xf numFmtId="0" fontId="2" fillId="0" borderId="18" xfId="2" applyBorder="1" applyAlignment="1">
      <alignment horizontal="center" vertical="top"/>
    </xf>
    <xf numFmtId="0" fontId="12" fillId="6" borderId="14" xfId="2" applyFont="1" applyFill="1" applyBorder="1" applyAlignment="1">
      <alignment horizontal="center" vertical="top"/>
    </xf>
    <xf numFmtId="0" fontId="12" fillId="6" borderId="15" xfId="2" applyFont="1" applyFill="1" applyBorder="1" applyAlignment="1">
      <alignment horizontal="center" vertical="top"/>
    </xf>
    <xf numFmtId="0" fontId="12" fillId="6" borderId="16" xfId="2" applyFont="1" applyFill="1" applyBorder="1" applyAlignment="1">
      <alignment horizontal="center" vertical="top"/>
    </xf>
    <xf numFmtId="0" fontId="6" fillId="4" borderId="12" xfId="7" applyFont="1" applyFill="1" applyBorder="1" applyAlignment="1">
      <alignment horizontal="center" vertical="center"/>
    </xf>
    <xf numFmtId="0" fontId="6" fillId="4" borderId="12" xfId="7" applyFont="1" applyFill="1" applyBorder="1" applyAlignment="1">
      <alignment horizontal="center"/>
    </xf>
    <xf numFmtId="0" fontId="6" fillId="4" borderId="12" xfId="6" applyFont="1" applyFill="1" applyBorder="1" applyAlignment="1">
      <alignment horizontal="center"/>
    </xf>
    <xf numFmtId="0" fontId="6" fillId="4" borderId="12" xfId="7" applyFont="1" applyFill="1" applyBorder="1" applyAlignment="1">
      <alignment horizontal="center" vertical="top"/>
    </xf>
    <xf numFmtId="0" fontId="6" fillId="4" borderId="12" xfId="5" applyFont="1" applyFill="1" applyBorder="1" applyAlignment="1">
      <alignment horizontal="center" vertical="center"/>
    </xf>
    <xf numFmtId="0" fontId="6" fillId="4" borderId="13" xfId="7" applyFont="1" applyFill="1" applyBorder="1" applyAlignment="1">
      <alignment horizontal="center" vertical="center"/>
    </xf>
    <xf numFmtId="0" fontId="6" fillId="4" borderId="17" xfId="7" applyFont="1" applyFill="1" applyBorder="1" applyAlignment="1">
      <alignment horizontal="center"/>
    </xf>
    <xf numFmtId="0" fontId="6" fillId="4" borderId="11" xfId="1" applyFont="1" applyFill="1" applyBorder="1" applyAlignment="1">
      <alignment horizontal="center" vertical="center"/>
    </xf>
    <xf numFmtId="0" fontId="6" fillId="4" borderId="13" xfId="7" applyFont="1" applyFill="1" applyBorder="1" applyAlignment="1">
      <alignment horizontal="center"/>
    </xf>
    <xf numFmtId="0" fontId="6" fillId="4" borderId="1" xfId="7" applyFont="1" applyFill="1" applyBorder="1" applyAlignment="1">
      <alignment horizontal="center" vertical="center" wrapText="1"/>
    </xf>
    <xf numFmtId="0" fontId="6" fillId="4" borderId="1" xfId="3" applyFont="1" applyFill="1" applyBorder="1" applyAlignment="1" applyProtection="1">
      <alignment horizontal="center"/>
      <protection hidden="1"/>
    </xf>
    <xf numFmtId="0" fontId="6" fillId="4" borderId="1" xfId="7" applyFont="1" applyFill="1" applyBorder="1" applyAlignment="1" applyProtection="1">
      <alignment horizontal="center"/>
      <protection locked="0"/>
    </xf>
    <xf numFmtId="0" fontId="6" fillId="4" borderId="1" xfId="5" applyFont="1" applyFill="1" applyBorder="1" applyAlignment="1">
      <alignment horizontal="center"/>
    </xf>
    <xf numFmtId="0" fontId="6" fillId="4" borderId="10" xfId="7" applyFont="1" applyFill="1" applyBorder="1" applyAlignment="1">
      <alignment horizontal="center" vertical="center" wrapText="1"/>
    </xf>
    <xf numFmtId="0" fontId="6" fillId="4" borderId="1" xfId="3" quotePrefix="1" applyFont="1" applyFill="1" applyBorder="1" applyAlignment="1" applyProtection="1">
      <alignment horizontal="center"/>
      <protection hidden="1"/>
    </xf>
    <xf numFmtId="0" fontId="6" fillId="4" borderId="1" xfId="3" applyFont="1" applyFill="1" applyBorder="1" applyAlignment="1">
      <alignment horizontal="center"/>
    </xf>
    <xf numFmtId="0" fontId="6" fillId="4" borderId="1" xfId="8" applyFont="1" applyFill="1" applyBorder="1" applyAlignment="1">
      <alignment horizontal="center" vertical="center" wrapText="1"/>
    </xf>
    <xf numFmtId="0" fontId="6" fillId="4" borderId="18" xfId="7" applyFont="1" applyFill="1" applyBorder="1" applyAlignment="1">
      <alignment horizontal="center"/>
    </xf>
    <xf numFmtId="0" fontId="18" fillId="13" borderId="14" xfId="4" applyFont="1" applyFill="1" applyBorder="1" applyAlignment="1">
      <alignment horizontal="center" vertical="center"/>
    </xf>
    <xf numFmtId="0" fontId="18" fillId="13" borderId="15" xfId="4" applyFont="1" applyFill="1" applyBorder="1" applyAlignment="1">
      <alignment horizontal="center" vertical="center"/>
    </xf>
    <xf numFmtId="0" fontId="18" fillId="13" borderId="16" xfId="4" applyFont="1" applyFill="1" applyBorder="1" applyAlignment="1">
      <alignment horizontal="center" vertical="center"/>
    </xf>
    <xf numFmtId="0" fontId="17" fillId="14" borderId="12" xfId="0" applyFont="1" applyFill="1" applyBorder="1" applyAlignment="1">
      <alignment horizontal="center" vertical="center"/>
    </xf>
    <xf numFmtId="0" fontId="17" fillId="14" borderId="1" xfId="0" applyFont="1" applyFill="1" applyBorder="1" applyAlignment="1">
      <alignment horizontal="center" vertical="center"/>
    </xf>
    <xf numFmtId="0" fontId="17" fillId="14" borderId="17" xfId="0" applyFont="1" applyFill="1" applyBorder="1" applyAlignment="1">
      <alignment horizontal="center" vertical="center"/>
    </xf>
    <xf numFmtId="0" fontId="17" fillId="14" borderId="11" xfId="0" applyFont="1" applyFill="1" applyBorder="1" applyAlignment="1">
      <alignment horizontal="center" vertical="center"/>
    </xf>
    <xf numFmtId="0" fontId="17" fillId="15" borderId="1" xfId="0" applyFont="1" applyFill="1" applyBorder="1" applyAlignment="1">
      <alignment horizontal="center"/>
    </xf>
    <xf numFmtId="0" fontId="17" fillId="15" borderId="11" xfId="0" applyFont="1" applyFill="1" applyBorder="1" applyAlignment="1">
      <alignment horizontal="center"/>
    </xf>
    <xf numFmtId="0" fontId="17" fillId="12" borderId="1" xfId="0" applyFont="1" applyFill="1" applyBorder="1" applyAlignment="1">
      <alignment horizontal="center"/>
    </xf>
    <xf numFmtId="0" fontId="17" fillId="12" borderId="11" xfId="0" applyFont="1" applyFill="1" applyBorder="1" applyAlignment="1">
      <alignment horizontal="center"/>
    </xf>
    <xf numFmtId="0" fontId="17" fillId="16" borderId="1" xfId="0" applyFont="1" applyFill="1" applyBorder="1" applyAlignment="1">
      <alignment horizontal="center"/>
    </xf>
    <xf numFmtId="0" fontId="17" fillId="16" borderId="11" xfId="0" applyFont="1" applyFill="1" applyBorder="1" applyAlignment="1">
      <alignment horizontal="center"/>
    </xf>
    <xf numFmtId="0" fontId="17" fillId="17" borderId="13" xfId="0" applyFont="1" applyFill="1" applyBorder="1"/>
    <xf numFmtId="0" fontId="17" fillId="17" borderId="1" xfId="0" applyFont="1" applyFill="1" applyBorder="1" applyAlignment="1">
      <alignment horizontal="center"/>
    </xf>
    <xf numFmtId="0" fontId="17" fillId="17" borderId="18" xfId="0" applyFont="1" applyFill="1" applyBorder="1"/>
    <xf numFmtId="0" fontId="17" fillId="17" borderId="11" xfId="0" applyFont="1" applyFill="1" applyBorder="1" applyAlignment="1">
      <alignment horizontal="center"/>
    </xf>
    <xf numFmtId="0" fontId="6" fillId="17" borderId="1" xfId="7" applyFont="1" applyFill="1" applyBorder="1" applyAlignment="1">
      <alignment horizontal="center"/>
    </xf>
    <xf numFmtId="0" fontId="6" fillId="17" borderId="11" xfId="7" applyFont="1" applyFill="1" applyBorder="1" applyAlignment="1">
      <alignment horizontal="center"/>
    </xf>
    <xf numFmtId="0" fontId="17" fillId="17" borderId="15" xfId="0" applyFont="1" applyFill="1" applyBorder="1" applyAlignment="1">
      <alignment horizontal="center"/>
    </xf>
    <xf numFmtId="0" fontId="16" fillId="18" borderId="9" xfId="0" applyFont="1" applyFill="1" applyBorder="1" applyAlignment="1">
      <alignment horizontal="center" vertical="center"/>
    </xf>
    <xf numFmtId="0" fontId="5" fillId="16" borderId="0" xfId="7" applyFont="1" applyFill="1" applyAlignment="1">
      <alignment horizontal="left"/>
    </xf>
    <xf numFmtId="0" fontId="6" fillId="16" borderId="0" xfId="7" applyFont="1" applyFill="1" applyAlignment="1">
      <alignment horizontal="center"/>
    </xf>
    <xf numFmtId="0" fontId="6" fillId="16" borderId="0" xfId="7" applyFont="1" applyFill="1"/>
    <xf numFmtId="0" fontId="7" fillId="16" borderId="1" xfId="7" applyFont="1" applyFill="1" applyBorder="1"/>
    <xf numFmtId="0" fontId="7" fillId="16" borderId="0" xfId="7" applyFont="1" applyFill="1"/>
    <xf numFmtId="0" fontId="6" fillId="16" borderId="14" xfId="7" applyFont="1" applyFill="1" applyBorder="1" applyAlignment="1">
      <alignment horizontal="center" vertical="center" wrapText="1"/>
    </xf>
    <xf numFmtId="0" fontId="6" fillId="16" borderId="15" xfId="7" applyFont="1" applyFill="1" applyBorder="1" applyAlignment="1">
      <alignment horizontal="center" vertical="center" wrapText="1"/>
    </xf>
    <xf numFmtId="0" fontId="6" fillId="16" borderId="15" xfId="7" applyFont="1" applyFill="1" applyBorder="1" applyAlignment="1">
      <alignment horizontal="center" vertical="center"/>
    </xf>
    <xf numFmtId="0" fontId="6" fillId="16" borderId="15" xfId="7" applyFont="1" applyFill="1" applyBorder="1" applyAlignment="1">
      <alignment horizontal="center" vertical="center" textRotation="90" wrapText="1"/>
    </xf>
    <xf numFmtId="0" fontId="8" fillId="16" borderId="15" xfId="7" applyFont="1" applyFill="1" applyBorder="1" applyAlignment="1">
      <alignment horizontal="center" vertical="center" wrapText="1"/>
    </xf>
    <xf numFmtId="0" fontId="6" fillId="16" borderId="16" xfId="7" applyFont="1" applyFill="1" applyBorder="1" applyAlignment="1">
      <alignment horizontal="center" vertical="center" wrapText="1"/>
    </xf>
  </cellXfs>
  <cellStyles count="9">
    <cellStyle name="40% - Énfasis4" xfId="6" builtinId="43"/>
    <cellStyle name="Cálculo" xfId="1" builtinId="22"/>
    <cellStyle name="Entrada" xfId="5" builtinId="20"/>
    <cellStyle name="Hipervínculo 2" xfId="8" xr:uid="{C75B5BC3-F8E9-41BD-AC0E-E4F4DD4490FF}"/>
    <cellStyle name="Normal" xfId="0" builtinId="0"/>
    <cellStyle name="Normal 2" xfId="2" xr:uid="{2D274AC5-3A56-41F9-B7FF-F389B46D6E1A}"/>
    <cellStyle name="Normal 3" xfId="4" xr:uid="{01F6844A-3FAB-446C-953F-0B7C2014D6DA}"/>
    <cellStyle name="Normal 4" xfId="3" xr:uid="{461D7335-DFB4-494C-AA36-0DAB78A24112}"/>
    <cellStyle name="Normal 5" xfId="7" xr:uid="{8295EDE6-55F5-494C-A650-E9C0E860FF38}"/>
  </cellStyles>
  <dxfs count="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theme="0"/>
        </patternFill>
      </fill>
      <alignment horizontal="center" indent="0" justifyLastLine="0" shrinkToFit="0" readingOrder="0"/>
    </dxf>
    <dxf>
      <border outline="0">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rgb="FFFFFFCC"/>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000000"/>
        <name val="Calibri"/>
        <family val="2"/>
        <scheme val="none"/>
      </font>
      <fill>
        <patternFill patternType="solid">
          <fgColor indexed="64"/>
          <bgColor rgb="FF3399FF"/>
        </patternFill>
      </fill>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000000"/>
        <name val="Calibri"/>
        <scheme val="none"/>
      </font>
      <fill>
        <patternFill patternType="solid">
          <fgColor indexed="64"/>
          <bgColor rgb="FF00FF00"/>
        </patternFill>
      </fill>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color auto="1"/>
        <family val="2"/>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color auto="1"/>
      </font>
      <border diagonalUp="0" diagonalDown="0" outline="0">
        <left style="thin">
          <color indexed="64"/>
        </left>
        <right/>
        <top style="thin">
          <color indexed="64"/>
        </top>
        <bottom style="thin">
          <color indexed="64"/>
        </bottom>
      </border>
    </dxf>
    <dxf>
      <font>
        <strike val="0"/>
        <outline val="0"/>
        <shadow val="0"/>
        <u val="none"/>
        <vertAlign val="baseline"/>
        <color auto="1"/>
      </font>
      <fill>
        <patternFill patternType="solid">
          <fgColor indexed="64"/>
          <bgColor rgb="FFFFFFCC"/>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FFFFCC"/>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FFFFCC"/>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FFFFCC"/>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FFFFCC"/>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solid">
          <fgColor indexed="64"/>
          <bgColor rgb="FFFFCC99"/>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solid">
          <fgColor indexed="64"/>
          <bgColor rgb="FFCCFFFF"/>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strike val="0"/>
        <outline val="0"/>
        <shadow val="0"/>
        <u val="none"/>
        <vertAlign val="baseline"/>
        <color auto="1"/>
        <family val="2"/>
      </font>
      <alignment horizontal="center" vertical="bottom" textRotation="0" wrapText="0" indent="0" justifyLastLine="0" shrinkToFit="0" readingOrder="0"/>
    </dxf>
    <dxf>
      <font>
        <b/>
        <i val="0"/>
        <strike val="0"/>
        <condense val="0"/>
        <extend val="0"/>
        <outline val="0"/>
        <shadow val="0"/>
        <u val="none"/>
        <vertAlign val="baseline"/>
        <sz val="12"/>
        <color auto="1"/>
        <name val="Calibri"/>
        <family val="2"/>
        <scheme val="none"/>
      </font>
      <fill>
        <patternFill patternType="solid">
          <fgColor indexed="64"/>
          <bgColor rgb="FFFFFF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bgColor rgb="FF66FFFF"/>
        </patternFill>
      </fill>
    </dxf>
    <dxf>
      <fill>
        <patternFill patternType="solid">
          <bgColor rgb="FF66FFFF"/>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Calibri"/>
        <family val="2"/>
        <scheme val="none"/>
      </font>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colors>
    <mruColors>
      <color rgb="FFFFFFCC"/>
      <color rgb="FFCCFF99"/>
      <color rgb="FFA4E43C"/>
      <color rgb="FFFFCC99"/>
      <color rgb="FFFFCCCC"/>
      <color rgb="FF99FF99"/>
      <color rgb="FFFF9999"/>
      <color rgb="FFFFCCFF"/>
      <color rgb="FFCCFF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[Creación de BD - Jean Guillén.xlsx]TABLA_GRÁFICA_DINÁMICO!TablaDinámica1</c:name>
    <c:fmtId val="0"/>
  </c:pivotSource>
  <c:chart>
    <c:title>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s-MX"/>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TABLA_GRÁFICA_DINÁMICO!$B$1</c:f>
              <c:strCache>
                <c:ptCount val="1"/>
                <c:pt idx="0">
                  <c:v>Total</c:v>
                </c:pt>
              </c:strCache>
            </c:strRef>
          </c:tx>
          <c:spPr>
            <a:noFill/>
            <a:ln w="25400" cap="flat" cmpd="sng" algn="ctr">
              <a:solidFill>
                <a:schemeClr val="accent1"/>
              </a:solidFill>
              <a:miter lim="800000"/>
            </a:ln>
            <a:effectLst/>
          </c:spPr>
          <c:invertIfNegative val="0"/>
          <c:cat>
            <c:strRef>
              <c:f>TABLA_GRÁFICA_DINÁMICO!$A$2:$A$79</c:f>
              <c:strCache>
                <c:ptCount val="77"/>
                <c:pt idx="0">
                  <c:v>Aguadulce</c:v>
                </c:pt>
                <c:pt idx="1">
                  <c:v>Alanje</c:v>
                </c:pt>
                <c:pt idx="2">
                  <c:v>Almirante</c:v>
                </c:pt>
                <c:pt idx="3">
                  <c:v>Antón</c:v>
                </c:pt>
                <c:pt idx="4">
                  <c:v>Arraiján</c:v>
                </c:pt>
                <c:pt idx="5">
                  <c:v>Atalaya</c:v>
                </c:pt>
                <c:pt idx="6">
                  <c:v>Barú</c:v>
                </c:pt>
                <c:pt idx="7">
                  <c:v>Besikó</c:v>
                </c:pt>
                <c:pt idx="8">
                  <c:v>Bocas del Toro</c:v>
                </c:pt>
                <c:pt idx="9">
                  <c:v>Boquerón</c:v>
                </c:pt>
                <c:pt idx="10">
                  <c:v>Boquete</c:v>
                </c:pt>
                <c:pt idx="11">
                  <c:v>Bugaba</c:v>
                </c:pt>
                <c:pt idx="12">
                  <c:v>Calobre</c:v>
                </c:pt>
                <c:pt idx="13">
                  <c:v>Cañazas</c:v>
                </c:pt>
                <c:pt idx="14">
                  <c:v>Capira</c:v>
                </c:pt>
                <c:pt idx="15">
                  <c:v>Cémaco</c:v>
                </c:pt>
                <c:pt idx="16">
                  <c:v>Chagres</c:v>
                </c:pt>
                <c:pt idx="17">
                  <c:v>Chame</c:v>
                </c:pt>
                <c:pt idx="18">
                  <c:v>Changuinola</c:v>
                </c:pt>
                <c:pt idx="19">
                  <c:v>Chepigana</c:v>
                </c:pt>
                <c:pt idx="20">
                  <c:v>Chepo</c:v>
                </c:pt>
                <c:pt idx="21">
                  <c:v>Chiriquí Grande</c:v>
                </c:pt>
                <c:pt idx="22">
                  <c:v>Chitré</c:v>
                </c:pt>
                <c:pt idx="23">
                  <c:v>Colón</c:v>
                </c:pt>
                <c:pt idx="24">
                  <c:v>Comarca Guna Yala</c:v>
                </c:pt>
                <c:pt idx="25">
                  <c:v>David</c:v>
                </c:pt>
                <c:pt idx="26">
                  <c:v>Dolega</c:v>
                </c:pt>
                <c:pt idx="27">
                  <c:v>Donoso</c:v>
                </c:pt>
                <c:pt idx="28">
                  <c:v>Gualaca</c:v>
                </c:pt>
                <c:pt idx="29">
                  <c:v>Guararé</c:v>
                </c:pt>
                <c:pt idx="30">
                  <c:v>Jirondai</c:v>
                </c:pt>
                <c:pt idx="31">
                  <c:v>Kankintú</c:v>
                </c:pt>
                <c:pt idx="32">
                  <c:v>Kusapín</c:v>
                </c:pt>
                <c:pt idx="33">
                  <c:v>La Chorrera</c:v>
                </c:pt>
                <c:pt idx="34">
                  <c:v>La Mesa</c:v>
                </c:pt>
                <c:pt idx="35">
                  <c:v>La Pintada</c:v>
                </c:pt>
                <c:pt idx="36">
                  <c:v>Las Minas</c:v>
                </c:pt>
                <c:pt idx="37">
                  <c:v>Las Palmas</c:v>
                </c:pt>
                <c:pt idx="38">
                  <c:v>Las Tablas</c:v>
                </c:pt>
                <c:pt idx="39">
                  <c:v>Los Pozos</c:v>
                </c:pt>
                <c:pt idx="40">
                  <c:v>Los Santos</c:v>
                </c:pt>
                <c:pt idx="41">
                  <c:v>Macaracas</c:v>
                </c:pt>
                <c:pt idx="42">
                  <c:v>Mariato</c:v>
                </c:pt>
                <c:pt idx="43">
                  <c:v>Mironó</c:v>
                </c:pt>
                <c:pt idx="44">
                  <c:v>Montijo</c:v>
                </c:pt>
                <c:pt idx="45">
                  <c:v>Müna</c:v>
                </c:pt>
                <c:pt idx="46">
                  <c:v>Natá</c:v>
                </c:pt>
                <c:pt idx="47">
                  <c:v>Nole Düima</c:v>
                </c:pt>
                <c:pt idx="48">
                  <c:v>Ñürüm</c:v>
                </c:pt>
                <c:pt idx="49">
                  <c:v>Ocú</c:v>
                </c:pt>
                <c:pt idx="50">
                  <c:v>Olá</c:v>
                </c:pt>
                <c:pt idx="51">
                  <c:v>Panamá</c:v>
                </c:pt>
                <c:pt idx="52">
                  <c:v>Parita</c:v>
                </c:pt>
                <c:pt idx="53">
                  <c:v>Pedasí</c:v>
                </c:pt>
                <c:pt idx="54">
                  <c:v>Penonomé</c:v>
                </c:pt>
                <c:pt idx="55">
                  <c:v>Pesé</c:v>
                </c:pt>
                <c:pt idx="56">
                  <c:v>Pinogana</c:v>
                </c:pt>
                <c:pt idx="57">
                  <c:v>Pocrí</c:v>
                </c:pt>
                <c:pt idx="58">
                  <c:v>Portobelo</c:v>
                </c:pt>
                <c:pt idx="59">
                  <c:v>Remedios</c:v>
                </c:pt>
                <c:pt idx="60">
                  <c:v>Renacimiento</c:v>
                </c:pt>
                <c:pt idx="61">
                  <c:v>Rio de Jesús</c:v>
                </c:pt>
                <c:pt idx="62">
                  <c:v>San Carlos</c:v>
                </c:pt>
                <c:pt idx="63">
                  <c:v>San Félix</c:v>
                </c:pt>
                <c:pt idx="64">
                  <c:v>San Francisco</c:v>
                </c:pt>
                <c:pt idx="65">
                  <c:v>San Lorenzo</c:v>
                </c:pt>
                <c:pt idx="66">
                  <c:v>San Miguelito</c:v>
                </c:pt>
                <c:pt idx="67">
                  <c:v>Santa Catalina o Calovébora</c:v>
                </c:pt>
                <c:pt idx="68">
                  <c:v>Santa Fe</c:v>
                </c:pt>
                <c:pt idx="69">
                  <c:v>Santa Isabel</c:v>
                </c:pt>
                <c:pt idx="70">
                  <c:v>Santa María</c:v>
                </c:pt>
                <c:pt idx="71">
                  <c:v>Santiago</c:v>
                </c:pt>
                <c:pt idx="72">
                  <c:v>Soná</c:v>
                </c:pt>
                <c:pt idx="73">
                  <c:v>Taboga</c:v>
                </c:pt>
                <c:pt idx="74">
                  <c:v>Tierras Altas</c:v>
                </c:pt>
                <c:pt idx="75">
                  <c:v>Tolé</c:v>
                </c:pt>
                <c:pt idx="76">
                  <c:v>Tonosí</c:v>
                </c:pt>
              </c:strCache>
            </c:strRef>
          </c:cat>
          <c:val>
            <c:numRef>
              <c:f>TABLA_GRÁFICA_DINÁMICO!$B$2:$B$79</c:f>
              <c:numCache>
                <c:formatCode>General</c:formatCode>
                <c:ptCount val="77"/>
                <c:pt idx="0">
                  <c:v>30</c:v>
                </c:pt>
                <c:pt idx="1">
                  <c:v>7</c:v>
                </c:pt>
                <c:pt idx="2">
                  <c:v>6</c:v>
                </c:pt>
                <c:pt idx="3">
                  <c:v>26</c:v>
                </c:pt>
                <c:pt idx="4">
                  <c:v>43</c:v>
                </c:pt>
                <c:pt idx="5">
                  <c:v>3</c:v>
                </c:pt>
                <c:pt idx="6">
                  <c:v>38</c:v>
                </c:pt>
                <c:pt idx="7">
                  <c:v>1</c:v>
                </c:pt>
                <c:pt idx="8">
                  <c:v>6</c:v>
                </c:pt>
                <c:pt idx="9">
                  <c:v>8</c:v>
                </c:pt>
                <c:pt idx="10">
                  <c:v>7</c:v>
                </c:pt>
                <c:pt idx="11">
                  <c:v>45</c:v>
                </c:pt>
                <c:pt idx="12">
                  <c:v>2</c:v>
                </c:pt>
                <c:pt idx="13">
                  <c:v>1</c:v>
                </c:pt>
                <c:pt idx="14">
                  <c:v>14</c:v>
                </c:pt>
                <c:pt idx="15">
                  <c:v>2</c:v>
                </c:pt>
                <c:pt idx="16">
                  <c:v>3</c:v>
                </c:pt>
                <c:pt idx="17">
                  <c:v>13</c:v>
                </c:pt>
                <c:pt idx="18">
                  <c:v>35</c:v>
                </c:pt>
                <c:pt idx="19">
                  <c:v>22</c:v>
                </c:pt>
                <c:pt idx="20">
                  <c:v>38</c:v>
                </c:pt>
                <c:pt idx="21">
                  <c:v>7</c:v>
                </c:pt>
                <c:pt idx="22">
                  <c:v>33</c:v>
                </c:pt>
                <c:pt idx="23">
                  <c:v>57</c:v>
                </c:pt>
                <c:pt idx="24">
                  <c:v>7</c:v>
                </c:pt>
                <c:pt idx="25">
                  <c:v>58</c:v>
                </c:pt>
                <c:pt idx="26">
                  <c:v>17</c:v>
                </c:pt>
                <c:pt idx="27">
                  <c:v>3</c:v>
                </c:pt>
                <c:pt idx="28">
                  <c:v>5</c:v>
                </c:pt>
                <c:pt idx="29">
                  <c:v>11</c:v>
                </c:pt>
                <c:pt idx="30">
                  <c:v>1</c:v>
                </c:pt>
                <c:pt idx="31">
                  <c:v>1</c:v>
                </c:pt>
                <c:pt idx="32">
                  <c:v>3</c:v>
                </c:pt>
                <c:pt idx="33">
                  <c:v>27</c:v>
                </c:pt>
                <c:pt idx="34">
                  <c:v>8</c:v>
                </c:pt>
                <c:pt idx="35">
                  <c:v>23</c:v>
                </c:pt>
                <c:pt idx="36">
                  <c:v>2</c:v>
                </c:pt>
                <c:pt idx="37">
                  <c:v>4</c:v>
                </c:pt>
                <c:pt idx="38">
                  <c:v>21</c:v>
                </c:pt>
                <c:pt idx="39">
                  <c:v>4</c:v>
                </c:pt>
                <c:pt idx="40">
                  <c:v>16</c:v>
                </c:pt>
                <c:pt idx="41">
                  <c:v>4</c:v>
                </c:pt>
                <c:pt idx="42">
                  <c:v>4</c:v>
                </c:pt>
                <c:pt idx="43">
                  <c:v>1</c:v>
                </c:pt>
                <c:pt idx="44">
                  <c:v>3</c:v>
                </c:pt>
                <c:pt idx="45">
                  <c:v>8</c:v>
                </c:pt>
                <c:pt idx="46">
                  <c:v>12</c:v>
                </c:pt>
                <c:pt idx="47">
                  <c:v>4</c:v>
                </c:pt>
                <c:pt idx="48">
                  <c:v>4</c:v>
                </c:pt>
                <c:pt idx="49">
                  <c:v>11</c:v>
                </c:pt>
                <c:pt idx="50">
                  <c:v>4</c:v>
                </c:pt>
                <c:pt idx="51">
                  <c:v>276</c:v>
                </c:pt>
                <c:pt idx="52">
                  <c:v>3</c:v>
                </c:pt>
                <c:pt idx="53">
                  <c:v>11</c:v>
                </c:pt>
                <c:pt idx="54">
                  <c:v>65</c:v>
                </c:pt>
                <c:pt idx="55">
                  <c:v>7</c:v>
                </c:pt>
                <c:pt idx="56">
                  <c:v>14</c:v>
                </c:pt>
                <c:pt idx="57">
                  <c:v>5</c:v>
                </c:pt>
                <c:pt idx="58">
                  <c:v>4</c:v>
                </c:pt>
                <c:pt idx="59">
                  <c:v>4</c:v>
                </c:pt>
                <c:pt idx="60">
                  <c:v>20</c:v>
                </c:pt>
                <c:pt idx="61">
                  <c:v>3</c:v>
                </c:pt>
                <c:pt idx="62">
                  <c:v>8</c:v>
                </c:pt>
                <c:pt idx="63">
                  <c:v>6</c:v>
                </c:pt>
                <c:pt idx="64">
                  <c:v>4</c:v>
                </c:pt>
                <c:pt idx="65">
                  <c:v>7</c:v>
                </c:pt>
                <c:pt idx="66">
                  <c:v>63</c:v>
                </c:pt>
                <c:pt idx="67">
                  <c:v>2</c:v>
                </c:pt>
                <c:pt idx="68">
                  <c:v>5</c:v>
                </c:pt>
                <c:pt idx="69">
                  <c:v>3</c:v>
                </c:pt>
                <c:pt idx="70">
                  <c:v>5</c:v>
                </c:pt>
                <c:pt idx="71">
                  <c:v>51</c:v>
                </c:pt>
                <c:pt idx="72">
                  <c:v>23</c:v>
                </c:pt>
                <c:pt idx="73">
                  <c:v>2</c:v>
                </c:pt>
                <c:pt idx="74">
                  <c:v>9</c:v>
                </c:pt>
                <c:pt idx="75">
                  <c:v>5</c:v>
                </c:pt>
                <c:pt idx="76">
                  <c:v>3</c:v>
                </c:pt>
              </c:numCache>
            </c:numRef>
          </c:val>
          <c:extLst>
            <c:ext xmlns:c16="http://schemas.microsoft.com/office/drawing/2014/chart" uri="{C3380CC4-5D6E-409C-BE32-E72D297353CC}">
              <c16:uniqueId val="{00000000-206D-474A-AE4D-B89AA7BA3C44}"/>
            </c:ext>
          </c:extLst>
        </c:ser>
        <c:dLbls>
          <c:showLegendKey val="0"/>
          <c:showVal val="0"/>
          <c:showCatName val="0"/>
          <c:showSerName val="0"/>
          <c:showPercent val="0"/>
          <c:showBubbleSize val="0"/>
        </c:dLbls>
        <c:gapWidth val="164"/>
        <c:overlap val="-35"/>
        <c:axId val="517890831"/>
        <c:axId val="517890351"/>
      </c:barChart>
      <c:catAx>
        <c:axId val="517890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MX"/>
          </a:p>
        </c:txPr>
        <c:crossAx val="517890351"/>
        <c:crosses val="autoZero"/>
        <c:auto val="1"/>
        <c:lblAlgn val="ctr"/>
        <c:lblOffset val="100"/>
        <c:noMultiLvlLbl val="0"/>
      </c:catAx>
      <c:valAx>
        <c:axId val="517890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MX"/>
          </a:p>
        </c:txPr>
        <c:crossAx val="51789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571500</xdr:colOff>
      <xdr:row>0</xdr:row>
      <xdr:rowOff>45720</xdr:rowOff>
    </xdr:from>
    <xdr:to>
      <xdr:col>11</xdr:col>
      <xdr:colOff>297180</xdr:colOff>
      <xdr:row>22</xdr:row>
      <xdr:rowOff>167640</xdr:rowOff>
    </xdr:to>
    <xdr:graphicFrame macro="">
      <xdr:nvGraphicFramePr>
        <xdr:cNvPr id="2" name="Gráfico 1">
          <a:extLst>
            <a:ext uri="{FF2B5EF4-FFF2-40B4-BE49-F238E27FC236}">
              <a16:creationId xmlns:a16="http://schemas.microsoft.com/office/drawing/2014/main" id="{33A10DB0-FA99-228B-8CFE-719FCDC3F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armen Forero" id="{391EE41B-9028-4196-87FF-2ABD7B6338D3}" userId="107088a84cdbb641" providerId="Windows Live"/>
  <person displayName="Carmen Forero de Ho" id="{E5F82D8E-654A-4613-B2C5-843B6139C4A3}" userId="S::carmen.forero@up.ac.pa::a73f0de2-7d00-4990-9198-9a7a4d7c06e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an" refreshedDate="45906.895847453707" createdVersion="8" refreshedVersion="8" minRefreshableVersion="3" recordCount="1321" xr:uid="{E20CE2EE-C61F-4009-977D-B073C6A331A5}">
  <cacheSource type="worksheet">
    <worksheetSource name="Tabla1"/>
  </cacheSource>
  <cacheFields count="10">
    <cacheField name="Región" numFmtId="0">
      <sharedItems containsSemiMixedTypes="0" containsString="0" containsNumber="1" containsInteger="1" minValue="1" maxValue="3"/>
    </cacheField>
    <cacheField name="PA" numFmtId="0">
      <sharedItems containsSemiMixedTypes="0" containsString="0" containsNumber="1" containsInteger="1" minValue="1" maxValue="1708"/>
    </cacheField>
    <cacheField name="Nombre" numFmtId="0">
      <sharedItems/>
    </cacheField>
    <cacheField name="Provincia" numFmtId="0">
      <sharedItems/>
    </cacheField>
    <cacheField name="Distrito" numFmtId="0">
      <sharedItems count="77">
        <s v="Bocas del Toro"/>
        <s v="Almirante"/>
        <s v="Changuinola"/>
        <s v="Chiriquí Grande"/>
        <s v="Alanje"/>
        <s v="Barú"/>
        <s v="Boquerón"/>
        <s v="Boquete"/>
        <s v="Bugaba"/>
        <s v="Tierras Altas"/>
        <s v="David"/>
        <s v="Dolega"/>
        <s v="Gualaca"/>
        <s v="Remedios"/>
        <s v="Renacimiento"/>
        <s v="San Félix"/>
        <s v="San Lorenzo"/>
        <s v="Tolé"/>
        <s v="Besikó"/>
        <s v="Kusapín"/>
        <s v="Mironó"/>
        <s v="Müna"/>
        <s v="Nole Düima"/>
        <s v="Ñürüm"/>
        <s v="Atalaya"/>
        <s v="Calobre"/>
        <s v="Cañazas"/>
        <s v="La Mesa"/>
        <s v="Las Palmas"/>
        <s v="Mariato"/>
        <s v="Montijo"/>
        <s v="San Francisco"/>
        <s v="Santiago"/>
        <s v="Soná"/>
        <s v="Colón"/>
        <s v="Portobelo"/>
        <s v="Cémaco"/>
        <s v="Comarca Guna Yala"/>
        <s v="Chepigana"/>
        <s v="Pinogana"/>
        <s v="Chepo"/>
        <s v="Panamá"/>
        <s v="San Miguelito"/>
        <s v="Taboga"/>
        <s v="Aguadulce"/>
        <s v="Antón"/>
        <s v="La Pintada"/>
        <s v="Natá"/>
        <s v="Penonomé"/>
        <s v="Chagres"/>
        <s v="Donoso"/>
        <s v="Chitré"/>
        <s v="Los Pozos"/>
        <s v="Ocú"/>
        <s v="Parita"/>
        <s v="Pesé"/>
        <s v="Santa María"/>
        <s v="Guararé"/>
        <s v="Las Tablas"/>
        <s v="Los Santos"/>
        <s v="Macaracas"/>
        <s v="Pedasí"/>
        <s v="Pocrí"/>
        <s v="Tonosí"/>
        <s v="Arraiján"/>
        <s v="Capira"/>
        <s v="Chame"/>
        <s v="La Chorrera"/>
        <s v="San Carlos"/>
        <s v="Rio de Jesús"/>
        <s v="Jirondai"/>
        <s v="Santa Catalina o Calovébora"/>
        <s v="Las Minas"/>
        <s v="Santa Isabel"/>
        <s v="Olá"/>
        <s v="Santa Fe"/>
        <s v="Kankintú"/>
      </sharedItems>
    </cacheField>
    <cacheField name="Corregimiento" numFmtId="0">
      <sharedItems containsBlank="1"/>
    </cacheField>
    <cacheField name="Tipo UM" numFmtId="0">
      <sharedItems containsBlank="1"/>
    </cacheField>
    <cacheField name="Latitud" numFmtId="0">
      <sharedItems containsString="0" containsBlank="1" containsNumber="1" minValue="7.3482180000000001" maxValue="9.580209"/>
    </cacheField>
    <cacheField name="Longitud" numFmtId="0">
      <sharedItems containsString="0" containsBlank="1" containsNumber="1" minValue="-82.950248999999999" maxValue="-77.354799"/>
    </cacheField>
    <cacheField name="Fecha de Activació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1">
  <r>
    <n v="1"/>
    <n v="1"/>
    <s v="Colegio Rogelio Josué Ibarra"/>
    <s v="Bocas del Toro"/>
    <x v="0"/>
    <s v="Bocas del Toro"/>
    <s v="FO"/>
    <n v="9.3406540000000007"/>
    <n v="-82.242498999999995"/>
    <s v="12/07/2017"/>
  </r>
  <r>
    <n v="1"/>
    <n v="3"/>
    <s v="Escuela República de Nicaragua"/>
    <s v="Bocas del Toro"/>
    <x v="0"/>
    <s v="Bocas del Toro"/>
    <s v="FO"/>
    <n v="9.3389380000000006"/>
    <n v="-82.242667999999995"/>
    <s v="12/07/2017"/>
  </r>
  <r>
    <n v="1"/>
    <n v="6"/>
    <s v="Col. Sec. de Almirante"/>
    <s v="Bocas del Toro"/>
    <x v="1"/>
    <s v="Puerto Almirante"/>
    <s v="FO"/>
    <n v="9.2997409999999991"/>
    <n v="-82.413301000000004"/>
    <s v="10/07/2017"/>
  </r>
  <r>
    <n v="1"/>
    <n v="7"/>
    <s v="Escuela Almirante"/>
    <s v="Bocas del Toro"/>
    <x v="1"/>
    <s v="Puerto Almirante"/>
    <s v="FO"/>
    <n v="9.2927149999999994"/>
    <n v="-82.394886999999997"/>
    <s v="28/06/2017"/>
  </r>
  <r>
    <n v="1"/>
    <n v="8"/>
    <s v="Escuela Barriada Guaymi"/>
    <s v="Bocas del Toro"/>
    <x v="1"/>
    <s v="Puerto Almirante"/>
    <s v="FO"/>
    <n v="9.2900740000000006"/>
    <n v="-82.404399999999995"/>
    <s v="30/06/2017"/>
  </r>
  <r>
    <n v="1"/>
    <n v="9"/>
    <s v="Escuela Berta López"/>
    <s v="Bocas del Toro"/>
    <x v="1"/>
    <s v="Puerto Almirante"/>
    <s v="FO"/>
    <n v="9.2950900000000001"/>
    <n v="-82.404894999999996"/>
    <s v="29/06/2017"/>
  </r>
  <r>
    <n v="1"/>
    <n v="10"/>
    <s v="Escuela Miraflores"/>
    <s v="Bocas del Toro"/>
    <x v="1"/>
    <s v="Puerto Almirante"/>
    <s v="FO"/>
    <n v="9.3055040000000009"/>
    <n v="-82.437320999999997"/>
    <s v="10/07/2017"/>
  </r>
  <r>
    <n v="1"/>
    <n v="11"/>
    <s v="Escuela Nuevo Paraíso"/>
    <s v="Bocas del Toro"/>
    <x v="1"/>
    <s v="Puerto Almirante"/>
    <s v="FO"/>
    <n v="9.2839460000000003"/>
    <n v="-82.410793999999996"/>
    <s v="29/06/2017"/>
  </r>
  <r>
    <n v="1"/>
    <n v="13"/>
    <s v="BDA"/>
    <s v="Bocas del Toro"/>
    <x v="2"/>
    <s v="Changuinola"/>
    <s v="FO"/>
    <n v="9.4372150000000001"/>
    <n v="-82.519311000000002"/>
    <s v="10/07/2017"/>
  </r>
  <r>
    <n v="1"/>
    <n v="17"/>
    <s v="Escuela Finca 41"/>
    <s v="Bocas del Toro"/>
    <x v="2"/>
    <s v="Changuinola"/>
    <s v="FO"/>
    <n v="9.4711029999999994"/>
    <n v="-82.513953999999998"/>
    <s v="27/06/2017"/>
  </r>
  <r>
    <n v="1"/>
    <n v="19"/>
    <s v="Hospital Changuinola"/>
    <s v="Bocas del Toro"/>
    <x v="2"/>
    <s v="Changuinola"/>
    <s v="FO"/>
    <n v="9.4490429999999996"/>
    <n v="-82.516495000000006"/>
    <s v="29/06/2017"/>
  </r>
  <r>
    <n v="1"/>
    <n v="20"/>
    <s v="Instituto Profesional y técnico de Bocas del Toro"/>
    <s v="Bocas del Toro"/>
    <x v="2"/>
    <s v="Changuinola"/>
    <s v="HFC"/>
    <n v="9.4714100000000006"/>
    <n v="-82.515739999999994"/>
    <s v="26/06/2017"/>
  </r>
  <r>
    <n v="1"/>
    <n v="21"/>
    <s v="Palacio Municipal Changuinola"/>
    <s v="Bocas del Toro"/>
    <x v="2"/>
    <s v="Changuinola"/>
    <s v="FO"/>
    <n v="9.4545820000000003"/>
    <n v="-82.516881999999995"/>
    <s v="26/06/2017"/>
  </r>
  <r>
    <n v="1"/>
    <n v="22"/>
    <s v="Parque de la escuela de changuinola"/>
    <s v="Bocas del Toro"/>
    <x v="2"/>
    <s v="Changuinola"/>
    <s v="FO"/>
    <n v="9.4560519999999997"/>
    <n v="-82.514567"/>
    <s v="11/07/2017"/>
  </r>
  <r>
    <n v="1"/>
    <n v="24"/>
    <s v="Policia de la Niñez y Adolescencia"/>
    <s v="Bocas del Toro"/>
    <x v="2"/>
    <s v="Changuinola"/>
    <s v="FO"/>
    <n v="9.4776340000000001"/>
    <n v="-82.508425000000003"/>
    <s v="27/06/2017"/>
  </r>
  <r>
    <n v="1"/>
    <n v="26"/>
    <s v="Terminal de Transporte Sincotavecop"/>
    <s v="Bocas del Toro"/>
    <x v="2"/>
    <s v="Changuinola"/>
    <s v="FO"/>
    <n v="9.4498580000000008"/>
    <n v="-82.518679000000006"/>
    <s v="29/06/2017"/>
  </r>
  <r>
    <n v="1"/>
    <n v="27"/>
    <s v="C.E.B.G. Finca 32"/>
    <s v="Bocas del Toro"/>
    <x v="2"/>
    <s v="Changuinola"/>
    <s v="HFC"/>
    <n v="9.4270239999999994"/>
    <n v="-82.555803999999995"/>
    <s v="27/06/2017"/>
  </r>
  <r>
    <n v="1"/>
    <n v="28"/>
    <s v="C.E.B.G. FINCA 62"/>
    <s v="Bocas del Toro"/>
    <x v="2"/>
    <s v="Changuinola"/>
    <s v="FO"/>
    <n v="9.4372679999999995"/>
    <n v="-82.497184000000004"/>
    <s v="26/06/2017"/>
  </r>
  <r>
    <n v="1"/>
    <n v="29"/>
    <s v="Escuela Finca 43"/>
    <s v="Bocas del Toro"/>
    <x v="2"/>
    <s v="Changuinola"/>
    <s v="FO"/>
    <n v="9.474736"/>
    <n v="-82.499968999999993"/>
    <s v="26/06/2017"/>
  </r>
  <r>
    <n v="1"/>
    <n v="30"/>
    <s v="Escuela Finca 44"/>
    <s v="Bocas del Toro"/>
    <x v="2"/>
    <s v="Changuinola"/>
    <s v="FO"/>
    <n v="9.474577"/>
    <n v="-82.482877999999999"/>
    <s v="26/06/2017"/>
  </r>
  <r>
    <n v="1"/>
    <n v="31"/>
    <s v="Escuela Finca 64"/>
    <s v="Bocas del Toro"/>
    <x v="2"/>
    <s v="Changuinola"/>
    <s v="FO"/>
    <n v="9.4589680000000005"/>
    <n v="-82.496082000000001"/>
    <s v="02/08/2017"/>
  </r>
  <r>
    <n v="1"/>
    <n v="32"/>
    <s v="Escuela Finca 67"/>
    <s v="Bocas del Toro"/>
    <x v="2"/>
    <s v="Changuinola"/>
    <s v="FO"/>
    <n v="9.4379480000000004"/>
    <n v="-82.497598999999994"/>
    <s v="02/08/2017"/>
  </r>
  <r>
    <n v="1"/>
    <n v="33"/>
    <s v="C.E.B.G. Finca 04"/>
    <s v="Bocas del Toro"/>
    <x v="2"/>
    <s v="El Empalme"/>
    <s v="FO"/>
    <n v="9.4058150000000005"/>
    <n v="-82.501580000000004"/>
    <s v="27/06/2017"/>
  </r>
  <r>
    <n v="1"/>
    <n v="34"/>
    <s v="Cuartel de Bomberos del Empalme"/>
    <s v="Bocas del Toro"/>
    <x v="2"/>
    <s v="El Empalme"/>
    <s v="FO"/>
    <n v="9.4208449999999999"/>
    <n v="-82.520880000000005"/>
    <s v="27/06/2017"/>
  </r>
  <r>
    <n v="1"/>
    <n v="35"/>
    <s v="Escuela El Empalme"/>
    <s v="Bocas del Toro"/>
    <x v="2"/>
    <s v="El Empalme"/>
    <s v="FO"/>
    <n v="9.4200789999999994"/>
    <n v="-82.520909000000003"/>
    <s v="29/06/2017"/>
  </r>
  <r>
    <n v="1"/>
    <n v="36"/>
    <s v="Escuela El Silencio"/>
    <s v="Bocas del Toro"/>
    <x v="2"/>
    <s v="El Empalme"/>
    <s v="FO"/>
    <n v="9.3904639999999997"/>
    <n v="-82.535364999999999"/>
    <s v="27/06/2017"/>
  </r>
  <r>
    <n v="1"/>
    <n v="37"/>
    <s v="Escuela Finca 3"/>
    <s v="Bocas del Toro"/>
    <x v="2"/>
    <s v="El Empalme"/>
    <s v="Satelital"/>
    <n v="9.4246429999999997"/>
    <n v="-82.471710999999999"/>
    <s v="19/12/2017"/>
  </r>
  <r>
    <n v="1"/>
    <n v="38"/>
    <s v="I.P.T. EL SILENCIO"/>
    <s v="Bocas del Toro"/>
    <x v="2"/>
    <s v="El Empalme"/>
    <s v="FO"/>
    <n v="9.3753630000000001"/>
    <n v="-82.528323999999998"/>
    <s v="27/06/2017"/>
  </r>
  <r>
    <n v="1"/>
    <n v="39"/>
    <s v="Universidad de Panamá El Empalme"/>
    <s v="Bocas del Toro"/>
    <x v="2"/>
    <s v="El Empalme"/>
    <s v="FO"/>
    <n v="9.4156689999999994"/>
    <n v="-82.526246"/>
    <s v="11/07/2017"/>
  </r>
  <r>
    <n v="1"/>
    <n v="40"/>
    <s v="Universidad de Panamá- Sede Agropecuaria"/>
    <s v="Bocas del Toro"/>
    <x v="2"/>
    <s v="El Empalme"/>
    <s v="FO"/>
    <n v="9.4953570000000003"/>
    <n v="-82.586636999999996"/>
    <s v="27/06/2017"/>
  </r>
  <r>
    <n v="1"/>
    <n v="41"/>
    <s v="UTP El Empalme"/>
    <s v="Bocas del Toro"/>
    <x v="2"/>
    <s v="El Empalme"/>
    <s v="FO"/>
    <n v="9.4219749999999998"/>
    <n v="-82.523320999999996"/>
    <s v="27/06/2017"/>
  </r>
  <r>
    <n v="1"/>
    <n v="42"/>
    <s v="C.E.B.G. Guabito"/>
    <s v="Bocas del Toro"/>
    <x v="2"/>
    <s v="Guabito"/>
    <s v="FO"/>
    <n v="9.4920229999999997"/>
    <n v="-82.611637999999999"/>
    <s v="11/07/2017"/>
  </r>
  <r>
    <n v="1"/>
    <n v="43"/>
    <s v="Colegio Secundario de Guabito"/>
    <s v="Bocas del Toro"/>
    <x v="2"/>
    <s v="Guabito"/>
    <s v="FO"/>
    <n v="9.4885590000000004"/>
    <n v="-82.607680000000002"/>
    <s v="11/07/2017"/>
  </r>
  <r>
    <n v="1"/>
    <n v="44"/>
    <s v="Escuela Finca 41 Guabito"/>
    <s v="Bocas del Toro"/>
    <x v="2"/>
    <s v="Guabito"/>
    <s v="FO"/>
    <n v="9.491225"/>
    <n v="-82.624135999999993"/>
    <s v="11/07/2017"/>
  </r>
  <r>
    <n v="1"/>
    <n v="45"/>
    <s v="Escuela Finca 54"/>
    <s v="Bocas del Toro"/>
    <x v="2"/>
    <s v="Guabito"/>
    <s v="FO"/>
    <n v="9.4953570000000003"/>
    <n v="-82.586636999999996"/>
    <s v="11/07/2017"/>
  </r>
  <r>
    <n v="1"/>
    <n v="46"/>
    <s v="Escuela Finca Débora"/>
    <s v="Bocas del Toro"/>
    <x v="2"/>
    <s v="Guabito"/>
    <s v="FO"/>
    <n v="9.5148010000000003"/>
    <n v="-82.594971000000001"/>
    <s v="03/08/2017"/>
  </r>
  <r>
    <n v="1"/>
    <n v="47"/>
    <s v="Escuela Puente blanco"/>
    <s v="Bocas del Toro"/>
    <x v="2"/>
    <s v="Guabito"/>
    <s v="FO"/>
    <n v="9.4815760000000004"/>
    <n v="-82.597803999999996"/>
    <s v="28/06/2017"/>
  </r>
  <r>
    <n v="1"/>
    <n v="48"/>
    <s v="Escuela San San Medio (Anexa)"/>
    <s v="Bocas del Toro"/>
    <x v="2"/>
    <s v="Guabito"/>
    <s v="FO"/>
    <n v="9.4649570000000001"/>
    <n v="-82.549522999999994"/>
    <s v="28/06/2017"/>
  </r>
  <r>
    <n v="1"/>
    <n v="49"/>
    <s v="Policlínica de Guabito CSS"/>
    <s v="Bocas del Toro"/>
    <x v="2"/>
    <s v="Guabito"/>
    <s v="FO"/>
    <n v="9.4963200000000008"/>
    <n v="-82.610202999999998"/>
    <s v="28/06/2017"/>
  </r>
  <r>
    <n v="1"/>
    <n v="51"/>
    <s v="C.E.B.G. Dionisia G. de Ayarza"/>
    <s v="Bocas del Toro"/>
    <x v="3"/>
    <s v="Chiriquí Grande"/>
    <s v="FO"/>
    <n v="8.9455220000000004"/>
    <n v="-82.115149000000002"/>
    <s v="03/08/2017"/>
  </r>
  <r>
    <n v="1"/>
    <n v="52"/>
    <s v="I.P.T. Chiriquí Grande"/>
    <s v="Bocas del Toro"/>
    <x v="3"/>
    <s v="Chiriquí Grande"/>
    <s v="FO"/>
    <n v="8.9180240000000008"/>
    <n v="-82.184955000000002"/>
    <s v="03/08/2017"/>
  </r>
  <r>
    <n v="1"/>
    <n v="53"/>
    <s v="Municipio Chiriquí Grande (Cabecera)"/>
    <s v="Bocas del Toro"/>
    <x v="3"/>
    <s v="Chiriquí Grande"/>
    <s v="FO"/>
    <n v="8.9487839999999998"/>
    <n v="-82.116083000000003"/>
    <s v="03/08/2017"/>
  </r>
  <r>
    <n v="1"/>
    <n v="55"/>
    <s v="C.E.B.G. PUNTA PEÑA"/>
    <s v="Bocas del Toro"/>
    <x v="3"/>
    <s v="Punta Peña"/>
    <s v="FO"/>
    <n v="8.9135159999999996"/>
    <n v="-82.186711000000003"/>
    <s v="28/06/2017"/>
  </r>
  <r>
    <n v="1"/>
    <n v="56"/>
    <s v="Escuela Cañazas"/>
    <s v="Bocas del Toro"/>
    <x v="3"/>
    <s v="Punta Peña"/>
    <s v="FO"/>
    <n v="8.8079059999999991"/>
    <n v="-82.184109000000007"/>
    <s v="30/06/2017"/>
  </r>
  <r>
    <n v="1"/>
    <n v="57"/>
    <s v="Esc. Alanje"/>
    <s v="Chiriquí"/>
    <x v="4"/>
    <s v="Santiago de Alanje"/>
    <s v="HFC"/>
    <n v="8.4958869999999997"/>
    <n v="-82.807280000000006"/>
    <s v="01/06/2017"/>
  </r>
  <r>
    <n v="1"/>
    <n v="58"/>
    <s v="Municipio de Alanje"/>
    <s v="Chiriquí"/>
    <x v="4"/>
    <s v="Santiago de Alanje"/>
    <s v="FO"/>
    <n v="8.4006699999999999"/>
    <n v="-82.558188000000001"/>
    <s v="13/06/2017"/>
  </r>
  <r>
    <n v="1"/>
    <n v="59"/>
    <s v="Parque Central Alanje"/>
    <s v="Chiriquí"/>
    <x v="4"/>
    <s v="Santiago de Alanje"/>
    <s v="FO"/>
    <n v="8.4008260000000003"/>
    <n v="-82.557997"/>
    <s v="13/06/2017"/>
  </r>
  <r>
    <n v="1"/>
    <n v="60"/>
    <s v="C.E.B.G. Divalá"/>
    <s v="Chiriquí"/>
    <x v="4"/>
    <s v="Divalá"/>
    <s v="FO"/>
    <n v="8.4115479999999998"/>
    <n v="-82.716166000000001"/>
    <s v="26/07/2017"/>
  </r>
  <r>
    <n v="1"/>
    <n v="61"/>
    <s v="Policlínica de la CSS de Divala"/>
    <s v="Chiriquí"/>
    <x v="4"/>
    <s v="Divalá"/>
    <s v="FO"/>
    <n v="8.4172349999999998"/>
    <n v="-82.713975000000005"/>
    <s v="27/07/2017"/>
  </r>
  <r>
    <n v="1"/>
    <n v="62"/>
    <s v="Esc. Guarumal"/>
    <s v="Chiriquí"/>
    <x v="4"/>
    <s v="Guarumal"/>
    <s v="FO"/>
    <n v="8.3517499999999991"/>
    <n v="-82.530525999999995"/>
    <s v="29/11/2017"/>
  </r>
  <r>
    <n v="1"/>
    <n v="64"/>
    <s v="Esc. La Esperanza"/>
    <s v="Chiriquí"/>
    <x v="5"/>
    <s v="Baco"/>
    <s v="FO"/>
    <n v="8.4068970000000007"/>
    <n v="-82.790057000000004"/>
    <s v="30/05/2017"/>
  </r>
  <r>
    <n v="1"/>
    <n v="65"/>
    <s v="Esc. San Valentín"/>
    <s v="Chiriquí"/>
    <x v="5"/>
    <s v="Baco"/>
    <s v="FO"/>
    <n v="8.3652719999999992"/>
    <n v="-82.783434999999997"/>
    <s v="30/05/2017"/>
  </r>
  <r>
    <n v="1"/>
    <n v="66"/>
    <s v="Centro de Educ. Media de Progreso"/>
    <s v="Chiriquí"/>
    <x v="5"/>
    <s v="Progreso"/>
    <s v="PTP"/>
    <n v="8.4515650000000004"/>
    <n v="-82.834551000000005"/>
    <s v="25/07/2017"/>
  </r>
  <r>
    <n v="1"/>
    <n v="68"/>
    <s v="Esc. Chuchupate"/>
    <s v="Chiriquí"/>
    <x v="5"/>
    <s v="Progreso"/>
    <s v="PTP"/>
    <n v="8.347334"/>
    <n v="-82.801157000000003"/>
    <s v="25/07/2017"/>
  </r>
  <r>
    <n v="1"/>
    <n v="69"/>
    <s v="Biblioteca Pública Generosa Valdez de Diaz"/>
    <s v="Chiriquí"/>
    <x v="5"/>
    <s v="Puerto Tomás Armuelles"/>
    <s v="FO"/>
    <n v="8.2779190000000007"/>
    <n v="-82.864166999999995"/>
    <s v="04/05/2017"/>
  </r>
  <r>
    <n v="1"/>
    <n v="70"/>
    <s v="Bomberos Puerto Armuelles"/>
    <s v="Chiriquí"/>
    <x v="5"/>
    <s v="Puerto Tomás Armuelles"/>
    <s v="FO"/>
    <n v="8.2713520000000003"/>
    <n v="-82.863630999999998"/>
    <s v="04/05/2017"/>
  </r>
  <r>
    <n v="1"/>
    <n v="71"/>
    <s v="Esc. Los Ángeles"/>
    <s v="Chiriquí"/>
    <x v="5"/>
    <s v="Puerto Tomás Armuelles"/>
    <s v="FO"/>
    <n v="8.2729680000000005"/>
    <n v="-82.861328"/>
    <s v="24/05/2017"/>
  </r>
  <r>
    <n v="1"/>
    <n v="72"/>
    <s v="Esc. Márgenes de Corotú"/>
    <s v="Chiriquí"/>
    <x v="5"/>
    <s v="Puerto Tomás Armuelles"/>
    <s v="FO"/>
    <n v="8.2728429999999999"/>
    <n v="-82.894507000000004"/>
    <s v="24/05/2017"/>
  </r>
  <r>
    <n v="1"/>
    <n v="74"/>
    <s v="Esc. Sec. de Puerto Armuelles"/>
    <s v="Chiriquí"/>
    <x v="5"/>
    <s v="Puerto Tomás Armuelles"/>
    <s v="FO"/>
    <n v="8.2845770000000005"/>
    <n v="-82.863122000000004"/>
    <s v="04/05/2017"/>
  </r>
  <r>
    <n v="1"/>
    <n v="75"/>
    <s v="Esc. Tomás Armuelles"/>
    <s v="Chiriquí"/>
    <x v="5"/>
    <s v="Puerto Tomás Armuelles"/>
    <s v="PTP"/>
    <n v="8.2709550000000007"/>
    <n v="-82.859720999999993"/>
    <s v="24/05/2017"/>
  </r>
  <r>
    <n v="1"/>
    <n v="77"/>
    <s v="Municipio Puerto Armuelles"/>
    <s v="Chiriquí"/>
    <x v="5"/>
    <s v="Puerto Tomás Armuelles"/>
    <s v="FO"/>
    <n v="8.2736689999999999"/>
    <n v="-82.860183000000006"/>
    <s v="04/05/2017"/>
  </r>
  <r>
    <n v="1"/>
    <n v="78"/>
    <s v="Parque Central Puerto Armuelles"/>
    <s v="Chiriquí"/>
    <x v="5"/>
    <s v="Puerto Tomás Armuelles"/>
    <s v="FO"/>
    <n v="8.2715619999999994"/>
    <n v="-82.860129999999998"/>
    <s v="04/05/2017"/>
  </r>
  <r>
    <n v="1"/>
    <n v="79"/>
    <s v="Esc. Agua Buena"/>
    <s v="Chiriquí"/>
    <x v="5"/>
    <s v="Puerto Tomás Armuelles"/>
    <s v="FO"/>
    <n v="8.3028429999999993"/>
    <n v="-82.872246000000004"/>
    <s v="04/05/2017"/>
  </r>
  <r>
    <n v="1"/>
    <n v="80"/>
    <s v="Esc. El Palmar"/>
    <s v="Chiriquí"/>
    <x v="5"/>
    <s v="Puerto Tomás Armuelles"/>
    <s v="FO"/>
    <n v="8.3089569999999995"/>
    <n v="-82.840717999999995"/>
    <s v="25/07/2017"/>
  </r>
  <r>
    <n v="1"/>
    <n v="81"/>
    <s v="Esc. Flor de Lima"/>
    <s v="Chiriquí"/>
    <x v="5"/>
    <s v="Puerto Tomás Armuelles"/>
    <s v="FO"/>
    <n v="8.2944589999999998"/>
    <n v="-82.857206000000005"/>
    <s v="24/05/2017"/>
  </r>
  <r>
    <n v="1"/>
    <n v="83"/>
    <s v="Esc. Aguacatón"/>
    <s v="Chiriquí"/>
    <x v="5"/>
    <s v="Rodolfo Aguilar Delgado"/>
    <s v="FO"/>
    <n v="8.3475839999999994"/>
    <n v="-82.801081999999994"/>
    <s v="30/05/2017"/>
  </r>
  <r>
    <n v="1"/>
    <n v="84"/>
    <s v="Esc. Balsa"/>
    <s v="Chiriquí"/>
    <x v="5"/>
    <s v="Rodolfo Aguilar Delgado"/>
    <s v="FO"/>
    <n v="8.4283090000000005"/>
    <n v="-82.895268999999999"/>
    <s v="23/05/2017"/>
  </r>
  <r>
    <n v="1"/>
    <n v="85"/>
    <s v="Esc. Burica Centro"/>
    <s v="Chiriquí"/>
    <x v="5"/>
    <s v="Rodolfo Aguilar Delgado"/>
    <s v="PTP"/>
    <n v="8.3910509999999991"/>
    <n v="-82.903278999999998"/>
    <s v="25/07/2017"/>
  </r>
  <r>
    <n v="1"/>
    <n v="86"/>
    <s v="Esc. Corozo"/>
    <s v="Chiriquí"/>
    <x v="5"/>
    <s v="Rodolfo Aguilar Delgado"/>
    <s v="FO"/>
    <n v="8.4152129999999996"/>
    <n v="-82.931434999999993"/>
    <s v="04/08/2017"/>
  </r>
  <r>
    <n v="1"/>
    <n v="87"/>
    <s v="Esc. Finca Blanco"/>
    <s v="Chiriquí"/>
    <x v="5"/>
    <s v="Rodolfo Aguilar Delgado"/>
    <s v="FO"/>
    <n v="8.384487"/>
    <n v="-82.875077000000005"/>
    <s v="05/05/2017"/>
  </r>
  <r>
    <n v="1"/>
    <n v="88"/>
    <s v="Esc. Finca Bongo"/>
    <s v="Chiriquí"/>
    <x v="5"/>
    <s v="Rodolfo Aguilar Delgado"/>
    <s v="FO"/>
    <n v="8.4063839999999992"/>
    <n v="-82.904103000000006"/>
    <s v="30/05/2017"/>
  </r>
  <r>
    <n v="1"/>
    <n v="89"/>
    <s v="Esc. Finca Zapatero"/>
    <s v="Chiriquí"/>
    <x v="5"/>
    <s v="Rodolfo Aguilar Delgado"/>
    <s v="FO"/>
    <n v="8.3973420000000001"/>
    <n v="-82.891425999999996"/>
    <s v="30/05/2017"/>
  </r>
  <r>
    <n v="1"/>
    <n v="90"/>
    <s v="Esc. Guayacán"/>
    <s v="Chiriquí"/>
    <x v="5"/>
    <s v="Rodolfo Aguilar Delgado"/>
    <s v="FO"/>
    <n v="8.349596"/>
    <n v="-82.833843999999999"/>
    <s v="30/05/2017"/>
  </r>
  <r>
    <n v="1"/>
    <n v="91"/>
    <s v="Esc. Higuerón"/>
    <s v="Chiriquí"/>
    <x v="5"/>
    <s v="Rodolfo Aguilar Delgado"/>
    <s v="PTP"/>
    <n v="8.4071890000000007"/>
    <n v="-82.888166999999996"/>
    <s v="25/07/2017"/>
  </r>
  <r>
    <n v="1"/>
    <n v="92"/>
    <s v="Esc. La Victoria"/>
    <s v="Chiriquí"/>
    <x v="5"/>
    <s v="Rodolfo Aguilar Delgado"/>
    <s v="FO"/>
    <n v="8.4003610000000002"/>
    <n v="-82.950248999999999"/>
    <s v="23/05/2017"/>
  </r>
  <r>
    <n v="1"/>
    <n v="93"/>
    <s v="Esc. Manaca Civil"/>
    <s v="Chiriquí"/>
    <x v="5"/>
    <s v="Rodolfo Aguilar Delgado"/>
    <s v="FO"/>
    <n v="8.3258810000000008"/>
    <n v="-82.817966999999996"/>
    <s v="30/05/2017"/>
  </r>
  <r>
    <n v="1"/>
    <n v="94"/>
    <s v="Esc. Manaca Norte"/>
    <s v="Chiriquí"/>
    <x v="5"/>
    <s v="Rodolfo Aguilar Delgado"/>
    <s v="FO"/>
    <n v="8.3392379999999999"/>
    <n v="-82.806692999999996"/>
    <s v="30/05/2017"/>
  </r>
  <r>
    <n v="1"/>
    <n v="95"/>
    <s v="Esc. San Antonio."/>
    <s v="Chiriquí"/>
    <x v="5"/>
    <s v="Rodolfo Aguilar Delgado"/>
    <s v="FO"/>
    <n v="8.3713619999999995"/>
    <n v="-82.887193999999994"/>
    <s v="25/07/2017"/>
  </r>
  <r>
    <n v="1"/>
    <n v="96"/>
    <s v="Esc. Sec. Finca Blanco"/>
    <s v="Chiriquí"/>
    <x v="5"/>
    <s v="Rodolfo Aguilar Delgado"/>
    <s v="FO"/>
    <n v="8.3831389999999999"/>
    <n v="-82.876480000000001"/>
    <s v="05/05/2017"/>
  </r>
  <r>
    <n v="1"/>
    <n v="97"/>
    <s v="I.P.T. Barú"/>
    <s v="Chiriquí"/>
    <x v="5"/>
    <s v="Rodolfo Aguilar Delgado"/>
    <s v="FO"/>
    <n v="8.3392499999999998"/>
    <n v="-82.806915000000004"/>
    <s v="30/05/2017"/>
  </r>
  <r>
    <n v="1"/>
    <n v="98"/>
    <s v="P.C. Corozo"/>
    <s v="Chiriquí"/>
    <x v="5"/>
    <s v="Rodolfo Aguilar Delgado"/>
    <s v="FO"/>
    <n v="8.4153739999999999"/>
    <n v="-82.930785999999998"/>
    <s v="23/05/2017"/>
  </r>
  <r>
    <n v="1"/>
    <n v="99"/>
    <s v="Esc. La Meseta."/>
    <s v="Chiriquí"/>
    <x v="6"/>
    <s v="Boquerón"/>
    <s v="FO"/>
    <n v="8.5523050000000005"/>
    <n v="-82.592471000000003"/>
    <s v="20/06/2017"/>
  </r>
  <r>
    <n v="1"/>
    <n v="100"/>
    <s v="Parque Central Boquerón"/>
    <s v="Chiriquí"/>
    <x v="6"/>
    <s v="Boquerón"/>
    <s v="FO"/>
    <n v="8.5070879999999995"/>
    <n v="-82.570997000000006"/>
    <s v="14/06/2017"/>
  </r>
  <r>
    <n v="1"/>
    <n v="101"/>
    <s v="Esc. La Guinea"/>
    <s v="Chiriquí"/>
    <x v="6"/>
    <s v="Pedregal"/>
    <s v="FO"/>
    <n v="8.4980340000000005"/>
    <n v="-82.592449000000002"/>
    <s v="14/06/2017"/>
  </r>
  <r>
    <n v="1"/>
    <n v="103"/>
    <s v="Esc. Alto Boquete"/>
    <s v="Chiriquí"/>
    <x v="7"/>
    <s v="Alto Boquete"/>
    <s v="FO"/>
    <n v="8.7323819999999994"/>
    <n v="-82.434166000000005"/>
    <s v="29/05/2017"/>
  </r>
  <r>
    <n v="1"/>
    <n v="104"/>
    <s v="Esc. Sec. Benigno T. Argote"/>
    <s v="Chiriquí"/>
    <x v="7"/>
    <s v="Alto Boquete"/>
    <s v="HFC"/>
    <n v="8.7452959999999997"/>
    <n v="-82.432561000000007"/>
    <s v="26/05/2017"/>
  </r>
  <r>
    <n v="1"/>
    <n v="105"/>
    <s v="Escuela Palo Alto (primaria)"/>
    <s v="Chiriquí"/>
    <x v="7"/>
    <s v="Bajo Boquete"/>
    <s v="HFC"/>
    <n v="8.7967490000000002"/>
    <n v="-82.428303999999997"/>
    <s v="26/05/2017"/>
  </r>
  <r>
    <n v="1"/>
    <n v="106"/>
    <s v="Municipio Bajo Boquete"/>
    <s v="Chiriquí"/>
    <x v="7"/>
    <s v="Bajo Boquete"/>
    <s v="HFC"/>
    <n v="8.7760929999999995"/>
    <n v="-82.433406000000005"/>
    <s v="26/05/2017"/>
  </r>
  <r>
    <n v="1"/>
    <n v="107"/>
    <s v="Esc. Volcancito"/>
    <s v="Chiriquí"/>
    <x v="7"/>
    <s v="Bajo Boquete"/>
    <s v="FO"/>
    <n v="8.7692490000000003"/>
    <n v="-82.445526000000001"/>
    <s v="29/05/2017"/>
  </r>
  <r>
    <n v="1"/>
    <n v="108"/>
    <s v="Centro de Salud Aserrío de Gariche"/>
    <s v="Chiriquí"/>
    <x v="8"/>
    <s v="Aserrío de Gariché"/>
    <s v="FO"/>
    <n v="8.4892540000000007"/>
    <n v="-82.789991999999998"/>
    <s v="13/06/2017"/>
  </r>
  <r>
    <n v="1"/>
    <n v="109"/>
    <s v="Esc. Aserrío"/>
    <s v="Chiriquí"/>
    <x v="8"/>
    <s v="Aserrío de Gariché"/>
    <s v="FO"/>
    <n v="8.489039"/>
    <n v="-82.787958000000003"/>
    <s v="26/07/2017"/>
  </r>
  <r>
    <n v="1"/>
    <n v="110"/>
    <s v="Esc. El Exquisito"/>
    <s v="Chiriquí"/>
    <x v="8"/>
    <s v="Aserrío de Gariché"/>
    <s v="FO"/>
    <n v="8.5628670000000007"/>
    <n v="-82.740414000000001"/>
    <s v="02/08/2017"/>
  </r>
  <r>
    <n v="1"/>
    <n v="111"/>
    <s v="Esc. Gariche"/>
    <s v="Chiriquí"/>
    <x v="8"/>
    <s v="Aserrío de Gariché"/>
    <s v="FO"/>
    <n v="8.4870269999999994"/>
    <n v="-82.779692999999995"/>
    <s v="14/07/2017"/>
  </r>
  <r>
    <n v="1"/>
    <n v="112"/>
    <s v="Esc. Jacú"/>
    <s v="Chiriquí"/>
    <x v="8"/>
    <s v="Aserrío de Gariché"/>
    <s v="FO"/>
    <n v="8.4822220000000002"/>
    <n v="-82.815482000000003"/>
    <s v="01/06/2017"/>
  </r>
  <r>
    <n v="1"/>
    <n v="113"/>
    <s v="Esc. La Celmira"/>
    <s v="Chiriquí"/>
    <x v="8"/>
    <s v="Aserrío de Gariché"/>
    <s v="FO"/>
    <n v="8.5446200000000001"/>
    <n v="-82.021127000000007"/>
    <s v="14/07/2017"/>
  </r>
  <r>
    <n v="1"/>
    <n v="114"/>
    <s v="Esc. Portón"/>
    <s v="Chiriquí"/>
    <x v="8"/>
    <s v="Aserrío de Gariché"/>
    <s v="FO"/>
    <n v="8.5661170000000002"/>
    <n v="-82.786797000000007"/>
    <s v="04/08/2017"/>
  </r>
  <r>
    <n v="1"/>
    <n v="115"/>
    <s v="Esc. San Isidro"/>
    <s v="Chiriquí"/>
    <x v="8"/>
    <s v="Aserrío de Gariché"/>
    <s v="HFC"/>
    <n v="8.5333799999999993"/>
    <n v="-82.830779000000007"/>
    <s v="18/05/2017"/>
  </r>
  <r>
    <n v="1"/>
    <n v="116"/>
    <s v="Esc. San Pedro"/>
    <s v="Chiriquí"/>
    <x v="8"/>
    <s v="Aserrío de Gariché"/>
    <s v="FO"/>
    <n v="8.5627200000000006"/>
    <n v="-82.799918000000005"/>
    <s v="14/07/2017"/>
  </r>
  <r>
    <n v="1"/>
    <n v="117"/>
    <s v="Parque Aserrío de Gariche"/>
    <s v="Chiriquí"/>
    <x v="8"/>
    <s v="Aserrío de Gariché"/>
    <s v="FO"/>
    <n v="8.483333"/>
    <n v="-82.8"/>
    <s v="25/07/2017"/>
  </r>
  <r>
    <n v="1"/>
    <n v="118"/>
    <s v="Esc. Brisas del Río"/>
    <s v="Chiriquí"/>
    <x v="8"/>
    <s v="Bugaba"/>
    <s v="HFC"/>
    <n v="8.4963639999999998"/>
    <n v="-82.636814000000001"/>
    <s v="25/05/2017"/>
  </r>
  <r>
    <n v="1"/>
    <n v="119"/>
    <s v="Esc. Mata de Bugaba"/>
    <s v="Chiriquí"/>
    <x v="8"/>
    <s v="Bugaba"/>
    <s v="HFC"/>
    <n v="8.5025849999999998"/>
    <n v="-82.614278999999996"/>
    <s v="24/05/2017"/>
  </r>
  <r>
    <n v="1"/>
    <n v="120"/>
    <s v="Municipio de Bugaba"/>
    <s v="Chiriquí"/>
    <x v="8"/>
    <s v="Bugaba"/>
    <s v="FO"/>
    <n v="8.518929"/>
    <n v="-82.624487999999999"/>
    <s v="18/05/2017"/>
  </r>
  <r>
    <n v="1"/>
    <n v="121"/>
    <s v="C.E.B.G. Cerro Punta"/>
    <s v="Chiriquí"/>
    <x v="9"/>
    <s v="Cerro Punta"/>
    <s v="FO"/>
    <n v="8.8619059999999994"/>
    <n v="-82.579029000000006"/>
    <s v="31/05/2017"/>
  </r>
  <r>
    <n v="1"/>
    <n v="122"/>
    <s v="Centro de Salud Cerro Punta"/>
    <s v="Chiriquí"/>
    <x v="9"/>
    <s v="Cerro Punta"/>
    <s v="FO"/>
    <n v="8.853529"/>
    <n v="-82.573999999999998"/>
    <s v="31/05/2017"/>
  </r>
  <r>
    <n v="1"/>
    <n v="123"/>
    <s v="Esc. Guadalupe/Fernando Eleta Almarán"/>
    <s v="Chiriquí"/>
    <x v="8"/>
    <m/>
    <s v="FO"/>
    <n v="8.8691770000000005"/>
    <n v="-82.567344000000006"/>
    <s v="31/05/2017"/>
  </r>
  <r>
    <n v="1"/>
    <n v="124"/>
    <s v="Esc. Nueva Suiza"/>
    <s v="Chiriquí"/>
    <x v="9"/>
    <s v="Cerro Punta"/>
    <s v="FO"/>
    <n v="8.7927009999999992"/>
    <n v="-82.628148999999993"/>
    <s v="27/07/2017"/>
  </r>
  <r>
    <n v="1"/>
    <n v="125"/>
    <s v="Esc. Gómez"/>
    <s v="Chiriquí"/>
    <x v="8"/>
    <s v="Gómez"/>
    <s v="FO"/>
    <n v="8.5623050000000003"/>
    <n v="-82.740249000000006"/>
    <s v="20/06/2017"/>
  </r>
  <r>
    <n v="1"/>
    <n v="126"/>
    <s v="Esc. San Miguel de Exquisito"/>
    <s v="Chiriquí"/>
    <x v="8"/>
    <s v="Gómez"/>
    <s v="FO"/>
    <n v="8.5500830000000008"/>
    <n v="-82.757749000000004"/>
    <s v="14/07/2017"/>
  </r>
  <r>
    <n v="1"/>
    <n v="128"/>
    <s v="Biblioteca Catolica"/>
    <s v="Chiriquí"/>
    <x v="8"/>
    <s v="La Concepción"/>
    <s v="FO"/>
    <n v="8.5161090000000002"/>
    <n v="-82.623138999999995"/>
    <s v="18/05/2017"/>
  </r>
  <r>
    <n v="1"/>
    <n v="129"/>
    <s v="Biblioteca Pública La Concepción CENTRO ACP"/>
    <s v="Chiriquí"/>
    <x v="8"/>
    <s v="La Concepción"/>
    <s v="FO"/>
    <n v="8.5173970000000008"/>
    <n v="-82.618121000000002"/>
    <s v="18/05/2017"/>
  </r>
  <r>
    <n v="1"/>
    <n v="131"/>
    <s v="Centro Cristiano Bugaba"/>
    <s v="Chiriquí"/>
    <x v="8"/>
    <s v="La Concepción"/>
    <s v="FO"/>
    <n v="8.5187489999999997"/>
    <n v="-82.621190999999996"/>
    <s v="24/05/2017"/>
  </r>
  <r>
    <n v="1"/>
    <n v="132"/>
    <s v="Esc. Cuesta de Piedra"/>
    <s v="Chiriquí"/>
    <x v="8"/>
    <s v="La Concepción"/>
    <s v="FO"/>
    <n v="8.6773179999999996"/>
    <n v="-82.624257999999998"/>
    <s v="27/07/2017"/>
  </r>
  <r>
    <n v="1"/>
    <n v="133"/>
    <s v="Esc. de Solano"/>
    <s v="Chiriquí"/>
    <x v="8"/>
    <s v="La Concepción"/>
    <s v="FO"/>
    <n v="8.5158000000000005"/>
    <n v="-82.611885999999998"/>
    <s v="24/05/2017"/>
  </r>
  <r>
    <n v="1"/>
    <n v="134"/>
    <s v="Esc. San Vicente"/>
    <s v="Chiriquí"/>
    <x v="8"/>
    <s v="La Concepción"/>
    <s v="FO"/>
    <n v="8.5925829999999994"/>
    <n v="-82.636638000000005"/>
    <s v="27/07/2017"/>
  </r>
  <r>
    <n v="1"/>
    <n v="135"/>
    <s v="Escuela Belen"/>
    <s v="Chiriquí"/>
    <x v="8"/>
    <s v="La Concepción"/>
    <s v="FO"/>
    <n v="8.5153169999999996"/>
    <n v="-82.628041999999994"/>
    <s v="24/05/2017"/>
  </r>
  <r>
    <n v="1"/>
    <n v="136"/>
    <s v="Escuela Daniel Octavio Crespo"/>
    <s v="Chiriquí"/>
    <x v="8"/>
    <s v="La Concepción"/>
    <s v="FO"/>
    <n v="8.5202290000000005"/>
    <n v="-82.627341999999999"/>
    <s v="18/05/2017"/>
  </r>
  <r>
    <n v="1"/>
    <n v="137"/>
    <s v="I.P.T. Solano"/>
    <s v="Chiriquí"/>
    <x v="8"/>
    <s v="La Concepción"/>
    <s v="HFC"/>
    <n v="8.5206590000000002"/>
    <n v="-82.613268000000005"/>
    <s v="25/05/2017"/>
  </r>
  <r>
    <n v="1"/>
    <n v="139"/>
    <s v="Parque Central Bugaba"/>
    <s v="Chiriquí"/>
    <x v="8"/>
    <s v="La Concepción"/>
    <s v="FO"/>
    <n v="8.5159579999999995"/>
    <n v="-82.619699999999995"/>
    <s v="01/12/2017"/>
  </r>
  <r>
    <n v="1"/>
    <n v="142"/>
    <s v="Primaria Justo Abel Castillo"/>
    <s v="Chiriquí"/>
    <x v="8"/>
    <s v="La Concepción"/>
    <s v="FO"/>
    <n v="8.5211299999999994"/>
    <n v="-82.618429000000006"/>
    <s v="01/06/2017"/>
  </r>
  <r>
    <n v="1"/>
    <n v="143"/>
    <s v="Centro de Salud La Estrella"/>
    <s v="Chiriquí"/>
    <x v="8"/>
    <s v="La Estrella"/>
    <s v="FO"/>
    <n v="8.5179449999999992"/>
    <n v="-82.671028000000007"/>
    <s v="02/08/2017"/>
  </r>
  <r>
    <n v="1"/>
    <n v="144"/>
    <s v="Esc. La Estrella"/>
    <s v="Chiriquí"/>
    <x v="8"/>
    <s v="La Estrella"/>
    <s v="FO"/>
    <n v="8.5197260000000004"/>
    <n v="-82.672055999999998"/>
    <s v="28/09/2017"/>
  </r>
  <r>
    <n v="1"/>
    <n v="145"/>
    <s v="ESC. LA TRANCA"/>
    <s v="Chiriquí"/>
    <x v="8"/>
    <s v="La Estrella"/>
    <s v="FO"/>
    <n v="8.4684380000000008"/>
    <n v="-82.675352000000004"/>
    <s v="01/06/2017"/>
  </r>
  <r>
    <n v="1"/>
    <n v="146"/>
    <s v="Esc. Sioguí Abajo Nº 2"/>
    <s v="Chiriquí"/>
    <x v="8"/>
    <s v="La Estrella"/>
    <s v="FO"/>
    <n v="8.5471710000000005"/>
    <n v="-82.631968999999998"/>
    <s v="02/08/2017"/>
  </r>
  <r>
    <n v="1"/>
    <n v="147"/>
    <s v="Esc. San Andrés"/>
    <s v="Chiriquí"/>
    <x v="8"/>
    <s v="San Andrés"/>
    <s v="FO"/>
    <n v="8.6044979999999995"/>
    <n v="-82.728223"/>
    <s v="26/07/2017"/>
  </r>
  <r>
    <n v="1"/>
    <n v="148"/>
    <s v="Esc. San Francisco"/>
    <s v="Chiriquí"/>
    <x v="8"/>
    <s v="San Andrés"/>
    <s v="FO"/>
    <n v="8.6361260000000009"/>
    <n v="-82.729810000000001"/>
    <s v="04/08/2017"/>
  </r>
  <r>
    <n v="1"/>
    <n v="149"/>
    <s v="P.C. San Andrés"/>
    <s v="Chiriquí"/>
    <x v="8"/>
    <s v="San Andrés"/>
    <s v="FO"/>
    <n v="8.6067060000000009"/>
    <n v="-82.735619999999997"/>
    <s v="26/07/2017"/>
  </r>
  <r>
    <n v="1"/>
    <n v="150"/>
    <s v="Escuela Santa Marta"/>
    <s v="Chiriquí"/>
    <x v="8"/>
    <s v="Santa Marta"/>
    <s v="FO"/>
    <n v="8.5167549999999999"/>
    <n v="-82.699808000000004"/>
    <s v="24/05/2017"/>
  </r>
  <r>
    <n v="1"/>
    <n v="151"/>
    <s v="Esc. Manchuila"/>
    <s v="Chiriquí"/>
    <x v="8"/>
    <s v="Santo Domingo"/>
    <s v="FO"/>
    <n v="8.4773840000000007"/>
    <n v="-82.712063999999998"/>
    <s v="24/05/2017"/>
  </r>
  <r>
    <n v="1"/>
    <n v="152"/>
    <s v="P.C. Santo Domingo"/>
    <s v="Chiriquí"/>
    <x v="8"/>
    <s v="Santo Domingo"/>
    <s v="FO"/>
    <n v="8.5135020000000008"/>
    <n v="-82.712080999999998"/>
    <s v="24/05/2017"/>
  </r>
  <r>
    <n v="1"/>
    <n v="153"/>
    <s v="Centro de Salud Sortova"/>
    <s v="Chiriquí"/>
    <x v="8"/>
    <s v="Sortová"/>
    <s v="HFC"/>
    <n v="8.5322519999999997"/>
    <n v="-82.606675999999993"/>
    <s v="25/05/2017"/>
  </r>
  <r>
    <n v="1"/>
    <n v="154"/>
    <s v="Bomberos Volcán"/>
    <s v="Chiriquí"/>
    <x v="9"/>
    <s v="Volcán"/>
    <s v="FO"/>
    <n v="8.7750500000000002"/>
    <n v="-82.639016999999996"/>
    <s v="31/05/2017"/>
  </r>
  <r>
    <n v="1"/>
    <n v="155"/>
    <s v="C.E.B.G. de Volcán"/>
    <s v="Chiriquí"/>
    <x v="8"/>
    <m/>
    <s v="FO"/>
    <n v="8.7751359999999998"/>
    <n v="-82.639093000000003"/>
    <s v="31/05/2017"/>
  </r>
  <r>
    <n v="1"/>
    <n v="156"/>
    <s v="Esc. El Bijao"/>
    <s v="Chiriquí"/>
    <x v="8"/>
    <m/>
    <s v="FO"/>
    <n v="8.7095269999999996"/>
    <n v="-82.624414999999999"/>
    <s v="27/07/2017"/>
  </r>
  <r>
    <n v="1"/>
    <n v="157"/>
    <s v="Esc. El Valle."/>
    <s v="Chiriquí"/>
    <x v="9"/>
    <s v="Volcán"/>
    <s v="HFC"/>
    <n v="8.7726699999999997"/>
    <n v="-82.649088000000006"/>
    <s v="01/06/2017"/>
  </r>
  <r>
    <n v="1"/>
    <n v="158"/>
    <s v="Esc. Las Perlas"/>
    <s v="Chiriquí"/>
    <x v="9"/>
    <s v="Volcán"/>
    <s v="HFC"/>
    <n v="8.7934140000000003"/>
    <n v="-82.646084999999999"/>
    <s v="31/05/2017"/>
  </r>
  <r>
    <n v="1"/>
    <n v="159"/>
    <s v="Parque Plaza Volcán"/>
    <s v="Chiriquí"/>
    <x v="8"/>
    <s v="Volcán"/>
    <s v="FO"/>
    <n v="8.7779530000000001"/>
    <n v="-82.643328999999994"/>
    <s v="01/06/2017"/>
  </r>
  <r>
    <n v="1"/>
    <n v="160"/>
    <s v="Policía Nacional"/>
    <s v="Chiriquí"/>
    <x v="8"/>
    <m/>
    <s v="FO"/>
    <n v="8.7761750000000003"/>
    <n v="-82.640403000000006"/>
    <s v="31/05/2017"/>
  </r>
  <r>
    <n v="1"/>
    <n v="161"/>
    <s v="Esc. Chiriquí"/>
    <s v="Chiriquí"/>
    <x v="10"/>
    <s v="Chiriquí"/>
    <s v="FO"/>
    <n v="8.3978950000000001"/>
    <n v="-82.324775000000002"/>
    <s v="25/05/2017"/>
  </r>
  <r>
    <n v="1"/>
    <n v="162"/>
    <s v="Esc. Chorcha Abajo"/>
    <s v="Chiriquí"/>
    <x v="10"/>
    <s v="Chiriquí"/>
    <s v="Satelital"/>
    <n v="8.3704289999999997"/>
    <n v="-82.279747999999998"/>
    <s v="16/10/2017"/>
  </r>
  <r>
    <n v="1"/>
    <n v="163"/>
    <s v="Esc. El Veladero."/>
    <s v="Chiriquí"/>
    <x v="10"/>
    <s v="Chiriquí"/>
    <s v="FO"/>
    <n v="8.4325349999999997"/>
    <n v="-82.287987999999999"/>
    <s v="25/05/2017"/>
  </r>
  <r>
    <n v="1"/>
    <n v="164"/>
    <s v="Esc. La Pita"/>
    <s v="Chiriquí"/>
    <x v="10"/>
    <s v="Chiriquí"/>
    <s v="FO"/>
    <n v="8.3998059999999999"/>
    <n v="-82.251360000000005"/>
    <s v="25/05/2017"/>
  </r>
  <r>
    <n v="1"/>
    <n v="165"/>
    <s v="Esc. Cochea Arriba"/>
    <s v="Chiriquí"/>
    <x v="10"/>
    <s v="Cochea"/>
    <s v="FO"/>
    <n v="8.5428610000000003"/>
    <n v="-82.378026000000006"/>
    <s v="16/10/2017"/>
  </r>
  <r>
    <n v="1"/>
    <n v="166"/>
    <s v="Aldeas Infantiles SOS"/>
    <s v="Chiriquí"/>
    <x v="10"/>
    <s v="San José de David"/>
    <s v="FO"/>
    <n v="8.4084249999999994"/>
    <n v="-82.433409999999995"/>
    <s v="23/05/2017"/>
  </r>
  <r>
    <n v="1"/>
    <n v="169"/>
    <s v="Ave. Central David"/>
    <s v="Chiriquí"/>
    <x v="10"/>
    <s v="San José de David"/>
    <s v="PMP"/>
    <n v="8.4282210000000006"/>
    <n v="-82.424817000000004"/>
    <s v="29/05/2017"/>
  </r>
  <r>
    <n v="1"/>
    <n v="170"/>
    <s v="Biblioteca Pública Santiago Anguizola CENTRO ACP"/>
    <s v="Chiriquí"/>
    <x v="10"/>
    <s v="San José de David"/>
    <s v="FO"/>
    <n v="8.428668"/>
    <n v="-82.430881999999997"/>
    <s v="15/05/2017"/>
  </r>
  <r>
    <n v="1"/>
    <n v="171"/>
    <s v="Centro de Salud San Mateo"/>
    <s v="Chiriquí"/>
    <x v="10"/>
    <s v="San José de David"/>
    <s v="PTP"/>
    <n v="8.4315560000000005"/>
    <n v="-82.438490000000002"/>
    <s v="17/05/2017"/>
  </r>
  <r>
    <n v="1"/>
    <n v="172"/>
    <s v="Elisa Chiari"/>
    <s v="Chiriquí"/>
    <x v="10"/>
    <s v="San José de David"/>
    <s v="FO"/>
    <n v="8.4203440000000001"/>
    <n v="-82.421250999999998"/>
    <s v="20/06/2017"/>
  </r>
  <r>
    <n v="1"/>
    <n v="173"/>
    <s v="Esc. Barriada Victoriano Lorenzo"/>
    <s v="Chiriquí"/>
    <x v="10"/>
    <s v="San José de David"/>
    <s v="PTP"/>
    <n v="8.4147300000000005"/>
    <n v="-82.436054999999996"/>
    <s v="16/05/2017"/>
  </r>
  <r>
    <n v="1"/>
    <n v="174"/>
    <s v="Esc. de Doleguita"/>
    <s v="Chiriquí"/>
    <x v="10"/>
    <s v="San José de David"/>
    <s v="FO"/>
    <n v="8.4395240000000005"/>
    <n v="-82.427605"/>
    <s v="16/05/2017"/>
  </r>
  <r>
    <n v="1"/>
    <n v="175"/>
    <s v="Esc. de Lassonde"/>
    <s v="Chiriquí"/>
    <x v="10"/>
    <s v="San José de David"/>
    <s v="PTP"/>
    <n v="8.4244380000000003"/>
    <n v="-82.443174999999997"/>
    <s v="16/05/2017"/>
  </r>
  <r>
    <n v="1"/>
    <n v="176"/>
    <s v="Esc. de San Mateo"/>
    <s v="Chiriquí"/>
    <x v="10"/>
    <s v="San José de David"/>
    <s v="FO"/>
    <n v="8.4311249999999998"/>
    <n v="-82.455375000000004"/>
    <s v="17/05/2017"/>
  </r>
  <r>
    <n v="1"/>
    <n v="177"/>
    <s v="Esc. El Varital"/>
    <s v="Chiriquí"/>
    <x v="10"/>
    <s v="San José de David"/>
    <s v="PTP"/>
    <n v="8.4329049999999999"/>
    <n v="-82.419134"/>
    <s v="18/05/2017"/>
  </r>
  <r>
    <n v="1"/>
    <n v="178"/>
    <s v="Esc. María Olimpia de Obaldía"/>
    <s v="Chiriquí"/>
    <x v="10"/>
    <s v="San José de David"/>
    <s v="PTP"/>
    <n v="8.3935209999999998"/>
    <n v="-82.426826000000005"/>
    <s v="16/05/2017"/>
  </r>
  <r>
    <n v="1"/>
    <n v="179"/>
    <s v="Esc. Medalla Milagrosa"/>
    <s v="Chiriquí"/>
    <x v="10"/>
    <s v="San José de David"/>
    <s v="PTP"/>
    <n v="8.4247700000000005"/>
    <n v="-82.421047999999999"/>
    <s v="17/05/2017"/>
  </r>
  <r>
    <n v="1"/>
    <n v="180"/>
    <s v="Esc. Nuevo Vedado"/>
    <s v="Chiriquí"/>
    <x v="10"/>
    <s v="San José de David"/>
    <s v="FO"/>
    <n v="8.4194990000000001"/>
    <n v="-82.427458000000001"/>
    <s v="16/05/2017"/>
  </r>
  <r>
    <n v="1"/>
    <n v="181"/>
    <s v="Esc. Nvo. Amanecer"/>
    <s v="Chiriquí"/>
    <x v="10"/>
    <s v="San José de David"/>
    <s v="FO"/>
    <n v="8.4185009999999991"/>
    <n v="-82.446292"/>
    <s v="22/05/2017"/>
  </r>
  <r>
    <n v="1"/>
    <n v="182"/>
    <s v="Escuela Antonio José de Sucre"/>
    <s v="Chiriquí"/>
    <x v="10"/>
    <s v="San José de David"/>
    <s v="PTP"/>
    <n v="8.4266909999999999"/>
    <n v="-82.429716999999997"/>
    <s v="16/05/2017"/>
  </r>
  <r>
    <n v="1"/>
    <n v="183"/>
    <s v="Escuela de los Abanicos"/>
    <s v="Chiriquí"/>
    <x v="10"/>
    <s v="San José de David"/>
    <s v="PTP"/>
    <n v="8.3997729999999997"/>
    <n v="-82.43871"/>
    <s v="16/05/2017"/>
  </r>
  <r>
    <n v="1"/>
    <n v="184"/>
    <s v="Escuela de San Cristobal"/>
    <s v="Chiriquí"/>
    <x v="10"/>
    <s v="San José de David"/>
    <s v="PTP"/>
    <n v="8.4167450000000006"/>
    <n v="-82.441190000000006"/>
    <s v="16/05/2017"/>
  </r>
  <r>
    <n v="1"/>
    <n v="185"/>
    <s v="Escuela Loma Colorada"/>
    <s v="Chiriquí"/>
    <x v="10"/>
    <s v="San José de David"/>
    <s v="FO"/>
    <n v="8.4103119999999993"/>
    <n v="-82.417305999999996"/>
    <s v="25/05/2017"/>
  </r>
  <r>
    <n v="1"/>
    <n v="186"/>
    <s v="Francisco Morazan"/>
    <s v="Chiriquí"/>
    <x v="10"/>
    <s v="San José de David"/>
    <s v="FO"/>
    <n v="8.4256259999999994"/>
    <n v="-82.417587999999995"/>
    <s v="29/11/2017"/>
  </r>
  <r>
    <n v="1"/>
    <n v="188"/>
    <s v="I.P.T. Arnulfo Arias M."/>
    <s v="Chiriquí"/>
    <x v="10"/>
    <s v="San José de David"/>
    <s v="PTP"/>
    <n v="8.4201879999999996"/>
    <n v="-82.443980999999994"/>
    <s v="15/05/2017"/>
  </r>
  <r>
    <n v="1"/>
    <n v="189"/>
    <s v="I.P.T. David"/>
    <s v="Chiriquí"/>
    <x v="10"/>
    <s v="San José de David"/>
    <s v="FO"/>
    <n v="8.4370849999999997"/>
    <n v="-82.418409999999994"/>
    <s v="25/05/2017"/>
  </r>
  <r>
    <n v="1"/>
    <n v="190"/>
    <s v="INADEH David"/>
    <s v="Chiriquí"/>
    <x v="10"/>
    <s v="San José de David"/>
    <s v="FO"/>
    <n v="8.4206310000000002"/>
    <n v="-82.420781000000005"/>
    <s v="16/05/2017"/>
  </r>
  <r>
    <n v="1"/>
    <n v="191"/>
    <s v="INADEH-Area de Talleres"/>
    <s v="Chiriquí"/>
    <x v="10"/>
    <s v="San José de David"/>
    <s v="FO"/>
    <n v="8.4221579999999996"/>
    <n v="-82.421190999999993"/>
    <s v="16/05/2017"/>
  </r>
  <r>
    <n v="1"/>
    <n v="193"/>
    <s v="José Maria Roy"/>
    <s v="Chiriquí"/>
    <x v="10"/>
    <s v="San José de David"/>
    <s v="PTP"/>
    <n v="8.4212500000000006"/>
    <n v="-82.433920000000001"/>
    <s v="17/05/2017"/>
  </r>
  <r>
    <n v="1"/>
    <n v="194"/>
    <s v="Mercado Público Municipal David"/>
    <s v="Chiriquí"/>
    <x v="10"/>
    <s v="San José de David"/>
    <s v="FO"/>
    <n v="8.4270990000000001"/>
    <n v="-82.435524000000001"/>
    <s v="22/05/2017"/>
  </r>
  <r>
    <n v="1"/>
    <n v="195"/>
    <s v="Municipio de David"/>
    <s v="Chiriquí"/>
    <x v="10"/>
    <s v="San José de David"/>
    <s v="PTP"/>
    <n v="8.4279030000000006"/>
    <n v="-82.429924"/>
    <s v="18/05/2017"/>
  </r>
  <r>
    <n v="1"/>
    <n v="196"/>
    <s v="Parque Cervantes de David"/>
    <s v="Chiriquí"/>
    <x v="10"/>
    <s v="San José de David"/>
    <s v="PTP"/>
    <n v="8.4275839999999995"/>
    <n v="-82.425166000000004"/>
    <s v="17/05/2017"/>
  </r>
  <r>
    <n v="1"/>
    <n v="199"/>
    <s v="Republica de Francia"/>
    <s v="Chiriquí"/>
    <x v="10"/>
    <s v="San José de David"/>
    <s v="FO"/>
    <n v="8.432817"/>
    <n v="-82.430653000000007"/>
    <s v="17/05/2017"/>
  </r>
  <r>
    <n v="1"/>
    <n v="200"/>
    <s v="UNACHI ( Universidad Autonoma de Chiriqui)"/>
    <s v="Chiriquí"/>
    <x v="10"/>
    <s v="San José de David"/>
    <s v="PMP"/>
    <n v="8.4336570000000002"/>
    <n v="-82.443006999999994"/>
    <s v="25/05/2017"/>
  </r>
  <r>
    <n v="1"/>
    <n v="201"/>
    <s v="Valle Alto del Río"/>
    <s v="Chiriquí"/>
    <x v="10"/>
    <s v="San José de David"/>
    <s v="FO"/>
    <n v="8.4201580000000007"/>
    <n v="-82.418595999999994"/>
    <s v="01/06/2017"/>
  </r>
  <r>
    <n v="1"/>
    <n v="202"/>
    <s v="Esc. El Quiteño"/>
    <s v="Chiriquí"/>
    <x v="10"/>
    <s v="Las Lomas"/>
    <s v="HFC"/>
    <n v="8.4741549999999997"/>
    <n v="-82.396315000000001"/>
    <s v="19/05/2017"/>
  </r>
  <r>
    <n v="1"/>
    <n v="203"/>
    <s v="Esc. El Valle"/>
    <s v="Chiriquí"/>
    <x v="10"/>
    <s v="Las Lomas"/>
    <s v="FO"/>
    <n v="8.4281810000000004"/>
    <n v="-82.336252999999999"/>
    <s v="23/05/2017"/>
  </r>
  <r>
    <n v="1"/>
    <n v="204"/>
    <s v="Esc. LLano Grande Abajo"/>
    <s v="Chiriquí"/>
    <x v="10"/>
    <s v="Las Lomas"/>
    <s v="FO"/>
    <n v="8.4310880000000008"/>
    <n v="-82.386255000000006"/>
    <s v="20/05/2017"/>
  </r>
  <r>
    <n v="1"/>
    <n v="205"/>
    <s v="Esc. Mata del Nance"/>
    <s v="Chiriquí"/>
    <x v="10"/>
    <s v="Las Lomas"/>
    <s v="FO"/>
    <n v="8.4525970000000008"/>
    <n v="-82.400887999999995"/>
    <s v="19/05/2017"/>
  </r>
  <r>
    <n v="1"/>
    <n v="206"/>
    <s v="Esc. San José"/>
    <s v="Chiriquí"/>
    <x v="10"/>
    <s v="Las Lomas"/>
    <s v="FO"/>
    <n v="8.4233329999999995"/>
    <n v="-82.394638"/>
    <s v="20/05/2017"/>
  </r>
  <r>
    <n v="1"/>
    <n v="207"/>
    <s v="P.C. Victoriano Lorenzo"/>
    <s v="Chiriquí"/>
    <x v="10"/>
    <s v="Las Lomas"/>
    <s v="FO"/>
    <n v="8.4262250000000005"/>
    <n v="-82.392247999999995"/>
    <s v="20/05/2017"/>
  </r>
  <r>
    <n v="1"/>
    <n v="208"/>
    <s v="Parque Llano Arriba"/>
    <s v="Chiriquí"/>
    <x v="10"/>
    <s v="Las Lomas"/>
    <s v="FO"/>
    <n v="8.4408720000000006"/>
    <n v="-82.393467999999999"/>
    <s v="19/05/2017"/>
  </r>
  <r>
    <n v="1"/>
    <n v="209"/>
    <s v="ESC. AURA ROSA AGUILAR"/>
    <s v="Chiriquí"/>
    <x v="10"/>
    <s v="San Carlos"/>
    <s v="PTP"/>
    <n v="8.5219109999999993"/>
    <n v="-82.505616000000003"/>
    <s v="20/06/2017"/>
  </r>
  <r>
    <n v="1"/>
    <n v="210"/>
    <s v="Hospital Materno Infantil"/>
    <s v="Chiriquí"/>
    <x v="10"/>
    <s v="San Carlos"/>
    <s v="PTP"/>
    <n v="8.4311919999999994"/>
    <n v="-82.455312000000006"/>
    <s v="17/05/2017"/>
  </r>
  <r>
    <n v="1"/>
    <n v="211"/>
    <s v="Hospital Regional de Chiriquí"/>
    <s v="Chiriquí"/>
    <x v="10"/>
    <s v="San Carlos"/>
    <s v="FO"/>
    <n v="8.4304919999999992"/>
    <n v="-82.452574999999996"/>
    <s v="25/05/2017"/>
  </r>
  <r>
    <n v="1"/>
    <n v="212"/>
    <s v="Universidad Tecnológica San Carlos"/>
    <s v="Chiriquí"/>
    <x v="10"/>
    <s v="San Carlos"/>
    <s v="PTP"/>
    <n v="8.4231829999999999"/>
    <n v="-82.442543999999998"/>
    <s v="15/05/2017"/>
  </r>
  <r>
    <n v="1"/>
    <n v="213"/>
    <s v="Esc. Aguacatal"/>
    <s v="Chiriquí"/>
    <x v="10"/>
    <s v="San Pablo Viejo"/>
    <s v="HFC"/>
    <n v="8.4590029999999992"/>
    <n v="-82"/>
    <s v="22/05/2017"/>
  </r>
  <r>
    <n v="1"/>
    <n v="214"/>
    <s v="Esc. Montilla"/>
    <s v="Chiriquí"/>
    <x v="10"/>
    <s v="San Pablo Viejo"/>
    <s v="HFC"/>
    <n v="8.4681680000000004"/>
    <n v="-82.479690000000005"/>
    <s v="22/05/2017"/>
  </r>
  <r>
    <n v="1"/>
    <n v="215"/>
    <s v="Esc. San Juan del David"/>
    <s v="Chiriquí"/>
    <x v="10"/>
    <s v="San Pablo Viejo"/>
    <s v="PTP"/>
    <n v="8.4819469999999999"/>
    <n v="-82.484803999999997"/>
    <s v="15/06/2017"/>
  </r>
  <r>
    <n v="1"/>
    <n v="216"/>
    <s v="Esc. San Pablo Viejo Arriba"/>
    <s v="Chiriquí"/>
    <x v="10"/>
    <s v="San Pablo Viejo"/>
    <s v="FO"/>
    <n v="8.4775609999999997"/>
    <n v="-82.712152000000003"/>
    <s v="28/07/2017"/>
  </r>
  <r>
    <n v="1"/>
    <n v="218"/>
    <s v="CEBG Los Algarrobos"/>
    <s v="Chiriquí"/>
    <x v="11"/>
    <s v="Los Algarrobos"/>
    <s v="FO"/>
    <n v="8.5172799999999995"/>
    <n v="-82.619337000000002"/>
    <s v="01/08/2017"/>
  </r>
  <r>
    <n v="1"/>
    <n v="219"/>
    <s v="Esc. El Flor"/>
    <s v="Chiriquí"/>
    <x v="11"/>
    <s v="Los Algarrobos"/>
    <s v="HFC"/>
    <n v="8.5756379999999996"/>
    <n v="-82.443582000000006"/>
    <s v="29/05/2017"/>
  </r>
  <r>
    <n v="1"/>
    <n v="220"/>
    <s v="Municipio de Dolega"/>
    <s v="Chiriquí"/>
    <x v="11"/>
    <s v="Los Algarrobos"/>
    <s v="HFC"/>
    <n v="8.5669579999999996"/>
    <n v="-82.416613999999996"/>
    <s v="26/05/2017"/>
  </r>
  <r>
    <n v="1"/>
    <n v="221"/>
    <s v="Esc. Las Cañas."/>
    <s v="Chiriquí"/>
    <x v="11"/>
    <s v="Los Algarrobos"/>
    <s v="FO"/>
    <n v="8.5645799999999994"/>
    <n v="-82.449579999999997"/>
    <s v="01/08/2017"/>
  </r>
  <r>
    <n v="1"/>
    <n v="223"/>
    <s v="Esc. Los Bejucos"/>
    <s v="Chiriquí"/>
    <x v="11"/>
    <s v="Los Algarrobos"/>
    <s v="Satelital"/>
    <n v="8.5855680000000003"/>
    <n v="-82.462704000000002"/>
    <s v="16/10/2017"/>
  </r>
  <r>
    <n v="1"/>
    <n v="225"/>
    <s v="Centro de Salud Los Anastacios"/>
    <s v="Chiriquí"/>
    <x v="11"/>
    <s v="Los Anastacios"/>
    <s v="FO"/>
    <n v="8.5321739999999995"/>
    <n v="-82.420760999999999"/>
    <s v="02/06/2017"/>
  </r>
  <r>
    <n v="1"/>
    <n v="226"/>
    <s v="Esc. Rincón Largo"/>
    <s v="Chiriquí"/>
    <x v="11"/>
    <s v="Los Anastacios"/>
    <s v="FO"/>
    <n v="8.529598"/>
    <n v="-82.409977999999995"/>
    <s v="16/06/2017"/>
  </r>
  <r>
    <n v="1"/>
    <n v="227"/>
    <s v="Escuela Los Anastacios"/>
    <s v="Chiriquí"/>
    <x v="11"/>
    <s v="Los Anastacios"/>
    <s v="FO"/>
    <n v="8.5304780000000004"/>
    <n v="-82.417758000000006"/>
    <s v="28/07/2017"/>
  </r>
  <r>
    <n v="1"/>
    <n v="228"/>
    <s v="Escuela Primaria Santa Rosa"/>
    <s v="Chiriquí"/>
    <x v="11"/>
    <s v="Los Anastacios"/>
    <s v="HFC"/>
    <n v="8.5329960000000007"/>
    <n v="-82.428818000000007"/>
    <s v="25/05/2017"/>
  </r>
  <r>
    <n v="1"/>
    <n v="230"/>
    <s v="Parque 27 de Noviembre"/>
    <s v="Chiriquí"/>
    <x v="11"/>
    <s v="Los Anastacios"/>
    <s v="FO"/>
    <n v="8.5327110000000008"/>
    <n v="-82.419055999999998"/>
    <s v="01/08/2017"/>
  </r>
  <r>
    <n v="1"/>
    <n v="231"/>
    <s v="Parque Residencial Altamar"/>
    <s v="Chiriquí"/>
    <x v="11"/>
    <s v="Los Anastacios"/>
    <s v="FO"/>
    <n v="8.5206959999999992"/>
    <n v="-82.424133999999995"/>
    <s v="02/06/2017"/>
  </r>
  <r>
    <n v="1"/>
    <n v="232"/>
    <s v="Plaza Los Algarrobos"/>
    <s v="Chiriquí"/>
    <x v="11"/>
    <s v="Los Anastacios"/>
    <s v="HFC"/>
    <n v="8.4995410000000007"/>
    <n v="-82.425670999999994"/>
    <s v="01/08/2017"/>
  </r>
  <r>
    <n v="1"/>
    <n v="233"/>
    <s v="Esc. Higuerón."/>
    <s v="Chiriquí"/>
    <x v="12"/>
    <s v="Gualaca"/>
    <s v="FO"/>
    <n v="8.4989690000000007"/>
    <n v="-82.285015000000001"/>
    <s v="02/06/2017"/>
  </r>
  <r>
    <n v="1"/>
    <n v="234"/>
    <s v="Municipio Gualaca"/>
    <s v="Chiriquí"/>
    <x v="12"/>
    <s v="Gualaca"/>
    <s v="FO"/>
    <n v="8.5323910000000005"/>
    <n v="-82.299513000000005"/>
    <s v="02/06/2017"/>
  </r>
  <r>
    <n v="1"/>
    <n v="235"/>
    <s v="Parque Gualaca"/>
    <s v="Chiriquí"/>
    <x v="12"/>
    <s v="Gualaca"/>
    <s v="FO"/>
    <n v="8.5332109999999997"/>
    <n v="-82.299683999999999"/>
    <s v="02/06/2017"/>
  </r>
  <r>
    <n v="1"/>
    <n v="236"/>
    <s v="Esc. Secundaria Jesús Maria Pla"/>
    <s v="Chiriquí"/>
    <x v="12"/>
    <s v="Gualaca"/>
    <s v="FO"/>
    <n v="8.5228699999999993"/>
    <n v="-82.300129999999996"/>
    <s v="02/06/2017"/>
  </r>
  <r>
    <n v="1"/>
    <n v="237"/>
    <s v="Esc. Antonio Anguizola"/>
    <s v="Chiriquí"/>
    <x v="13"/>
    <s v="Remedios"/>
    <s v="FO"/>
    <n v="8.2280730000000002"/>
    <n v="-81.832277000000005"/>
    <s v="24/07/2017"/>
  </r>
  <r>
    <n v="1"/>
    <n v="238"/>
    <s v="Municipio de Remedios"/>
    <s v="Chiriquí"/>
    <x v="13"/>
    <s v="Remedios"/>
    <s v="FO"/>
    <n v="8.2281519999999997"/>
    <n v="-81.832020999999997"/>
    <s v="24/07/2017"/>
  </r>
  <r>
    <n v="1"/>
    <n v="239"/>
    <s v="P.C. Arturo D. Motta"/>
    <s v="Chiriquí"/>
    <x v="13"/>
    <s v="Remedios"/>
    <s v="FO"/>
    <n v="8.2248059999999992"/>
    <n v="-81.825525999999996"/>
    <s v="24/07/2017"/>
  </r>
  <r>
    <n v="1"/>
    <n v="240"/>
    <s v="Esc. Alto de Quiel"/>
    <s v="Chiriquí"/>
    <x v="14"/>
    <s v="Cañas Gordas"/>
    <s v="PTP"/>
    <n v="8.7306380000000008"/>
    <n v="-82.888304000000005"/>
    <s v="27/07/2017"/>
  </r>
  <r>
    <n v="1"/>
    <n v="241"/>
    <s v="Esc. Bajos de Chiriquí"/>
    <s v="Chiriquí"/>
    <x v="14"/>
    <s v="Cañas Gordas"/>
    <s v="Satelital"/>
    <n v="8.7306380000000008"/>
    <n v="-82.851915000000005"/>
    <s v="27/09/2017"/>
  </r>
  <r>
    <n v="1"/>
    <n v="242"/>
    <s v="Esc. Qda. Las Vueltas"/>
    <s v="Chiriquí"/>
    <x v="14"/>
    <s v="Cañas Gordas"/>
    <s v="Satelital"/>
    <n v="8.6703600000000005"/>
    <n v="-82.839971000000006"/>
    <s v="27/09/2017"/>
  </r>
  <r>
    <n v="1"/>
    <n v="243"/>
    <s v="Esc. Monte Lirio"/>
    <s v="Chiriquí"/>
    <x v="14"/>
    <s v="Monte Lirio"/>
    <s v="Satelital"/>
    <n v="8.7939710000000009"/>
    <n v="-82.823025999999999"/>
    <s v="12/12/2017"/>
  </r>
  <r>
    <n v="1"/>
    <n v="244"/>
    <s v="Esc. San Antonio Abajo"/>
    <s v="Chiriquí"/>
    <x v="14"/>
    <s v="Monte Lirio"/>
    <s v="PTP"/>
    <n v="8.7928599999999992"/>
    <n v="-82.788303999999997"/>
    <s v="31/05/2017"/>
  </r>
  <r>
    <n v="1"/>
    <n v="245"/>
    <s v="Esc. Sta. Clara Abajo"/>
    <s v="Chiriquí"/>
    <x v="14"/>
    <s v="Monte Lirio"/>
    <s v="PTP"/>
    <n v="8.8216099999999997"/>
    <n v="-82.856154000000004"/>
    <s v="31/05/2017"/>
  </r>
  <r>
    <n v="1"/>
    <n v="246"/>
    <s v="C.E.B.G. Caizan Fuertes Caminos"/>
    <s v="Chiriquí"/>
    <x v="14"/>
    <s v="Plaza de Caisán"/>
    <s v="Satelital"/>
    <n v="8.7431380000000001"/>
    <n v="-82.819970999999995"/>
    <s v="28/09/2017"/>
  </r>
  <r>
    <n v="1"/>
    <n v="247"/>
    <s v="Esc. Caisán Arriba"/>
    <s v="Chiriquí"/>
    <x v="14"/>
    <s v="Plaza de Caisán"/>
    <s v="PTP"/>
    <n v="8.7689079999999997"/>
    <n v="-82.787887999999995"/>
    <s v="31/05/2017"/>
  </r>
  <r>
    <n v="1"/>
    <n v="248"/>
    <s v="Esc. Altamira"/>
    <s v="Chiriquí"/>
    <x v="14"/>
    <s v="Río Sereno"/>
    <s v="Satelital"/>
    <n v="8.7930659999999996"/>
    <n v="-82.861958999999999"/>
    <s v="04/12/2017"/>
  </r>
  <r>
    <n v="1"/>
    <n v="249"/>
    <s v="Esc. Piedra Candela"/>
    <s v="Chiriquí"/>
    <x v="14"/>
    <s v="Río Sereno"/>
    <s v="PTP"/>
    <n v="8.8291160000000009"/>
    <n v="-82.860619"/>
    <s v="27/07/2017"/>
  </r>
  <r>
    <n v="1"/>
    <n v="250"/>
    <s v="Esc. Río Sereno"/>
    <s v="Chiriquí"/>
    <x v="14"/>
    <s v="Río Sereno"/>
    <s v="FO"/>
    <n v="8.8200819999999993"/>
    <n v="-82.860525999999993"/>
    <s v="22/06/2017"/>
  </r>
  <r>
    <n v="1"/>
    <n v="251"/>
    <s v="Municipo de Renacimiento"/>
    <s v="Chiriquí"/>
    <x v="14"/>
    <s v="Río Sereno"/>
    <s v="FO"/>
    <n v="8.8166670000000007"/>
    <n v="-82.866667000000007"/>
    <s v="22/06/2017"/>
  </r>
  <r>
    <n v="1"/>
    <n v="252"/>
    <s v="Esc. Miraflores."/>
    <s v="Chiriquí"/>
    <x v="14"/>
    <s v="Río Sereno"/>
    <s v="FO"/>
    <n v="8.8441189999999992"/>
    <n v="-82.830207000000001"/>
    <s v="22/06/2017"/>
  </r>
  <r>
    <n v="1"/>
    <n v="253"/>
    <s v="Parque Río Sereno"/>
    <s v="Chiriquí"/>
    <x v="14"/>
    <s v="Río Sereno"/>
    <s v="FO"/>
    <n v="8.8202210000000001"/>
    <n v="-82.861791999999994"/>
    <s v="31/01/2018"/>
  </r>
  <r>
    <n v="1"/>
    <n v="254"/>
    <s v="Esc. Palmarito"/>
    <s v="Chiriquí"/>
    <x v="14"/>
    <s v="Santa Clara"/>
    <s v="PTP"/>
    <n v="8.8015629999999998"/>
    <n v="-82.775093999999996"/>
    <s v="31/05/2017"/>
  </r>
  <r>
    <n v="1"/>
    <n v="255"/>
    <s v="Esc. Sta. Clara"/>
    <s v="Chiriquí"/>
    <x v="14"/>
    <s v="Santa Clara"/>
    <s v="PTP"/>
    <n v="8.6963589999999993"/>
    <n v="-82.702400999999995"/>
    <s v="31/05/2017"/>
  </r>
  <r>
    <n v="1"/>
    <n v="256"/>
    <s v="Esc. Las Lajas"/>
    <s v="Chiriquí"/>
    <x v="15"/>
    <s v="Las Lajas"/>
    <s v="FO"/>
    <n v="8.2531029999999994"/>
    <n v="-81.870566999999994"/>
    <s v="16/06/2017"/>
  </r>
  <r>
    <n v="1"/>
    <n v="257"/>
    <s v="Esc. Sec. de Las Lajas"/>
    <s v="Chiriquí"/>
    <x v="15"/>
    <s v="Las Lajas"/>
    <s v="FO"/>
    <n v="8.244351"/>
    <n v="-81.869302000000005"/>
    <s v="24/07/2017"/>
  </r>
  <r>
    <n v="1"/>
    <n v="258"/>
    <s v="Municipio San Félix"/>
    <s v="Chiriquí"/>
    <x v="15"/>
    <s v="Las Lajas"/>
    <s v="FO"/>
    <n v="8.2441940000000002"/>
    <n v="-81.869669999999999"/>
    <s v="24/07/2017"/>
  </r>
  <r>
    <n v="1"/>
    <n v="259"/>
    <s v="Esc. San Félix"/>
    <s v="Chiriquí"/>
    <x v="15"/>
    <s v="San Félix"/>
    <s v="FO"/>
    <n v="8.2967040000000001"/>
    <n v="-81.869099000000006"/>
    <s v="16/06/2017"/>
  </r>
  <r>
    <n v="1"/>
    <n v="260"/>
    <s v="Hospital MINSA"/>
    <s v="Chiriquí"/>
    <x v="15"/>
    <s v="San Félix"/>
    <s v="FO"/>
    <n v="8.2849190000000004"/>
    <n v="-81.873867000000004"/>
    <s v="24/07/2017"/>
  </r>
  <r>
    <n v="1"/>
    <n v="261"/>
    <s v="Esc. Boca del Monte"/>
    <s v="Chiriquí"/>
    <x v="16"/>
    <s v="Boca del Monte"/>
    <s v="FO"/>
    <n v="8.3558269999999997"/>
    <n v="-82.115827999999993"/>
    <s v="21/06/2017"/>
  </r>
  <r>
    <n v="1"/>
    <n v="262"/>
    <s v="Esc. Las Vueltas"/>
    <s v="Chiriquí"/>
    <x v="16"/>
    <s v="Boca del Monte"/>
    <s v="FO"/>
    <n v="8.3558269999999997"/>
    <n v="-82.115827999999993"/>
    <s v="23/06/2017"/>
  </r>
  <r>
    <n v="1"/>
    <n v="263"/>
    <s v="Esc. Sara V. Campbell"/>
    <s v="Chiriquí"/>
    <x v="16"/>
    <s v="Horconcitos"/>
    <s v="FO"/>
    <n v="8.3131299999999992"/>
    <n v="-82.154297999999997"/>
    <s v="23/06/2017"/>
  </r>
  <r>
    <n v="1"/>
    <n v="264"/>
    <s v="Municipio San Lorenzo"/>
    <s v="Chiriquí"/>
    <x v="16"/>
    <s v="Horconcitos"/>
    <s v="FO"/>
    <n v="8.3151069999999994"/>
    <n v="-82.150560999999996"/>
    <s v="23/06/2017"/>
  </r>
  <r>
    <n v="1"/>
    <n v="265"/>
    <s v="Esc. Llano Grande"/>
    <s v="Chiriquí"/>
    <x v="16"/>
    <s v="San Lorenzo"/>
    <s v="Satelital"/>
    <n v="8.3442500000000006"/>
    <n v="-82.054415000000006"/>
    <s v="23/10/2017"/>
  </r>
  <r>
    <n v="1"/>
    <n v="266"/>
    <s v="Esc. San Lorenzo"/>
    <s v="Chiriquí"/>
    <x v="16"/>
    <s v="San Lorenzo"/>
    <s v="FO"/>
    <n v="8.3072440000000007"/>
    <n v="-82.102102000000002"/>
    <s v="15/06/2017"/>
  </r>
  <r>
    <n v="1"/>
    <n v="267"/>
    <s v="I.P.T. Abel Tapiero Miranda"/>
    <s v="Chiriquí"/>
    <x v="16"/>
    <s v="San Lorenzo"/>
    <s v="FO"/>
    <n v="8.3095700000000008"/>
    <n v="-82.105973000000006"/>
    <s v="15/06/2017"/>
  </r>
  <r>
    <n v="1"/>
    <n v="268"/>
    <s v="Esc. Comun"/>
    <s v="Chiriquí"/>
    <x v="17"/>
    <s v="Tolé"/>
    <s v="FO"/>
    <n v="8.2078620000000004"/>
    <n v="-81.682471000000007"/>
    <s v="03/08/2017"/>
  </r>
  <r>
    <n v="1"/>
    <n v="269"/>
    <s v="Esc. Santiago Bolaños"/>
    <s v="Chiriquí"/>
    <x v="17"/>
    <s v="Tolé"/>
    <s v="FO"/>
    <n v="8.2426759999999994"/>
    <n v="-81.670066000000006"/>
    <s v="24/07/2017"/>
  </r>
  <r>
    <n v="1"/>
    <n v="270"/>
    <s v="Municipio Tole"/>
    <s v="Chiriquí"/>
    <x v="17"/>
    <s v="Tolé"/>
    <s v="FO"/>
    <n v="8.2434259999999995"/>
    <n v="-81.672526000000005"/>
    <s v="24/07/2017"/>
  </r>
  <r>
    <n v="1"/>
    <n v="272"/>
    <s v="Municipio Soloy"/>
    <s v="Comarca Ngäbe-Buglé"/>
    <x v="18"/>
    <s v="Soloy"/>
    <s v="Satelital"/>
    <n v="8.5488890000000008"/>
    <n v="-81.09"/>
    <s v="24/11/2017"/>
  </r>
  <r>
    <n v="1"/>
    <n v="276"/>
    <s v="Municipio Kusapín"/>
    <s v="Comarca Ngäbe-Buglé"/>
    <x v="19"/>
    <s v="Kusapín"/>
    <s v="Satelital"/>
    <n v="9.0059140000000006"/>
    <n v="-80.244971000000007"/>
    <s v="28/12/2017"/>
  </r>
  <r>
    <n v="1"/>
    <n v="277"/>
    <s v="COL. Río Chiriquí"/>
    <s v="Comarca Ngäbe-Buglé"/>
    <x v="19"/>
    <s v="Río Chiriquí"/>
    <s v="Satelital"/>
    <n v="8.8407429999999998"/>
    <n v="-81.565081000000006"/>
    <s v="14/12/2017"/>
  </r>
  <r>
    <n v="1"/>
    <n v="278"/>
    <s v="Municipio Hato Pilón"/>
    <s v="Comarca Ngäbe-Buglé"/>
    <x v="20"/>
    <s v="Hato Pilón"/>
    <s v="Satelital"/>
    <n v="8.3813890000000004"/>
    <n v="-81.828056000000004"/>
    <s v="19/12/2017"/>
  </r>
  <r>
    <n v="1"/>
    <n v="279"/>
    <s v="C.E.B.G. Alto Caballero"/>
    <s v="Comarca Ngäbe-Buglé"/>
    <x v="21"/>
    <s v="Alto Caballero"/>
    <s v="PTP"/>
    <n v="8.2947480000000002"/>
    <n v="-81.673872000000003"/>
    <s v="12/09/2017"/>
  </r>
  <r>
    <n v="1"/>
    <n v="280"/>
    <s v="C.E.B.G. Cerro Puerco"/>
    <s v="Comarca Ngäbe-Buglé"/>
    <x v="21"/>
    <s v="Cerro Puerco"/>
    <s v="Satelital"/>
    <n v="8.3083720000000003"/>
    <n v="-81.755565000000004"/>
    <s v="16/10/2017"/>
  </r>
  <r>
    <n v="1"/>
    <n v="282"/>
    <s v="I.P.T.. Chichica"/>
    <s v="Comarca Ngäbe-Buglé"/>
    <x v="21"/>
    <s v="Chichica"/>
    <s v="Satelital"/>
    <n v="8.1367220000000007"/>
    <n v="-81.375874999999994"/>
    <s v="22/09/2017"/>
  </r>
  <r>
    <n v="1"/>
    <n v="284"/>
    <s v="Escuela Llano Macano"/>
    <s v="Comarca Ngäbe-Buglé"/>
    <x v="21"/>
    <s v="Nibra"/>
    <s v="Satelital"/>
    <n v="8.2823060000000002"/>
    <n v="-81.548304000000002"/>
    <s v="13/12/2017"/>
  </r>
  <r>
    <n v="1"/>
    <n v="286"/>
    <s v="I.P.T. Sitio Prado"/>
    <s v="Comarca Ngäbe-Buglé"/>
    <x v="21"/>
    <s v="Sitio Prado"/>
    <s v="Satelital"/>
    <n v="8.3732559999999996"/>
    <n v="-81.579740999999999"/>
    <s v="24/11/2017"/>
  </r>
  <r>
    <n v="1"/>
    <n v="287"/>
    <s v="C.E.B.G. Cerro Iglesias"/>
    <s v="Comarca Ngäbe-Buglé"/>
    <x v="22"/>
    <s v="Cerro Iglesias"/>
    <s v="Satelital"/>
    <n v="8.3052320000000002"/>
    <n v="-81.794828999999993"/>
    <s v="26/09/2017"/>
  </r>
  <r>
    <n v="1"/>
    <n v="288"/>
    <s v="Municipio Nole Duima"/>
    <s v="Comarca Ngäbe-Buglé"/>
    <x v="22"/>
    <s v="Cerro Iglesias"/>
    <s v="Satelital"/>
    <n v="8.3071830000000002"/>
    <n v="-81.794696000000002"/>
    <s v="26/09/2017"/>
  </r>
  <r>
    <n v="1"/>
    <n v="290"/>
    <s v="C.E.B.G. Petita Santos"/>
    <s v="Comarca Ngäbe-Buglé"/>
    <x v="22"/>
    <s v="Susama"/>
    <s v="Satelital"/>
    <n v="8.2185939999999995"/>
    <n v="-81.713463000000004"/>
    <s v="26/09/2017"/>
  </r>
  <r>
    <n v="1"/>
    <n v="292"/>
    <s v="Colegio El Peñón"/>
    <s v="Comarca Ngäbe-Buglé"/>
    <x v="23"/>
    <s v="Agua de Salud"/>
    <s v="Satelital"/>
    <n v="8.4528610000000004"/>
    <n v="-81.418582000000001"/>
    <s v="12/12/2017"/>
  </r>
  <r>
    <n v="1"/>
    <n v="293"/>
    <s v="Municipio Buenos Aires"/>
    <s v="Comarca Ngäbe-Buglé"/>
    <x v="23"/>
    <s v="Buenos Aires"/>
    <s v="Satelital"/>
    <n v="8.4127150000000004"/>
    <n v="-81.478875000000002"/>
    <s v="23/01/2018"/>
  </r>
  <r>
    <n v="1"/>
    <n v="294"/>
    <s v="Centro Educativo Cerro Pelado"/>
    <s v="Comarca Ngäbe-Buglé"/>
    <x v="23"/>
    <s v="Cerro Pelado"/>
    <s v="Satelital"/>
    <n v="8.1628620000000005"/>
    <n v="-81.543859999999995"/>
    <s v="12/12/2017"/>
  </r>
  <r>
    <n v="1"/>
    <n v="295"/>
    <s v="I.P.T.A. Hermana María Mercedes Pérez"/>
    <s v="Comarca Ngäbe-Buglé"/>
    <x v="23"/>
    <s v="El Bale"/>
    <s v="Satelital"/>
    <n v="8.3473059999999997"/>
    <n v="-81.370249000000001"/>
    <s v="12/12/2017"/>
  </r>
  <r>
    <n v="1"/>
    <n v="297"/>
    <s v="Municipio Atalaya (Cabecera)"/>
    <s v="Veraguas"/>
    <x v="24"/>
    <s v="Jesús Nazareno de Atalaya"/>
    <s v="HFC"/>
    <n v="8.0434979999999996"/>
    <n v="-80.925134999999997"/>
    <s v="26/06/2017"/>
  </r>
  <r>
    <n v="1"/>
    <n v="298"/>
    <s v="PC de Atalaya"/>
    <s v="Veraguas"/>
    <x v="24"/>
    <s v="Jesús Nazareno de Atalaya"/>
    <s v="FO"/>
    <n v="8.0458510000000008"/>
    <n v="-80.927366000000006"/>
    <s v="28/06/2017"/>
  </r>
  <r>
    <n v="1"/>
    <n v="299"/>
    <s v="Escuela Eligio Tejada Ortega"/>
    <s v="Veraguas"/>
    <x v="25"/>
    <s v="Calobre"/>
    <s v="FO"/>
    <n v="8.318695"/>
    <n v="-80.843860000000006"/>
    <s v="02/08/2017"/>
  </r>
  <r>
    <n v="1"/>
    <n v="300"/>
    <s v="C.E.B.G. San Miguel"/>
    <s v="Veraguas"/>
    <x v="25"/>
    <s v="Calobre"/>
    <s v="FO"/>
    <n v="8.2630929999999996"/>
    <n v="-80.855002999999996"/>
    <s v="11/07/2017"/>
  </r>
  <r>
    <n v="1"/>
    <n v="301"/>
    <s v="I.P.T. César A. Clavel Méndez"/>
    <s v="Veraguas"/>
    <x v="26"/>
    <s v="San Francisco Javier de Cañazas"/>
    <s v="PTP"/>
    <n v="8.3123059999999995"/>
    <n v="-81.213582000000002"/>
    <s v="29/06/2017"/>
  </r>
  <r>
    <n v="1"/>
    <n v="302"/>
    <s v="Escuela San Pablo (ESC. JOSE David JIMENEZ)"/>
    <s v="Veraguas"/>
    <x v="27"/>
    <s v="Bisvalles"/>
    <s v="FO"/>
    <n v="8.1984180000000002"/>
    <n v="-81.249138000000002"/>
    <s v="12/07/2017"/>
  </r>
  <r>
    <n v="1"/>
    <n v="303"/>
    <s v="Escuela Zodelda Franco"/>
    <s v="Veraguas"/>
    <x v="27"/>
    <s v="Bisvalles"/>
    <s v="FO"/>
    <n v="8.2034179999999992"/>
    <n v="-81.195249000000004"/>
    <s v="05/10/2017"/>
  </r>
  <r>
    <n v="1"/>
    <n v="304"/>
    <s v="Municipio La Mesa"/>
    <s v="Veraguas"/>
    <x v="27"/>
    <s v="La Mesa"/>
    <s v="FO"/>
    <n v="8.1486549999999998"/>
    <n v="-81.181200000000004"/>
    <s v="03/08/2017"/>
  </r>
  <r>
    <n v="1"/>
    <n v="305"/>
    <s v="C.E.B.G. Animas de Boro"/>
    <s v="Veraguas"/>
    <x v="27"/>
    <s v="San Bartolo"/>
    <s v="FO"/>
    <n v="8.2140880000000003"/>
    <n v="-81.326369999999997"/>
    <s v="12/07/2017"/>
  </r>
  <r>
    <n v="1"/>
    <n v="306"/>
    <s v="C.E.B.G. Mercedes A. de Tristán"/>
    <s v="Veraguas"/>
    <x v="27"/>
    <s v="San Bartolo"/>
    <s v="FO"/>
    <n v="8.2123969999999993"/>
    <n v="-81.277072000000004"/>
    <s v="12/07/2017"/>
  </r>
  <r>
    <n v="1"/>
    <n v="307"/>
    <s v="Escuela El Marañón"/>
    <s v="Veraguas"/>
    <x v="27"/>
    <s v="San Bartolo"/>
    <s v="FO"/>
    <n v="8.227862"/>
    <n v="-81"/>
    <s v="14/07/2017"/>
  </r>
  <r>
    <n v="1"/>
    <n v="308"/>
    <s v="Escuela El Rincón"/>
    <s v="Veraguas"/>
    <x v="28"/>
    <s v="El Rincón"/>
    <s v="FO"/>
    <n v="8.1873059999999995"/>
    <n v="-81.429415000000006"/>
    <s v="06/09/2017"/>
  </r>
  <r>
    <n v="1"/>
    <n v="309"/>
    <s v="I.P.T. El Rincón"/>
    <s v="Veraguas"/>
    <x v="28"/>
    <s v="El Rincón"/>
    <s v="FO"/>
    <n v="8.1873059999999995"/>
    <n v="-81.429415000000006"/>
    <s v="13/07/2017"/>
  </r>
  <r>
    <n v="1"/>
    <n v="311"/>
    <s v="Escuela José A. Ruiz"/>
    <s v="Veraguas"/>
    <x v="28"/>
    <s v="Las Palmas"/>
    <s v="FO"/>
    <n v="8.1390750000000001"/>
    <n v="-81.457167999999996"/>
    <s v="13/07/2017"/>
  </r>
  <r>
    <n v="1"/>
    <n v="312"/>
    <s v="I.P.T. Las Palmas"/>
    <s v="Veraguas"/>
    <x v="28"/>
    <s v="Las Palmas"/>
    <s v="FO"/>
    <n v="8.2021250000000006"/>
    <n v="-81.493033999999994"/>
    <s v="06/09/2017"/>
  </r>
  <r>
    <n v="1"/>
    <n v="314"/>
    <s v="Escuela Torio"/>
    <s v="Veraguas"/>
    <x v="29"/>
    <s v="Mariato"/>
    <s v="Satelital"/>
    <n v="7.5473090000000003"/>
    <n v="-80.948859999999996"/>
    <s v="16/10/2017"/>
  </r>
  <r>
    <n v="1"/>
    <n v="315"/>
    <s v="C.E.B.G. Loma de Quebro"/>
    <s v="Veraguas"/>
    <x v="29"/>
    <s v="Quebro"/>
    <s v="Satelital"/>
    <n v="7.4386979999999996"/>
    <n v="-80.887471000000005"/>
    <s v="16/10/2017"/>
  </r>
  <r>
    <n v="1"/>
    <n v="316"/>
    <s v="Escuela Quebro"/>
    <s v="Veraguas"/>
    <x v="29"/>
    <s v="Quebro"/>
    <s v="Satelital"/>
    <n v="7.4272559999999999"/>
    <n v="-80.835392999999996"/>
    <s v="16/10/2017"/>
  </r>
  <r>
    <n v="1"/>
    <n v="317"/>
    <s v="Escuela Adolfo José Fábrega"/>
    <s v="Veraguas"/>
    <x v="30"/>
    <s v="Montijo"/>
    <s v="HFC"/>
    <n v="7.9894749999999997"/>
    <n v="-81.054838000000004"/>
    <s v="28/06/2017"/>
  </r>
  <r>
    <n v="1"/>
    <n v="318"/>
    <s v="Escuela El Pilón"/>
    <s v="Veraguas"/>
    <x v="30"/>
    <s v="Montijo"/>
    <s v="FO"/>
    <n v="7.9553630000000002"/>
    <n v="-81.074415000000002"/>
    <s v="28/06/2017"/>
  </r>
  <r>
    <n v="1"/>
    <n v="319"/>
    <s v="C.E.B.G. Rogelio E. Nurse"/>
    <s v="Veraguas"/>
    <x v="31"/>
    <s v="Remance"/>
    <s v="Satelital"/>
    <n v="8.2500839999999993"/>
    <n v="-81.083303999999998"/>
    <s v="14/12/2017"/>
  </r>
  <r>
    <n v="1"/>
    <n v="320"/>
    <s v="C.E.B.G. Pedro Arrocha Graell"/>
    <s v="Veraguas"/>
    <x v="31"/>
    <s v="San Francisco de la Montaña"/>
    <s v="HFC"/>
    <n v="8.2484169999999999"/>
    <n v="-80.972748999999993"/>
    <s v="28/06/2017"/>
  </r>
  <r>
    <n v="1"/>
    <n v="321"/>
    <s v="C.E.B.G. San José Nº 2"/>
    <s v="Veraguas"/>
    <x v="31"/>
    <s v="San José"/>
    <s v="FO"/>
    <n v="8.3517499999999991"/>
    <n v="-81.040526"/>
    <s v="08/09/2017"/>
  </r>
  <r>
    <n v="1"/>
    <n v="322"/>
    <s v="Belisario Villar"/>
    <s v="Veraguas"/>
    <x v="32"/>
    <s v="Canto del Llano"/>
    <s v="FO"/>
    <n v="8.1223310000000009"/>
    <n v="-80.968632999999997"/>
    <s v="15/06/2017"/>
  </r>
  <r>
    <n v="1"/>
    <n v="323"/>
    <s v="CEBG Rubén Darío - Canto del Llano"/>
    <s v="Veraguas"/>
    <x v="32"/>
    <s v="Canto del Llano"/>
    <s v="FO"/>
    <n v="8.1220829999999999"/>
    <n v="-80.964996999999997"/>
    <s v="14/06/2017"/>
  </r>
  <r>
    <n v="1"/>
    <n v="324"/>
    <s v="Centro de Salud del Canto del Llano"/>
    <s v="Veraguas"/>
    <x v="32"/>
    <s v="Canto del Llano"/>
    <s v="FO"/>
    <n v="8.1184560000000001"/>
    <n v="-80.965582999999995"/>
    <s v="14/06/2017"/>
  </r>
  <r>
    <n v="1"/>
    <n v="325"/>
    <s v="E.S.N.O. de Veraguas"/>
    <s v="Veraguas"/>
    <x v="32"/>
    <s v="Canto del Llano"/>
    <s v="FO"/>
    <n v="8.1131360000000008"/>
    <n v="-80.966166999999999"/>
    <s v="20/06/2017"/>
  </r>
  <r>
    <n v="1"/>
    <n v="326"/>
    <s v="I.P.T. de Veraguas"/>
    <s v="Veraguas"/>
    <x v="32"/>
    <s v="Canto del Llano"/>
    <s v="FO"/>
    <n v="8.1114499999999996"/>
    <n v="-80.970667000000006"/>
    <s v="11/07/2017"/>
  </r>
  <r>
    <n v="1"/>
    <n v="327"/>
    <s v="INADEH Canto del Llano"/>
    <s v="Veraguas"/>
    <x v="32"/>
    <s v="Canto del Llano"/>
    <s v="Radio"/>
    <n v="8.1165190000000003"/>
    <n v="-80.963901000000007"/>
    <s v="13/06/2017"/>
  </r>
  <r>
    <n v="1"/>
    <n v="329"/>
    <s v="MIDES Canto del Llano"/>
    <s v="Veraguas"/>
    <x v="32"/>
    <s v="Canto del Llano"/>
    <s v="PTP"/>
    <n v="8.1172900000000006"/>
    <n v="-80.965891999999997"/>
    <s v="13/06/2017"/>
  </r>
  <r>
    <n v="1"/>
    <n v="330"/>
    <s v="Universidad Canto del Llano"/>
    <s v="Veraguas"/>
    <x v="32"/>
    <s v="Canto del Llano"/>
    <s v="FO"/>
    <n v="8.1133249999999997"/>
    <n v="-80.968556000000007"/>
    <s v="15/06/2017"/>
  </r>
  <r>
    <n v="1"/>
    <n v="331"/>
    <s v="Villa Universitaria Canto del Llano"/>
    <s v="Veraguas"/>
    <x v="32"/>
    <s v="Canto del Llano"/>
    <s v="FO"/>
    <n v="8.1155329999999992"/>
    <n v="-80.967118999999997"/>
    <s v="13/06/2017"/>
  </r>
  <r>
    <n v="1"/>
    <n v="332"/>
    <s v="Escuela José de Los S. Gutiérrez"/>
    <s v="Veraguas"/>
    <x v="32"/>
    <s v="Carlos Santana Ávila"/>
    <s v="FO"/>
    <n v="8.083418"/>
    <n v="-80.889971000000003"/>
    <s v="29/06/2017"/>
  </r>
  <r>
    <n v="1"/>
    <n v="333"/>
    <s v="Escuela Juana B. Macías"/>
    <s v="Veraguas"/>
    <x v="32"/>
    <s v="Carlos Santana Ávila"/>
    <s v="FO"/>
    <n v="8.0945289999999996"/>
    <n v="-80.818582000000006"/>
    <s v="10/07/2017"/>
  </r>
  <r>
    <n v="1"/>
    <n v="334"/>
    <s v="Escuela República de Oliver Alemán"/>
    <s v="Veraguas"/>
    <x v="32"/>
    <s v="Carlos Santana Ávila"/>
    <s v="FO"/>
    <n v="8.0814730000000008"/>
    <n v="-80.852749000000003"/>
    <s v="10/07/2017"/>
  </r>
  <r>
    <n v="1"/>
    <n v="335"/>
    <s v="P.C. La Inmaculda Concepción"/>
    <s v="Veraguas"/>
    <x v="32"/>
    <s v="Carlos Santana Ávila"/>
    <s v="PTP"/>
    <n v="8.1270290000000003"/>
    <n v="-80.857748999999998"/>
    <s v="15/06/2017"/>
  </r>
  <r>
    <n v="1"/>
    <n v="336"/>
    <s v="C.E.B.G. Martín Grande"/>
    <s v="Veraguas"/>
    <x v="32"/>
    <s v="Edwin Fábrega"/>
    <s v="FO"/>
    <n v="8.0706399999999991"/>
    <n v="-81.005249000000006"/>
    <s v="26/09/2017"/>
  </r>
  <r>
    <n v="1"/>
    <n v="337"/>
    <s v="Escuela Quebrada. Honda"/>
    <s v="Veraguas"/>
    <x v="32"/>
    <s v="Edwin Fábrega"/>
    <s v="FO"/>
    <n v="8.0614740000000005"/>
    <n v="-81.031081999999998"/>
    <s v="26/09/2017"/>
  </r>
  <r>
    <n v="1"/>
    <n v="338"/>
    <s v="P.C. Margarito Mojica"/>
    <s v="Veraguas"/>
    <x v="32"/>
    <s v="La Colorada"/>
    <s v="HFC"/>
    <n v="8.0399779999999996"/>
    <n v="-80.978326999999993"/>
    <s v="21/06/2017"/>
  </r>
  <r>
    <n v="1"/>
    <n v="339"/>
    <s v="Colegio Secundario La Peña"/>
    <s v="Veraguas"/>
    <x v="32"/>
    <s v="La Peña"/>
    <s v="FO"/>
    <n v="8.1255089999999992"/>
    <n v="-81.020139"/>
    <s v="27/06/2017"/>
  </r>
  <r>
    <n v="1"/>
    <n v="340"/>
    <s v="Escuela Agustín Pérez Colmenares"/>
    <s v="Veraguas"/>
    <x v="32"/>
    <s v="La Peña"/>
    <s v="FO"/>
    <n v="8.1311090000000004"/>
    <n v="-81.027553999999995"/>
    <s v="04/09/2017"/>
  </r>
  <r>
    <n v="1"/>
    <n v="341"/>
    <s v="Escuela La Coloradita de la Peña"/>
    <s v="Veraguas"/>
    <x v="32"/>
    <s v="La Peña"/>
    <s v="FO"/>
    <n v="8.1731400000000001"/>
    <n v="-81.025803999999994"/>
    <s v="03/08/2017"/>
  </r>
  <r>
    <n v="1"/>
    <n v="342"/>
    <s v="Escuela Los Algarrobos"/>
    <s v="Veraguas"/>
    <x v="32"/>
    <s v="La Peña"/>
    <s v="FO"/>
    <n v="8"/>
    <n v="-81"/>
    <s v="27/06/2017"/>
  </r>
  <r>
    <n v="1"/>
    <n v="344"/>
    <s v="C.E.B.G. Cañazas Abajo"/>
    <s v="Veraguas"/>
    <x v="32"/>
    <s v="La Raya de Santa María"/>
    <s v="FO"/>
    <n v="8.1420290000000008"/>
    <n v="-80.712470999999994"/>
    <s v="03/10/2017"/>
  </r>
  <r>
    <n v="1"/>
    <n v="346"/>
    <s v="Escuela La Raya de Sta. María"/>
    <s v="Veraguas"/>
    <x v="32"/>
    <s v="La Raya de Santa María"/>
    <s v="FO"/>
    <n v="8.1692509999999992"/>
    <n v="-80.816637999999998"/>
    <s v="11/07/2017"/>
  </r>
  <r>
    <n v="1"/>
    <n v="347"/>
    <s v="ESC. SAN PEDRO DEL ESPINO"/>
    <s v="Veraguas"/>
    <x v="32"/>
    <s v="Los Algarrobos"/>
    <s v="FO"/>
    <n v="8.138973"/>
    <n v="-81.083582000000007"/>
    <s v="03/08/2017"/>
  </r>
  <r>
    <n v="1"/>
    <n v="348"/>
    <s v="Escuela El Embalsadero"/>
    <s v="Veraguas"/>
    <x v="32"/>
    <s v="Los Algarrobos"/>
    <s v="HFC"/>
    <n v="8.1023069999999997"/>
    <n v="-81.051360000000003"/>
    <s v="16/06/2017"/>
  </r>
  <r>
    <n v="1"/>
    <n v="349"/>
    <s v="Escuela El Llanillo"/>
    <s v="Veraguas"/>
    <x v="32"/>
    <s v="Los Algarrobos"/>
    <s v="FO"/>
    <n v="8.0700850000000006"/>
    <n v="-81.076359999999994"/>
    <s v="28/06/2017"/>
  </r>
  <r>
    <n v="1"/>
    <n v="350"/>
    <s v="Escuela La Corocita."/>
    <s v="Veraguas"/>
    <x v="32"/>
    <s v="Los Algarrobos"/>
    <s v="FO"/>
    <n v="8.076473"/>
    <n v="-81.046360000000007"/>
    <s v="03/08/2017"/>
  </r>
  <r>
    <n v="1"/>
    <n v="351"/>
    <s v="Escuela Pacora"/>
    <s v="Veraguas"/>
    <x v="32"/>
    <s v="Los Algarrobos"/>
    <s v="FO"/>
    <n v="8.1020289999999999"/>
    <n v="-81.079414999999997"/>
    <s v="04/09/2017"/>
  </r>
  <r>
    <n v="1"/>
    <n v="352"/>
    <s v="Escuela Guayaquil"/>
    <s v="Veraguas"/>
    <x v="32"/>
    <s v="San Martín de Porres"/>
    <s v="HFC"/>
    <n v="8.1089730000000007"/>
    <n v="-80.923025999999993"/>
    <s v="15/06/2017"/>
  </r>
  <r>
    <n v="1"/>
    <n v="353"/>
    <s v="Escuela Punta Delgadita"/>
    <s v="Veraguas"/>
    <x v="32"/>
    <s v="San Martín de Porres"/>
    <s v="FO"/>
    <n v="8.1095290000000002"/>
    <n v="-80.943026000000003"/>
    <s v="19/06/2017"/>
  </r>
  <r>
    <n v="1"/>
    <n v="354"/>
    <s v="Escuela Rómulo Arrocha"/>
    <s v="Veraguas"/>
    <x v="32"/>
    <s v="San Martín de Porres"/>
    <s v="FO"/>
    <n v="8.1173070000000003"/>
    <n v="-80.957193000000004"/>
    <s v="04/09/2017"/>
  </r>
  <r>
    <n v="1"/>
    <n v="355"/>
    <s v="Escuela San Martín de Porres"/>
    <s v="Veraguas"/>
    <x v="32"/>
    <s v="San Martín de Porres"/>
    <s v="FO"/>
    <n v="8.1128619999999998"/>
    <n v="-80.963859999999997"/>
    <s v="20/06/2017"/>
  </r>
  <r>
    <n v="1"/>
    <n v="356"/>
    <s v="Instituto Urracá"/>
    <s v="Veraguas"/>
    <x v="32"/>
    <s v="San Martín de Porres"/>
    <s v="FO"/>
    <n v="8.1131399999999996"/>
    <n v="-80.966915"/>
    <s v="20/06/2017"/>
  </r>
  <r>
    <n v="1"/>
    <n v="357"/>
    <s v="Anexa El Canada"/>
    <s v="Veraguas"/>
    <x v="32"/>
    <s v="Santiago Apóstol"/>
    <s v="FO"/>
    <n v="8.1058970000000006"/>
    <n v="-80.977592000000001"/>
    <s v="15/06/2017"/>
  </r>
  <r>
    <n v="1"/>
    <n v="362"/>
    <s v="Centro de Salud de Santiago"/>
    <s v="Veraguas"/>
    <x v="32"/>
    <s v="Santiago Apóstol"/>
    <s v="FO"/>
    <n v="8.1012579999999996"/>
    <n v="-80.983497"/>
    <s v="14/06/2017"/>
  </r>
  <r>
    <n v="1"/>
    <n v="363"/>
    <s v="Direccion Regional del MEDUCA (Mercado Público Municipal)"/>
    <s v="Veraguas"/>
    <x v="32"/>
    <s v="Santiago Apóstol"/>
    <s v="FO"/>
    <n v="8.0985969999999998"/>
    <n v="-80.982541999999995"/>
    <s v="14/06/2017"/>
  </r>
  <r>
    <n v="1"/>
    <n v="364"/>
    <s v="Escuela José Santos Puga"/>
    <s v="Veraguas"/>
    <x v="32"/>
    <s v="Santiago Apóstol"/>
    <s v="FO"/>
    <n v="8.0988830000000007"/>
    <n v="-80.972267000000002"/>
    <s v="20/06/2017"/>
  </r>
  <r>
    <n v="1"/>
    <n v="365"/>
    <s v="Escuela Juan D. Arosemena 1"/>
    <s v="Veraguas"/>
    <x v="32"/>
    <s v="Santiago Apóstol"/>
    <s v="FO"/>
    <n v="8.1020939999999992"/>
    <n v="-80.978607999999994"/>
    <s v="14/06/2017"/>
  </r>
  <r>
    <n v="1"/>
    <n v="366"/>
    <s v="Escuela Juan D. Arosemena # 2"/>
    <s v="Veraguas"/>
    <x v="32"/>
    <s v="Santiago Apóstol"/>
    <s v="FO"/>
    <n v="8.1020939999999992"/>
    <n v="-80.978607999999994"/>
    <s v="13/06/2017"/>
  </r>
  <r>
    <n v="1"/>
    <n v="367"/>
    <s v="Escuela La Primavera"/>
    <s v="Veraguas"/>
    <x v="32"/>
    <s v="Santiago Apóstol"/>
    <s v="FO"/>
    <n v="8.0919059999999998"/>
    <n v="-80.979906"/>
    <s v="16/06/2017"/>
  </r>
  <r>
    <n v="1"/>
    <n v="368"/>
    <s v="Escuela Manuel H. Perez"/>
    <s v="Veraguas"/>
    <x v="32"/>
    <s v="Santiago Apóstol"/>
    <s v="FO"/>
    <n v="8.1010500000000008"/>
    <n v="-80.974061000000006"/>
    <s v="19/06/2017"/>
  </r>
  <r>
    <n v="1"/>
    <n v="369"/>
    <s v="IFARHU Santiago"/>
    <s v="Veraguas"/>
    <x v="32"/>
    <s v="Santiago Apóstol"/>
    <s v="FO"/>
    <n v="8.1064720000000001"/>
    <n v="-80.972999999999999"/>
    <s v="19/06/2017"/>
  </r>
  <r>
    <n v="1"/>
    <n v="370"/>
    <s v="Instituto Profesional y Tecnico Omar Torrijos"/>
    <s v="Veraguas"/>
    <x v="32"/>
    <s v="Santiago Apóstol"/>
    <s v="FO"/>
    <n v="8.1018080000000001"/>
    <n v="-80.969311000000005"/>
    <s v="20/06/2017"/>
  </r>
  <r>
    <n v="1"/>
    <n v="371"/>
    <s v="IPHE Santiago"/>
    <s v="Veraguas"/>
    <x v="32"/>
    <s v="Santiago Apóstol"/>
    <s v="FO"/>
    <n v="8.1076940000000004"/>
    <n v="-80.977277999999998"/>
    <s v="15/06/2017"/>
  </r>
  <r>
    <n v="1"/>
    <n v="374"/>
    <s v="Parque Central Santiago"/>
    <s v="Veraguas"/>
    <x v="32"/>
    <s v="Santiago Apóstol"/>
    <s v="FO"/>
    <n v="8.0974889999999995"/>
    <n v="-80.983322000000001"/>
    <s v="20/06/2017"/>
  </r>
  <r>
    <n v="1"/>
    <n v="375"/>
    <s v="Policlínica de la Caja de Seguro Social Santiago"/>
    <s v="Veraguas"/>
    <x v="32"/>
    <s v="Santiago Apóstol"/>
    <s v="FO"/>
    <n v="8.1080220000000001"/>
    <n v="-80.980571999999995"/>
    <s v="15/06/2017"/>
  </r>
  <r>
    <n v="1"/>
    <n v="376"/>
    <s v="Terminal de Transporte Santiago"/>
    <s v="Veraguas"/>
    <x v="32"/>
    <s v="Santiago Apóstol"/>
    <s v="FO"/>
    <n v="8.1035559999999993"/>
    <n v="-80.974000000000004"/>
    <s v="21/06/2017"/>
  </r>
  <r>
    <n v="1"/>
    <n v="377"/>
    <s v="C.O.I.F. CALLE PRIMERA"/>
    <s v="Veraguas"/>
    <x v="32"/>
    <s v="Santiago Apóstol"/>
    <s v="FO"/>
    <n v="8.0932659999999998"/>
    <n v="-80.980316999999999"/>
    <s v="30/06/2017"/>
  </r>
  <r>
    <n v="1"/>
    <n v="378"/>
    <s v="C.E.B.G. Bolívar"/>
    <s v="Veraguas"/>
    <x v="33"/>
    <s v="El Marañón"/>
    <s v="FO"/>
    <n v="8.0267579999999992"/>
    <n v="-81.233812"/>
    <s v="23/06/2017"/>
  </r>
  <r>
    <n v="1"/>
    <n v="379"/>
    <s v="Escuela Cerro Largo."/>
    <s v="Veraguas"/>
    <x v="33"/>
    <s v="El Marañón"/>
    <s v="Satelital"/>
    <n v="8.0561779999999992"/>
    <n v="-81.252418000000006"/>
    <s v="20/10/2017"/>
  </r>
  <r>
    <n v="1"/>
    <n v="380"/>
    <s v="Escuela Isabel Arosemena de Ábrego"/>
    <s v="Veraguas"/>
    <x v="33"/>
    <s v="El Marañón"/>
    <s v="FO"/>
    <n v="8.0057220000000004"/>
    <n v="-81.280641000000003"/>
    <s v="23/11/2017"/>
  </r>
  <r>
    <n v="1"/>
    <n v="381"/>
    <s v="C.E. Dr. Ricardo Martinelli P."/>
    <s v="Veraguas"/>
    <x v="33"/>
    <s v="Guarumal"/>
    <s v="FO"/>
    <n v="8.0123470000000001"/>
    <n v="-81.318107999999995"/>
    <s v="01/08/2017"/>
  </r>
  <r>
    <n v="1"/>
    <n v="382"/>
    <s v="Escuela La Trinchera"/>
    <s v="Veraguas"/>
    <x v="33"/>
    <s v="Guarumal"/>
    <s v="FO"/>
    <n v="7.7986969999999998"/>
    <n v="-81.276359999999997"/>
    <s v="01/08/2017"/>
  </r>
  <r>
    <n v="1"/>
    <n v="383"/>
    <s v="C.E.B.G. El Hicaco"/>
    <s v="Veraguas"/>
    <x v="33"/>
    <s v="Río Grande"/>
    <s v="Satelital"/>
    <n v="7.6540569999999999"/>
    <n v="-81.204126000000002"/>
    <s v="23/10/2017"/>
  </r>
  <r>
    <n v="1"/>
    <n v="384"/>
    <s v="Colegio Eduardo Sánchez Díaz"/>
    <s v="Veraguas"/>
    <x v="33"/>
    <s v="Río Grande"/>
    <s v="Satelital"/>
    <n v="7.7296110000000002"/>
    <n v="-81.281049999999993"/>
    <s v="12/01/2018"/>
  </r>
  <r>
    <n v="1"/>
    <n v="385"/>
    <s v="ESC. SANTA CATALINA"/>
    <s v="Veraguas"/>
    <x v="33"/>
    <s v="Río Grande"/>
    <s v="Satelital"/>
    <n v="7.6349910000000003"/>
    <n v="-81.258898000000002"/>
    <s v="20/10/2017"/>
  </r>
  <r>
    <n v="1"/>
    <n v="386"/>
    <s v="Escuela Julieta de Duarte"/>
    <s v="Veraguas"/>
    <x v="33"/>
    <s v="Río Grande"/>
    <s v="Satelital"/>
    <n v="7.7024679999999996"/>
    <n v="-81.301218000000006"/>
    <s v="23/10/2017"/>
  </r>
  <r>
    <n v="1"/>
    <n v="387"/>
    <s v="Escuela Madre Vieja"/>
    <s v="Veraguas"/>
    <x v="33"/>
    <s v="Río Grande"/>
    <s v="Satelital"/>
    <n v="7.675719"/>
    <n v="-81.331612000000007"/>
    <s v="23/10/2017"/>
  </r>
  <r>
    <n v="1"/>
    <n v="390"/>
    <s v="Biblioteca Pública Jacinto Velásquez"/>
    <s v="Veraguas"/>
    <x v="33"/>
    <s v="Soná"/>
    <s v="FO"/>
    <n v="8.0082260000000005"/>
    <n v="-81.313890999999998"/>
    <s v="22/06/2017"/>
  </r>
  <r>
    <n v="1"/>
    <n v="392"/>
    <s v="Correos Nacionales Soná"/>
    <s v="Veraguas"/>
    <x v="33"/>
    <s v="Soná"/>
    <s v="FO"/>
    <n v="8.0105000000000004"/>
    <n v="-81.313796999999994"/>
    <s v="23/06/2017"/>
  </r>
  <r>
    <n v="1"/>
    <n v="393"/>
    <s v="Escuela José Bonifacio Alvarado"/>
    <s v="Veraguas"/>
    <x v="33"/>
    <s v="Soná"/>
    <s v="FO"/>
    <n v="8.0083669999999998"/>
    <n v="-81.313796999999994"/>
    <s v="23/06/2017"/>
  </r>
  <r>
    <n v="1"/>
    <n v="395"/>
    <s v="Escuela San José"/>
    <s v="Veraguas"/>
    <x v="33"/>
    <s v="Soná"/>
    <s v="FO"/>
    <n v="8.0053579999999993"/>
    <n v="-81.327820000000003"/>
    <s v="22/06/2017"/>
  </r>
  <r>
    <n v="1"/>
    <n v="396"/>
    <s v="Hospital Regional de Salud Soná"/>
    <s v="Veraguas"/>
    <x v="33"/>
    <s v="Soná"/>
    <s v="FO"/>
    <n v="8.0255620000000008"/>
    <n v="-81.241040999999996"/>
    <s v="27/06/2017"/>
  </r>
  <r>
    <n v="1"/>
    <n v="397"/>
    <s v="IPHE Soná"/>
    <s v="Veraguas"/>
    <x v="33"/>
    <s v="Soná"/>
    <s v="FO"/>
    <n v="8.0082830000000005"/>
    <n v="-81.313796999999994"/>
    <s v="22/06/2017"/>
  </r>
  <r>
    <n v="1"/>
    <n v="400"/>
    <s v="MIDES Soná"/>
    <s v="Veraguas"/>
    <x v="33"/>
    <s v="Soná"/>
    <s v="FO"/>
    <n v="8.0057500000000008"/>
    <n v="-81.313796999999994"/>
    <s v="22/06/2017"/>
  </r>
  <r>
    <n v="1"/>
    <n v="402"/>
    <s v="Municipio de Soná"/>
    <s v="Veraguas"/>
    <x v="33"/>
    <s v="Soná"/>
    <s v="FO"/>
    <n v="8.0104500000000005"/>
    <n v="-81.313796999999994"/>
    <s v="27/06/2017"/>
  </r>
  <r>
    <n v="1"/>
    <n v="403"/>
    <s v="Parque Centenario Soná"/>
    <s v="Veraguas"/>
    <x v="33"/>
    <s v="Soná"/>
    <s v="FO"/>
    <n v="8.0088830000000009"/>
    <n v="-81.313811000000001"/>
    <s v="27/06/2017"/>
  </r>
  <r>
    <n v="1"/>
    <n v="407"/>
    <s v="Terminal de Pasajeros de Soná"/>
    <s v="Veraguas"/>
    <x v="33"/>
    <s v="Soná"/>
    <s v="FO"/>
    <n v="8.0068169999999999"/>
    <n v="-81.313796999999994"/>
    <s v="23/06/2017"/>
  </r>
  <r>
    <n v="1"/>
    <n v="408"/>
    <s v="Universidad de Panamá Soná"/>
    <s v="Veraguas"/>
    <x v="33"/>
    <s v="Soná"/>
    <s v="FO"/>
    <n v="8.0105000000000004"/>
    <n v="-81.313796999999994"/>
    <s v="13/07/2017"/>
  </r>
  <r>
    <n v="2"/>
    <n v="411"/>
    <s v="Carlos Clement-Barrio Norte"/>
    <s v="Colón"/>
    <x v="34"/>
    <s v="Barrio Norte"/>
    <s v="PMP"/>
    <n v="9.3649920000000009"/>
    <n v="-79.903208000000006"/>
    <s v="16/05/2017"/>
  </r>
  <r>
    <n v="2"/>
    <n v="413"/>
    <s v="Centro de Aprendizaje TIC`s MINISTERIO DE SEGURIDAD"/>
    <s v="Colón"/>
    <x v="34"/>
    <s v="Barrio Norte"/>
    <s v="PMP"/>
    <n v="9.3609919999999995"/>
    <n v="-79.900615000000002"/>
    <s v="17/05/2017"/>
  </r>
  <r>
    <n v="2"/>
    <n v="414"/>
    <s v="Colegio José Guardia Vega-Barrio Norte"/>
    <s v="Colón"/>
    <x v="34"/>
    <s v="Barrio Norte"/>
    <s v="PMP"/>
    <n v="9.3641710000000007"/>
    <n v="-79.898955000000001"/>
    <s v="16/05/2017"/>
  </r>
  <r>
    <n v="2"/>
    <n v="417"/>
    <s v="Esc. Republica del Paraguay"/>
    <s v="Colón"/>
    <x v="34"/>
    <s v="Barrio Norte"/>
    <s v="PMP"/>
    <n v="9.3657489999999992"/>
    <n v="-79.901123999999996"/>
    <s v="16/05/2017"/>
  </r>
  <r>
    <n v="2"/>
    <n v="419"/>
    <s v="Instituto Panameño de Rehabilitacion"/>
    <s v="Colón"/>
    <x v="34"/>
    <s v="Barrio Norte"/>
    <s v="PMP"/>
    <n v="9.3640270000000001"/>
    <n v="-79.896092999999993"/>
    <s v="19/05/2017"/>
  </r>
  <r>
    <n v="2"/>
    <n v="420"/>
    <s v="Instituto Rufo A. Gray-Barrio Norte"/>
    <s v="Colón"/>
    <x v="34"/>
    <s v="Barrio Norte"/>
    <s v="FO"/>
    <n v="9.3636540000000004"/>
    <n v="-79.896342000000004"/>
    <s v="15/05/2017"/>
  </r>
  <r>
    <n v="2"/>
    <n v="421"/>
    <s v="Juan A. Henriquez-Barrio Norte"/>
    <s v="Colón"/>
    <x v="34"/>
    <s v="Barrio Norte"/>
    <s v="PMP"/>
    <n v="9.365907"/>
    <n v="-79.902629000000005"/>
    <s v="16/05/2017"/>
  </r>
  <r>
    <n v="2"/>
    <n v="428"/>
    <s v="Hospital Amador Guerrero"/>
    <s v="Colón"/>
    <x v="34"/>
    <s v="Barrio Sur"/>
    <s v="PMP"/>
    <n v="9.3581470000000007"/>
    <n v="-79.893992999999995"/>
    <s v="15/05/2017"/>
  </r>
  <r>
    <n v="2"/>
    <n v="429"/>
    <s v="Iglesia San Jose"/>
    <s v="Colón"/>
    <x v="34"/>
    <s v="Barrio Sur"/>
    <s v="PMP"/>
    <n v="9.3571229999999996"/>
    <n v="-79.901560000000003"/>
    <s v="17/05/2017"/>
  </r>
  <r>
    <n v="2"/>
    <n v="433"/>
    <s v="Terminal de Transporte de Panamá- Colón (Esc. En Busca de un Mañana)"/>
    <s v="Colón"/>
    <x v="34"/>
    <s v="Barrio Sur"/>
    <s v="FO"/>
    <n v="9.3529409999999995"/>
    <n v="-79.902777"/>
    <s v="19/05/2017"/>
  </r>
  <r>
    <n v="2"/>
    <n v="434"/>
    <s v="C.E.B.G. Elisa Vda. de Garrido"/>
    <s v="Colón"/>
    <x v="34"/>
    <s v="Buena Vista"/>
    <s v="FO"/>
    <n v="9.2731770000000004"/>
    <n v="-79.695605999999998"/>
    <s v="10/07/2017"/>
  </r>
  <r>
    <n v="2"/>
    <n v="435"/>
    <s v="Esc. Altos de Divisa"/>
    <s v="Colón"/>
    <x v="34"/>
    <s v="Buena Vista"/>
    <s v="FO"/>
    <n v="9.2540800000000001"/>
    <n v="-79.711681999999996"/>
    <s v="10/07/2017"/>
  </r>
  <r>
    <n v="2"/>
    <n v="436"/>
    <s v="Esc. La Coclesana"/>
    <s v="Colón"/>
    <x v="34"/>
    <s v="Buena Vista"/>
    <s v="PTP"/>
    <n v="9.2754960000000004"/>
    <n v="-79.671512000000007"/>
    <s v="11/07/2017"/>
  </r>
  <r>
    <n v="2"/>
    <n v="438"/>
    <s v="Esc. Quebrada Bonita Nº 1"/>
    <s v="Colón"/>
    <x v="34"/>
    <s v="Buena Vista"/>
    <s v="PTP"/>
    <n v="9.2979299999999991"/>
    <n v="-79.705430000000007"/>
    <s v="10/07/2017"/>
  </r>
  <r>
    <n v="2"/>
    <n v="439"/>
    <s v="Escuela Peñas Blancas"/>
    <s v="Colón"/>
    <x v="34"/>
    <s v="Buena Vista"/>
    <s v="FO"/>
    <n v="9.3036779999999997"/>
    <n v="-79.681306000000006"/>
    <s v="21/07/2017"/>
  </r>
  <r>
    <n v="2"/>
    <n v="440"/>
    <s v="Policía Nacional Buena Vista"/>
    <s v="Colón"/>
    <x v="34"/>
    <s v="Buena Vista"/>
    <s v="FO"/>
    <n v="9.2737960000000008"/>
    <n v="-79.696387999999999"/>
    <s v="11/05/2017"/>
  </r>
  <r>
    <n v="2"/>
    <n v="441"/>
    <s v="C.E.B.G. Manuel Urbano Ayarza"/>
    <s v="Colón"/>
    <x v="34"/>
    <s v="Cativá"/>
    <s v="FO"/>
    <n v="9.3620819999999991"/>
    <n v="-79.838734000000002"/>
    <s v="15/05/2017"/>
  </r>
  <r>
    <n v="2"/>
    <n v="442"/>
    <s v="Esc. La Represa"/>
    <s v="Colón"/>
    <x v="34"/>
    <s v="Cativá"/>
    <s v="FO"/>
    <n v="9.3367459999999998"/>
    <n v="-79.839971000000006"/>
    <s v="21/07/2017"/>
  </r>
  <r>
    <n v="2"/>
    <n v="443"/>
    <s v="I.P.T. de Colón"/>
    <s v="Colón"/>
    <x v="34"/>
    <s v="Cativá"/>
    <s v="FO"/>
    <n v="9.3599759999999996"/>
    <n v="-79.825941"/>
    <s v="15/05/2017"/>
  </r>
  <r>
    <n v="2"/>
    <n v="444"/>
    <s v="Colegio Abel Bravo"/>
    <s v="Colón"/>
    <x v="34"/>
    <s v="Cristóbal"/>
    <s v="FO"/>
    <n v="9.3239009999999993"/>
    <n v="-79.885412000000002"/>
    <s v="17/07/2017"/>
  </r>
  <r>
    <n v="2"/>
    <n v="445"/>
    <s v="C.E.B.G. Luis Jimenez"/>
    <s v="Colón"/>
    <x v="34"/>
    <s v="Puerto Pilón"/>
    <s v="PMP"/>
    <n v="9.3600239999999992"/>
    <n v="-79.791104000000004"/>
    <s v="12/05/2017"/>
  </r>
  <r>
    <n v="2"/>
    <n v="446"/>
    <s v="ESC. VILLA ALONDRA"/>
    <s v="Colón"/>
    <x v="34"/>
    <s v="Puerto Pilón"/>
    <s v="FO"/>
    <n v="9.3879629999999992"/>
    <n v="-79.781234999999995"/>
    <s v="19/05/2017"/>
  </r>
  <r>
    <n v="2"/>
    <n v="447"/>
    <s v="Junta Comunal de Puerto Pilón (Parque de Las Madres)"/>
    <s v="Colón"/>
    <x v="34"/>
    <s v="Puerto Pilón"/>
    <s v="PMP"/>
    <n v="9.3646609999999999"/>
    <n v="-79.794606999999999"/>
    <s v="12/05/2017"/>
  </r>
  <r>
    <n v="2"/>
    <n v="450"/>
    <s v="Esc. Felipe Salabarria Mesa"/>
    <s v="Colón"/>
    <x v="34"/>
    <s v="Sabanitas"/>
    <s v="FO"/>
    <n v="9.3732880000000005"/>
    <n v="-79.788371999999995"/>
    <s v="19/05/2017"/>
  </r>
  <r>
    <n v="2"/>
    <n v="451"/>
    <s v="Esc. Santa Rita Arriba"/>
    <s v="Colón"/>
    <x v="34"/>
    <s v="Sabanitas"/>
    <s v="PMP"/>
    <n v="9.354635"/>
    <n v="-79.806526000000005"/>
    <s v="11/05/2017"/>
  </r>
  <r>
    <n v="2"/>
    <n v="452"/>
    <s v="Escuela Crispino Ceballos"/>
    <s v="Colón"/>
    <x v="34"/>
    <s v="Sabanitas"/>
    <s v="PMP"/>
    <n v="9.3548139999999993"/>
    <n v="-79.806611000000004"/>
    <s v="12/05/2017"/>
  </r>
  <r>
    <n v="2"/>
    <n v="453"/>
    <s v="Escuela Marco Ramón Vásquez"/>
    <s v="Colón"/>
    <x v="34"/>
    <s v="Sabanitas"/>
    <s v="HFC"/>
    <n v="9.3427100000000003"/>
    <n v="-79.807491999999996"/>
    <s v="19/07/2017"/>
  </r>
  <r>
    <n v="2"/>
    <n v="454"/>
    <s v="Instituto Benigno Jimenez"/>
    <s v="Colón"/>
    <x v="34"/>
    <s v="Sabanitas"/>
    <s v="PMP"/>
    <n v="9.3521160000000005"/>
    <n v="-79.801700999999994"/>
    <s v="12/05/2017"/>
  </r>
  <r>
    <n v="2"/>
    <n v="455"/>
    <s v="Junta Comunal de Sabanitas"/>
    <s v="Colón"/>
    <x v="34"/>
    <s v="Sabanitas"/>
    <s v="PMP"/>
    <n v="9.3476780000000002"/>
    <n v="-79.808004999999994"/>
    <s v="12/05/2017"/>
  </r>
  <r>
    <n v="2"/>
    <n v="456"/>
    <s v="Policlinica Hospital de Sabanitas"/>
    <s v="Colón"/>
    <x v="34"/>
    <s v="Sabanitas"/>
    <s v="PMP"/>
    <n v="9.3463469999999997"/>
    <n v="-79.806342000000001"/>
    <s v="11/05/2017"/>
  </r>
  <r>
    <n v="2"/>
    <n v="457"/>
    <s v="Col. Secundario Gatuncillo"/>
    <s v="Colón"/>
    <x v="34"/>
    <s v="San Juan"/>
    <s v="FO"/>
    <n v="9.2506939999999993"/>
    <n v="-79.643018999999995"/>
    <s v="05/06/2017"/>
  </r>
  <r>
    <n v="2"/>
    <n v="458"/>
    <s v="Corregiduría San juan"/>
    <s v="Colón"/>
    <x v="34"/>
    <s v="San Juan"/>
    <s v="FO"/>
    <n v="9.2473840000000003"/>
    <n v="-79.650246999999993"/>
    <s v="10/05/2017"/>
  </r>
  <r>
    <n v="2"/>
    <n v="459"/>
    <s v="Esc. Dr. Augusto S. Boyd Nº 2"/>
    <s v="Colón"/>
    <x v="34"/>
    <s v="San Juan"/>
    <s v="FO"/>
    <n v="9.253857"/>
    <n v="-79.648280999999997"/>
    <s v="11/05/2017"/>
  </r>
  <r>
    <n v="2"/>
    <n v="460"/>
    <s v="Esc. Nvo. Vigía"/>
    <s v="Colón"/>
    <x v="34"/>
    <s v="San Juan"/>
    <s v="FO"/>
    <n v="9.2446549999999998"/>
    <n v="-79.607782999999998"/>
    <s v="05/06/2017"/>
  </r>
  <r>
    <n v="2"/>
    <n v="463"/>
    <s v="Esc. Buenaventura"/>
    <s v="Colón"/>
    <x v="35"/>
    <s v="San Felipe de Portobelo"/>
    <s v="FO"/>
    <n v="9.5351549999999996"/>
    <n v="-79.669681999999995"/>
    <s v="18/05/2017"/>
  </r>
  <r>
    <n v="2"/>
    <n v="464"/>
    <s v="Municipio Portobelo"/>
    <s v="Colón"/>
    <x v="35"/>
    <s v="San Felipe de Portobelo"/>
    <s v="FO"/>
    <n v="9.5535940000000004"/>
    <n v="-79.656806000000003"/>
    <s v="18/05/2017"/>
  </r>
  <r>
    <n v="2"/>
    <n v="467"/>
    <s v="Escuela Alto Playón"/>
    <s v="Comarca Emberá-Wounaan"/>
    <x v="36"/>
    <s v="Lajas Blancas"/>
    <s v="Satelital"/>
    <n v="8.5367499999999996"/>
    <n v="-77.882749000000004"/>
    <s v="07/08/2017"/>
  </r>
  <r>
    <n v="2"/>
    <n v="470"/>
    <s v="Escuela Arcadio Martínez"/>
    <s v="Comarca Guna Yala"/>
    <x v="37"/>
    <s v="Tubualá"/>
    <s v="Satelital"/>
    <n v="8.9217600000000008"/>
    <n v="-77.724348000000006"/>
    <s v="07/08/2017"/>
  </r>
  <r>
    <n v="2"/>
    <n v="473"/>
    <s v="Parque Comunidad Sasardi"/>
    <s v="Comarca Guna Yala"/>
    <x v="37"/>
    <s v="Tubualá"/>
    <s v="Satelital"/>
    <n v="8.946453"/>
    <n v="-77.751649999999998"/>
    <s v="07/08/2017"/>
  </r>
  <r>
    <n v="2"/>
    <n v="474"/>
    <s v="Escuela Agua Fría Nº 1"/>
    <s v="Darien"/>
    <x v="38"/>
    <s v="Agua Fría"/>
    <s v="FO"/>
    <n v="8.8609150000000003"/>
    <n v="-78.196082000000004"/>
    <s v="20/06/2017"/>
  </r>
  <r>
    <n v="2"/>
    <n v="475"/>
    <s v="Escuela Agua Fría Nº 2"/>
    <s v="Darien"/>
    <x v="38"/>
    <s v="Agua Fría"/>
    <s v="FO"/>
    <n v="8.8264709999999997"/>
    <n v="-78.190248999999994"/>
    <s v="20/06/2017"/>
  </r>
  <r>
    <n v="2"/>
    <n v="476"/>
    <s v="Escuela El Tirado"/>
    <s v="Darien"/>
    <x v="38"/>
    <s v="Agua Fría"/>
    <s v="FO"/>
    <n v="8.7665670000000002"/>
    <n v="-78.173499000000007"/>
    <s v="19/06/2017"/>
  </r>
  <r>
    <n v="2"/>
    <n v="477"/>
    <s v="Centro de Alcance Positivo Garachine"/>
    <s v="Darien"/>
    <x v="38"/>
    <s v="Garachiné"/>
    <s v="Satelital"/>
    <n v="8.0666670000000007"/>
    <n v="-78.365278000000004"/>
    <s v="22/08/2017"/>
  </r>
  <r>
    <n v="2"/>
    <n v="478"/>
    <s v="Centro de Alcance Positivo Jaque"/>
    <s v="Darien"/>
    <x v="38"/>
    <s v="Jaqué"/>
    <s v="Satelital"/>
    <n v="7.5184280000000001"/>
    <n v="-78.162023000000005"/>
    <s v="07/08/2017"/>
  </r>
  <r>
    <n v="2"/>
    <n v="482"/>
    <s v="Centro de Alcance Positivo La Palma"/>
    <s v="Darien"/>
    <x v="38"/>
    <s v="La Palma"/>
    <s v="PMP"/>
    <n v="8.4024999999999999"/>
    <n v="-78.141389000000004"/>
    <s v="21/06/2017"/>
  </r>
  <r>
    <n v="2"/>
    <n v="483"/>
    <s v="Hospital de la Palma"/>
    <s v="Darien"/>
    <x v="38"/>
    <s v="La Palma"/>
    <s v="PMP"/>
    <n v="8.4014109999999995"/>
    <n v="-78.138339000000002"/>
    <s v="22/06/2017"/>
  </r>
  <r>
    <n v="2"/>
    <n v="484"/>
    <s v="I.P.T. Alejandro Castillo"/>
    <s v="Darien"/>
    <x v="38"/>
    <s v="La Palma"/>
    <s v="PMP"/>
    <n v="8.402317"/>
    <n v="-78.141530000000003"/>
    <s v="21/06/2017"/>
  </r>
  <r>
    <n v="2"/>
    <n v="485"/>
    <s v="Juzgado Municipal La Palma"/>
    <s v="Darien"/>
    <x v="38"/>
    <s v="La Palma"/>
    <s v="PMP"/>
    <n v="8.407959"/>
    <n v="-78.141176999999999"/>
    <s v="21/06/2017"/>
  </r>
  <r>
    <n v="2"/>
    <n v="489"/>
    <s v="Parque"/>
    <s v="Darien"/>
    <x v="38"/>
    <s v="La Palma"/>
    <s v="PMP"/>
    <n v="8.4081550000000007"/>
    <n v="-78.139613999999995"/>
    <s v="21/06/2017"/>
  </r>
  <r>
    <n v="2"/>
    <n v="490"/>
    <s v="Universidad Nacional"/>
    <s v="Darien"/>
    <x v="38"/>
    <s v="La Palma"/>
    <s v="PMP"/>
    <n v="8.403791"/>
    <n v="-78.138604999999998"/>
    <s v="22/06/2017"/>
  </r>
  <r>
    <n v="2"/>
    <n v="491"/>
    <s v="Centro de Alcance Positivo Sambú"/>
    <s v="Darien"/>
    <x v="38"/>
    <s v="Sambú"/>
    <s v="Satelital"/>
    <n v="8.0255559999999999"/>
    <n v="-78.209166999999994"/>
    <s v="07/08/2017"/>
  </r>
  <r>
    <n v="2"/>
    <n v="492"/>
    <s v="CENTRO EDUCATIVO SECUNDARIO ZAPALLAL"/>
    <s v="Darien"/>
    <x v="38"/>
    <s v="Santa Fe"/>
    <s v="FO"/>
    <n v="8.6508380000000002"/>
    <n v="-78.132345999999998"/>
    <s v="19/06/2017"/>
  </r>
  <r>
    <n v="2"/>
    <n v="493"/>
    <s v="Escuela El Zapallal"/>
    <s v="Darien"/>
    <x v="38"/>
    <s v="Santa Fe"/>
    <s v="FO"/>
    <n v="8.6493649999999995"/>
    <n v="-78.127735999999999"/>
    <s v="19/06/2017"/>
  </r>
  <r>
    <n v="2"/>
    <n v="494"/>
    <s v="Escuela GERARDO BACORIZO"/>
    <s v="Darien"/>
    <x v="38"/>
    <s v="Santa Fe"/>
    <s v="FO"/>
    <n v="8.6939709999999994"/>
    <n v="-78.143304000000001"/>
    <s v="01/08/2017"/>
  </r>
  <r>
    <n v="2"/>
    <n v="495"/>
    <s v="Escuela La Cantera"/>
    <s v="Darien"/>
    <x v="38"/>
    <s v="Santa Fe"/>
    <s v="FO"/>
    <n v="8.6421980000000005"/>
    <n v="-78.170516000000006"/>
    <s v="19/06/2017"/>
  </r>
  <r>
    <n v="2"/>
    <n v="497"/>
    <s v="Escuela Sta. Fe"/>
    <s v="Darien"/>
    <x v="38"/>
    <s v="Santa Fe"/>
    <s v="FO"/>
    <n v="8.6611930000000008"/>
    <n v="-78.157471000000001"/>
    <s v="01/08/2017"/>
  </r>
  <r>
    <n v="2"/>
    <n v="498"/>
    <s v="Escuela Zimba"/>
    <s v="Darien"/>
    <x v="38"/>
    <s v="Santa Fe"/>
    <s v="FO"/>
    <n v="8.7709150000000005"/>
    <n v="-78.221360000000004"/>
    <s v="01/08/2017"/>
  </r>
  <r>
    <n v="2"/>
    <n v="499"/>
    <s v="Area frente al MIDES"/>
    <s v="Darien"/>
    <x v="39"/>
    <s v="Metetí"/>
    <s v="FO"/>
    <n v="8.5093250000000005"/>
    <n v="-77.975702999999996"/>
    <s v="20/06/2017"/>
  </r>
  <r>
    <n v="2"/>
    <n v="500"/>
    <s v="C.E.B.G. Marcos A. Alarcon P."/>
    <s v="Darien"/>
    <x v="39"/>
    <s v="Metetí"/>
    <s v="FO"/>
    <n v="8.4971530000000008"/>
    <n v="-77.981031000000002"/>
    <s v="20/06/2017"/>
  </r>
  <r>
    <n v="2"/>
    <n v="504"/>
    <s v="Escuela Canglon (Instituto Forestal Agropecuario de Darién)"/>
    <s v="Darien"/>
    <x v="39"/>
    <s v="Metetí"/>
    <s v="FO"/>
    <n v="8.3417499999999993"/>
    <n v="-77.828581999999997"/>
    <s v="10/08/2017"/>
  </r>
  <r>
    <n v="2"/>
    <n v="505"/>
    <s v="Hospital de Meteti"/>
    <s v="Darien"/>
    <x v="39"/>
    <s v="Metetí"/>
    <s v="FO"/>
    <n v="8.4987739999999992"/>
    <n v="-77.980546000000004"/>
    <s v="20/06/2017"/>
  </r>
  <r>
    <n v="2"/>
    <n v="506"/>
    <s v="IPHE Metetí"/>
    <s v="Darien"/>
    <x v="39"/>
    <s v="Metetí"/>
    <s v="FO"/>
    <n v="8.5021299999999993"/>
    <n v="-77.980717999999996"/>
    <s v="20/06/2017"/>
  </r>
  <r>
    <n v="2"/>
    <n v="508"/>
    <s v="Municipio de Metetí"/>
    <s v="Darien"/>
    <x v="39"/>
    <s v="Metetí"/>
    <s v="FO"/>
    <n v="8.5019139999999993"/>
    <n v="-77.972999999999999"/>
    <s v="22/06/2017"/>
  </r>
  <r>
    <n v="2"/>
    <n v="509"/>
    <s v="Parque Comunitario - cancha de baloncesto y futbol"/>
    <s v="Darien"/>
    <x v="39"/>
    <s v="Metetí"/>
    <s v="FO"/>
    <n v="8.5016499999999997"/>
    <n v="-77.978849999999994"/>
    <s v="20/06/2017"/>
  </r>
  <r>
    <n v="2"/>
    <n v="512"/>
    <s v="Servicio Nacional de Fronteras - Candela"/>
    <s v="Darien"/>
    <x v="39"/>
    <s v="Metetí"/>
    <s v="FO"/>
    <n v="8.496931"/>
    <n v="-77.971999999999994"/>
    <s v="20/06/2017"/>
  </r>
  <r>
    <n v="2"/>
    <n v="513"/>
    <s v="Terminal de Transporte Metetí"/>
    <s v="Darien"/>
    <x v="39"/>
    <s v="Metetí"/>
    <s v="FO"/>
    <n v="8.4920360000000006"/>
    <n v="-77.983801999999997"/>
    <s v="20/06/2017"/>
  </r>
  <r>
    <n v="2"/>
    <n v="514"/>
    <s v="Area frente al Ministerio de Desarrollo Social Chepo"/>
    <s v="Panamá"/>
    <x v="40"/>
    <s v="San Cristóbal de Chepo"/>
    <s v="FO"/>
    <n v="9.1741840000000003"/>
    <n v="-79.090802999999994"/>
    <s v="14/07/2017"/>
  </r>
  <r>
    <n v="2"/>
    <n v="515"/>
    <s v="C.E.B.G. Clímaco Delgado B."/>
    <s v="Panamá"/>
    <x v="40"/>
    <s v="Cañita"/>
    <s v="FO"/>
    <n v="9.2256470000000004"/>
    <n v="-78.893608"/>
    <s v="14/07/2017"/>
  </r>
  <r>
    <n v="2"/>
    <n v="516"/>
    <s v="C.E.B.G. Santa Isabel "/>
    <s v="Panamá"/>
    <x v="40"/>
    <s v="San Cristóbal de Chepo"/>
    <s v="FO"/>
    <n v="9.1613279999999992"/>
    <n v="-79.096714000000006"/>
    <s v="14/07/2017"/>
  </r>
  <r>
    <n v="2"/>
    <n v="517"/>
    <s v="COL. VENANCIO FENOSA PASCUAL"/>
    <s v="Panamá"/>
    <x v="40"/>
    <s v="San Cristóbal de Chepo"/>
    <s v="FO"/>
    <n v="9.1784140000000001"/>
    <n v="-79.091082"/>
    <s v="14/07/2017"/>
  </r>
  <r>
    <n v="2"/>
    <n v="518"/>
    <s v="Colegio Venacio F. Pascual"/>
    <s v="Panamá"/>
    <x v="40"/>
    <s v="San Cristóbal de Chepo"/>
    <s v="FO"/>
    <n v="9.1781830000000006"/>
    <n v="-79.091016999999994"/>
    <s v="14/07/2017"/>
  </r>
  <r>
    <n v="2"/>
    <n v="521"/>
    <s v="Escuela José G. Duque"/>
    <s v="Panamá"/>
    <x v="40"/>
    <s v="San Cristóbal de Chepo"/>
    <s v="FO"/>
    <n v="9.1724969999999999"/>
    <n v="-79.088744000000005"/>
    <s v="14/07/2017"/>
  </r>
  <r>
    <n v="2"/>
    <n v="522"/>
    <s v="Escuela Tierra Prometida"/>
    <s v="Panamá"/>
    <x v="40"/>
    <s v="San Cristóbal de Chepo"/>
    <s v="HFC"/>
    <n v="9.1506360000000004"/>
    <n v="-79.210249000000005"/>
    <s v="13/07/2017"/>
  </r>
  <r>
    <n v="2"/>
    <n v="523"/>
    <s v="Escuela Unión de Azuero"/>
    <s v="Panamá"/>
    <x v="40"/>
    <s v="San Cristóbal de Chepo"/>
    <s v="FO"/>
    <n v="9.1578579999999992"/>
    <n v="-79.168859999999995"/>
    <s v="02/08/2017"/>
  </r>
  <r>
    <n v="2"/>
    <n v="524"/>
    <s v="Hospital Regional de Chepo"/>
    <s v="Panamá"/>
    <x v="40"/>
    <s v="San Cristóbal de Chepo"/>
    <s v="FO"/>
    <n v="9.1615000000000002"/>
    <n v="-79.096383000000003"/>
    <s v="14/07/2017"/>
  </r>
  <r>
    <n v="2"/>
    <n v="525"/>
    <s v="I. P. T. México - Panamá"/>
    <s v="Panamá"/>
    <x v="40"/>
    <s v="San Cristóbal de Chepo"/>
    <s v="FO"/>
    <n v="9.1356359999999999"/>
    <n v="-79.227749000000003"/>
    <s v="13/07/2017"/>
  </r>
  <r>
    <n v="2"/>
    <n v="526"/>
    <s v="INADEH Chepo"/>
    <s v="Panamá"/>
    <x v="40"/>
    <s v="San Cristóbal de Chepo"/>
    <s v="FO"/>
    <n v="9.1792499999999997"/>
    <n v="-79.091549999999998"/>
    <s v="14/07/2017"/>
  </r>
  <r>
    <n v="2"/>
    <n v="527"/>
    <s v="Palacio Municipal Francisco de Leon"/>
    <s v="Panamá"/>
    <x v="40"/>
    <s v="San Cristóbal de Chepo"/>
    <s v="FO"/>
    <n v="9.1731490000000004"/>
    <n v="-79.090011000000004"/>
    <s v="14/07/2017"/>
  </r>
  <r>
    <n v="2"/>
    <n v="529"/>
    <s v="Terminal de Transporte Chepo"/>
    <s v="Panamá"/>
    <x v="40"/>
    <s v="San Cristóbal de Chepo"/>
    <s v="FO"/>
    <n v="9.1679329999999997"/>
    <n v="-79.094335999999998"/>
    <s v="14/07/2017"/>
  </r>
  <r>
    <n v="2"/>
    <n v="530"/>
    <s v="Universidad de Panamá - Regional Panamá Este"/>
    <s v="Panamá"/>
    <x v="40"/>
    <s v="San Cristóbal de Chepo"/>
    <s v="FO"/>
    <n v="9.1725530000000006"/>
    <n v="-79.101473999999996"/>
    <s v="14/07/2017"/>
  </r>
  <r>
    <n v="2"/>
    <n v="532"/>
    <s v="Centro de Salud Tortí"/>
    <s v="Panamá"/>
    <x v="40"/>
    <s v="Tortí"/>
    <s v="FO"/>
    <n v="8.9165609999999997"/>
    <n v="-78.388936000000001"/>
    <s v="17/07/2017"/>
  </r>
  <r>
    <n v="2"/>
    <n v="533"/>
    <s v="Centro Educativo de Tortí"/>
    <s v="Panamá"/>
    <x v="40"/>
    <s v="Tortí"/>
    <s v="FO"/>
    <n v="8.9195259999999994"/>
    <n v="-78.397193000000001"/>
    <s v="17/07/2017"/>
  </r>
  <r>
    <n v="2"/>
    <n v="534"/>
    <s v="Escuela Curtí"/>
    <s v="Panamá"/>
    <x v="40"/>
    <s v="Tortí"/>
    <s v="FO"/>
    <n v="9.0045260000000003"/>
    <n v="-78.53886"/>
    <s v="17/07/2017"/>
  </r>
  <r>
    <n v="2"/>
    <n v="535"/>
    <s v="Escuela Ipetí Chocó"/>
    <s v="Panamá"/>
    <x v="40"/>
    <s v="Tortí"/>
    <s v="FO"/>
    <n v="8.9690139999999996"/>
    <n v="-78.514925000000005"/>
    <s v="17/07/2017"/>
  </r>
  <r>
    <n v="2"/>
    <n v="536"/>
    <s v="Escuela Loma Bonita"/>
    <s v="Panamá"/>
    <x v="40"/>
    <s v="Tortí"/>
    <s v="FO"/>
    <n v="9.0184850000000001"/>
    <n v="-78.560349000000002"/>
    <s v="17/07/2017"/>
  </r>
  <r>
    <n v="2"/>
    <n v="537"/>
    <s v="Escuela María Elena Díaz"/>
    <s v="Panamá"/>
    <x v="40"/>
    <s v="Tortí"/>
    <s v="FO"/>
    <n v="8.9670260000000006"/>
    <n v="-78.466638000000003"/>
    <s v="17/07/2017"/>
  </r>
  <r>
    <n v="2"/>
    <n v="538"/>
    <s v="Escuela Nuevo Panamá"/>
    <s v="Panamá"/>
    <x v="40"/>
    <s v="Tortí"/>
    <s v="FO"/>
    <n v="8.8934149999999992"/>
    <n v="-78.326359999999994"/>
    <s v="17/07/2017"/>
  </r>
  <r>
    <n v="2"/>
    <n v="539"/>
    <s v="Escuela Palmas Bellas"/>
    <s v="Panamá"/>
    <x v="40"/>
    <s v="Tortí"/>
    <s v="FO"/>
    <n v="8.8781370000000006"/>
    <n v="-78.292192999999997"/>
    <s v="17/07/2017"/>
  </r>
  <r>
    <n v="2"/>
    <n v="540"/>
    <s v="Escuela Playa Chuzo Afuera"/>
    <s v="Panamá"/>
    <x v="40"/>
    <s v="Tortí"/>
    <s v="FO"/>
    <n v="8.9408329999999996"/>
    <n v="-78.303055999999998"/>
    <s v="17/07/2017"/>
  </r>
  <r>
    <n v="2"/>
    <n v="541"/>
    <s v="Escuela Quebrada Cali"/>
    <s v="Panamá"/>
    <x v="40"/>
    <s v="Tortí"/>
    <s v="FO"/>
    <n v="9.081747"/>
    <n v="-78.686359999999993"/>
    <s v="17/07/2017"/>
  </r>
  <r>
    <n v="2"/>
    <n v="542"/>
    <s v="Escuela San Francisco de Piriatí"/>
    <s v="Panamá"/>
    <x v="40"/>
    <s v="Tortí"/>
    <s v="FO"/>
    <n v="9.0514700000000001"/>
    <n v="-78.624414999999999"/>
    <s v="17/07/2017"/>
  </r>
  <r>
    <n v="2"/>
    <n v="543"/>
    <s v="Escuela San José de Cañazas"/>
    <s v="Panamá"/>
    <x v="40"/>
    <s v="Tortí"/>
    <s v="FO"/>
    <n v="8.9170040000000004"/>
    <n v="-78.243272000000005"/>
    <s v="17/07/2017"/>
  </r>
  <r>
    <n v="2"/>
    <n v="544"/>
    <s v="Escuela Sta. Rosa de Lima"/>
    <s v="Panamá"/>
    <x v="40"/>
    <s v="Tortí"/>
    <s v="FO"/>
    <n v="8.9797360000000008"/>
    <n v="-78.502408000000003"/>
    <s v="17/07/2017"/>
  </r>
  <r>
    <n v="2"/>
    <n v="547"/>
    <s v="Area frente a la Autoridad de los Servicios Publicos - 24 de Diciembre"/>
    <s v="Panamá"/>
    <x v="41"/>
    <s v="24 de Diciembre"/>
    <s v="FO"/>
    <n v="9.1047360000000008"/>
    <n v="-79.370502000000002"/>
    <s v="13/07/2017"/>
  </r>
  <r>
    <n v="2"/>
    <n v="548"/>
    <s v="Area frente a la Autoridad Nacional de Aduanas (departamento Fiscalización)"/>
    <s v="Panamá"/>
    <x v="41"/>
    <s v="24 de Diciembre"/>
    <s v="HFC"/>
    <n v="9.0781089999999995"/>
    <n v="-79.370260999999999"/>
    <s v="05/07/2017"/>
  </r>
  <r>
    <n v="2"/>
    <n v="549"/>
    <s v="C.E.B.G. La Siesta"/>
    <s v="Panamá"/>
    <x v="41"/>
    <s v="24 de Diciembre"/>
    <s v="HFC"/>
    <n v="9.0791749999999993"/>
    <n v="-79.356808000000001"/>
    <s v="26/07/2017"/>
  </r>
  <r>
    <n v="2"/>
    <n v="550"/>
    <s v="C.E.B.G. Vista Hermosa"/>
    <s v="Panamá"/>
    <x v="41"/>
    <s v="24 de Diciembre"/>
    <s v="HFC"/>
    <n v="9.1177189999999992"/>
    <n v="-79.358215999999999"/>
    <s v="16/06/2017"/>
  </r>
  <r>
    <n v="2"/>
    <n v="551"/>
    <s v="Centro de Salud Chase Kiwanis 24 de Diciembre"/>
    <s v="Panamá"/>
    <x v="41"/>
    <s v="24 de Diciembre"/>
    <s v="HFC"/>
    <n v="9.1062049999999992"/>
    <n v="-79.362132000000003"/>
    <s v="26/05/2017"/>
  </r>
  <r>
    <n v="2"/>
    <n v="553"/>
    <s v="ESC. CERRO AZUL"/>
    <s v="Panamá"/>
    <x v="41"/>
    <s v="24 de Diciembre"/>
    <s v="FO"/>
    <n v="9.1883330000000001"/>
    <n v="-79.406110999999996"/>
    <s v="10/08/2017"/>
  </r>
  <r>
    <n v="2"/>
    <n v="554"/>
    <s v="Esc. Primaria Sta. Maria de los Angeles"/>
    <s v="Panamá"/>
    <x v="41"/>
    <s v="24 de Diciembre"/>
    <s v="HFC"/>
    <n v="9.0982509999999994"/>
    <n v="-79.356719999999996"/>
    <s v="26/05/2017"/>
  </r>
  <r>
    <n v="2"/>
    <n v="555"/>
    <s v="ESC. UNION CENTROAMERICANA"/>
    <s v="Panamá"/>
    <x v="41"/>
    <s v="24 de Diciembre"/>
    <s v="FO"/>
    <n v="9.1201369999999997"/>
    <n v="-79.552396999999999"/>
    <s v="12/07/2017"/>
  </r>
  <r>
    <n v="2"/>
    <n v="556"/>
    <s v="Escuela 24 de Diciembre"/>
    <s v="Panamá"/>
    <x v="41"/>
    <s v="24 de Diciembre"/>
    <s v="HFC"/>
    <n v="9.0983160000000005"/>
    <n v="-79.364727999999999"/>
    <s v="07/07/2017"/>
  </r>
  <r>
    <n v="2"/>
    <n v="558"/>
    <s v="Escuela Juan E. Jiménez"/>
    <s v="Panamá"/>
    <x v="41"/>
    <s v="24 de Diciembre"/>
    <s v="FO"/>
    <n v="9.1909139999999994"/>
    <n v="-79.405804000000003"/>
    <s v="10/08/2017"/>
  </r>
  <r>
    <n v="2"/>
    <n v="559"/>
    <s v="Junta Comunal 24 de Diciembre"/>
    <s v="Panamá"/>
    <x v="41"/>
    <s v="24 de Diciembre"/>
    <s v="FO"/>
    <n v="9.0974409999999999"/>
    <n v="-79.362166000000002"/>
    <s v="08/06/2017"/>
  </r>
  <r>
    <n v="2"/>
    <n v="560"/>
    <s v="Municipio 24 de Diciembre"/>
    <s v="Panamá"/>
    <x v="41"/>
    <s v="24 de Diciembre"/>
    <s v="FO"/>
    <n v="9.102703"/>
    <n v="-79.365626000000006"/>
    <s v="13/07/2017"/>
  </r>
  <r>
    <n v="2"/>
    <n v="562"/>
    <s v="C.E.B.G. Melchor Lasso de La Vega"/>
    <s v="Panamá"/>
    <x v="41"/>
    <s v="Alcalde Díaz"/>
    <s v="FO"/>
    <n v="9.1164210000000008"/>
    <n v="-79.544758000000002"/>
    <s v="08/05/2017"/>
  </r>
  <r>
    <n v="2"/>
    <n v="563"/>
    <s v="Escuela La Cabima"/>
    <s v="Panamá"/>
    <x v="41"/>
    <s v="Alcalde Díaz"/>
    <s v="FO"/>
    <n v="9.1141729999999992"/>
    <n v="-79.537732000000005"/>
    <s v="09/05/2017"/>
  </r>
  <r>
    <n v="2"/>
    <n v="564"/>
    <s v="Escuela María Henríquez"/>
    <s v="Panamá"/>
    <x v="41"/>
    <s v="Alcalde Díaz"/>
    <s v="FO"/>
    <n v="9.1108399999999996"/>
    <n v="-79.528597000000005"/>
    <s v="08/05/2017"/>
  </r>
  <r>
    <n v="2"/>
    <n v="565"/>
    <s v="Escuela Nicole Garay"/>
    <s v="Panamá"/>
    <x v="41"/>
    <s v="Alcalde Díaz"/>
    <s v="FO"/>
    <n v="9.1260630000000003"/>
    <n v="-79.571625999999995"/>
    <s v="10/05/2017"/>
  </r>
  <r>
    <n v="2"/>
    <n v="566"/>
    <s v="Escuela Unión Panamericana"/>
    <s v="Panamá"/>
    <x v="41"/>
    <s v="Alcalde Díaz"/>
    <s v="FO"/>
    <n v="9.1205999999999996"/>
    <n v="-79.552177999999998"/>
    <s v="09/05/2017"/>
  </r>
  <r>
    <n v="2"/>
    <n v="567"/>
    <s v="Junta Comunal de Alcalde Díaz"/>
    <s v="Panamá"/>
    <x v="41"/>
    <s v="Alcalde Díaz"/>
    <s v="FO"/>
    <n v="9.1158339999999995"/>
    <n v="-79.544415000000001"/>
    <s v="08/05/2017"/>
  </r>
  <r>
    <n v="2"/>
    <n v="568"/>
    <s v="Escuela Kuna Nega"/>
    <s v="Panamá"/>
    <x v="41"/>
    <s v="Ancón"/>
    <s v="PTP"/>
    <n v="9.0591779999999993"/>
    <n v="-79.558975000000004"/>
    <s v="18/07/2017"/>
  </r>
  <r>
    <n v="2"/>
    <n v="569"/>
    <s v="Instituto Bolivar"/>
    <s v="Panamá"/>
    <x v="41"/>
    <s v="San Felipe"/>
    <s v="HFC"/>
    <n v="8.9643750000000004"/>
    <n v="-79.554198"/>
    <s v="06/07/2017"/>
  </r>
  <r>
    <n v="2"/>
    <n v="571"/>
    <s v="Hospital del Niño"/>
    <s v="Panamá"/>
    <x v="41"/>
    <s v="Bella Vista"/>
    <s v="PMP"/>
    <n v="8.9687479999999997"/>
    <n v="-79.532900999999995"/>
    <s v="19/07/2017"/>
  </r>
  <r>
    <n v="2"/>
    <n v="572"/>
    <s v="P.C. Panamá"/>
    <s v="Panamá"/>
    <x v="41"/>
    <s v="Bella Vista"/>
    <s v="PMP"/>
    <n v="8.9752430000000007"/>
    <n v="-79.533527000000007"/>
    <s v="08/06/2017"/>
  </r>
  <r>
    <n v="2"/>
    <n v="573"/>
    <s v="Corregiduria Municipal"/>
    <s v="Panamá"/>
    <x v="41"/>
    <s v="Betania"/>
    <s v="PMP"/>
    <n v="9.0049539999999997"/>
    <n v="-79.522351"/>
    <s v="24/04/2017"/>
  </r>
  <r>
    <n v="2"/>
    <n v="574"/>
    <s v="Escuela El Japón"/>
    <s v="Panamá"/>
    <x v="41"/>
    <s v="Betania"/>
    <s v="FO"/>
    <n v="8.9931249999999991"/>
    <n v="-79.537293000000005"/>
    <s v="25/04/2017"/>
  </r>
  <r>
    <n v="2"/>
    <n v="575"/>
    <s v="Escuela José A. Arango"/>
    <s v="Panamá"/>
    <x v="41"/>
    <s v="Betania"/>
    <s v="PMP"/>
    <n v="9.0058319999999998"/>
    <n v="-79.528222999999997"/>
    <s v="25/04/2017"/>
  </r>
  <r>
    <n v="2"/>
    <n v="576"/>
    <s v="Escuela Octavio Méndez Pereira"/>
    <s v="Panamá"/>
    <x v="41"/>
    <s v="Betania"/>
    <s v="FO"/>
    <n v="9.0184639999999998"/>
    <n v="-79.531289000000001"/>
    <s v="20/07/2017"/>
  </r>
  <r>
    <n v="2"/>
    <n v="577"/>
    <s v="Escuela Santa Familia"/>
    <s v="Panamá"/>
    <x v="41"/>
    <s v="Betania"/>
    <s v="FO"/>
    <n v="9.0056829999999994"/>
    <n v="-79.525006000000005"/>
    <s v="25/04/2017"/>
  </r>
  <r>
    <n v="2"/>
    <n v="578"/>
    <s v="Instituto América"/>
    <s v="Panamá"/>
    <x v="41"/>
    <s v="Betania"/>
    <s v="FO"/>
    <n v="9.0203209999999991"/>
    <n v="-79.528728999999998"/>
    <s v="24/04/2017"/>
  </r>
  <r>
    <n v="2"/>
    <n v="580"/>
    <s v="IPT de Comercio"/>
    <s v="Panamá"/>
    <x v="41"/>
    <s v="Betania"/>
    <s v="FO"/>
    <n v="9.0101399999999998"/>
    <n v="-79.519110999999995"/>
    <s v="24/05/2017"/>
  </r>
  <r>
    <n v="2"/>
    <n v="581"/>
    <s v="Policlinica Alejandro de la Guardia"/>
    <s v="Panamá"/>
    <x v="41"/>
    <s v="Betania"/>
    <s v="FO"/>
    <n v="9.0217310000000008"/>
    <n v="-79.525523000000007"/>
    <s v="25/04/2017"/>
  </r>
  <r>
    <n v="2"/>
    <n v="582"/>
    <s v="C.E.B.G. Presidente Roosevelt"/>
    <s v="Panamá"/>
    <x v="41"/>
    <s v="Chilibre"/>
    <s v="FO"/>
    <n v="9.1642869999999998"/>
    <n v="-79.618498000000002"/>
    <s v="05/06/2017"/>
  </r>
  <r>
    <n v="2"/>
    <n v="583"/>
    <s v="C.E.B.G. MARIA LA TORRE"/>
    <s v="Panamá"/>
    <x v="41"/>
    <s v="Chilibre"/>
    <s v="PTP"/>
    <n v="9.1742860000000004"/>
    <n v="-79.562273000000005"/>
    <s v="25/07/2017"/>
  </r>
  <r>
    <n v="2"/>
    <n v="584"/>
    <s v="C.E.B.G. NUEVO CAIMITILLO"/>
    <s v="Panamá"/>
    <x v="41"/>
    <s v="Chilibre"/>
    <s v="FO"/>
    <n v="9.2037999999999993"/>
    <n v="-79.537364999999994"/>
    <s v="10/05/2017"/>
  </r>
  <r>
    <n v="2"/>
    <n v="586"/>
    <s v="Centro de Salud de Chilibre"/>
    <s v="Panamá"/>
    <x v="41"/>
    <s v="Chilibre"/>
    <s v="FO"/>
    <n v="9.1743790000000001"/>
    <n v="-79.610989000000004"/>
    <s v="12/05/2017"/>
  </r>
  <r>
    <n v="2"/>
    <n v="587"/>
    <s v="ESC. DOMINGO ROMERO"/>
    <s v="Panamá"/>
    <x v="41"/>
    <s v="Chilibre"/>
    <s v="PTP"/>
    <n v="9.1677739999999996"/>
    <n v="-79.531829999999999"/>
    <s v="11/07/2017"/>
  </r>
  <r>
    <n v="2"/>
    <n v="588"/>
    <s v="ESC. EL ÑAJU"/>
    <s v="Panamá"/>
    <x v="41"/>
    <s v="Chilibre"/>
    <s v="PTP"/>
    <n v="9.1649860000000007"/>
    <n v="-79.626942999999997"/>
    <s v="10/05/2017"/>
  </r>
  <r>
    <n v="2"/>
    <n v="589"/>
    <s v="Escuela Don Bosco Rural"/>
    <s v="Panamá"/>
    <x v="41"/>
    <s v="Chilibre"/>
    <s v="PTP"/>
    <n v="9.1333649999999995"/>
    <n v="-79.613538000000005"/>
    <s v="09/05/2017"/>
  </r>
  <r>
    <n v="2"/>
    <n v="590"/>
    <s v="Escuela John F. Kennedy"/>
    <s v="Panamá"/>
    <x v="41"/>
    <s v="Chilibre"/>
    <s v="FO"/>
    <n v="9.1219629999999992"/>
    <n v="-79.603549999999998"/>
    <s v="09/05/2017"/>
  </r>
  <r>
    <n v="2"/>
    <n v="592"/>
    <s v="Escuela Santos Jorge A."/>
    <s v="Panamá"/>
    <x v="41"/>
    <s v="Chilibre"/>
    <s v="FO"/>
    <n v="9.1549969999999998"/>
    <n v="-79.619811999999996"/>
    <s v="18/07/2017"/>
  </r>
  <r>
    <n v="2"/>
    <n v="593"/>
    <s v="Escuela Tomás Arias"/>
    <s v="Panamá"/>
    <x v="41"/>
    <s v="Chilibre"/>
    <s v="FO"/>
    <n v="9.174296"/>
    <n v="-79.611647000000005"/>
    <s v="11/05/2017"/>
  </r>
  <r>
    <n v="2"/>
    <n v="595"/>
    <s v="I.P.T. Chilibre"/>
    <s v="Panamá"/>
    <x v="41"/>
    <s v="Chilibre"/>
    <s v="FO"/>
    <n v="9.1869530000000008"/>
    <n v="-79.645229999999998"/>
    <s v="17/07/2017"/>
  </r>
  <r>
    <n v="2"/>
    <n v="596"/>
    <s v="Policía Nacional de Chilibre (María Eugenia)"/>
    <s v="Panamá"/>
    <x v="41"/>
    <s v="Chilibre"/>
    <s v="FO"/>
    <n v="9.151078"/>
    <n v="-79.619924999999995"/>
    <s v="11/05/2017"/>
  </r>
  <r>
    <n v="2"/>
    <n v="597"/>
    <s v="Area frente a Sinaproc - Base Curundú"/>
    <s v="Panamá"/>
    <x v="41"/>
    <s v="Curundú"/>
    <s v="PMP"/>
    <n v="8.9699980000000004"/>
    <n v="-79.543966999999995"/>
    <s v="18/07/2017"/>
  </r>
  <r>
    <n v="2"/>
    <n v="598"/>
    <s v="Biblioteca del Fe y Alegria"/>
    <s v="Panamá"/>
    <x v="41"/>
    <s v="Curundú"/>
    <s v="PMP"/>
    <n v="8.970739"/>
    <n v="-79.543088999999995"/>
    <s v="31/05/2017"/>
  </r>
  <r>
    <n v="2"/>
    <n v="600"/>
    <s v="Centro de salud Curundu"/>
    <s v="Panamá"/>
    <x v="41"/>
    <s v="Curundú"/>
    <s v="PMP"/>
    <n v="8.9702079999999995"/>
    <n v="-79.543330999999995"/>
    <s v="31/05/2017"/>
  </r>
  <r>
    <n v="2"/>
    <n v="601"/>
    <s v="Escuela Artes y Oficios (Melchor Lasso de la Vega)"/>
    <s v="Panamá"/>
    <x v="41"/>
    <s v="Curundú"/>
    <s v="PMP"/>
    <n v="8.991987"/>
    <n v="-79.531715000000005"/>
    <s v="11/07/2017"/>
  </r>
  <r>
    <n v="2"/>
    <n v="602"/>
    <s v="Escuela Artes y Oficios (Melchor Lasso de la Vega) 2"/>
    <s v="Panamá"/>
    <x v="41"/>
    <s v="Curundú"/>
    <s v="PMP"/>
    <n v="8.9867720000000002"/>
    <n v="-79.535359999999997"/>
    <s v="01/06/2017"/>
  </r>
  <r>
    <n v="2"/>
    <n v="603"/>
    <s v="Escuela Republica de Jamaica"/>
    <s v="Panamá"/>
    <x v="41"/>
    <s v="Curundú"/>
    <s v="PMP"/>
    <n v="8.9846070000000005"/>
    <n v="-79.537029000000004"/>
    <s v="01/06/2017"/>
  </r>
  <r>
    <n v="2"/>
    <n v="604"/>
    <s v="Proyecto Curundú Torre 1 Edificio A"/>
    <s v="Panamá"/>
    <x v="41"/>
    <s v="Curundú"/>
    <s v="PMP"/>
    <n v="8.9702219999999997"/>
    <n v="-79.543705000000003"/>
    <s v="26/06/2017"/>
  </r>
  <r>
    <n v="2"/>
    <n v="605"/>
    <s v="Proyecto Curundú Torre 1 Edificio B"/>
    <s v="Panamá"/>
    <x v="41"/>
    <s v="Curundú"/>
    <s v="PMP"/>
    <n v="8.9702219999999997"/>
    <n v="-79.543705000000003"/>
    <s v="26/06/2017"/>
  </r>
  <r>
    <n v="2"/>
    <n v="607"/>
    <s v="Proyecto Curundú Torre 10 Edificio A"/>
    <s v="Panamá"/>
    <x v="41"/>
    <s v="Curundú"/>
    <s v="PMP"/>
    <n v="8.9704610000000002"/>
    <n v="-79.545573000000005"/>
    <s v="26/06/2017"/>
  </r>
  <r>
    <n v="2"/>
    <n v="608"/>
    <s v="Proyecto Curundú Torre 10 Edificio B"/>
    <s v="Panamá"/>
    <x v="41"/>
    <s v="Curundú"/>
    <s v="PMP"/>
    <n v="8.9704610000000002"/>
    <n v="-79.545573000000005"/>
    <s v="26/06/2017"/>
  </r>
  <r>
    <n v="2"/>
    <n v="609"/>
    <s v="Proyecto Curundú Torre 10 Edificio C"/>
    <s v="Panamá"/>
    <x v="41"/>
    <s v="Curundú"/>
    <s v="PMP"/>
    <n v="8.9704610000000002"/>
    <n v="-79.545573000000005"/>
    <s v="29/06/2017"/>
  </r>
  <r>
    <n v="2"/>
    <n v="612"/>
    <s v="Proyecto Curundú Torre 12 Edificio A"/>
    <s v="Panamá"/>
    <x v="41"/>
    <s v="Curundú"/>
    <s v="PMP"/>
    <n v="8.9701079999999997"/>
    <n v="-79.545531999999994"/>
    <s v="26/06/2017"/>
  </r>
  <r>
    <n v="2"/>
    <n v="613"/>
    <s v="Proyecto Curundú Torre 12 Edificio B"/>
    <s v="Panamá"/>
    <x v="41"/>
    <s v="Curundú"/>
    <s v="PMP"/>
    <n v="8.9701079999999997"/>
    <n v="-79.545531999999994"/>
    <s v="26/06/2017"/>
  </r>
  <r>
    <n v="2"/>
    <n v="615"/>
    <s v="Proyecto Curundú Torre 13 Edificio A"/>
    <s v="Panamá"/>
    <x v="41"/>
    <s v="Curundú"/>
    <s v="PMP"/>
    <n v="8.9695809999999998"/>
    <n v="-79.545777000000001"/>
    <s v="30/06/2017"/>
  </r>
  <r>
    <n v="2"/>
    <n v="616"/>
    <s v="Proyecto Curundú Torre 13 Edificio B"/>
    <s v="Panamá"/>
    <x v="41"/>
    <s v="Curundú"/>
    <s v="PMP"/>
    <n v="8.9695809999999998"/>
    <n v="-79.545777000000001"/>
    <s v="30/06/2017"/>
  </r>
  <r>
    <n v="2"/>
    <n v="623"/>
    <s v="Proyecto Curundú Torre 17 Edificio A"/>
    <s v="Panamá"/>
    <x v="41"/>
    <s v="Curundú"/>
    <s v="PMP"/>
    <n v="8.968788"/>
    <n v="-79.545164"/>
    <s v="26/06/2017"/>
  </r>
  <r>
    <n v="2"/>
    <n v="624"/>
    <s v="Proyecto Curundú Torre 17 Edificio B"/>
    <s v="Panamá"/>
    <x v="41"/>
    <s v="Curundú"/>
    <s v="PMP"/>
    <n v="8.9694070000000004"/>
    <n v="-79.545997999999997"/>
    <s v="26/06/2017"/>
  </r>
  <r>
    <n v="2"/>
    <n v="625"/>
    <s v="Proyecto Curundú Torre 18 Edificio A"/>
    <s v="Panamá"/>
    <x v="41"/>
    <s v="Curundú"/>
    <s v="PMP"/>
    <n v="8.9685100000000002"/>
    <n v="-79.544559000000007"/>
    <s v="26/06/2017"/>
  </r>
  <r>
    <n v="2"/>
    <n v="626"/>
    <s v="Proyecto Curundú Torre 18 Edificio B"/>
    <s v="Panamá"/>
    <x v="41"/>
    <s v="Curundú"/>
    <s v="PMP"/>
    <n v="8.9685100000000002"/>
    <n v="-79.544559000000007"/>
    <s v="26/06/2017"/>
  </r>
  <r>
    <n v="2"/>
    <n v="627"/>
    <s v="Proyecto Curundú Torre 18 Edificio C"/>
    <s v="Panamá"/>
    <x v="41"/>
    <s v="Curundú"/>
    <s v="PMP"/>
    <n v="8.9685100000000002"/>
    <n v="-79.544559000000007"/>
    <s v="26/06/2017"/>
  </r>
  <r>
    <n v="2"/>
    <n v="628"/>
    <s v="Proyecto Curundú Torre 19 Edificio A"/>
    <s v="Panamá"/>
    <x v="41"/>
    <s v="Curundú"/>
    <s v="PMP"/>
    <n v="8.9680520000000001"/>
    <n v="-79.544708"/>
    <s v="26/06/2017"/>
  </r>
  <r>
    <n v="2"/>
    <n v="629"/>
    <s v="Proyecto Curundú Torre 19 Edificio B"/>
    <s v="Panamá"/>
    <x v="41"/>
    <s v="Curundú"/>
    <s v="PMP"/>
    <n v="8.9680520000000001"/>
    <n v="-79.544708"/>
    <s v="26/06/2017"/>
  </r>
  <r>
    <n v="2"/>
    <n v="630"/>
    <s v="Proyecto Curundú Torre 19 Edificio C"/>
    <s v="Panamá"/>
    <x v="41"/>
    <s v="Curundú"/>
    <s v="PMP"/>
    <n v="8.9680520000000001"/>
    <n v="-79.544708"/>
    <s v="26/06/2017"/>
  </r>
  <r>
    <n v="2"/>
    <n v="631"/>
    <s v="Proyecto Curundú Torre 2 Edificio A"/>
    <s v="Panamá"/>
    <x v="41"/>
    <s v="Curundú"/>
    <s v="PMP"/>
    <n v="8.9704580000000007"/>
    <n v="-79.543994999999995"/>
    <s v="29/06/2017"/>
  </r>
  <r>
    <n v="2"/>
    <n v="632"/>
    <s v="Proyecto Curundú Torre 2 Edificio B"/>
    <s v="Panamá"/>
    <x v="41"/>
    <s v="Curundú"/>
    <s v="PMP"/>
    <n v="8.9704580000000007"/>
    <n v="-79.543994999999995"/>
    <s v="29/06/2017"/>
  </r>
  <r>
    <n v="2"/>
    <n v="633"/>
    <s v="Proyecto Curundú Torre 2 Edificio C"/>
    <s v="Panamá"/>
    <x v="41"/>
    <s v="Curundú"/>
    <s v="PMP"/>
    <n v="8.9704580000000007"/>
    <n v="-79.543994999999995"/>
    <s v="29/06/2017"/>
  </r>
  <r>
    <n v="2"/>
    <n v="634"/>
    <s v="Proyecto Curundú Torre 20 Edificio A"/>
    <s v="Panamá"/>
    <x v="41"/>
    <s v="Curundú"/>
    <s v="PMP"/>
    <n v="8.968019"/>
    <n v="-79.545192"/>
    <s v="30/06/2017"/>
  </r>
  <r>
    <n v="2"/>
    <n v="635"/>
    <s v="Proyecto Curundú Torre 20 Edificio B"/>
    <s v="Panamá"/>
    <x v="41"/>
    <s v="Curundú"/>
    <s v="PMP"/>
    <n v="8.968019"/>
    <n v="-79.545192"/>
    <s v="18/07/2017"/>
  </r>
  <r>
    <n v="2"/>
    <n v="636"/>
    <s v="Proyecto Curundú Torre 21 Edificio A"/>
    <s v="Panamá"/>
    <x v="41"/>
    <s v="Curundú"/>
    <s v="PMP"/>
    <n v="8.9684889999999999"/>
    <n v="-79.545715999999999"/>
    <s v="30/06/2017"/>
  </r>
  <r>
    <n v="2"/>
    <n v="637"/>
    <s v="Proyecto Curundú Torre 21 Edificio B"/>
    <s v="Panamá"/>
    <x v="41"/>
    <s v="Curundú"/>
    <s v="PMP"/>
    <n v="8.9684889999999999"/>
    <n v="-79.545715999999999"/>
    <s v="03/07/2017"/>
  </r>
  <r>
    <n v="2"/>
    <n v="638"/>
    <s v="Proyecto Curundú Torre 21 Edificio C"/>
    <s v="Panamá"/>
    <x v="41"/>
    <s v="Curundú"/>
    <s v="PMP"/>
    <n v="8.9684889999999999"/>
    <n v="-79.545715999999999"/>
    <s v="03/07/2017"/>
  </r>
  <r>
    <n v="2"/>
    <n v="647"/>
    <s v="Proyecto Curundú Torre 25 Edificio A"/>
    <s v="Panamá"/>
    <x v="41"/>
    <s v="Curundú"/>
    <s v="PMP"/>
    <n v="8.9679260000000003"/>
    <n v="-79.546099999999996"/>
    <s v="18/07/2017"/>
  </r>
  <r>
    <n v="2"/>
    <n v="648"/>
    <s v="Proyecto Curundú Torre 25 Edificio B"/>
    <s v="Panamá"/>
    <x v="41"/>
    <s v="Curundú"/>
    <s v="PMP"/>
    <n v="8.9679260000000003"/>
    <n v="-79.546099999999996"/>
    <s v="27/06/2017"/>
  </r>
  <r>
    <n v="2"/>
    <n v="649"/>
    <s v="Proyecto Curundú Torre 26 Edificio A"/>
    <s v="Panamá"/>
    <x v="41"/>
    <s v="Curundú"/>
    <s v="PMP"/>
    <n v="8.9685469999999992"/>
    <n v="-79.546845000000005"/>
    <s v="03/07/2017"/>
  </r>
  <r>
    <n v="2"/>
    <n v="650"/>
    <s v="Proyecto Curundú Torre 26 Edificio B"/>
    <s v="Panamá"/>
    <x v="41"/>
    <s v="Curundú"/>
    <s v="PMP"/>
    <n v="8.9685469999999992"/>
    <n v="-79.546845000000005"/>
    <s v="03/07/2017"/>
  </r>
  <r>
    <n v="2"/>
    <n v="651"/>
    <s v="Proyecto Curundú Torre 26 Edificio C"/>
    <s v="Panamá"/>
    <x v="41"/>
    <s v="Curundú"/>
    <s v="PMP"/>
    <n v="8.9685469999999992"/>
    <n v="-79.546845000000005"/>
    <s v="03/07/2017"/>
  </r>
  <r>
    <n v="2"/>
    <n v="652"/>
    <s v="Proyecto Curundú Torre 3 Edificio A"/>
    <s v="Panamá"/>
    <x v="41"/>
    <s v="Curundú"/>
    <s v="PMP"/>
    <n v="8.9706849999999996"/>
    <n v="-79.544270999999995"/>
    <s v="26/06/2017"/>
  </r>
  <r>
    <n v="2"/>
    <n v="655"/>
    <s v="Proyecto Curundú Torre 4 Edificio B"/>
    <s v="Panamá"/>
    <x v="41"/>
    <s v="Curundú"/>
    <s v="PMP"/>
    <n v="8.9705910000000006"/>
    <n v="-79.544307000000003"/>
    <s v="29/06/2017"/>
  </r>
  <r>
    <n v="2"/>
    <n v="656"/>
    <s v="Proyecto Curundú Torre 4 Edificio C"/>
    <s v="Panamá"/>
    <x v="41"/>
    <s v="Curundú"/>
    <s v="PMP"/>
    <n v="8.9705910000000006"/>
    <n v="-79.544307000000003"/>
    <s v="29/06/2017"/>
  </r>
  <r>
    <n v="2"/>
    <n v="659"/>
    <s v="Proyecto Curundú Torre 6 Edificio A"/>
    <s v="Panamá"/>
    <x v="41"/>
    <s v="Curundú"/>
    <s v="PMP"/>
    <n v="8.9701749999999993"/>
    <n v="-79.543837999999994"/>
    <s v="28/06/2017"/>
  </r>
  <r>
    <n v="2"/>
    <n v="660"/>
    <s v="Proyecto Curundú Torre 6 Edificio B"/>
    <s v="Panamá"/>
    <x v="41"/>
    <s v="Curundú"/>
    <s v="PMP"/>
    <n v="8.9701749999999993"/>
    <n v="-79.543837999999994"/>
    <s v="28/06/2017"/>
  </r>
  <r>
    <n v="2"/>
    <n v="661"/>
    <s v="Proyecto Curundú Torre 7 Edificio A"/>
    <s v="Panamá"/>
    <x v="41"/>
    <s v="Curundú"/>
    <s v="PMP"/>
    <n v="8.9704029999999992"/>
    <n v="-79.543886999999998"/>
    <s v="28/06/2017"/>
  </r>
  <r>
    <n v="2"/>
    <n v="662"/>
    <s v="Proyecto Curundú Torre 7 Edificio B"/>
    <s v="Panamá"/>
    <x v="41"/>
    <s v="Curundú"/>
    <s v="PMP"/>
    <n v="8.9704029999999992"/>
    <n v="-79.543886999999998"/>
    <s v="28/06/2017"/>
  </r>
  <r>
    <n v="2"/>
    <n v="663"/>
    <s v="Proyecto Curundú Torre 8 Edificio A"/>
    <s v="Panamá"/>
    <x v="41"/>
    <s v="Curundú"/>
    <s v="PMP"/>
    <n v="8.9705659999999998"/>
    <n v="-79.545125999999996"/>
    <s v="28/06/2017"/>
  </r>
  <r>
    <n v="2"/>
    <n v="664"/>
    <s v="Proyecto Curundú Torre 8 Edificio B"/>
    <s v="Panamá"/>
    <x v="41"/>
    <s v="Curundú"/>
    <s v="PMP"/>
    <n v="8.9705659999999998"/>
    <n v="-79.545125999999996"/>
    <s v="28/06/2017"/>
  </r>
  <r>
    <n v="2"/>
    <n v="665"/>
    <s v="Proyecto Curundú Torre 9 Edificio A"/>
    <s v="Panamá"/>
    <x v="41"/>
    <s v="Curundú"/>
    <s v="PMP"/>
    <n v="8.9707779999999993"/>
    <n v="-79.545640000000006"/>
    <s v="03/07/2017"/>
  </r>
  <r>
    <n v="2"/>
    <n v="667"/>
    <s v="Centro de Aprendizaje TIC´s MINISTERIO DE SEGURIDAD"/>
    <s v="Panamá"/>
    <x v="41"/>
    <s v="El Chorrillo"/>
    <s v="FO"/>
    <n v="8.9506669999999993"/>
    <n v="-79.547787"/>
    <s v="14/06/2017"/>
  </r>
  <r>
    <n v="2"/>
    <n v="673"/>
    <s v="Escuela Nuevo Progreso"/>
    <s v="Panamá"/>
    <x v="41"/>
    <s v="Ernesto Córdoba Campos"/>
    <s v="FO"/>
    <n v="9.0936179999999993"/>
    <n v="-79.496543000000003"/>
    <s v="06/06/2017"/>
  </r>
  <r>
    <n v="2"/>
    <n v="674"/>
    <s v="Escuela San Juan Pablo II"/>
    <s v="Panamá"/>
    <x v="41"/>
    <s v="Ernesto Córdoba Campos"/>
    <s v="FO"/>
    <n v="9.0982409999999998"/>
    <n v="-79.514859999999999"/>
    <s v="21/07/2017"/>
  </r>
  <r>
    <n v="2"/>
    <n v="675"/>
    <s v="Escuela Santa Rita"/>
    <s v="Panamá"/>
    <x v="41"/>
    <s v="Ernesto Córdoba Campos"/>
    <s v="FO"/>
    <n v="9.0773689999999991"/>
    <n v="-79.502683000000005"/>
    <s v="30/05/2017"/>
  </r>
  <r>
    <n v="2"/>
    <n v="677"/>
    <s v="Escuela Villa Milagros"/>
    <s v="Panamá"/>
    <x v="41"/>
    <s v="Ernesto Córdoba Campos"/>
    <s v="FO"/>
    <n v="9.0912249999999997"/>
    <n v="-79.504271000000003"/>
    <s v="12/06/2017"/>
  </r>
  <r>
    <n v="2"/>
    <n v="681"/>
    <s v="Escuela Carmen Sole Bosch"/>
    <s v="Panamá"/>
    <x v="41"/>
    <s v="Juan Díaz"/>
    <s v="PMP"/>
    <n v="9.0472000000000001"/>
    <n v="-79.464817999999994"/>
    <s v="08/06/2017"/>
  </r>
  <r>
    <n v="2"/>
    <n v="682"/>
    <s v="Escuela Elena Chávez De Piñate"/>
    <s v="Panamá"/>
    <x v="41"/>
    <s v="Juan Díaz"/>
    <s v="PMP"/>
    <n v="9.0396549999999998"/>
    <n v="-79.444237000000001"/>
    <s v="16/06/2017"/>
  </r>
  <r>
    <n v="2"/>
    <n v="683"/>
    <s v="Escuela Elena Chávez de Piñate 2"/>
    <s v="Panamá"/>
    <x v="41"/>
    <s v="Juan Díaz"/>
    <s v="PMP"/>
    <n v="9.0391720000000007"/>
    <n v="-79.445205000000001"/>
    <s v="28/04/2017"/>
  </r>
  <r>
    <n v="2"/>
    <n v="684"/>
    <s v="Escuela Gaspar O. Hernandez"/>
    <s v="Panamá"/>
    <x v="41"/>
    <s v="Juan Díaz"/>
    <s v="PMP"/>
    <n v="9.0417020000000008"/>
    <n v="-79.467939000000001"/>
    <s v="26/04/2017"/>
  </r>
  <r>
    <n v="2"/>
    <n v="685"/>
    <s v="Escuela Jose Ma. Torrijos en Concepción"/>
    <s v="Panamá"/>
    <x v="41"/>
    <s v="Juan Díaz"/>
    <s v="PMP"/>
    <n v="9.0436789999999991"/>
    <n v="-79.427356000000003"/>
    <s v="24/05/2017"/>
  </r>
  <r>
    <n v="2"/>
    <n v="687"/>
    <s v="Escuela Primaria Federico Escobar (Escuela Las Acacias)"/>
    <s v="Panamá"/>
    <x v="41"/>
    <s v="Juan Díaz"/>
    <s v="HFC"/>
    <n v="9.0502920000000007"/>
    <n v="-79.419875000000005"/>
    <s v="25/07/2017"/>
  </r>
  <r>
    <n v="2"/>
    <n v="688"/>
    <s v="Escuela Republica de Guatemala"/>
    <s v="Panamá"/>
    <x v="41"/>
    <s v="Juan Díaz"/>
    <s v="PMP"/>
    <n v="9.0495260000000002"/>
    <n v="-79.432280000000006"/>
    <s v="07/06/2017"/>
  </r>
  <r>
    <n v="2"/>
    <n v="689"/>
    <s v="Escuela Toribio Berrios Sosa"/>
    <s v="Panamá"/>
    <x v="41"/>
    <s v="Juan Díaz"/>
    <s v="PMP"/>
    <n v="9.0401950000000006"/>
    <n v="-79.442302999999995"/>
    <s v="24/05/2017"/>
  </r>
  <r>
    <n v="2"/>
    <n v="690"/>
    <s v="Escuela Villa Catalina"/>
    <s v="Panamá"/>
    <x v="41"/>
    <s v="Juan Díaz"/>
    <s v="FO"/>
    <n v="9.0610940000000006"/>
    <n v="-79.414991000000001"/>
    <s v="22/05/2017"/>
  </r>
  <r>
    <n v="2"/>
    <n v="691"/>
    <s v="IPT Don Bosco"/>
    <s v="Panamá"/>
    <x v="41"/>
    <s v="Juan Díaz"/>
    <s v="FO"/>
    <n v="9.049925"/>
    <n v="-79.413938999999999"/>
    <s v="25/07/2017"/>
  </r>
  <r>
    <n v="2"/>
    <n v="692"/>
    <s v="IPT Juan Díaz"/>
    <s v="Panamá"/>
    <x v="41"/>
    <s v="Juan Díaz"/>
    <s v="PMP"/>
    <n v="9.037191"/>
    <n v="-79.443352000000004"/>
    <s v="22/05/2017"/>
  </r>
  <r>
    <n v="2"/>
    <n v="695"/>
    <s v="Parque de Las Madres Juan Díaz"/>
    <s v="Panamá"/>
    <x v="41"/>
    <s v="Juan Díaz"/>
    <s v="PMP"/>
    <n v="9.0452999999999992"/>
    <n v="-79.445116999999996"/>
    <s v="22/05/2017"/>
  </r>
  <r>
    <n v="2"/>
    <n v="696"/>
    <s v="Policlinica J.J. Vallarino"/>
    <s v="Panamá"/>
    <x v="41"/>
    <s v="Juan Díaz"/>
    <s v="FO"/>
    <n v="9.0554930000000002"/>
    <n v="-79.434590999999998"/>
    <s v="24/05/2017"/>
  </r>
  <r>
    <n v="2"/>
    <n v="698"/>
    <s v="Biblioteca Pública Eusebio A. Morales"/>
    <s v="Panamá"/>
    <x v="41"/>
    <s v="Santa Ana"/>
    <s v="PMP"/>
    <n v="8.9610109999999992"/>
    <n v="-79.542434999999998"/>
    <s v="19/07/2017"/>
  </r>
  <r>
    <n v="2"/>
    <n v="700"/>
    <s v="Escuela Pedro José Sosa"/>
    <s v="Panamá"/>
    <x v="41"/>
    <s v="Calidonia"/>
    <s v="PMP"/>
    <n v="8.9702470000000005"/>
    <n v="-79.538805999999994"/>
    <s v="14/06/2017"/>
  </r>
  <r>
    <n v="2"/>
    <n v="701"/>
    <s v="Escuela Republica de Chile"/>
    <s v="Panamá"/>
    <x v="41"/>
    <s v="Calidonia"/>
    <s v="PMP"/>
    <n v="8.9689479999999993"/>
    <n v="-79.536940999999999"/>
    <s v="11/07/2017"/>
  </r>
  <r>
    <n v="2"/>
    <n v="706"/>
    <s v="Parque Porras"/>
    <s v="Panamá"/>
    <x v="41"/>
    <s v="Calidonia"/>
    <s v="FO"/>
    <n v="8.9698530000000005"/>
    <n v="-79.536242000000001"/>
    <s v="02/08/2017"/>
  </r>
  <r>
    <n v="2"/>
    <n v="707"/>
    <s v="Plaza Víctor Julio Gutiérrez"/>
    <s v="Panamá"/>
    <x v="41"/>
    <s v="Calidonia"/>
    <s v="PMP"/>
    <n v="8.9683019999999996"/>
    <n v="-79.537786999999994"/>
    <s v="15/06/2017"/>
  </r>
  <r>
    <n v="2"/>
    <n v="708"/>
    <s v="Policlinica Manuel Ferrer Marañon (Pediatrica)"/>
    <s v="Panamá"/>
    <x v="41"/>
    <s v="Calidonia"/>
    <s v="PMP"/>
    <n v="9.0090540000000008"/>
    <n v="-79.507890000000003"/>
    <s v="31/05/2017"/>
  </r>
  <r>
    <n v="2"/>
    <n v="709"/>
    <s v="C.E.B.G. Santa Librada Rural"/>
    <s v="Panamá"/>
    <x v="41"/>
    <s v="Las Cumbres"/>
    <s v="PTP"/>
    <n v="9.0723280000000006"/>
    <n v="-79.534809999999993"/>
    <s v="27/07/2017"/>
  </r>
  <r>
    <n v="2"/>
    <n v="710"/>
    <s v="Escuela Grecia"/>
    <s v="Panamá"/>
    <x v="41"/>
    <s v="Las Cumbres"/>
    <s v="FO"/>
    <n v="9.1052219999999995"/>
    <n v="-79.562464000000006"/>
    <s v="10/07/2017"/>
  </r>
  <r>
    <n v="2"/>
    <n v="711"/>
    <s v="Escuela Guillermo Patterson"/>
    <s v="Panamá"/>
    <x v="41"/>
    <s v="Las Cumbres"/>
    <s v="FO"/>
    <n v="9.0790170000000003"/>
    <n v="-79.569046999999998"/>
    <s v="09/06/2017"/>
  </r>
  <r>
    <n v="2"/>
    <n v="712"/>
    <s v="Escuela República Árabe de Egipto"/>
    <s v="Panamá"/>
    <x v="41"/>
    <s v="Las Cumbres"/>
    <s v="FO"/>
    <n v="9.0879639999999995"/>
    <n v="-79.533253000000002"/>
    <s v="08/05/2017"/>
  </r>
  <r>
    <n v="2"/>
    <n v="713"/>
    <s v="Escuela Republica de Rumania"/>
    <s v="Panamá"/>
    <x v="41"/>
    <s v="Las Cumbres"/>
    <s v="HFC"/>
    <n v="9.0974559999999993"/>
    <n v="-79.515202000000002"/>
    <s v="09/05/2017"/>
  </r>
  <r>
    <n v="2"/>
    <n v="714"/>
    <s v="Escuela República. de la India"/>
    <s v="Panamá"/>
    <x v="41"/>
    <s v="Las Cumbres"/>
    <s v="FO"/>
    <n v="9.0761059999999993"/>
    <n v="-79.526841000000005"/>
    <s v="08/05/2017"/>
  </r>
  <r>
    <n v="2"/>
    <n v="715"/>
    <s v="Escuela San Pablo y Villa Nueva"/>
    <s v="Panamá"/>
    <x v="41"/>
    <s v="Las Cumbres"/>
    <s v="FO"/>
    <n v="9.1186419999999995"/>
    <n v="-79.585617999999997"/>
    <s v="05/06/2017"/>
  </r>
  <r>
    <n v="2"/>
    <n v="716"/>
    <s v="Escuela Villa Cárdenas"/>
    <s v="Panamá"/>
    <x v="41"/>
    <s v="Las Cumbres"/>
    <s v="PTP"/>
    <n v="9.0618040000000004"/>
    <n v="-79.548963999999998"/>
    <s v="27/07/2017"/>
  </r>
  <r>
    <n v="2"/>
    <n v="717"/>
    <s v="Instituto Mons. Francisco Beckman"/>
    <s v="Panamá"/>
    <x v="41"/>
    <s v="Las Cumbres"/>
    <s v="HFC"/>
    <n v="9.1000840000000007"/>
    <n v="-79.530968999999999"/>
    <s v="09/05/2017"/>
  </r>
  <r>
    <n v="2"/>
    <n v="720"/>
    <s v="Centro Parvulario Municipal"/>
    <s v="Panamá"/>
    <x v="41"/>
    <s v="Las Mañanitas"/>
    <s v="FO"/>
    <n v="9.0812600000000003"/>
    <n v="-79.404317000000006"/>
    <s v="26/05/2017"/>
  </r>
  <r>
    <n v="2"/>
    <n v="721"/>
    <s v="Corregiduria Las Mañanitas"/>
    <s v="Panamá"/>
    <x v="41"/>
    <s v="Las Mañanitas"/>
    <s v="FO"/>
    <n v="9.0807160000000007"/>
    <n v="-79.403700000000001"/>
    <s v="07/06/2017"/>
  </r>
  <r>
    <n v="2"/>
    <n v="722"/>
    <s v="Escuela de Holanda"/>
    <s v="Panamá"/>
    <x v="41"/>
    <s v="Las Mañanitas"/>
    <s v="FO"/>
    <n v="9.081353"/>
    <n v="-79.406558000000004"/>
    <s v="23/05/2017"/>
  </r>
  <r>
    <n v="2"/>
    <n v="723"/>
    <s v="Escuela El Salvador"/>
    <s v="Panamá"/>
    <x v="41"/>
    <s v="Las Mañanitas"/>
    <s v="HFC"/>
    <n v="9.1016919999999999"/>
    <n v="-79.407306000000005"/>
    <s v="23/05/2017"/>
  </r>
  <r>
    <n v="2"/>
    <n v="724"/>
    <s v="Escuela Génesis"/>
    <s v="Panamá"/>
    <x v="41"/>
    <s v="Las Mañanitas"/>
    <s v="HFC"/>
    <n v="9.1092840000000006"/>
    <n v="-79.395959000000005"/>
    <s v="23/05/2017"/>
  </r>
  <r>
    <n v="2"/>
    <n v="725"/>
    <s v="Escuela Jardín de las Mañanitas"/>
    <s v="Panamá"/>
    <x v="41"/>
    <s v="Las Mañanitas"/>
    <s v="HFC"/>
    <n v="9.0943909999999999"/>
    <n v="-79.407096999999993"/>
    <s v="09/06/2017"/>
  </r>
  <r>
    <n v="2"/>
    <n v="726"/>
    <s v="Escuela Primaria Don Bosco"/>
    <s v="Panamá"/>
    <x v="41"/>
    <s v="Las Mañanitas"/>
    <s v="FO"/>
    <n v="9.0508150000000001"/>
    <n v="-79.414430999999993"/>
    <s v="25/05/2017"/>
  </r>
  <r>
    <n v="2"/>
    <n v="727"/>
    <s v="Escuela Primer Ciclo San Miguel Arcángel"/>
    <s v="Panamá"/>
    <x v="41"/>
    <s v="Las Mañanitas"/>
    <s v="HFC"/>
    <n v="9.0957240000000006"/>
    <n v="-79.405682999999996"/>
    <s v="07/07/2017"/>
  </r>
  <r>
    <n v="2"/>
    <n v="728"/>
    <s v="Junta Comunal de Mañanitas"/>
    <s v="Panamá"/>
    <x v="41"/>
    <s v="Las Mañanitas"/>
    <s v="HFC"/>
    <n v="9.0949380000000009"/>
    <n v="-79.406514000000001"/>
    <s v="05/07/2017"/>
  </r>
  <r>
    <n v="2"/>
    <n v="732"/>
    <s v="Policía Nacional Las Mañanitas"/>
    <s v="Panamá"/>
    <x v="41"/>
    <s v="Las Mañanitas"/>
    <s v="HFC"/>
    <n v="9.0965439999999997"/>
    <n v="-79.408976999999993"/>
    <s v="07/07/2017"/>
  </r>
  <r>
    <n v="2"/>
    <n v="733"/>
    <s v="Centro de Salud de Pacora"/>
    <s v="Panamá"/>
    <x v="41"/>
    <s v="Pacora"/>
    <s v="FO"/>
    <n v="9.0868509999999993"/>
    <n v="-79.289839000000001"/>
    <s v="12/07/2017"/>
  </r>
  <r>
    <n v="2"/>
    <n v="734"/>
    <s v="ESC. CARLOS C. AROSEMENA"/>
    <s v="Panamá"/>
    <x v="41"/>
    <s v="Pacora"/>
    <s v="HFC"/>
    <n v="9.1311110000000006"/>
    <n v="-79.296666999999999"/>
    <s v="12/07/2017"/>
  </r>
  <r>
    <n v="2"/>
    <n v="735"/>
    <s v="ESC. CIUDAD SANTA FE"/>
    <s v="Darien"/>
    <x v="38"/>
    <s v="Santa Fe"/>
    <s v="FO"/>
    <n v="8.6587809999999994"/>
    <n v="-78.159147000000004"/>
    <s v="12/07/2017"/>
  </r>
  <r>
    <n v="2"/>
    <n v="736"/>
    <s v="ESC. PRESIDENTE VALDES"/>
    <s v="Panamá"/>
    <x v="41"/>
    <s v="Pacora"/>
    <s v="FO"/>
    <n v="9.1147860000000005"/>
    <n v="-79.270419000000004"/>
    <s v="12/07/2017"/>
  </r>
  <r>
    <n v="2"/>
    <n v="737"/>
    <s v="ESC. VIRGEN DE GUADALUPE"/>
    <s v="Panamá"/>
    <x v="41"/>
    <s v="Pacora"/>
    <s v="FO"/>
    <n v="9.1273359999999997"/>
    <n v="-79.254655"/>
    <s v="12/07/2017"/>
  </r>
  <r>
    <n v="2"/>
    <n v="738"/>
    <s v="Escuela China Taiwan"/>
    <s v="Panamá"/>
    <x v="41"/>
    <s v="Pacora"/>
    <s v="FO"/>
    <n v="9.0816970000000001"/>
    <n v="-79.296398999999994"/>
    <s v="12/07/2017"/>
  </r>
  <r>
    <n v="2"/>
    <n v="739"/>
    <s v="Escuela Luis N. Herazo"/>
    <s v="Panamá"/>
    <x v="41"/>
    <s v="Pacora"/>
    <s v="FO"/>
    <n v="9.1131360000000008"/>
    <n v="-79.337192999999999"/>
    <s v="12/07/2017"/>
  </r>
  <r>
    <n v="2"/>
    <n v="740"/>
    <s v="Escuela Paso Blanco"/>
    <s v="Panamá"/>
    <x v="41"/>
    <s v="Pacora"/>
    <s v="FO"/>
    <n v="9.1289689999999997"/>
    <n v="-79.246359999999996"/>
    <s v="12/07/2017"/>
  </r>
  <r>
    <n v="2"/>
    <n v="741"/>
    <s v="Escuela Pueblo Nuevo"/>
    <s v="Panamá"/>
    <x v="41"/>
    <s v="Pacora"/>
    <s v="PTP"/>
    <n v="9.1262749999999997"/>
    <n v="-79.308002999999999"/>
    <s v="12/07/2017"/>
  </r>
  <r>
    <n v="2"/>
    <n v="742"/>
    <s v="Escuela Rep. de Honduras"/>
    <s v="Panamá"/>
    <x v="41"/>
    <s v="Pacora"/>
    <s v="FO"/>
    <n v="9.0854739999999996"/>
    <n v="-79.291281999999995"/>
    <s v="12/07/2017"/>
  </r>
  <r>
    <n v="2"/>
    <n v="743"/>
    <s v="Escuela San Diego"/>
    <s v="Panamá"/>
    <x v="41"/>
    <s v="Pacora"/>
    <s v="FO"/>
    <n v="9.0991949999999999"/>
    <n v="-79.251428000000004"/>
    <s v="13/07/2017"/>
  </r>
  <r>
    <n v="2"/>
    <n v="744"/>
    <s v="ESCUELA UTIVÉ"/>
    <s v="Panamá"/>
    <x v="41"/>
    <s v="Pacora"/>
    <s v="PTP"/>
    <n v="9.1550799999999999"/>
    <n v="-79.323582000000002"/>
    <s v="06/06/2017"/>
  </r>
  <r>
    <n v="2"/>
    <n v="745"/>
    <s v="Junta Comunal de Pacora"/>
    <s v="Panamá"/>
    <x v="41"/>
    <s v="Pacora"/>
    <s v="FO"/>
    <n v="9.0821199999999997"/>
    <n v="-79.289299999999997"/>
    <s v="12/07/2017"/>
  </r>
  <r>
    <n v="2"/>
    <n v="746"/>
    <s v="la Iglesia Inmaculada Concepción"/>
    <s v="Panamá"/>
    <x v="41"/>
    <s v="Pacora"/>
    <s v="FO"/>
    <n v="9.0825510000000005"/>
    <n v="-79.286206000000007"/>
    <s v="12/07/2017"/>
  </r>
  <r>
    <n v="2"/>
    <n v="747"/>
    <s v="PISCINA MUNICIPAL PACORA"/>
    <s v="Panamá"/>
    <x v="41"/>
    <s v="Pacora"/>
    <s v="FO"/>
    <n v="9.0883029999999998"/>
    <n v="-79.291093000000004"/>
    <s v="12/07/2017"/>
  </r>
  <r>
    <n v="2"/>
    <n v="748"/>
    <s v="Policía de Pacora"/>
    <s v="Panamá"/>
    <x v="41"/>
    <s v="Pacora"/>
    <s v="FO"/>
    <n v="9.0844869999999993"/>
    <n v="-79.287251999999995"/>
    <s v="12/07/2017"/>
  </r>
  <r>
    <n v="2"/>
    <n v="749"/>
    <s v="Terminal de Transporte Pacora"/>
    <s v="Panamá"/>
    <x v="41"/>
    <s v="Pacora"/>
    <s v="FO"/>
    <n v="9.087256"/>
    <n v="-79.287580000000005"/>
    <s v="12/07/2017"/>
  </r>
  <r>
    <n v="2"/>
    <n v="751"/>
    <s v="Biblioteca Miguel Angel Ordoñez"/>
    <s v="Panamá"/>
    <x v="41"/>
    <s v="Parque Lefevre"/>
    <s v="PMP"/>
    <n v="9"/>
    <n v="-79.498728"/>
    <s v="26/04/2017"/>
  </r>
  <r>
    <n v="2"/>
    <n v="752"/>
    <s v="Centro de Artesanias Panamá Viejo"/>
    <s v="Panamá"/>
    <x v="41"/>
    <s v="Parque Lefevre"/>
    <s v="PMP"/>
    <n v="9.0035760000000007"/>
    <n v="-79.493885000000006"/>
    <s v="08/06/2017"/>
  </r>
  <r>
    <n v="2"/>
    <n v="753"/>
    <s v="Escuela Juan Bautista Sosa"/>
    <s v="Panamá"/>
    <x v="41"/>
    <s v="Parque Lefevre"/>
    <s v="PMP"/>
    <n v="9.0076889999999992"/>
    <n v="-79.493189999999998"/>
    <s v="25/04/2017"/>
  </r>
  <r>
    <n v="2"/>
    <n v="754"/>
    <s v="Escuela Manuel Espinoza Batista"/>
    <s v="Panamá"/>
    <x v="41"/>
    <s v="Parque Lefevre"/>
    <s v="PMP"/>
    <n v="9"/>
    <n v="-79.504069000000001"/>
    <s v="26/04/2017"/>
  </r>
  <r>
    <n v="2"/>
    <n v="755"/>
    <s v="Escuela María Ossa de Amador"/>
    <s v="Panamá"/>
    <x v="41"/>
    <s v="Parque Lefevre"/>
    <s v="PMP"/>
    <n v="9.0111279999999994"/>
    <n v="-79.500536999999994"/>
    <s v="25/04/2017"/>
  </r>
  <r>
    <n v="2"/>
    <n v="756"/>
    <s v="Escuela República de Haití"/>
    <s v="Panamá"/>
    <x v="41"/>
    <s v="Parque Lefevre"/>
    <s v="PMP"/>
    <n v="9.019012"/>
    <n v="-79.491990000000001"/>
    <s v="24/05/2017"/>
  </r>
  <r>
    <n v="2"/>
    <n v="757"/>
    <s v="Escuela Sara Sotillo"/>
    <s v="Panamá"/>
    <x v="41"/>
    <s v="Parque Lefevre"/>
    <s v="PMP"/>
    <n v="9.0125580000000003"/>
    <n v="-79.485377"/>
    <s v="25/04/2017"/>
  </r>
  <r>
    <n v="2"/>
    <n v="758"/>
    <s v="Instituto Jose Dolores Moscote"/>
    <s v="Panamá"/>
    <x v="41"/>
    <s v="Parque Lefevre"/>
    <s v="PMP"/>
    <n v="9.0200200000000006"/>
    <n v="-79.488140999999999"/>
    <s v="24/05/2017"/>
  </r>
  <r>
    <n v="2"/>
    <n v="759"/>
    <s v="Biblioteca en la junta comunal"/>
    <s v="Panamá"/>
    <x v="41"/>
    <s v="Pedregal"/>
    <s v="FO"/>
    <n v="9.0705050000000007"/>
    <n v="-79.424273999999997"/>
    <s v="28/04/2017"/>
  </r>
  <r>
    <n v="2"/>
    <n v="761"/>
    <s v="Escuela Ascanio Villalaz"/>
    <s v="Panamá"/>
    <x v="41"/>
    <s v="Pedregal"/>
    <s v="FO"/>
    <n v="9.0772019999999998"/>
    <n v="-79.420496999999997"/>
    <s v="25/05/2017"/>
  </r>
  <r>
    <n v="2"/>
    <n v="762"/>
    <s v="Escuela Dr. Juan Arturo Martinelli"/>
    <s v="Panamá"/>
    <x v="41"/>
    <s v="Pedregal"/>
    <s v="HFC"/>
    <n v="9.1103579999999997"/>
    <n v="-79.454414999999997"/>
    <s v="27/07/2017"/>
  </r>
  <r>
    <n v="2"/>
    <n v="763"/>
    <s v="Escuela José Pablo Paredes"/>
    <s v="Panamá"/>
    <x v="41"/>
    <s v="Pedregal"/>
    <s v="FO"/>
    <n v="9.1004269999999998"/>
    <n v="-79.424502000000004"/>
    <s v="05/07/2017"/>
  </r>
  <r>
    <n v="2"/>
    <n v="764"/>
    <s v="Escuela Narciso Garay"/>
    <s v="Panamá"/>
    <x v="41"/>
    <s v="Pedregal"/>
    <s v="FO"/>
    <n v="9.076746"/>
    <n v="-79.436295999999999"/>
    <s v="25/05/2017"/>
  </r>
  <r>
    <n v="2"/>
    <n v="765"/>
    <s v="Escuela Sta. Cruz"/>
    <s v="Panamá"/>
    <x v="41"/>
    <s v="Pedregal"/>
    <s v="PTP"/>
    <n v="9.1099899999999998"/>
    <n v="-79.442244000000002"/>
    <s v="07/06/2017"/>
  </r>
  <r>
    <n v="2"/>
    <n v="766"/>
    <s v="Parque de las Madres Pedregal"/>
    <s v="Panamá"/>
    <x v="41"/>
    <s v="Pedregal"/>
    <s v="FO"/>
    <n v="9.07151"/>
    <n v="-79.424923000000007"/>
    <s v="25/05/2017"/>
  </r>
  <r>
    <n v="2"/>
    <n v="767"/>
    <s v="Primaria - Cirilo J. Martinez"/>
    <s v="Panamá"/>
    <x v="41"/>
    <s v="Pedregal"/>
    <s v="FO"/>
    <n v="9.07151"/>
    <n v="-79.424923000000007"/>
    <s v="28/04/2017"/>
  </r>
  <r>
    <n v="2"/>
    <n v="770"/>
    <s v="Casa de la tercera edad (Pueblo Nuevo)"/>
    <s v="Panamá"/>
    <x v="41"/>
    <s v="Pueblo Nuevo"/>
    <s v="FO"/>
    <n v="9.0166839999999997"/>
    <n v="-79.515772999999996"/>
    <s v="26/04/2017"/>
  </r>
  <r>
    <n v="2"/>
    <n v="772"/>
    <s v="Escuela Francisco Arias Paredes"/>
    <s v="Panamá"/>
    <x v="41"/>
    <s v="Pueblo Nuevo"/>
    <s v="FO"/>
    <n v="9.0120710000000006"/>
    <n v="-79.515851999999995"/>
    <s v="25/04/2017"/>
  </r>
  <r>
    <n v="2"/>
    <n v="773"/>
    <s v="Escuela Ricardo Miró"/>
    <s v="Panamá"/>
    <x v="41"/>
    <s v="Pueblo Nuevo"/>
    <s v="PMP"/>
    <n v="8.9988200000000003"/>
    <n v="-79.523345000000006"/>
    <s v="27/04/2017"/>
  </r>
  <r>
    <n v="2"/>
    <n v="774"/>
    <s v="Instituto Comercial Panama"/>
    <s v="Panamá"/>
    <x v="41"/>
    <s v="Pueblo Nuevo"/>
    <s v="PMP"/>
    <n v="9.0171550000000007"/>
    <n v="-79.511377999999993"/>
    <s v="27/04/2017"/>
  </r>
  <r>
    <n v="2"/>
    <n v="775"/>
    <s v="Municipio (Junta Comunal)"/>
    <s v="Panamá"/>
    <x v="41"/>
    <s v="Pueblo Nuevo"/>
    <s v="FO"/>
    <n v="9.0161909999999992"/>
    <n v="-79.516388000000006"/>
    <s v="27/04/2017"/>
  </r>
  <r>
    <n v="2"/>
    <n v="776"/>
    <s v="Parque del Comercial Panamá"/>
    <s v="Panamá"/>
    <x v="41"/>
    <s v="Pueblo Nuevo"/>
    <s v="PMP"/>
    <n v="9.0171559999999999"/>
    <n v="-79.511377999999993"/>
    <s v="27/04/2017"/>
  </r>
  <r>
    <n v="2"/>
    <n v="777"/>
    <s v="Biblioteca Municipal Juaquin H. Torrijos"/>
    <s v="Panamá"/>
    <x v="41"/>
    <s v="Río Abajo"/>
    <s v="PMP"/>
    <n v="9.014939"/>
    <n v="-79.501571999999996"/>
    <s v="28/04/2017"/>
  </r>
  <r>
    <n v="2"/>
    <n v="778"/>
    <s v="Escuela Arabe de Libia"/>
    <s v="Panamá"/>
    <x v="41"/>
    <s v="Río Abajo"/>
    <s v="PMP"/>
    <n v="9.0241430000000005"/>
    <n v="-79.499319"/>
    <s v="24/05/2017"/>
  </r>
  <r>
    <n v="2"/>
    <n v="779"/>
    <s v="Escuela Mateo Iturralde"/>
    <s v="Panamá"/>
    <x v="41"/>
    <s v="Río Abajo"/>
    <s v="PMP"/>
    <n v="9.0260789999999993"/>
    <n v="-79.492898999999994"/>
    <s v="25/05/2017"/>
  </r>
  <r>
    <n v="2"/>
    <n v="780"/>
    <s v="Parque San Cristobal"/>
    <s v="Panamá"/>
    <x v="41"/>
    <s v="Río Abajo"/>
    <s v="PMP"/>
    <n v="9.0254829999999995"/>
    <n v="-79.494035999999994"/>
    <s v="20/07/2017"/>
  </r>
  <r>
    <n v="2"/>
    <n v="782"/>
    <s v="ULAPS San Cristobal"/>
    <s v="Panamá"/>
    <x v="41"/>
    <s v="Río Abajo"/>
    <s v="PMP"/>
    <n v="9.0292469999999998"/>
    <n v="-79.493757000000002"/>
    <s v="24/05/2017"/>
  </r>
  <r>
    <n v="2"/>
    <n v="783"/>
    <s v="Arco Chato"/>
    <s v="Panamá"/>
    <x v="41"/>
    <s v="San Felipe"/>
    <s v="PMP"/>
    <n v="8.9515860000000007"/>
    <n v="-79.533529000000001"/>
    <s v="11/07/2017"/>
  </r>
  <r>
    <n v="2"/>
    <n v="785"/>
    <s v="Escuela - República de México"/>
    <s v="Panamá"/>
    <x v="41"/>
    <s v="San Felipe"/>
    <s v="PMP"/>
    <n v="8.9533780000000007"/>
    <n v="-79.536002999999994"/>
    <s v="01/06/2017"/>
  </r>
  <r>
    <n v="2"/>
    <n v="787"/>
    <s v="Plaza de Francia"/>
    <s v="Panamá"/>
    <x v="41"/>
    <s v="San Felipe"/>
    <s v="PMP"/>
    <n v="8.9517699999999998"/>
    <n v="-79.533544000000006"/>
    <s v="11/07/2017"/>
  </r>
  <r>
    <n v="2"/>
    <n v="788"/>
    <s v="Plaza de La Catedral"/>
    <s v="Panamá"/>
    <x v="41"/>
    <s v="San Felipe"/>
    <s v="PMP"/>
    <n v="8.9527610000000006"/>
    <n v="-79.535020000000003"/>
    <s v="06/07/2017"/>
  </r>
  <r>
    <n v="2"/>
    <n v="789"/>
    <s v="Plaza Herrera"/>
    <s v="Panamá"/>
    <x v="41"/>
    <s v="San Felipe"/>
    <s v="PMP"/>
    <n v="8.9519470000000005"/>
    <n v="-79.536912000000001"/>
    <s v="19/07/2017"/>
  </r>
  <r>
    <n v="2"/>
    <n v="790"/>
    <s v="Primaria - Estados Unidos de América"/>
    <s v="Panamá"/>
    <x v="41"/>
    <s v="San Felipe"/>
    <s v="PMP"/>
    <n v="8.951333"/>
    <n v="-79.537918000000005"/>
    <s v="11/07/2017"/>
  </r>
  <r>
    <n v="2"/>
    <n v="793"/>
    <s v="Biblioteca José María Pinilla"/>
    <s v="Panamá"/>
    <x v="41"/>
    <s v="San Francisco"/>
    <s v="PMP"/>
    <n v="8.9937780000000007"/>
    <n v="-79.501346999999996"/>
    <s v="27/04/2017"/>
  </r>
  <r>
    <n v="2"/>
    <n v="794"/>
    <s v="Escuela Belisario Porras"/>
    <s v="Panamá"/>
    <x v="41"/>
    <s v="San Francisco"/>
    <s v="PMP"/>
    <n v="8.9887049999999995"/>
    <n v="-79.504703000000006"/>
    <s v="12/06/2017"/>
  </r>
  <r>
    <n v="2"/>
    <n v="795"/>
    <s v="Escuela Federico A. Velazquez (Boca La Caja)"/>
    <s v="Panamá"/>
    <x v="41"/>
    <s v="San Francisco"/>
    <s v="PMP"/>
    <n v="8.9834440000000004"/>
    <n v="-79.505892000000003"/>
    <s v="25/04/2017"/>
  </r>
  <r>
    <n v="2"/>
    <n v="796"/>
    <s v="Escuela Isabel Herrera de Obaldía"/>
    <s v="Panamá"/>
    <x v="41"/>
    <s v="San Francisco"/>
    <s v="FO"/>
    <n v="8.9830520000000007"/>
    <n v="-79.512933000000004"/>
    <s v="25/05/2017"/>
  </r>
  <r>
    <n v="2"/>
    <n v="797"/>
    <s v="Escuela Isabel Herrera de Obaldía 2"/>
    <s v="Panamá"/>
    <x v="41"/>
    <s v="San Francisco"/>
    <s v="FO"/>
    <n v="8.9830520000000007"/>
    <n v="-79.512933000000004"/>
    <s v="25/05/2017"/>
  </r>
  <r>
    <n v="2"/>
    <n v="798"/>
    <s v="Escuela José A. Remón Cantera"/>
    <s v="Panamá"/>
    <x v="41"/>
    <s v="San Francisco"/>
    <s v="PMP"/>
    <n v="8.9821950000000008"/>
    <n v="-79.513793000000007"/>
    <s v="24/04/2017"/>
  </r>
  <r>
    <n v="2"/>
    <n v="799"/>
    <s v="Escuela Puerto Rico"/>
    <s v="Panamá"/>
    <x v="41"/>
    <s v="San Francisco"/>
    <s v="FO"/>
    <n v="8.9985520000000001"/>
    <n v="-79.514234999999999"/>
    <s v="26/05/2017"/>
  </r>
  <r>
    <n v="2"/>
    <n v="800"/>
    <s v="Escuela Republica de Finlandia"/>
    <s v="Panamá"/>
    <x v="41"/>
    <s v="San Francisco"/>
    <s v="PMP"/>
    <n v="8.9796379999999996"/>
    <n v="-79.511994999999999"/>
    <s v="08/06/2017"/>
  </r>
  <r>
    <n v="2"/>
    <n v="801"/>
    <s v="Escuela Richard Neumann"/>
    <s v="Panamá"/>
    <x v="41"/>
    <s v="San Francisco"/>
    <s v="PMP"/>
    <n v="8.9813690000000008"/>
    <n v="-79.514144000000002"/>
    <s v="24/04/2017"/>
  </r>
  <r>
    <n v="2"/>
    <n v="802"/>
    <s v="Hospital de Especialidades Pediatricas Las Americas"/>
    <s v="Panamá"/>
    <x v="41"/>
    <s v="San Francisco"/>
    <s v="FO"/>
    <n v="9.0012220000000003"/>
    <n v="-79.516827000000006"/>
    <s v="25/05/2017"/>
  </r>
  <r>
    <n v="2"/>
    <n v="803"/>
    <s v="Parque Omar - área recreativa techada"/>
    <s v="Panamá"/>
    <x v="41"/>
    <s v="San Francisco"/>
    <s v="FO"/>
    <n v="8.9971499999999995"/>
    <n v="-79.508127000000002"/>
    <s v="24/04/2017"/>
  </r>
  <r>
    <n v="2"/>
    <n v="805"/>
    <s v="Parque Omar Salón de la Tercera Edad"/>
    <s v="Panamá"/>
    <x v="41"/>
    <s v="San Francisco"/>
    <s v="PMP"/>
    <n v="9.0001119999999997"/>
    <n v="-79.508251000000001"/>
    <s v="24/04/2017"/>
  </r>
  <r>
    <n v="2"/>
    <n v="806"/>
    <s v="ESC. LA MESA"/>
    <s v="Panamá"/>
    <x v="41"/>
    <s v="San Martín"/>
    <s v="PTP"/>
    <n v="9.1784140000000001"/>
    <n v="-79.271637999999996"/>
    <s v="20/07/2017"/>
  </r>
  <r>
    <n v="2"/>
    <n v="807"/>
    <s v="ESC. SAN MIGUEL DE PACORA"/>
    <s v="Panamá"/>
    <x v="41"/>
    <s v="San Martín"/>
    <s v="Satelital"/>
    <n v="9.2219440000000006"/>
    <n v="-79.253611000000006"/>
    <s v="07/08/2017"/>
  </r>
  <r>
    <n v="2"/>
    <n v="810"/>
    <s v="Escuela Manuel José Hurtado"/>
    <s v="Panamá"/>
    <x v="41"/>
    <s v="Santa Ana"/>
    <s v="PMP"/>
    <n v="8.9526880000000002"/>
    <n v="-79.539575999999997"/>
    <s v="14/06/2017"/>
  </r>
  <r>
    <n v="2"/>
    <n v="812"/>
    <s v="Instituto Nacional"/>
    <s v="Panamá"/>
    <x v="41"/>
    <s v="Santa Ana"/>
    <s v="PMP"/>
    <n v="8.9577639999999992"/>
    <n v="-79.542834999999997"/>
    <s v="06/07/2017"/>
  </r>
  <r>
    <n v="2"/>
    <n v="813"/>
    <s v="Instituto Nacional 2"/>
    <s v="Panamá"/>
    <x v="41"/>
    <s v="Santa Ana"/>
    <s v="PMP"/>
    <n v="8.9596319999999992"/>
    <n v="-79.542957000000001"/>
    <s v="06/07/2017"/>
  </r>
  <r>
    <n v="2"/>
    <n v="814"/>
    <s v="Mercado San Felipe Nery"/>
    <s v="Panamá"/>
    <x v="41"/>
    <s v="Santa Ana"/>
    <s v="PMP"/>
    <n v="8.9574580000000008"/>
    <n v="-79.538664999999995"/>
    <s v="06/07/2017"/>
  </r>
  <r>
    <n v="2"/>
    <n v="816"/>
    <s v="Primaria - Dr. Justo Arosemena"/>
    <s v="Panamá"/>
    <x v="41"/>
    <s v="Santa Ana"/>
    <s v="PMP"/>
    <n v="8.9549769999999995"/>
    <n v="-79.542299"/>
    <s v="18/07/2017"/>
  </r>
  <r>
    <n v="2"/>
    <n v="818"/>
    <s v="Area frente al INADEH Tocumen"/>
    <s v="Panamá"/>
    <x v="41"/>
    <s v="Tocumen"/>
    <s v="FO"/>
    <n v="9.0714769999999998"/>
    <n v="-79.399056000000002"/>
    <s v="07/06/2017"/>
  </r>
  <r>
    <n v="2"/>
    <n v="820"/>
    <s v="Centro de Salud 24 de Diciembre(Tocumen)"/>
    <s v="Panamá"/>
    <x v="41"/>
    <s v="Tocumen"/>
    <s v="FO"/>
    <n v="9.0921179999999993"/>
    <n v="-79.379360000000005"/>
    <s v="09/06/2017"/>
  </r>
  <r>
    <n v="2"/>
    <n v="821"/>
    <s v="Escuela Nuevo Belen"/>
    <s v="Panamá"/>
    <x v="41"/>
    <s v="Tocumen"/>
    <s v="FO"/>
    <n v="9.0899560000000008"/>
    <n v="-79.394029000000003"/>
    <s v="23/05/2017"/>
  </r>
  <r>
    <n v="2"/>
    <n v="822"/>
    <s v="Escuela Primaria Emperatriz Taboada"/>
    <s v="Panamá"/>
    <x v="41"/>
    <s v="Tocumen"/>
    <s v="HFC"/>
    <n v="9.0822800000000008"/>
    <n v="-79.363935999999995"/>
    <s v="16/06/2017"/>
  </r>
  <r>
    <n v="2"/>
    <n v="823"/>
    <s v="Escuela Ricardo J. Alfaro"/>
    <s v="Panamá"/>
    <x v="41"/>
    <s v="Tocumen"/>
    <s v="FO"/>
    <n v="9.0922009999999993"/>
    <n v="-79.378891999999993"/>
    <s v="13/06/2017"/>
  </r>
  <r>
    <n v="2"/>
    <n v="824"/>
    <s v="Escuela Sector Sur"/>
    <s v="Panamá"/>
    <x v="41"/>
    <s v="Tocumen"/>
    <s v="FO"/>
    <n v="9.0810259999999996"/>
    <n v="-79.388041999999999"/>
    <s v="09/06/2017"/>
  </r>
  <r>
    <n v="2"/>
    <n v="825"/>
    <s v="IPT Jephta B. Duncan ( 24 dic.)"/>
    <s v="Panamá"/>
    <x v="41"/>
    <s v="24 de Diciembre"/>
    <s v="HFC"/>
    <n v="9.1062569999999994"/>
    <n v="-79.364445000000003"/>
    <s v="06/06/2017"/>
  </r>
  <r>
    <n v="2"/>
    <n v="826"/>
    <s v="Junta Comunal de Tocumen"/>
    <s v="Panamá"/>
    <x v="41"/>
    <s v="Tocumen"/>
    <s v="HFC"/>
    <n v="9.0971019999999996"/>
    <n v="-79.375637999999995"/>
    <s v="06/06/2017"/>
  </r>
  <r>
    <n v="2"/>
    <n v="827"/>
    <s v="Parque infantil"/>
    <s v="Panamá"/>
    <x v="41"/>
    <s v="Tocumen"/>
    <s v="FO"/>
    <n v="9.0832029999999992"/>
    <n v="-79.384763000000007"/>
    <s v="23/05/2017"/>
  </r>
  <r>
    <n v="2"/>
    <n v="828"/>
    <s v="Primer Ciclo Básico de Tocumen"/>
    <s v="Panamá"/>
    <x v="41"/>
    <s v="Tocumen"/>
    <s v="FO"/>
    <n v="9.0733840000000008"/>
    <n v="-79.399281999999999"/>
    <s v="25/05/2017"/>
  </r>
  <r>
    <n v="2"/>
    <n v="829"/>
    <s v="Centro de Salud Amelia Denis de Icaza"/>
    <s v="Panamá"/>
    <x v="42"/>
    <s v="Amelia Denis de Icaza"/>
    <s v="PMP"/>
    <n v="9.0387160000000009"/>
    <n v="-79.506197"/>
    <s v="30/05/2017"/>
  </r>
  <r>
    <n v="2"/>
    <n v="831"/>
    <s v="Escuela 9 de Enero"/>
    <s v="Panamá"/>
    <x v="42"/>
    <s v="Amelia Denis de Icaza"/>
    <s v="PMP"/>
    <n v="9.0390669999999993"/>
    <n v="-79.515478000000002"/>
    <s v="27/04/2017"/>
  </r>
  <r>
    <n v="2"/>
    <n v="832"/>
    <s v="Escuela Amelia Denis De Icaza"/>
    <s v="Panamá"/>
    <x v="42"/>
    <s v="Amelia Denis de Icaza"/>
    <s v="PMP"/>
    <n v="9.0450890000000008"/>
    <n v="-79.504220000000004"/>
    <s v="30/05/2017"/>
  </r>
  <r>
    <n v="2"/>
    <n v="833"/>
    <s v="Escuela Gerónimo de la Ossa"/>
    <s v="Panamá"/>
    <x v="42"/>
    <s v="Amelia Denis de Icaza"/>
    <s v="PMP"/>
    <n v="9.0360119999999995"/>
    <n v="-79.505009999999999"/>
    <s v="24/04/2017"/>
  </r>
  <r>
    <n v="2"/>
    <n v="837"/>
    <s v="Primer Ciclo Leon A. Soto 1"/>
    <s v="Panamá"/>
    <x v="42"/>
    <s v="Amelia Denis de Icaza"/>
    <s v="FO"/>
    <n v="9.0405499999999996"/>
    <n v="-79.509541999999996"/>
    <s v="29/05/2017"/>
  </r>
  <r>
    <n v="2"/>
    <n v="838"/>
    <s v="Primer ciclo Leon A. Soto 2"/>
    <s v="Panamá"/>
    <x v="42"/>
    <s v="Amelia Denis de Icaza"/>
    <s v="FO"/>
    <n v="9.0405499999999996"/>
    <n v="-79.509541999999996"/>
    <s v="02/06/2017"/>
  </r>
  <r>
    <n v="2"/>
    <n v="839"/>
    <s v="Primer Ciclo Louis Martin"/>
    <s v="Panamá"/>
    <x v="42"/>
    <s v="Amelia Denis de Icaza"/>
    <s v="FO"/>
    <n v="9.0428999999999995"/>
    <n v="-79.500662000000005"/>
    <s v="13/06/2017"/>
  </r>
  <r>
    <n v="2"/>
    <n v="841"/>
    <s v="Centro de Salud Valle de Urracá"/>
    <s v="Panamá"/>
    <x v="42"/>
    <s v="Arnulfo Arias"/>
    <s v="PTP"/>
    <n v="9.0690770000000001"/>
    <n v="-79.483869999999996"/>
    <s v="13/06/2017"/>
  </r>
  <r>
    <n v="2"/>
    <n v="842"/>
    <s v="Escuela el Valle de Urraca"/>
    <s v="Panamá"/>
    <x v="42"/>
    <s v="Arnulfo Arias"/>
    <s v="FO"/>
    <n v="9.0675489999999996"/>
    <n v="-79.487129999999993"/>
    <s v="30/05/2017"/>
  </r>
  <r>
    <n v="2"/>
    <n v="843"/>
    <s v="Escuela Martin Luther King"/>
    <s v="Panamá"/>
    <x v="42"/>
    <s v="Belisario Frías"/>
    <s v="FO"/>
    <n v="9.0605460000000004"/>
    <n v="-79.489414999999994"/>
    <s v="12/06/2017"/>
  </r>
  <r>
    <n v="2"/>
    <n v="844"/>
    <s v="Escuela Primaria Arnulfo Arias"/>
    <s v="Panamá"/>
    <x v="42"/>
    <s v="Belisario Frías"/>
    <s v="FO"/>
    <n v="9.0639389999999995"/>
    <n v="-79.485988000000006"/>
    <s v="13/07/2017"/>
  </r>
  <r>
    <n v="2"/>
    <n v="845"/>
    <s v="Junta Comunal Arnulfo Arias Madrid"/>
    <s v="Panamá"/>
    <x v="42"/>
    <s v="Arnulfo Arias"/>
    <s v="FO"/>
    <n v="9.0675749999999997"/>
    <n v="-79.488009000000005"/>
    <s v="30/05/2017"/>
  </r>
  <r>
    <n v="2"/>
    <n v="849"/>
    <s v="Area frente al Ministerio de Desarrollo Social Belisario Frías"/>
    <s v="Panamá"/>
    <x v="42"/>
    <s v="Belisario Frías"/>
    <s v="FO"/>
    <n v="9.0311120000000003"/>
    <n v="-79.501913000000002"/>
    <s v="09/06/2017"/>
  </r>
  <r>
    <n v="2"/>
    <n v="852"/>
    <s v="C.E.B.G. Samaria Sinaí"/>
    <s v="Panamá"/>
    <x v="42"/>
    <s v="Belisario Frías"/>
    <s v="FO"/>
    <n v="9.0538270000000001"/>
    <n v="-79.494688999999994"/>
    <s v="02/06/2017"/>
  </r>
  <r>
    <n v="2"/>
    <n v="853"/>
    <s v="Centro de Orientación Infantil Katiuska"/>
    <s v="Panamá"/>
    <x v="42"/>
    <s v="Belisario Frías"/>
    <s v="HFC"/>
    <n v="9.0787069999999996"/>
    <n v="-79.495917000000006"/>
    <s v="16/06/2017"/>
  </r>
  <r>
    <n v="2"/>
    <n v="855"/>
    <s v="Centro de Salud de Torrijos Carter"/>
    <s v="Panamá"/>
    <x v="42"/>
    <s v="Belisario Frías"/>
    <s v="HFC"/>
    <n v="9.0806740000000001"/>
    <n v="-79.491743"/>
    <s v="30/05/2017"/>
  </r>
  <r>
    <n v="2"/>
    <n v="857"/>
    <s v="Escuela Carlos A. Mendoza"/>
    <s v="Panamá"/>
    <x v="42"/>
    <s v="Belisario Frías"/>
    <s v="PMP"/>
    <n v="9.0477159999999994"/>
    <n v="-79.499343999999994"/>
    <s v="30/05/2017"/>
  </r>
  <r>
    <n v="2"/>
    <n v="858"/>
    <s v="Escuela El Mirador"/>
    <s v="Panamá"/>
    <x v="42"/>
    <s v="Belisario Frías"/>
    <s v="FO"/>
    <n v="9.0726779999999998"/>
    <n v="-79.487745000000004"/>
    <s v="30/05/2017"/>
  </r>
  <r>
    <n v="2"/>
    <n v="859"/>
    <s v="Escuela General José de San Martin"/>
    <s v="Panamá"/>
    <x v="42"/>
    <s v="Belisario Frías"/>
    <s v="FO"/>
    <n v="9.0657530000000008"/>
    <n v="-79.501588999999996"/>
    <s v="01/06/2017"/>
  </r>
  <r>
    <n v="2"/>
    <n v="860"/>
    <s v="Escuela Josefina Tapia"/>
    <s v="Panamá"/>
    <x v="42"/>
    <s v="Belisario Frías"/>
    <s v="PMP"/>
    <n v="9.0477050000000006"/>
    <n v="-79.499332999999993"/>
    <s v="07/07/2017"/>
  </r>
  <r>
    <n v="2"/>
    <n v="861"/>
    <s v="Escuela República de Polonia"/>
    <s v="Panamá"/>
    <x v="42"/>
    <s v="Belisario Frías"/>
    <s v="FO"/>
    <n v="9.0731780000000004"/>
    <n v="-79.482928000000001"/>
    <s v="26/04/2017"/>
  </r>
  <r>
    <n v="2"/>
    <n v="862"/>
    <s v="Escuela Republica de Corea"/>
    <s v="Panamá"/>
    <x v="42"/>
    <s v="Belisario Frías"/>
    <s v="FO"/>
    <n v="9.0493389999999998"/>
    <n v="-79.492699999999999"/>
    <s v="12/06/2017"/>
  </r>
  <r>
    <n v="2"/>
    <n v="863"/>
    <s v="Escuela Republica de Francia"/>
    <s v="Panamá"/>
    <x v="42"/>
    <s v="Belisario Frías"/>
    <s v="FO"/>
    <n v="9.062837"/>
    <n v="-79.495037999999994"/>
    <s v="30/05/2017"/>
  </r>
  <r>
    <n v="2"/>
    <n v="864"/>
    <s v="Escuela República de Yugoslavia"/>
    <s v="Panamá"/>
    <x v="42"/>
    <s v="Belisario Frías"/>
    <s v="FO"/>
    <n v="9.0476829999999993"/>
    <n v="-79.500010000000003"/>
    <s v="29/05/2017"/>
  </r>
  <r>
    <n v="2"/>
    <n v="865"/>
    <s v="Escuela Rogelio Sinán"/>
    <s v="Panamá"/>
    <x v="42"/>
    <s v="Belisario Frías"/>
    <s v="HFC"/>
    <n v="9.0796639999999993"/>
    <n v="-79.487745000000004"/>
    <s v="10/07/2017"/>
  </r>
  <r>
    <n v="2"/>
    <n v="866"/>
    <s v="Escuela Santa Marta"/>
    <s v="Panamá"/>
    <x v="42"/>
    <s v="Belisario Frías"/>
    <s v="FO"/>
    <n v="9.0796309999999991"/>
    <n v="-79.495214000000004"/>
    <s v="29/05/2017"/>
  </r>
  <r>
    <n v="2"/>
    <n v="867"/>
    <s v="Escuela Torrijos Carter"/>
    <s v="Panamá"/>
    <x v="42"/>
    <s v="Belisario Frías"/>
    <s v="FO"/>
    <n v="9.0695160000000001"/>
    <n v="-79.493280999999996"/>
    <s v="13/06/2017"/>
  </r>
  <r>
    <n v="2"/>
    <n v="868"/>
    <s v="IPT San Miguelito"/>
    <s v="Panamá"/>
    <x v="42"/>
    <s v="Belisario Frías"/>
    <s v="HFC"/>
    <n v="9.0791269999999997"/>
    <n v="-79.492754000000005"/>
    <s v="01/06/2017"/>
  </r>
  <r>
    <n v="2"/>
    <n v="869"/>
    <s v="Escuela Padre Xavier Villanueva"/>
    <s v="Panamá"/>
    <x v="42"/>
    <s v="Rufina Alfaro"/>
    <s v="PMP"/>
    <n v="9.059882"/>
    <n v="-79.457901000000007"/>
    <s v="26/04/2017"/>
  </r>
  <r>
    <n v="2"/>
    <n v="870"/>
    <s v="Escuela Primaria Don Bosco en Belisario Porras"/>
    <s v="Panamá"/>
    <x v="42"/>
    <s v="Belisario Porras"/>
    <s v="FO"/>
    <n v="9.0560860000000005"/>
    <n v="-79.503122000000005"/>
    <s v="31/05/2017"/>
  </r>
  <r>
    <n v="2"/>
    <n v="871"/>
    <s v="Escuela Estado de Israel"/>
    <s v="Panamá"/>
    <x v="42"/>
    <s v="José Domingo Espinar"/>
    <s v="FO"/>
    <n v="9.0383320000000005"/>
    <n v="-79.492841999999996"/>
    <s v="01/06/2017"/>
  </r>
  <r>
    <n v="2"/>
    <n v="872"/>
    <s v="Escuela Estado de Israel 2"/>
    <s v="Panamá"/>
    <x v="42"/>
    <s v="José Domingo Espinar"/>
    <s v="FO"/>
    <n v="9.0383320000000005"/>
    <n v="-79.492841999999996"/>
    <s v="01/06/2017"/>
  </r>
  <r>
    <n v="2"/>
    <n v="873"/>
    <s v="Escuela Jose D. Espinar"/>
    <s v="Panamá"/>
    <x v="42"/>
    <s v="José Domingo Espinar"/>
    <s v="PMP"/>
    <n v="9.0451029999999992"/>
    <n v="-79.473684000000006"/>
    <s v="08/06/2017"/>
  </r>
  <r>
    <n v="2"/>
    <n v="874"/>
    <s v="IPT Angel Rubio"/>
    <s v="Panamá"/>
    <x v="42"/>
    <s v="José Domingo Espinar"/>
    <s v="PMP"/>
    <n v="9.0526549999999997"/>
    <n v="-79.463672000000003"/>
    <s v="12/06/2017"/>
  </r>
  <r>
    <n v="2"/>
    <n v="875"/>
    <s v="Junta Comunal Jose D. Espinar"/>
    <s v="Panamá"/>
    <x v="42"/>
    <s v="José Domingo Espinar"/>
    <s v="FO"/>
    <n v="9.0341900000000006"/>
    <n v="-79.490909000000002"/>
    <s v="29/05/2017"/>
  </r>
  <r>
    <n v="2"/>
    <n v="876"/>
    <s v="Policlinica Dra. Susana Jones Cano (Hospital San Judas Tadeo)"/>
    <s v="Panamá"/>
    <x v="42"/>
    <s v="José Domingo Espinar"/>
    <s v="PMP"/>
    <n v="9.0376650000000005"/>
    <n v="-79.483281000000005"/>
    <s v="24/04/2017"/>
  </r>
  <r>
    <n v="2"/>
    <n v="877"/>
    <s v="Escuela Republica de Colombia"/>
    <s v="Panamá"/>
    <x v="42"/>
    <s v="Mateo Iturralde"/>
    <s v="FO"/>
    <n v="9.0364699999999996"/>
    <n v="-79.499167999999997"/>
    <s v="14/06/2017"/>
  </r>
  <r>
    <n v="2"/>
    <n v="878"/>
    <s v="Escuela Severino Hernandez (IPT)"/>
    <s v="Panamá"/>
    <x v="42"/>
    <s v="Mateo Iturralde"/>
    <s v="PMP"/>
    <n v="9.0298239999999996"/>
    <n v="-79.495795000000001"/>
    <s v="07/07/2017"/>
  </r>
  <r>
    <n v="2"/>
    <n v="881"/>
    <s v="Policlínica Manuel Maria Valdéz"/>
    <s v="Panamá"/>
    <x v="42"/>
    <s v="Mateo Iturralde"/>
    <s v="FO"/>
    <n v="9.0084339999999994"/>
    <n v="-79.487789000000006"/>
    <s v="29/05/2017"/>
  </r>
  <r>
    <n v="2"/>
    <n v="882"/>
    <s v="Biblioteca Pública Omar Torrijos Herrera"/>
    <s v="Panamá"/>
    <x v="42"/>
    <s v="Omar Torrijos"/>
    <s v="FO"/>
    <n v="9.0416070000000008"/>
    <n v="-79.492710000000002"/>
    <s v="30/05/2017"/>
  </r>
  <r>
    <n v="2"/>
    <n v="883"/>
    <s v="Escuela Domingo Faustino Sarmiento"/>
    <s v="Panamá"/>
    <x v="42"/>
    <s v="Omar Torrijos"/>
    <s v="HFC"/>
    <n v="9.0643100000000008"/>
    <n v="-79.508574999999993"/>
    <s v="10/07/2017"/>
  </r>
  <r>
    <n v="2"/>
    <n v="884"/>
    <s v="Escuela Juan José. Amado"/>
    <s v="Panamá"/>
    <x v="42"/>
    <s v="Omar Torrijos"/>
    <s v="FO"/>
    <n v="9.0651700000000002"/>
    <n v="-79.52216"/>
    <s v="02/06/2017"/>
  </r>
  <r>
    <n v="2"/>
    <n v="885"/>
    <s v="Escuela Los Andes # 2 No.1"/>
    <s v="Panamá"/>
    <x v="42"/>
    <s v="Omar Torrijos"/>
    <s v="PMP"/>
    <n v="9.0498670000000008"/>
    <n v="-79.511955999999998"/>
    <s v="14/06/2017"/>
  </r>
  <r>
    <n v="2"/>
    <n v="886"/>
    <s v="Escuela María del Rosario Salazar"/>
    <s v="Panamá"/>
    <x v="42"/>
    <s v="Omar Torrijos"/>
    <s v="PMP"/>
    <n v="9.062284"/>
    <n v="-79.506235000000004"/>
    <s v="02/06/2017"/>
  </r>
  <r>
    <n v="2"/>
    <n v="887"/>
    <s v="Escuela Santa Librada"/>
    <s v="Panamá"/>
    <x v="42"/>
    <s v="Omar Torrijos"/>
    <s v="PMP"/>
    <n v="9.0723450000000003"/>
    <n v="-79.502905999999996"/>
    <s v="31/05/2017"/>
  </r>
  <r>
    <n v="2"/>
    <n v="889"/>
    <s v="Escuela Santiago de la Guardia"/>
    <s v="Panamá"/>
    <x v="42"/>
    <s v="Omar Torrijos"/>
    <s v="FO"/>
    <n v="9.0766650000000002"/>
    <n v="-79.515202000000002"/>
    <s v="28/04/2017"/>
  </r>
  <r>
    <n v="2"/>
    <n v="890"/>
    <s v="IPT Nicolas del Rosario Los Andes"/>
    <s v="Panamá"/>
    <x v="42"/>
    <s v="Omar Torrijos"/>
    <s v="PMP"/>
    <n v="9.0470330000000008"/>
    <n v="-79.511116999999999"/>
    <s v="29/05/2017"/>
  </r>
  <r>
    <n v="2"/>
    <n v="891"/>
    <s v="Junta Comunal Omar Torrijos"/>
    <s v="Panamá"/>
    <x v="42"/>
    <s v="Omar Torrijos"/>
    <s v="FO"/>
    <n v="9.0766650000000002"/>
    <n v="-79.515202000000002"/>
    <s v="30/05/2017"/>
  </r>
  <r>
    <n v="2"/>
    <n v="892"/>
    <s v="Parque Santa Librada tercera etapa"/>
    <s v="Panamá"/>
    <x v="42"/>
    <s v="Omar Torrijos"/>
    <s v="FO"/>
    <n v="9.0773980000000005"/>
    <n v="-79.512476000000007"/>
    <s v="30/05/2017"/>
  </r>
  <r>
    <n v="2"/>
    <n v="893"/>
    <s v="Policlínica Generoso Guardia"/>
    <s v="Panamá"/>
    <x v="42"/>
    <s v="Omar Torrijos"/>
    <s v="PMP"/>
    <n v="9.0721629999999998"/>
    <n v="-79.505318000000003"/>
    <s v="30/05/2017"/>
  </r>
  <r>
    <n v="2"/>
    <n v="894"/>
    <s v="Primer Ciclo Santa Librada"/>
    <s v="Panamá"/>
    <x v="42"/>
    <s v="Omar Torrijos"/>
    <s v="PMP"/>
    <n v="9.0728410000000004"/>
    <n v="-79.502243000000007"/>
    <s v="31/05/2017"/>
  </r>
  <r>
    <n v="2"/>
    <n v="895"/>
    <s v="Escuela Cerro Viento Rural"/>
    <s v="Panamá"/>
    <x v="42"/>
    <s v="Rufina Alfaro"/>
    <s v="FO"/>
    <n v="9.0760749999999994"/>
    <n v="-79.460148000000004"/>
    <s v="27/04/2017"/>
  </r>
  <r>
    <n v="2"/>
    <n v="896"/>
    <s v="Escuela Pedro J. Ameglio"/>
    <s v="Panamá"/>
    <x v="42"/>
    <s v="Rufina Alfaro"/>
    <s v="FO"/>
    <n v="9.0594610000000007"/>
    <n v="-79.445995999999994"/>
    <s v="24/05/2017"/>
  </r>
  <r>
    <n v="2"/>
    <n v="897"/>
    <s v="Escuela República de Alemania"/>
    <s v="Panamá"/>
    <x v="42"/>
    <s v="Victoriano Lorenzo"/>
    <s v="PMP"/>
    <n v="9.0261270000000007"/>
    <n v="-79.503648999999996"/>
    <s v="26/04/2017"/>
  </r>
  <r>
    <n v="2"/>
    <n v="898"/>
    <s v="Escuela San Antonio"/>
    <s v="Panamá"/>
    <x v="42"/>
    <s v="Victoriano Lorenzo"/>
    <s v="FO"/>
    <n v="9.0310649999999999"/>
    <n v="-79.505242999999993"/>
    <s v="27/04/2017"/>
  </r>
  <r>
    <n v="2"/>
    <n v="899"/>
    <s v="Instituto Rubiano"/>
    <s v="Panamá"/>
    <x v="42"/>
    <s v="Victoriano Lorenzo"/>
    <s v="PMP"/>
    <n v="9.0360359999999993"/>
    <n v="-79.504790999999997"/>
    <s v="02/06/2017"/>
  </r>
  <r>
    <n v="2"/>
    <n v="900"/>
    <s v="Escuela Juana María Menchado de Jiménez"/>
    <s v="Panamá"/>
    <x v="43"/>
    <s v="Otoque Oriente"/>
    <s v="Satelital"/>
    <n v="8.6014900000000001"/>
    <n v="-79.594451000000007"/>
    <s v="07/08/2017"/>
  </r>
  <r>
    <n v="2"/>
    <n v="901"/>
    <s v="Escuela Benjamín Quintero"/>
    <s v="Panamá"/>
    <x v="43"/>
    <s v="Taboga"/>
    <s v="PTP"/>
    <n v="8.7968659999999996"/>
    <n v="-79.555682000000004"/>
    <s v="25/07/2017"/>
  </r>
  <r>
    <n v="3"/>
    <n v="902"/>
    <s v="Alcaldía Aguadulce"/>
    <s v="Coclé"/>
    <x v="44"/>
    <s v="San Juan Bautista de Aguadulce"/>
    <s v="FO"/>
    <n v="8.2434930000000008"/>
    <n v="-80.539530999999997"/>
    <s v="25/07/2017"/>
  </r>
  <r>
    <n v="3"/>
    <n v="903"/>
    <s v="Biblioteca Abelardo Herrera"/>
    <s v="Coclé"/>
    <x v="44"/>
    <s v="Barrios Unidos"/>
    <s v="FO"/>
    <n v="8.2417730000000002"/>
    <n v="-80.542918"/>
    <s v="25/07/2017"/>
  </r>
  <r>
    <n v="3"/>
    <n v="905"/>
    <s v="Centro de Bellas Artes Folkloricas"/>
    <s v="Coclé"/>
    <x v="44"/>
    <s v="San Juan Bautista de Aguadulce"/>
    <s v="FO"/>
    <n v="8.2422989999999992"/>
    <n v="-80.544456999999994"/>
    <s v="25/07/2017"/>
  </r>
  <r>
    <n v="3"/>
    <n v="906"/>
    <s v="Centro de Salud Aguadulce"/>
    <s v="Coclé"/>
    <x v="44"/>
    <s v="San Juan Bautista de Aguadulce"/>
    <s v="FO"/>
    <n v="8.2374899999999993"/>
    <n v="-80.549319999999994"/>
    <s v="26/07/2017"/>
  </r>
  <r>
    <n v="3"/>
    <n v="907"/>
    <s v="Cuartel de Bomberos Aguadulce"/>
    <s v="Coclé"/>
    <x v="44"/>
    <s v="San Juan Bautista de Aguadulce"/>
    <s v="FO"/>
    <n v="8.2467100000000002"/>
    <n v="-80.541467999999995"/>
    <s v="26/07/2017"/>
  </r>
  <r>
    <n v="3"/>
    <n v="909"/>
    <s v="Hospital Marcos Robles"/>
    <s v="Coclé"/>
    <x v="44"/>
    <s v="San Juan Bautista de Aguadulce"/>
    <s v="FO"/>
    <n v="8.2491129999999995"/>
    <n v="-80.544432999999998"/>
    <s v="26/07/2017"/>
  </r>
  <r>
    <n v="3"/>
    <n v="910"/>
    <s v="Hospital Regional de Aguadulce"/>
    <s v="Coclé"/>
    <x v="44"/>
    <s v="San Juan Bautista de Aguadulce"/>
    <s v="FO"/>
    <n v="8.2450460000000003"/>
    <n v="-80.558060999999995"/>
    <s v="26/07/2017"/>
  </r>
  <r>
    <n v="3"/>
    <n v="911"/>
    <s v="IPT Industrial de Aguadulce"/>
    <s v="Coclé"/>
    <x v="44"/>
    <s v="San Juan Bautista de Aguadulce"/>
    <s v="FO"/>
    <n v="8.2446420000000007"/>
    <n v="-80.530597999999998"/>
    <s v="24/07/2017"/>
  </r>
  <r>
    <n v="3"/>
    <n v="914"/>
    <s v="Parque 19 de Octubre"/>
    <s v="Coclé"/>
    <x v="44"/>
    <s v="San Juan Bautista de Aguadulce"/>
    <s v="FO"/>
    <n v="8.2414389999999997"/>
    <n v="-80.539844000000002"/>
    <s v="26/07/2017"/>
  </r>
  <r>
    <n v="3"/>
    <n v="915"/>
    <s v="Parque de los Marineros"/>
    <s v="Coclé"/>
    <x v="44"/>
    <s v="San Juan Bautista de Aguadulce"/>
    <s v="FO"/>
    <n v="8.2413889999999999"/>
    <n v="-80.536511000000004"/>
    <s v="26/07/2017"/>
  </r>
  <r>
    <n v="3"/>
    <n v="916"/>
    <s v="Parque del Carmen"/>
    <s v="Coclé"/>
    <x v="44"/>
    <s v="Pocrí"/>
    <s v="FO"/>
    <n v="8.2588000000000008"/>
    <n v="-80.549386999999996"/>
    <s v="25/07/2017"/>
  </r>
  <r>
    <n v="3"/>
    <n v="920"/>
    <s v="Rodolfo F. Chiari"/>
    <s v="Coclé"/>
    <x v="44"/>
    <s v="San Juan Bautista de Aguadulce"/>
    <s v="FO"/>
    <n v="8.2417909999999992"/>
    <n v="-80.549287000000007"/>
    <s v="26/07/2017"/>
  </r>
  <r>
    <n v="3"/>
    <n v="921"/>
    <s v="Abelardo Herrera"/>
    <s v="Coclé"/>
    <x v="44"/>
    <s v="Barrios Unidos"/>
    <s v="FO"/>
    <n v="8.2369059999999994"/>
    <n v="-80.540443999999994"/>
    <s v="26/07/2017"/>
  </r>
  <r>
    <n v="3"/>
    <n v="922"/>
    <s v="C.E.B.G. Loma de los González"/>
    <s v="Coclé"/>
    <x v="44"/>
    <s v="El Cristo"/>
    <s v="Satelital"/>
    <n v="8.3130199999999999"/>
    <n v="-80.685871000000006"/>
    <s v="26/09/2017"/>
  </r>
  <r>
    <n v="3"/>
    <n v="923"/>
    <s v="Escuela Hato Rincones"/>
    <s v="Coclé"/>
    <x v="44"/>
    <s v="El Cristo"/>
    <s v="Satelital"/>
    <n v="8.2723580000000005"/>
    <n v="-80.674375999999995"/>
    <s v="23/10/2017"/>
  </r>
  <r>
    <n v="3"/>
    <n v="924"/>
    <s v="Escuela El Naranjal"/>
    <s v="Coclé"/>
    <x v="44"/>
    <s v="El Cristo"/>
    <s v="Satelital"/>
    <n v="8.2717510000000001"/>
    <n v="-80.621915000000001"/>
    <s v="23/10/2017"/>
  </r>
  <r>
    <n v="3"/>
    <n v="925"/>
    <s v="C.E.B.G. ERIC DEL VALLE"/>
    <s v="Coclé"/>
    <x v="44"/>
    <s v="El Roble"/>
    <s v="FO"/>
    <n v="8.1995229999999992"/>
    <n v="-80.702838999999997"/>
    <s v="25/07/2017"/>
  </r>
  <r>
    <n v="3"/>
    <n v="926"/>
    <s v="Escuela El Roble"/>
    <s v="Coclé"/>
    <x v="44"/>
    <s v="El Roble"/>
    <s v="HFC"/>
    <n v="8.1629009999999997"/>
    <n v="-80.656627999999998"/>
    <s v="31/07/2017"/>
  </r>
  <r>
    <n v="3"/>
    <n v="927"/>
    <s v="Escuela Francisca C. de Sierra"/>
    <s v="Coclé"/>
    <x v="44"/>
    <s v="El Roble"/>
    <s v="PTP"/>
    <n v="8.170064"/>
    <n v="-80.636239000000003"/>
    <s v="04/09/2017"/>
  </r>
  <r>
    <n v="3"/>
    <n v="928"/>
    <s v="Escuela Jaguito"/>
    <s v="Coclé"/>
    <x v="44"/>
    <s v="El Roble"/>
    <s v="FO"/>
    <n v="8.1707579999999993"/>
    <n v="-80.668931999999998"/>
    <s v="31/07/2017"/>
  </r>
  <r>
    <n v="3"/>
    <n v="929"/>
    <s v="Parque frente a Iglesia del Jaguito"/>
    <s v="Coclé"/>
    <x v="44"/>
    <s v="El Roble"/>
    <s v="FO"/>
    <n v="8.1690869999999993"/>
    <n v="-80.667520999999994"/>
    <s v="25/07/2017"/>
  </r>
  <r>
    <n v="3"/>
    <n v="930"/>
    <s v="CEBG El Perú"/>
    <s v="Coclé"/>
    <x v="44"/>
    <s v="Pocrí"/>
    <s v="FO"/>
    <n v="8.253698"/>
    <n v="-80.555830999999998"/>
    <s v="24/07/2017"/>
  </r>
  <r>
    <n v="3"/>
    <n v="931"/>
    <s v="CEBG Juan Demóstenes Arosemena"/>
    <s v="Coclé"/>
    <x v="44"/>
    <s v="Pocrí"/>
    <s v="FO"/>
    <n v="8.2588989999999995"/>
    <n v="-80.549342999999993"/>
    <s v="25/07/2017"/>
  </r>
  <r>
    <n v="3"/>
    <n v="932"/>
    <s v="CEBG Pocri"/>
    <s v="Coclé"/>
    <x v="44"/>
    <s v="Pocrí"/>
    <s v="FO"/>
    <n v="8.2530579999999993"/>
    <n v="-80.545906000000002"/>
    <s v="24/07/2017"/>
  </r>
  <r>
    <n v="3"/>
    <n v="933"/>
    <s v="Escuela San Martin de Porres"/>
    <s v="Coclé"/>
    <x v="44"/>
    <s v="Pocrí"/>
    <s v="FO"/>
    <n v="8.2587980000000005"/>
    <n v="-80.539063999999996"/>
    <s v="24/07/2017"/>
  </r>
  <r>
    <n v="3"/>
    <n v="936"/>
    <s v="Biblioteca Pública Galileo Patiño"/>
    <s v="Coclé"/>
    <x v="45"/>
    <s v="Antón"/>
    <s v="FO"/>
    <n v="8.3944200000000002"/>
    <n v="-80.262666999999993"/>
    <s v="28/08/2017"/>
  </r>
  <r>
    <n v="3"/>
    <n v="937"/>
    <s v="Centro de Educacion y Salud Preventiva de Antón"/>
    <s v="Coclé"/>
    <x v="45"/>
    <s v="Antón"/>
    <s v="FO"/>
    <n v="8.4006360000000004"/>
    <n v="-80.269677000000001"/>
    <s v="28/08/2017"/>
  </r>
  <r>
    <n v="3"/>
    <n v="938"/>
    <s v="Centro de Rehabilitacion IPHE"/>
    <s v="Coclé"/>
    <x v="45"/>
    <s v="Antón"/>
    <s v="FO"/>
    <n v="8.3990299999999998"/>
    <n v="-80.268127000000007"/>
    <s v="28/08/2017"/>
  </r>
  <r>
    <n v="3"/>
    <n v="939"/>
    <s v="Escuela Secundaria Salomón Ponce(Gimnasio Popular)"/>
    <s v="Coclé"/>
    <x v="45"/>
    <s v="Antón"/>
    <s v="FO"/>
    <n v="8.3931050000000003"/>
    <n v="-80.266723999999996"/>
    <s v="31/07/2017"/>
  </r>
  <r>
    <n v="3"/>
    <n v="942"/>
    <s v="Parque 15 de Enero"/>
    <s v="Coclé"/>
    <x v="45"/>
    <s v="Antón"/>
    <s v="FO"/>
    <n v="8.39175"/>
    <n v="-80.262388999999999"/>
    <s v="03/08/2017"/>
  </r>
  <r>
    <n v="3"/>
    <n v="943"/>
    <s v="Escuela Altos de la Mesa"/>
    <s v="Coclé"/>
    <x v="45"/>
    <s v="El Valle"/>
    <s v="FO"/>
    <n v="8.6359159999999999"/>
    <n v="-80.131915000000006"/>
    <s v="23/11/2017"/>
  </r>
  <r>
    <n v="3"/>
    <n v="944"/>
    <s v="Escuela El Valle"/>
    <s v="Coclé"/>
    <x v="45"/>
    <s v="El Valle"/>
    <s v="FO"/>
    <n v="8.6013870000000008"/>
    <n v="-80.120132999999996"/>
    <s v="31/08/2017"/>
  </r>
  <r>
    <n v="3"/>
    <n v="945"/>
    <s v="I.P.T. El Valle"/>
    <s v="Coclé"/>
    <x v="45"/>
    <s v="El Valle"/>
    <s v="HFC"/>
    <n v="8.6128710000000002"/>
    <n v="-80.118212999999997"/>
    <s v="31/08/2017"/>
  </r>
  <r>
    <n v="3"/>
    <n v="946"/>
    <s v="C.E.B.G. La Mata"/>
    <s v="Coclé"/>
    <x v="45"/>
    <s v="El Valle"/>
    <s v="Satelital"/>
    <n v="8.4746179999999995"/>
    <n v="-80.095208999999997"/>
    <s v="23/10/2017"/>
  </r>
  <r>
    <n v="3"/>
    <n v="947"/>
    <s v="Escuela El Platanal"/>
    <s v="Coclé"/>
    <x v="45"/>
    <s v="Río Hato"/>
    <s v="FO"/>
    <n v="8.4307060000000007"/>
    <n v="-80.065191999999996"/>
    <s v="30/10/2017"/>
  </r>
  <r>
    <n v="3"/>
    <n v="948"/>
    <s v="Escuela Farallón"/>
    <s v="Coclé"/>
    <x v="45"/>
    <s v="Río Hato"/>
    <s v="FO"/>
    <n v="8.35656"/>
    <n v="-80.137201000000005"/>
    <s v="28/08/2017"/>
  </r>
  <r>
    <n v="3"/>
    <n v="949"/>
    <s v="Escuela Las Guías"/>
    <s v="Coclé"/>
    <x v="45"/>
    <s v="Río Hato"/>
    <s v="FO"/>
    <n v="8.5393290000000004"/>
    <n v="-82.419578000000001"/>
    <s v="31/08/2017"/>
  </r>
  <r>
    <n v="3"/>
    <n v="950"/>
    <s v="Escuela Las Guías Oriente"/>
    <s v="Coclé"/>
    <x v="45"/>
    <s v="Río Hato"/>
    <s v="FO"/>
    <n v="8.4283370000000009"/>
    <n v="-80.070796000000001"/>
    <s v="28/08/2017"/>
  </r>
  <r>
    <n v="3"/>
    <n v="952"/>
    <s v="Escuela LOS POLLOS"/>
    <s v="Coclé"/>
    <x v="45"/>
    <s v="Río Hato"/>
    <s v="FO"/>
    <n v="8.4076719999999998"/>
    <n v="-80.158034000000001"/>
    <s v="16/10/2017"/>
  </r>
  <r>
    <n v="3"/>
    <n v="953"/>
    <s v="Escuela Santa Clara"/>
    <s v="Coclé"/>
    <x v="45"/>
    <s v="Río Hato"/>
    <s v="FO"/>
    <n v="8.3749859999999998"/>
    <n v="-80.109182000000004"/>
    <s v="28/08/2017"/>
  </r>
  <r>
    <n v="3"/>
    <n v="954"/>
    <s v="I.P.T. RÍO HATO"/>
    <s v="Coclé"/>
    <x v="45"/>
    <s v="Río Hato"/>
    <s v="FO"/>
    <n v="8.5133159999999997"/>
    <n v="-80.352756999999997"/>
    <s v="28/08/2017"/>
  </r>
  <r>
    <n v="3"/>
    <n v="955"/>
    <s v="C. DE S. DE SANTA RITA"/>
    <s v="Coclé"/>
    <x v="45"/>
    <s v="Santa Rita"/>
    <s v="FO"/>
    <n v="8.4959869999999995"/>
    <n v="-80.190742999999998"/>
    <s v="23/10/2017"/>
  </r>
  <r>
    <n v="3"/>
    <n v="956"/>
    <s v="Escuela Santa Rita"/>
    <s v="Coclé"/>
    <x v="45"/>
    <s v="Santa Rita"/>
    <s v="FO"/>
    <n v="8.4862579999999994"/>
    <n v="-80.203732000000002"/>
    <s v="31/08/2017"/>
  </r>
  <r>
    <n v="3"/>
    <n v="957"/>
    <s v="Escuela Santa Rita Arriba"/>
    <s v="Coclé"/>
    <x v="45"/>
    <s v="Santa Rita"/>
    <s v="FO"/>
    <n v="8.4952009999999998"/>
    <n v="-80.191865000000007"/>
    <s v="31/08/2017"/>
  </r>
  <r>
    <n v="3"/>
    <n v="959"/>
    <s v="C.E.B.G. OMAR TORRIJOS HERRERA"/>
    <s v="Coclé"/>
    <x v="46"/>
    <s v="El Harino"/>
    <s v="Satelital"/>
    <n v="8.6546000000000003"/>
    <n v="-80.561001000000005"/>
    <s v="26/01/2018"/>
  </r>
  <r>
    <n v="3"/>
    <n v="961"/>
    <s v="Escuela Barrigón"/>
    <s v="Coclé"/>
    <x v="46"/>
    <s v="El Harino"/>
    <s v="FO"/>
    <n v="8.6448049999999999"/>
    <n v="-80.588859999999997"/>
    <s v="29/08/2017"/>
  </r>
  <r>
    <n v="3"/>
    <n v="962"/>
    <s v="Escuela Juan José Quirós"/>
    <s v="Coclé"/>
    <x v="46"/>
    <s v="El Harino"/>
    <s v="FO"/>
    <n v="8.6164710000000007"/>
    <n v="-80.560248999999999"/>
    <s v="29/08/2017"/>
  </r>
  <r>
    <n v="3"/>
    <n v="964"/>
    <s v="Escuela Villalobos"/>
    <s v="Coclé"/>
    <x v="46"/>
    <s v="El Harino"/>
    <s v="FO"/>
    <n v="8.4039920000000006"/>
    <n v="-80.517277000000007"/>
    <s v="30/08/2017"/>
  </r>
  <r>
    <n v="3"/>
    <n v="965"/>
    <s v="I.P.T. El Copé"/>
    <s v="Coclé"/>
    <x v="46"/>
    <s v="El Harino"/>
    <s v="FO"/>
    <n v="8.6214639999999996"/>
    <n v="-80.581318999999993"/>
    <s v="29/08/2017"/>
  </r>
  <r>
    <n v="3"/>
    <n v="966"/>
    <s v="Escuela Membrillar"/>
    <s v="Coclé"/>
    <x v="46"/>
    <s v="La Pintada"/>
    <s v="FO"/>
    <n v="8.5678610000000006"/>
    <n v="-80.409970999999999"/>
    <s v="18/10/2017"/>
  </r>
  <r>
    <n v="3"/>
    <n v="967"/>
    <s v="I.P.T. La Pintada"/>
    <s v="Coclé"/>
    <x v="46"/>
    <s v="La Pintada"/>
    <s v="FO"/>
    <n v="8.5707690000000003"/>
    <n v="-80.451262999999997"/>
    <s v="17/10/2017"/>
  </r>
  <r>
    <n v="3"/>
    <n v="968"/>
    <s v="Municipio La Pintada"/>
    <s v="Coclé"/>
    <x v="46"/>
    <s v="La Pintada"/>
    <s v="FO"/>
    <n v="8.592924"/>
    <n v="-80.446081000000007"/>
    <s v="28/08/2017"/>
  </r>
  <r>
    <n v="3"/>
    <n v="969"/>
    <s v="Parque 25 de diciembre (la Cruz)"/>
    <s v="Coclé"/>
    <x v="46"/>
    <s v="La Pintada"/>
    <s v="FO"/>
    <n v="8.5960110000000007"/>
    <n v="-80.447765000000004"/>
    <s v="28/08/2017"/>
  </r>
  <r>
    <n v="3"/>
    <n v="970"/>
    <s v="Escuela Calabazo Nº 1"/>
    <s v="Coclé"/>
    <x v="46"/>
    <s v="Las Lomas"/>
    <s v="FO"/>
    <n v="8.6206270000000007"/>
    <n v="-80.569016000000005"/>
    <s v="30/08/2017"/>
  </r>
  <r>
    <n v="3"/>
    <n v="971"/>
    <s v="C.E.B.G. AGUA FRÍA"/>
    <s v="Coclé"/>
    <x v="46"/>
    <s v="Llano Grande"/>
    <s v="FO"/>
    <n v="8.5777999999999999"/>
    <n v="-80.438067000000004"/>
    <s v="23/10/2017"/>
  </r>
  <r>
    <n v="3"/>
    <n v="972"/>
    <s v="C.E.B.G. San Juanito"/>
    <s v="Coclé"/>
    <x v="46"/>
    <s v="Llano Grande"/>
    <s v="Satelital"/>
    <n v="8.665521"/>
    <n v="-80.459917000000004"/>
    <s v="19/12/2017"/>
  </r>
  <r>
    <n v="3"/>
    <n v="973"/>
    <s v="Escuela La Honda"/>
    <s v="Coclé"/>
    <x v="46"/>
    <s v="Llano Grande"/>
    <s v="Satelital"/>
    <n v="8.6384159999999994"/>
    <n v="-80.426360000000003"/>
    <s v="27/11/2017"/>
  </r>
  <r>
    <n v="3"/>
    <n v="975"/>
    <s v="C.E.B.G Calabazo Nº 2"/>
    <s v="Coclé"/>
    <x v="46"/>
    <s v="Piedras Gordas"/>
    <s v="FO"/>
    <n v="8.6397619999999993"/>
    <n v="-80.510825999999994"/>
    <s v="29/08/2017"/>
  </r>
  <r>
    <n v="3"/>
    <n v="976"/>
    <s v="C.E.B.G. MACHUCA"/>
    <s v="Coclé"/>
    <x v="46"/>
    <s v="Piedras Gordas"/>
    <s v="FO"/>
    <n v="8.6230399999999996"/>
    <n v="-80.548901999999998"/>
    <s v="17/10/2017"/>
  </r>
  <r>
    <n v="3"/>
    <n v="977"/>
    <s v="Escuela ANGEL GUARDIA"/>
    <s v="Coclé"/>
    <x v="46"/>
    <s v="Piedras Gordas"/>
    <s v="FO"/>
    <n v="8.6397619999999993"/>
    <n v="-80.510829000000001"/>
    <s v="29/08/2017"/>
  </r>
  <r>
    <n v="3"/>
    <n v="978"/>
    <s v="Escuela Jujucal"/>
    <s v="Coclé"/>
    <x v="46"/>
    <s v="Piedras Gordas"/>
    <s v="FO"/>
    <n v="8.6331380000000006"/>
    <n v="-80.535526000000004"/>
    <s v="29/08/2017"/>
  </r>
  <r>
    <n v="3"/>
    <n v="979"/>
    <s v="Escuela Las Delicias"/>
    <s v="Coclé"/>
    <x v="46"/>
    <s v="Piedras Gordas"/>
    <s v="Satelital"/>
    <n v="8.6447000000000003"/>
    <n v="-80.492706999999996"/>
    <s v="23/10/2017"/>
  </r>
  <r>
    <n v="3"/>
    <n v="980"/>
    <s v="Escuela Ciénaga Larga"/>
    <s v="Coclé"/>
    <x v="47"/>
    <s v="Capellanía"/>
    <s v="FO"/>
    <n v="8.2773749999999993"/>
    <n v="-80.621728000000004"/>
    <s v="31/07/2017"/>
  </r>
  <r>
    <n v="3"/>
    <n v="981"/>
    <s v="Escuela El Espavé"/>
    <s v="Coclé"/>
    <x v="47"/>
    <s v="Capellanía"/>
    <s v="FO"/>
    <n v="8.2862189999999991"/>
    <n v="-80.593553999999997"/>
    <s v="31/07/2017"/>
  </r>
  <r>
    <n v="3"/>
    <n v="982"/>
    <s v="Escuela Roberto F. Chiari"/>
    <s v="Coclé"/>
    <x v="47"/>
    <s v="Capellanía"/>
    <s v="HFC"/>
    <n v="8.3004160000000002"/>
    <n v="-80.551451999999998"/>
    <s v="04/08/2017"/>
  </r>
  <r>
    <n v="3"/>
    <n v="983"/>
    <s v="Escuela Santa Lucía"/>
    <s v="Coclé"/>
    <x v="47"/>
    <s v="El Caño"/>
    <s v="FO"/>
    <n v="8.4123059999999992"/>
    <n v="-80.531914999999998"/>
    <s v="04/08/2017"/>
  </r>
  <r>
    <n v="3"/>
    <n v="984"/>
    <s v="Escuela Sebastián Sucre"/>
    <s v="Coclé"/>
    <x v="47"/>
    <s v="El Caño"/>
    <s v="FO"/>
    <n v="8.4064720000000008"/>
    <n v="-80.519137000000001"/>
    <s v="04/08/2017"/>
  </r>
  <r>
    <n v="3"/>
    <n v="986"/>
    <s v="Colegio Secundario Mariano Prado"/>
    <s v="Coclé"/>
    <x v="47"/>
    <s v="Natá"/>
    <s v="HFC"/>
    <n v="8.3461599999999994"/>
    <n v="-80.52176"/>
    <s v="03/08/2017"/>
  </r>
  <r>
    <n v="3"/>
    <n v="987"/>
    <s v="Escuela de España"/>
    <s v="Coclé"/>
    <x v="47"/>
    <s v="Natá"/>
    <s v="FO"/>
    <n v="8.3356399999999997"/>
    <n v="-80.519900000000007"/>
    <s v="28/07/2017"/>
  </r>
  <r>
    <n v="3"/>
    <n v="988"/>
    <s v="Municipio Natá"/>
    <s v="Coclé"/>
    <x v="47"/>
    <s v="Natá"/>
    <s v="FO"/>
    <n v="8.3327899999999993"/>
    <n v="-80.515540999999999"/>
    <s v="28/07/2017"/>
  </r>
  <r>
    <n v="3"/>
    <n v="991"/>
    <s v="C.E.B.G Santos Jorge"/>
    <s v="Coclé"/>
    <x v="48"/>
    <s v="Cañaveral"/>
    <s v="HFC"/>
    <n v="8.5181389999999997"/>
    <n v="-80.429693"/>
    <s v="28/08/2017"/>
  </r>
  <r>
    <n v="3"/>
    <n v="992"/>
    <s v="Escuela Juan Bautista Rosas"/>
    <s v="Coclé"/>
    <x v="48"/>
    <s v="Cañaveral"/>
    <s v="FO"/>
    <n v="8.5425109999999993"/>
    <n v="-80.435378999999998"/>
    <s v="28/08/2017"/>
  </r>
  <r>
    <n v="3"/>
    <n v="993"/>
    <s v="Escuela Los Uveros"/>
    <s v="Coclé"/>
    <x v="48"/>
    <s v="Cañaveral"/>
    <s v="FO"/>
    <n v="8.5332500000000007"/>
    <n v="-80.395431000000002"/>
    <s v="28/08/2017"/>
  </r>
  <r>
    <n v="3"/>
    <n v="994"/>
    <s v="Escuela María T. de Herrera"/>
    <s v="Coclé"/>
    <x v="48"/>
    <s v="Cañaveral"/>
    <s v="FO"/>
    <n v="8.4938479999999998"/>
    <n v="-80.381697000000003"/>
    <s v="24/11/2017"/>
  </r>
  <r>
    <n v="3"/>
    <n v="996"/>
    <s v="C.E.B.G Asunción Chiru V."/>
    <s v="Coclé"/>
    <x v="48"/>
    <s v="Chiguirí Arriba"/>
    <s v="Satelital"/>
    <n v="8.7250569999999996"/>
    <n v="-80.221954999999994"/>
    <s v="04/12/2017"/>
  </r>
  <r>
    <n v="3"/>
    <n v="997"/>
    <s v="C.E.B.G San Miguel Arriba"/>
    <s v="Coclé"/>
    <x v="48"/>
    <s v="Chiguirí Arriba"/>
    <s v="Satelital"/>
    <n v="8.6919889999999995"/>
    <n v="-80.146619999999999"/>
    <s v="23/10/2017"/>
  </r>
  <r>
    <n v="3"/>
    <n v="998"/>
    <s v="C.E.B.G. VAQUILLA"/>
    <s v="Coclé"/>
    <x v="48"/>
    <s v="Chiguirí Arriba"/>
    <s v="Satelital"/>
    <n v="8.6848659999999995"/>
    <n v="-80.195879000000005"/>
    <s v="23/10/2017"/>
  </r>
  <r>
    <n v="3"/>
    <n v="999"/>
    <s v="Colegio Candelario Ovalle"/>
    <s v="Coclé"/>
    <x v="48"/>
    <s v="Chiguirí Arriba"/>
    <s v="Satelital"/>
    <n v="8.7444319999999998"/>
    <n v="-80.185666999999995"/>
    <s v="23/10/2017"/>
  </r>
  <r>
    <n v="3"/>
    <n v="1001"/>
    <s v="Escuela Chiguirí Centro"/>
    <s v="Coclé"/>
    <x v="48"/>
    <s v="Chiguirí Arriba"/>
    <s v="Satelital"/>
    <n v="8.6951300000000007"/>
    <n v="-80.222899999999996"/>
    <s v="19/01/2018"/>
  </r>
  <r>
    <n v="3"/>
    <n v="1002"/>
    <s v="Escuela Oajaca"/>
    <s v="Coclé"/>
    <x v="48"/>
    <s v="Chiguirí Arriba"/>
    <s v="FO"/>
    <n v="8.6371500000000001"/>
    <n v="-80.206289999999996"/>
    <s v="20/12/2017"/>
  </r>
  <r>
    <n v="3"/>
    <n v="1003"/>
    <s v="Escuela Pozo Azul"/>
    <s v="Coclé"/>
    <x v="48"/>
    <s v="Chiguirí Arriba"/>
    <s v="Satelital"/>
    <n v="8.64527"/>
    <n v="-80.206508999999997"/>
    <s v="23/10/2017"/>
  </r>
  <r>
    <n v="3"/>
    <n v="1004"/>
    <s v="Centro Regional Universitario El Coco"/>
    <s v="Coclé"/>
    <x v="48"/>
    <s v="El Coco"/>
    <s v="FO"/>
    <n v="8.4876749999999994"/>
    <n v="-80.328001999999998"/>
    <s v="03/08/2017"/>
  </r>
  <r>
    <n v="3"/>
    <n v="1006"/>
    <s v="Escuela Aguas Blancas"/>
    <s v="Coclé"/>
    <x v="48"/>
    <s v="El Coco"/>
    <s v="PTP"/>
    <n v="8.5050830000000008"/>
    <n v="-80.312748999999997"/>
    <s v="29/08/2017"/>
  </r>
  <r>
    <n v="3"/>
    <n v="1007"/>
    <s v="Escuela Ana Pérez de Isaza"/>
    <s v="Coclé"/>
    <x v="48"/>
    <s v="El Coco"/>
    <s v="Satelital"/>
    <n v="8.3989130000000003"/>
    <n v="-80.352200999999994"/>
    <s v="19/12/2017"/>
  </r>
  <r>
    <n v="3"/>
    <n v="1008"/>
    <s v="Escuela Jacinta Arosemena"/>
    <s v="Coclé"/>
    <x v="48"/>
    <s v="El Coco"/>
    <s v="FO"/>
    <n v="8.4656389999999995"/>
    <n v="-80.321637999999993"/>
    <s v="03/08/2017"/>
  </r>
  <r>
    <n v="3"/>
    <n v="1009"/>
    <s v="Escuela Llano Marín"/>
    <s v="Coclé"/>
    <x v="48"/>
    <s v="El Coco"/>
    <s v="FO"/>
    <n v="8.4970700000000008"/>
    <n v="-80.334019999999995"/>
    <s v="02/08/2017"/>
  </r>
  <r>
    <n v="3"/>
    <n v="1010"/>
    <s v="INADEH El Coco"/>
    <s v="Coclé"/>
    <x v="48"/>
    <s v="El Coco"/>
    <s v="FO"/>
    <n v="8.4886479999999995"/>
    <n v="-80.328817999999998"/>
    <s v="03/08/2017"/>
  </r>
  <r>
    <n v="3"/>
    <n v="1011"/>
    <s v="C.E.B.G. Simón Martínez"/>
    <s v="Coclé"/>
    <x v="48"/>
    <s v="Pajonal"/>
    <s v="FO"/>
    <n v="8.6180240000000001"/>
    <n v="-80.216596999999993"/>
    <s v="29/08/2017"/>
  </r>
  <r>
    <n v="3"/>
    <n v="1012"/>
    <s v="C.E.B.G. JOSÉ DE LOS REYES VÁSQUEZ"/>
    <s v="Coclé"/>
    <x v="48"/>
    <s v="Pajonal"/>
    <s v="Satelital"/>
    <n v="8.6263740000000002"/>
    <n v="-80.235945000000001"/>
    <s v="20/10/2017"/>
  </r>
  <r>
    <n v="3"/>
    <n v="1013"/>
    <s v="C.E.B.G. Membrillo"/>
    <s v="Coclé"/>
    <x v="48"/>
    <s v="Pajonal"/>
    <s v="Satelital"/>
    <n v="8.5831750000000007"/>
    <n v="-80.220597999999995"/>
    <s v="20/10/2017"/>
  </r>
  <r>
    <n v="3"/>
    <n v="1014"/>
    <s v="Escuela Celestino del Rosario"/>
    <s v="Coclé"/>
    <x v="48"/>
    <s v="Pajonal"/>
    <s v="FO"/>
    <n v="8.4817350000000005"/>
    <n v="-80.330957999999995"/>
    <s v="17/10/2017"/>
  </r>
  <r>
    <n v="3"/>
    <n v="1015"/>
    <s v="Escuela Churuquita Grande"/>
    <s v="Coclé"/>
    <x v="48"/>
    <s v="Pajonal"/>
    <s v="FO"/>
    <n v="8.5954320000000006"/>
    <n v="-80.275839000000005"/>
    <s v="29/08/2017"/>
  </r>
  <r>
    <n v="3"/>
    <n v="1016"/>
    <s v="Escuela El Barrero"/>
    <s v="Coclé"/>
    <x v="48"/>
    <s v="Pajonal"/>
    <s v="FO"/>
    <n v="8.5596289999999993"/>
    <n v="-80.308111999999994"/>
    <s v="02/08/2017"/>
  </r>
  <r>
    <n v="3"/>
    <n v="1017"/>
    <s v="Escuela Francisca Figueroa"/>
    <s v="Coclé"/>
    <x v="48"/>
    <s v="Pajonal"/>
    <s v="FO"/>
    <n v="8.5990900000000003"/>
    <n v="-80.271673000000007"/>
    <s v="01/09/2017"/>
  </r>
  <r>
    <n v="3"/>
    <n v="1018"/>
    <s v="Escuela Guabal"/>
    <s v="Coclé"/>
    <x v="48"/>
    <s v="Pajonal"/>
    <s v="FO"/>
    <n v="8.6322449999999993"/>
    <n v="-80.250085999999996"/>
    <s v="29/08/2017"/>
  </r>
  <r>
    <n v="3"/>
    <n v="1019"/>
    <s v="Escuela La Negrita"/>
    <s v="Coclé"/>
    <x v="48"/>
    <s v="Pajonal"/>
    <s v="FO"/>
    <n v="8.5737830000000006"/>
    <n v="-80.299609000000004"/>
    <s v="02/08/2017"/>
  </r>
  <r>
    <n v="3"/>
    <n v="1020"/>
    <s v="Escuela Modesto Morán H"/>
    <s v="Coclé"/>
    <x v="48"/>
    <s v="Pajonal"/>
    <s v="FO"/>
    <n v="8.5732549999999996"/>
    <n v="-80.276917999999995"/>
    <s v="01/08/2017"/>
  </r>
  <r>
    <n v="3"/>
    <n v="1021"/>
    <s v="Escuela Pajonal Arriba"/>
    <s v="Coclé"/>
    <x v="48"/>
    <s v="Pajonal"/>
    <s v="FO"/>
    <n v="8.6122730000000001"/>
    <n v="-80.243824000000004"/>
    <s v="29/08/2017"/>
  </r>
  <r>
    <n v="3"/>
    <n v="1022"/>
    <s v="Escuela Rincón de Las Palmas"/>
    <s v="Coclé"/>
    <x v="48"/>
    <s v="Pajonal"/>
    <s v="FO"/>
    <n v="8.5541850000000004"/>
    <n v="-80.256653999999997"/>
    <s v="01/08/2017"/>
  </r>
  <r>
    <n v="3"/>
    <n v="1023"/>
    <s v="Escuela Santa Cruz"/>
    <s v="Coclé"/>
    <x v="48"/>
    <s v="Pajonal"/>
    <s v="FO"/>
    <n v="8.5327520000000003"/>
    <n v="-80.411423999999997"/>
    <s v="04/09/2017"/>
  </r>
  <r>
    <n v="3"/>
    <n v="1024"/>
    <s v="Escuela Victor Pérez Flores"/>
    <s v="Coclé"/>
    <x v="48"/>
    <s v="Pajonal"/>
    <s v="FO"/>
    <n v="8.6245270000000005"/>
    <n v="-80.237470999999999"/>
    <s v="29/08/2017"/>
  </r>
  <r>
    <n v="3"/>
    <n v="1025"/>
    <s v="Instituto Carmen Conte Lombardo"/>
    <s v="Coclé"/>
    <x v="48"/>
    <s v="Pajonal"/>
    <s v="FO"/>
    <n v="8.5765829999999994"/>
    <n v="-80.274103999999994"/>
    <s v="01/08/2017"/>
  </r>
  <r>
    <n v="3"/>
    <n v="1027"/>
    <s v="Biblioteca Pública Fernando Guardia"/>
    <s v="Coclé"/>
    <x v="48"/>
    <s v="Penonomé"/>
    <s v="FO"/>
    <n v="8.5110890000000001"/>
    <n v="-80.353183000000001"/>
    <s v="28/07/2017"/>
  </r>
  <r>
    <n v="3"/>
    <n v="1028"/>
    <s v="Centro de Salud Penonomé"/>
    <s v="Coclé"/>
    <x v="48"/>
    <s v="Penonomé"/>
    <s v="FO"/>
    <n v="8.5127439999999996"/>
    <n v="-80.355333999999999"/>
    <s v="31/08/2017"/>
  </r>
  <r>
    <n v="3"/>
    <n v="1029"/>
    <s v="Clelia F. de Martínez"/>
    <s v="Coclé"/>
    <x v="48"/>
    <s v="Penonomé"/>
    <s v="FO"/>
    <n v="8.5131960000000007"/>
    <n v="-80.352801999999997"/>
    <s v="27/07/2017"/>
  </r>
  <r>
    <n v="3"/>
    <n v="1030"/>
    <s v="Direccion Investigacion Judicial"/>
    <s v="Coclé"/>
    <x v="48"/>
    <s v="Penonomé"/>
    <s v="FO"/>
    <n v="8.5141670000000005"/>
    <n v="-80.349878000000004"/>
    <s v="31/08/2017"/>
  </r>
  <r>
    <n v="3"/>
    <n v="1033"/>
    <s v="Escuela Simeón Conte"/>
    <s v="Coclé"/>
    <x v="48"/>
    <s v="Penonomé"/>
    <s v="FO"/>
    <n v="8.2495370000000001"/>
    <n v="-80.544235"/>
    <s v="27/07/2017"/>
  </r>
  <r>
    <n v="3"/>
    <n v="1034"/>
    <s v="Gobernación Penonomé"/>
    <s v="Coclé"/>
    <x v="48"/>
    <s v="Penonomé"/>
    <s v="FO"/>
    <n v="8.5213210000000004"/>
    <n v="-80.359842"/>
    <s v="28/08/2017"/>
  </r>
  <r>
    <n v="3"/>
    <n v="1035"/>
    <s v="Hospital Aquilino Tejeira"/>
    <s v="Coclé"/>
    <x v="48"/>
    <s v="Penonomé"/>
    <s v="FO"/>
    <n v="8.5138820000000006"/>
    <n v="-80.351218000000003"/>
    <s v="27/07/2017"/>
  </r>
  <r>
    <n v="3"/>
    <n v="1036"/>
    <s v="I.P.T. Leonida P. de Grimaldo"/>
    <s v="Coclé"/>
    <x v="48"/>
    <s v="Penonomé"/>
    <s v="FO"/>
    <n v="8.5156749999999999"/>
    <n v="-80.343731000000005"/>
    <s v="27/07/2017"/>
  </r>
  <r>
    <n v="3"/>
    <n v="1038"/>
    <s v="Mercado Público Penonomé"/>
    <s v="Coclé"/>
    <x v="48"/>
    <s v="Penonomé"/>
    <s v="FO"/>
    <n v="8.5203450000000007"/>
    <n v="-80.35812"/>
    <s v="27/07/2017"/>
  </r>
  <r>
    <n v="3"/>
    <n v="1039"/>
    <s v="MINSA Penonomé"/>
    <s v="Coclé"/>
    <x v="48"/>
    <s v="Penonomé"/>
    <s v="FO"/>
    <n v="8.5078490000000002"/>
    <n v="-80.361949999999993"/>
    <s v="28/08/2017"/>
  </r>
  <r>
    <n v="3"/>
    <n v="1044"/>
    <s v="Parque Margarita Rosas"/>
    <s v="Coclé"/>
    <x v="48"/>
    <s v="Penonomé"/>
    <s v="FO"/>
    <n v="8.5151830000000004"/>
    <n v="-80.352622999999994"/>
    <s v="03/08/2017"/>
  </r>
  <r>
    <n v="3"/>
    <n v="1045"/>
    <s v="Primer ciclo Federíco Zuñiga - San AntOnio"/>
    <s v="Coclé"/>
    <x v="48"/>
    <s v="Penonomé"/>
    <s v="FO"/>
    <n v="8"/>
    <n v="-80"/>
    <s v="28/08/2017"/>
  </r>
  <r>
    <n v="3"/>
    <n v="1046"/>
    <s v="Terminal de Transporte UTRAPEP"/>
    <s v="Coclé"/>
    <x v="48"/>
    <s v="Penonomé"/>
    <s v="FO"/>
    <n v="8.5117200000000004"/>
    <n v="-80.348624000000001"/>
    <s v="27/07/2017"/>
  </r>
  <r>
    <n v="3"/>
    <n v="1048"/>
    <s v="Universidad Tecnologica de Panama"/>
    <s v="Coclé"/>
    <x v="48"/>
    <s v="Penonomé"/>
    <s v="FO"/>
    <n v="8.4972279999999998"/>
    <n v="-80.330821"/>
    <s v="16/10/2017"/>
  </r>
  <r>
    <n v="3"/>
    <n v="1049"/>
    <s v="Escuela Ciruelito"/>
    <s v="Coclé"/>
    <x v="48"/>
    <s v="Río Grande"/>
    <s v="FO"/>
    <n v="8.4130129999999994"/>
    <n v="-80.521193999999994"/>
    <s v="29/08/2017"/>
  </r>
  <r>
    <n v="3"/>
    <n v="1050"/>
    <s v="Escuela Garicín"/>
    <s v="Coclé"/>
    <x v="48"/>
    <s v="Río Grande"/>
    <s v="FO"/>
    <n v="8.4381389999999996"/>
    <n v="-80.454414999999997"/>
    <s v="19/10/2017"/>
  </r>
  <r>
    <n v="3"/>
    <n v="1052"/>
    <s v="C.E.B.G. Chiguirí Abajo"/>
    <s v="Coclé"/>
    <x v="48"/>
    <s v="Toabré"/>
    <s v="Satelital"/>
    <n v="8.705546"/>
    <n v="-80.258273000000003"/>
    <s v="20/10/2017"/>
  </r>
  <r>
    <n v="3"/>
    <n v="1053"/>
    <s v="C.E.B.G. MERCEDES BUSTAMANTE"/>
    <s v="Coclé"/>
    <x v="48"/>
    <s v="Toabré"/>
    <s v="FO"/>
    <n v="8.6489499999999992"/>
    <n v="-80.320712"/>
    <s v="30/08/2017"/>
  </r>
  <r>
    <n v="3"/>
    <n v="1054"/>
    <s v="Escuela Chumical"/>
    <s v="Coclé"/>
    <x v="48"/>
    <s v="Toabré"/>
    <s v="Satelital"/>
    <n v="8.5286570000000008"/>
    <n v="-80.256124999999997"/>
    <s v="12/01/2018"/>
  </r>
  <r>
    <n v="3"/>
    <n v="1055"/>
    <s v="Escuela Miraflores"/>
    <s v="Coclé"/>
    <x v="48"/>
    <s v="Toabré"/>
    <s v="FO"/>
    <n v="8.6431609999999992"/>
    <n v="-80.288749999999993"/>
    <s v="30/08/2017"/>
  </r>
  <r>
    <n v="3"/>
    <n v="1056"/>
    <s v="Escuela Sabana Larga"/>
    <s v="Coclé"/>
    <x v="48"/>
    <s v="Toabré"/>
    <s v="FO"/>
    <n v="8.6850240000000003"/>
    <n v="-80.279320999999996"/>
    <s v="30/08/2017"/>
  </r>
  <r>
    <n v="3"/>
    <n v="1057"/>
    <s v="Escuela Sagreja"/>
    <s v="Coclé"/>
    <x v="48"/>
    <s v="Toabré"/>
    <s v="FO"/>
    <n v="8.6570269999999994"/>
    <n v="-80.336637999999994"/>
    <s v="21/11/2017"/>
  </r>
  <r>
    <n v="3"/>
    <n v="1058"/>
    <s v="Escuela Tambo"/>
    <s v="Coclé"/>
    <x v="48"/>
    <s v="Toabré"/>
    <s v="FO"/>
    <n v="8.6638730000000006"/>
    <n v="-80.295102999999997"/>
    <s v="30/08/2017"/>
  </r>
  <r>
    <n v="3"/>
    <n v="1061"/>
    <s v="Escuela Las Minas"/>
    <s v="Coclé"/>
    <x v="48"/>
    <s v="Tulú"/>
    <s v="FO"/>
    <n v="8.6431380000000004"/>
    <n v="-80.395803999999998"/>
    <s v="21/11/2017"/>
  </r>
  <r>
    <n v="3"/>
    <n v="1062"/>
    <s v="Escuela Perecabé"/>
    <s v="Coclé"/>
    <x v="48"/>
    <s v="Tulú"/>
    <s v="FO"/>
    <n v="8.6578599999999994"/>
    <n v="-80.384137999999993"/>
    <s v="30/08/2017"/>
  </r>
  <r>
    <n v="3"/>
    <n v="1063"/>
    <s v="Escuela Santa Cruz de Perecabecito"/>
    <s v="Coclé"/>
    <x v="48"/>
    <s v="Tulú"/>
    <s v="FO"/>
    <n v="8.6539710000000003"/>
    <n v="-80.368582000000004"/>
    <s v="27/11/2017"/>
  </r>
  <r>
    <n v="3"/>
    <n v="1064"/>
    <s v="ESC. COSTA DE ORO"/>
    <s v="Colón"/>
    <x v="49"/>
    <s v="Salud"/>
    <s v="FO"/>
    <n v="9.1995710000000006"/>
    <n v="-80.150730999999993"/>
    <s v="20/10/2017"/>
  </r>
  <r>
    <n v="3"/>
    <n v="1065"/>
    <s v="Esc. Salud"/>
    <s v="Colón"/>
    <x v="49"/>
    <s v="Salud"/>
    <s v="FO"/>
    <n v="9.2287769999999991"/>
    <n v="-80.090332000000004"/>
    <s v="12/12/2017"/>
  </r>
  <r>
    <n v="3"/>
    <n v="1070"/>
    <s v="ESC. MIGUEL DE LA BORDA"/>
    <s v="Colón"/>
    <x v="50"/>
    <s v="Miguel de la Borda"/>
    <s v="FO"/>
    <n v="9.1529869999999995"/>
    <n v="-80.304509999999993"/>
    <s v="19/10/2017"/>
  </r>
  <r>
    <n v="3"/>
    <n v="1072"/>
    <s v="Area frente al Ministerio de Desarrollo Social Chitré"/>
    <s v="Herrera"/>
    <x v="51"/>
    <s v="Chitré"/>
    <s v="FO"/>
    <n v="7.961373"/>
    <n v="-80.422753"/>
    <s v="10/07/2017"/>
  </r>
  <r>
    <n v="3"/>
    <n v="1073"/>
    <s v="Biblioteca Cristobal Rodriguez"/>
    <s v="Herrera"/>
    <x v="51"/>
    <s v="Chitré"/>
    <s v="FO"/>
    <n v="7.9649999999999999"/>
    <n v="-80.430027999999993"/>
    <s v="11/07/2017"/>
  </r>
  <r>
    <n v="3"/>
    <n v="1074"/>
    <s v="Centro Regional Universitario Chitré"/>
    <s v="Herrera"/>
    <x v="51"/>
    <s v="Chitré"/>
    <s v="FO"/>
    <n v="7.956143"/>
    <n v="-80.418818999999999"/>
    <s v="21/11/2017"/>
  </r>
  <r>
    <n v="3"/>
    <n v="1075"/>
    <s v="Colegio José D. Crespo"/>
    <s v="Herrera"/>
    <x v="51"/>
    <s v="Chitré"/>
    <s v="FO"/>
    <n v="7.9606589999999997"/>
    <n v="-80.421709000000007"/>
    <s v="10/07/2017"/>
  </r>
  <r>
    <n v="3"/>
    <n v="1076"/>
    <s v="Corregiduria de Policia de Llano Bonito"/>
    <s v="Herrera"/>
    <x v="51"/>
    <s v="Chitré"/>
    <s v="FO"/>
    <n v="7.9755339999999997"/>
    <n v="-80.423998999999995"/>
    <s v="11/07/2017"/>
  </r>
  <r>
    <n v="3"/>
    <n v="1077"/>
    <s v="Corregiduria de Policia San Juan Bautista"/>
    <s v="Herrera"/>
    <x v="51"/>
    <s v="Chitré"/>
    <s v="FO"/>
    <n v="7.9688610000000004"/>
    <n v="-80.425827999999996"/>
    <s v="11/07/2017"/>
  </r>
  <r>
    <n v="3"/>
    <n v="1078"/>
    <s v="Cuartel de Bomberos Chitré"/>
    <s v="Herrera"/>
    <x v="51"/>
    <s v="Chitré"/>
    <s v="FO"/>
    <n v="7.9639899999999999"/>
    <n v="-80.432462999999998"/>
    <s v="03/07/2017"/>
  </r>
  <r>
    <n v="3"/>
    <n v="1079"/>
    <s v="ESC. CRISTINA C. DE SANCHEZ"/>
    <s v="Herrera"/>
    <x v="51"/>
    <s v="Chitré"/>
    <s v="HFC"/>
    <n v="7.9627039999999996"/>
    <n v="-80.435355000000001"/>
    <s v="11/07/2017"/>
  </r>
  <r>
    <n v="3"/>
    <n v="1083"/>
    <s v="IPHE Chitré"/>
    <s v="Herrera"/>
    <x v="51"/>
    <s v="Chitré"/>
    <s v="FO"/>
    <n v="7.9634720000000003"/>
    <n v="-80.421722000000003"/>
    <s v="11/07/2017"/>
  </r>
  <r>
    <n v="3"/>
    <n v="1084"/>
    <s v="MICI"/>
    <s v="Herrera"/>
    <x v="51"/>
    <s v="Chitré"/>
    <s v="FO"/>
    <n v="7.9567670000000001"/>
    <n v="-80.424543999999997"/>
    <s v="03/07/2017"/>
  </r>
  <r>
    <n v="3"/>
    <n v="1085"/>
    <s v="Museo de Herrera"/>
    <s v="Herrera"/>
    <x v="51"/>
    <s v="Chitré"/>
    <s v="FO"/>
    <n v="7.9638"/>
    <n v="-80.429558"/>
    <s v="12/07/2017"/>
  </r>
  <r>
    <n v="3"/>
    <n v="1090"/>
    <s v="Parque Tomas Herrera"/>
    <s v="Herrera"/>
    <x v="51"/>
    <s v="Chitré"/>
    <s v="FO"/>
    <n v="7.9662389999999998"/>
    <n v="-80.427589999999995"/>
    <s v="04/07/2017"/>
  </r>
  <r>
    <n v="3"/>
    <n v="1092"/>
    <s v="Primaria-Juan T. del Busto"/>
    <s v="Herrera"/>
    <x v="51"/>
    <s v="Chitré"/>
    <s v="FO"/>
    <n v="7.962218"/>
    <n v="-80.437281999999996"/>
    <s v="11/07/2017"/>
  </r>
  <r>
    <n v="3"/>
    <n v="1093"/>
    <s v="Terminal de Buses Chitré"/>
    <s v="Herrera"/>
    <x v="51"/>
    <s v="Chitré"/>
    <s v="FO"/>
    <n v="7.9538289999999998"/>
    <n v="-80.430172999999996"/>
    <s v="19/07/2017"/>
  </r>
  <r>
    <n v="3"/>
    <n v="1094"/>
    <s v="C.E.B.G. Presidente John F. Kennedy"/>
    <s v="Herrera"/>
    <x v="51"/>
    <s v="La Arena"/>
    <s v="HFC"/>
    <n v="7.9694409999999998"/>
    <n v="-80.463359999999994"/>
    <s v="07/07/2017"/>
  </r>
  <r>
    <n v="3"/>
    <n v="1096"/>
    <s v="Parque frente a la Iglesia"/>
    <s v="Herrera"/>
    <x v="51"/>
    <s v="La Arena"/>
    <s v="FO"/>
    <n v="7.9714939999999999"/>
    <n v="-80.463599000000002"/>
    <s v="03/07/2017"/>
  </r>
  <r>
    <n v="3"/>
    <n v="1097"/>
    <s v="C. DE S. LLANO BONITO"/>
    <s v="Herrera"/>
    <x v="51"/>
    <s v="Llano Bonito"/>
    <s v="FO"/>
    <n v="7.9718739999999997"/>
    <n v="-80.428773000000007"/>
    <s v="12/07/2017"/>
  </r>
  <r>
    <n v="3"/>
    <n v="1098"/>
    <s v="Escuela Eneida M. de Castillero"/>
    <s v="Herrera"/>
    <x v="51"/>
    <s v="Llano Bonito"/>
    <s v="FO"/>
    <n v="7.9756679999999998"/>
    <n v="-80.418390000000002"/>
    <s v="03/07/2017"/>
  </r>
  <r>
    <n v="3"/>
    <n v="1099"/>
    <s v="Escuela Evelio D. Carrizo"/>
    <s v="Herrera"/>
    <x v="51"/>
    <s v="Llano Bonito"/>
    <s v="FO"/>
    <n v="7.9717520000000004"/>
    <n v="-80.429137999999995"/>
    <s v="12/07/2017"/>
  </r>
  <r>
    <n v="3"/>
    <n v="1101"/>
    <s v="C. DE S. MONAGRILLO"/>
    <s v="Herrera"/>
    <x v="51"/>
    <s v="San Miguel de Monagrillo"/>
    <s v="FO"/>
    <n v="7.9831300000000001"/>
    <n v="-80.432799000000003"/>
    <s v="03/07/2017"/>
  </r>
  <r>
    <n v="3"/>
    <n v="1103"/>
    <s v="Colegio Padre Segundo Familiar Cano"/>
    <s v="Herrera"/>
    <x v="51"/>
    <s v="San Miguel de Monagrillo"/>
    <s v="FO"/>
    <n v="7.9760249999999999"/>
    <n v="-80.431602999999996"/>
    <s v="19/07/2017"/>
  </r>
  <r>
    <n v="3"/>
    <n v="1104"/>
    <s v="Escuela Boca de Parita"/>
    <s v="Herrera"/>
    <x v="51"/>
    <s v="San Miguel de Monagrillo"/>
    <s v="HFC"/>
    <n v="8.0121680000000008"/>
    <n v="-80.448800000000006"/>
    <s v="07/07/2017"/>
  </r>
  <r>
    <n v="3"/>
    <n v="1106"/>
    <s v="S. C. DE S. BOCA PARITA"/>
    <s v="Herrera"/>
    <x v="51"/>
    <s v="San Miguel de Monagrillo"/>
    <s v="FO"/>
    <n v="8.0105240000000002"/>
    <n v="-80.450990000000004"/>
    <s v="05/07/2017"/>
  </r>
  <r>
    <n v="3"/>
    <n v="1107"/>
    <s v="Primaria-Hipólito Perez Tello"/>
    <s v="Herrera"/>
    <x v="51"/>
    <s v="San Juan Bautista"/>
    <s v="FO"/>
    <n v="7.9635829999999999"/>
    <n v="-80.424471999999994"/>
    <s v="03/07/2017"/>
  </r>
  <r>
    <n v="3"/>
    <n v="1108"/>
    <s v="Primaria-Tomás Herrera"/>
    <s v="Herrera"/>
    <x v="51"/>
    <s v="San Juan Bautista"/>
    <s v="FO"/>
    <n v="7.9650559999999997"/>
    <n v="-80.432216999999994"/>
    <s v="11/07/2017"/>
  </r>
  <r>
    <n v="3"/>
    <n v="1109"/>
    <s v="C.E.B.G. LOS POZOS"/>
    <s v="Herrera"/>
    <x v="52"/>
    <s v="Los Pozos"/>
    <s v="FO"/>
    <n v="8.5196539999999992"/>
    <n v="-80.357353000000003"/>
    <s v="04/09/2017"/>
  </r>
  <r>
    <n v="3"/>
    <n v="1110"/>
    <s v="C.E.B.G. LUCIRIA DE PIMENTEL"/>
    <s v="Herrera"/>
    <x v="52"/>
    <s v="Los Pozos"/>
    <s v="FO"/>
    <n v="7.7874840000000001"/>
    <n v="-80.646339999999995"/>
    <s v="04/09/2017"/>
  </r>
  <r>
    <n v="3"/>
    <n v="1111"/>
    <s v="Escuela El Piro"/>
    <s v="Herrera"/>
    <x v="52"/>
    <s v="Los Pozos"/>
    <s v="FO"/>
    <n v="7.7659669999999998"/>
    <n v="-80.631642999999997"/>
    <s v="02/08/2017"/>
  </r>
  <r>
    <n v="3"/>
    <n v="1112"/>
    <s v="Escuela Rafael Quintero Villarreal"/>
    <s v="Herrera"/>
    <x v="53"/>
    <s v="Llano Grande"/>
    <s v="FO"/>
    <n v="7.9423300000000001"/>
    <n v="-80.776712000000003"/>
    <s v="17/07/2017"/>
  </r>
  <r>
    <n v="3"/>
    <n v="1114"/>
    <s v="Biblioteca Jose Nuñez Roca"/>
    <s v="Herrera"/>
    <x v="53"/>
    <s v="San Sebastián de Ocú"/>
    <s v="FO"/>
    <n v="7.9480510000000004"/>
    <n v="-80.774077000000005"/>
    <s v="17/07/2017"/>
  </r>
  <r>
    <n v="3"/>
    <n v="1115"/>
    <s v="Escuela Jose D. Carrizo No.1"/>
    <s v="Herrera"/>
    <x v="53"/>
    <s v="San Sebastián de Ocú"/>
    <s v="FO"/>
    <n v="7.945862"/>
    <n v="-80.777653999999998"/>
    <s v="17/07/2017"/>
  </r>
  <r>
    <n v="3"/>
    <n v="1116"/>
    <s v="Escuela Jose D. Carrizo No.2"/>
    <s v="Herrera"/>
    <x v="53"/>
    <s v="San Sebastián de Ocú"/>
    <s v="FO"/>
    <n v="7.947978"/>
    <n v="-80.779036000000005"/>
    <s v="17/07/2017"/>
  </r>
  <r>
    <n v="3"/>
    <n v="1118"/>
    <s v="Hospital Sergio Nuñez"/>
    <s v="Herrera"/>
    <x v="53"/>
    <s v="San Sebastián de Ocú"/>
    <s v="HFC"/>
    <n v="7.9423300000000001"/>
    <n v="-80.776712000000003"/>
    <s v="17/07/2017"/>
  </r>
  <r>
    <n v="3"/>
    <n v="1120"/>
    <s v="Municipio Ocú"/>
    <s v="Herrera"/>
    <x v="53"/>
    <s v="San Sebastián de Ocú"/>
    <s v="HFC"/>
    <n v="7.9454979999999997"/>
    <n v="-80.778397999999996"/>
    <s v="17/07/2017"/>
  </r>
  <r>
    <n v="3"/>
    <n v="1125"/>
    <s v="C. DE S. PARITA"/>
    <s v="Herrera"/>
    <x v="54"/>
    <s v="Parita"/>
    <s v="FO"/>
    <n v="7.9993220000000003"/>
    <n v="-80.516343000000006"/>
    <s v="10/07/2017"/>
  </r>
  <r>
    <n v="3"/>
    <n v="1126"/>
    <s v="Escuela Puerto Limón"/>
    <s v="Herrera"/>
    <x v="54"/>
    <s v="Parita"/>
    <s v="FO"/>
    <n v="7.9951379999999999"/>
    <n v="-80.513054999999994"/>
    <s v="21/07/2017"/>
  </r>
  <r>
    <n v="3"/>
    <n v="1127"/>
    <s v="Municipio Parita"/>
    <s v="Herrera"/>
    <x v="54"/>
    <s v="Parita"/>
    <s v="FO"/>
    <n v="7.9954960000000002"/>
    <n v="-80.517938000000001"/>
    <s v="10/07/2017"/>
  </r>
  <r>
    <n v="3"/>
    <n v="1128"/>
    <s v="Biblioteca Pública José Daniel Crespo"/>
    <s v="Herrera"/>
    <x v="55"/>
    <s v="Pesé"/>
    <s v="FO"/>
    <n v="7.9085539999999996"/>
    <n v="-80.616146000000001"/>
    <s v="19/07/2017"/>
  </r>
  <r>
    <n v="3"/>
    <n v="1129"/>
    <s v="Colegio Secundario de Pese (Jose O. Huertas)"/>
    <s v="Herrera"/>
    <x v="55"/>
    <s v="Pesé"/>
    <s v="FO"/>
    <n v="7.9096390000000003"/>
    <n v="-80.613189000000006"/>
    <s v="19/07/2017"/>
  </r>
  <r>
    <n v="3"/>
    <n v="1130"/>
    <s v="Escuela Ildaura Vieto"/>
    <s v="Herrera"/>
    <x v="55"/>
    <s v="Pesé"/>
    <s v="FO"/>
    <n v="7.9049719999999999"/>
    <n v="-80.615605000000002"/>
    <s v="19/07/2017"/>
  </r>
  <r>
    <n v="3"/>
    <n v="1136"/>
    <s v="Escuela Melania Pascal de López"/>
    <s v="Herrera"/>
    <x v="56"/>
    <s v="Chupampa"/>
    <s v="FO"/>
    <n v="8.0761959999999995"/>
    <n v="-80.776915000000002"/>
    <s v="17/07/2017"/>
  </r>
  <r>
    <n v="3"/>
    <n v="1137"/>
    <s v="Municipio Santa María"/>
    <s v="Herrera"/>
    <x v="56"/>
    <s v="Santa María"/>
    <s v="FO"/>
    <n v="7.770861"/>
    <n v="-80.271771999999999"/>
    <s v="17/07/2017"/>
  </r>
  <r>
    <n v="3"/>
    <n v="1138"/>
    <s v="Area frente al INADEH Guararé"/>
    <s v="Los Santos"/>
    <x v="57"/>
    <s v="Guararé"/>
    <s v="FO"/>
    <n v="7.821809"/>
    <n v="-80.287578999999994"/>
    <s v="06/07/2017"/>
  </r>
  <r>
    <n v="3"/>
    <n v="1141"/>
    <s v="Esc. Francisco Ignacio Castillero"/>
    <s v="Los Santos"/>
    <x v="57"/>
    <s v="Guararé"/>
    <s v="FO"/>
    <n v="7.8239400000000003"/>
    <n v="-80.283634000000006"/>
    <s v="06/07/2017"/>
  </r>
  <r>
    <n v="3"/>
    <n v="1142"/>
    <s v="Esc. Primaria Juana Vernaza"/>
    <s v="Los Santos"/>
    <x v="57"/>
    <s v="Guararé"/>
    <s v="FO"/>
    <n v="7.819464"/>
    <n v="-80.280458999999993"/>
    <s v="06/07/2017"/>
  </r>
  <r>
    <n v="3"/>
    <n v="1143"/>
    <s v="Museo Manuel F. Zárate"/>
    <s v="Los Santos"/>
    <x v="57"/>
    <s v="Guararé"/>
    <s v="FO"/>
    <n v="7.8256759999999996"/>
    <n v="-80.277916000000005"/>
    <s v="06/07/2017"/>
  </r>
  <r>
    <n v="3"/>
    <n v="1144"/>
    <s v="Palacio Municipal de Guararé"/>
    <s v="Los Santos"/>
    <x v="57"/>
    <s v="Guararé"/>
    <s v="FO"/>
    <n v="7.8236220000000003"/>
    <n v="-80.282366999999994"/>
    <s v="06/07/2017"/>
  </r>
  <r>
    <n v="3"/>
    <n v="1145"/>
    <s v="Parque Amalia Ortega (El Jobo)"/>
    <s v="Los Santos"/>
    <x v="57"/>
    <s v="Guararé"/>
    <s v="FO"/>
    <n v="7.8161779999999998"/>
    <n v="-80.281115999999997"/>
    <s v="06/07/2017"/>
  </r>
  <r>
    <n v="3"/>
    <n v="1146"/>
    <s v="Parque Viviana Pérez"/>
    <s v="Los Santos"/>
    <x v="57"/>
    <s v="Guararé"/>
    <s v="FO"/>
    <n v="7.821599"/>
    <n v="-80.281328000000002"/>
    <s v="06/07/2017"/>
  </r>
  <r>
    <n v="3"/>
    <n v="1148"/>
    <s v="Policlínica de Guararé"/>
    <s v="Los Santos"/>
    <x v="57"/>
    <s v="Guararé"/>
    <s v="FO"/>
    <n v="7.8256759999999996"/>
    <n v="-80.277916000000005"/>
    <s v="06/07/2017"/>
  </r>
  <r>
    <n v="3"/>
    <n v="1150"/>
    <s v="Avenida Central Las Tablas"/>
    <s v="Los Santos"/>
    <x v="58"/>
    <s v="Las Tablas"/>
    <s v="FO"/>
    <n v="7.768383"/>
    <n v="-80.277193999999994"/>
    <s v="21/07/2017"/>
  </r>
  <r>
    <n v="3"/>
    <n v="1153"/>
    <s v="Centro de Salud Las Tablas"/>
    <s v="Los Santos"/>
    <x v="58"/>
    <s v="Las Tablas"/>
    <s v="FO"/>
    <n v="7.7695939999999997"/>
    <n v="-80.277083000000005"/>
    <s v="13/07/2017"/>
  </r>
  <r>
    <n v="3"/>
    <n v="1156"/>
    <s v="Esc. Santa Isabel"/>
    <s v="Los Santos"/>
    <x v="58"/>
    <s v="Las Tablas"/>
    <s v="HFC"/>
    <n v="7.7552779999999997"/>
    <n v="-80.262777999999997"/>
    <s v="13/07/2017"/>
  </r>
  <r>
    <n v="3"/>
    <n v="1158"/>
    <s v="Hospital Joaquin Pablo Franco Sayas"/>
    <s v="Los Santos"/>
    <x v="58"/>
    <s v="Las Tablas"/>
    <s v="FO"/>
    <n v="7.7873469999999996"/>
    <n v="-80.272789000000003"/>
    <s v="12/07/2017"/>
  </r>
  <r>
    <n v="3"/>
    <n v="1160"/>
    <s v="Junta Comunal de las Palmitas"/>
    <s v="Los Santos"/>
    <x v="58"/>
    <s v="Las Tablas"/>
    <s v="HFC"/>
    <n v="7.7675000000000001"/>
    <n v="-80.286389"/>
    <s v="12/07/2017"/>
  </r>
  <r>
    <n v="3"/>
    <n v="1161"/>
    <s v="Museo Porras"/>
    <s v="Los Santos"/>
    <x v="58"/>
    <s v="Las Tablas"/>
    <s v="FO"/>
    <n v="7.7664720000000003"/>
    <n v="-80.277722999999995"/>
    <s v="13/07/2017"/>
  </r>
  <r>
    <n v="3"/>
    <n v="1164"/>
    <s v="Parque Porras Las Tablas"/>
    <s v="Los Santos"/>
    <x v="58"/>
    <s v="Las Tablas"/>
    <s v="FO"/>
    <n v="7.7664720000000003"/>
    <n v="-80.277722999999995"/>
    <s v="06/09/2017"/>
  </r>
  <r>
    <n v="3"/>
    <n v="1165"/>
    <s v="Primaria Claudio Vasquez"/>
    <s v="Los Santos"/>
    <x v="58"/>
    <s v="Las Tablas"/>
    <s v="FO"/>
    <n v="7.7716799999999999"/>
    <n v="-80.269497999999999"/>
    <s v="13/07/2017"/>
  </r>
  <r>
    <n v="3"/>
    <n v="1166"/>
    <s v="Primaria-Presidente Porras"/>
    <s v="Los Santos"/>
    <x v="58"/>
    <s v="Las Tablas"/>
    <s v="FO"/>
    <n v="7.7647279999999999"/>
    <n v="-80.276111999999998"/>
    <s v="13/07/2017"/>
  </r>
  <r>
    <n v="3"/>
    <n v="1168"/>
    <s v="Universidad Nacional de Panama"/>
    <s v="Los Santos"/>
    <x v="58"/>
    <s v="Las Tablas"/>
    <s v="HFC"/>
    <n v="7.7917189999999996"/>
    <n v="-80.273964000000007"/>
    <s v="12/07/2017"/>
  </r>
  <r>
    <n v="3"/>
    <n v="1169"/>
    <s v="C. DE S. SANTO DOMINGO"/>
    <s v="Los Santos"/>
    <x v="58"/>
    <s v="Santo Domingo"/>
    <s v="HFC"/>
    <n v="7.7586870000000001"/>
    <n v="-80.237589999999997"/>
    <s v="21/07/2017"/>
  </r>
  <r>
    <n v="3"/>
    <n v="1170"/>
    <s v="Esc. Melquiades Vásquez"/>
    <s v="Los Santos"/>
    <x v="58"/>
    <s v="Santo Domingo"/>
    <s v="HFC"/>
    <n v="7.7586870000000001"/>
    <n v="-80.237589999999997"/>
    <s v="21/07/2017"/>
  </r>
  <r>
    <n v="3"/>
    <n v="1171"/>
    <s v="C.E.B.G. JAIME ALBA"/>
    <s v="Los Santos"/>
    <x v="58"/>
    <s v="Vallerriquito"/>
    <s v="Satelital"/>
    <n v="7.63117"/>
    <n v="-80.344376999999994"/>
    <s v="28/09/2017"/>
  </r>
  <r>
    <n v="3"/>
    <n v="1172"/>
    <s v="Parque de Vallerriquito"/>
    <s v="Los Santos"/>
    <x v="58"/>
    <s v="Vallerriquito"/>
    <s v="Satelital"/>
    <n v="7.6221319999999997"/>
    <n v="-80.317545999999993"/>
    <s v="19/10/2017"/>
  </r>
  <r>
    <n v="3"/>
    <n v="1174"/>
    <s v="Biblioteca Hector Conte"/>
    <s v="Los Santos"/>
    <x v="59"/>
    <s v="La Villa de Los Santos"/>
    <s v="FO"/>
    <n v="7.9337780000000002"/>
    <n v="-80.417638999999994"/>
    <s v="05/07/2017"/>
  </r>
  <r>
    <n v="3"/>
    <n v="1175"/>
    <s v="Cuartel de Bomberos La Villa De Los Santos"/>
    <s v="Los Santos"/>
    <x v="59"/>
    <s v="La Villa de Los Santos"/>
    <s v="FO"/>
    <n v="7.9311389999999999"/>
    <n v="-80.411666999999994"/>
    <s v="04/07/2017"/>
  </r>
  <r>
    <n v="3"/>
    <n v="1176"/>
    <s v="Escuela de Folklore Dora Perez de Zarate"/>
    <s v="Los Santos"/>
    <x v="59"/>
    <s v="La Villa de Los Santos"/>
    <s v="FO"/>
    <n v="7.9371090000000004"/>
    <n v="-80.414180000000002"/>
    <s v="05/07/2017"/>
  </r>
  <r>
    <n v="3"/>
    <n v="1177"/>
    <s v="Escuela Nicanor Villalaz"/>
    <s v="Los Santos"/>
    <x v="59"/>
    <s v="La Villa de Los Santos"/>
    <s v="FO"/>
    <n v="7.9289440000000004"/>
    <n v="-80.414556000000005"/>
    <s v="04/07/2017"/>
  </r>
  <r>
    <n v="3"/>
    <n v="1178"/>
    <s v="Hospital San Juan De Dios"/>
    <s v="Los Santos"/>
    <x v="59"/>
    <s v="La Villa de Los Santos"/>
    <s v="FO"/>
    <n v="7.9379720000000002"/>
    <n v="-80.412389000000005"/>
    <s v="04/07/2017"/>
  </r>
  <r>
    <n v="3"/>
    <n v="1179"/>
    <s v="Instituto Coronel Segundo Villarreal"/>
    <s v="Los Santos"/>
    <x v="59"/>
    <s v="La Villa de Los Santos"/>
    <s v="FO"/>
    <n v="7.9301110000000001"/>
    <n v="-80.415278000000001"/>
    <s v="05/07/2017"/>
  </r>
  <r>
    <n v="3"/>
    <n v="1180"/>
    <s v="Instituto Profesional y tecnico de azuero"/>
    <s v="Los Santos"/>
    <x v="59"/>
    <s v="La Villa de Los Santos"/>
    <s v="FO"/>
    <n v="7.927111"/>
    <n v="-80.417500000000004"/>
    <s v="05/07/2017"/>
  </r>
  <r>
    <n v="3"/>
    <n v="1185"/>
    <s v="Parque Rufina Alfaro"/>
    <s v="Los Santos"/>
    <x v="59"/>
    <s v="La Villa de Los Santos"/>
    <s v="FO"/>
    <n v="7.9334720000000001"/>
    <n v="-80.413167000000001"/>
    <s v="04/07/2017"/>
  </r>
  <r>
    <n v="3"/>
    <n v="1187"/>
    <s v="Terminal de Buses La Villa de los Santos"/>
    <s v="Los Santos"/>
    <x v="59"/>
    <s v="La Villa de Los Santos"/>
    <s v="FO"/>
    <n v="7.9372730000000002"/>
    <n v="-80.418304000000006"/>
    <s v="04/07/2017"/>
  </r>
  <r>
    <n v="3"/>
    <n v="1188"/>
    <s v="Universidad Tecnologica"/>
    <s v="Los Santos"/>
    <x v="59"/>
    <s v="La Villa de Los Santos"/>
    <s v="FO"/>
    <n v="7.9274170000000002"/>
    <n v="-80.416916999999998"/>
    <s v="05/07/2017"/>
  </r>
  <r>
    <n v="3"/>
    <n v="1190"/>
    <s v="Escuela Llano Largo"/>
    <s v="Los Santos"/>
    <x v="59"/>
    <s v="Llano Largo"/>
    <s v="FO"/>
    <n v="7.9071429999999996"/>
    <n v="-80.424104"/>
    <s v="21/07/2017"/>
  </r>
  <r>
    <n v="3"/>
    <n v="1191"/>
    <s v="S. C. DE S. LLANO LARGO"/>
    <s v="Los Santos"/>
    <x v="59"/>
    <s v="Llano Largo"/>
    <s v="FO"/>
    <n v="7.9070489999999998"/>
    <n v="-80.424249000000003"/>
    <s v="21/07/2017"/>
  </r>
  <r>
    <n v="3"/>
    <n v="1192"/>
    <s v="Col. Rafael A. Moreno"/>
    <s v="Los Santos"/>
    <x v="60"/>
    <s v="Macaracas"/>
    <s v="FO"/>
    <n v="7.7325090000000003"/>
    <n v="-80.551049000000006"/>
    <s v="20/07/2017"/>
  </r>
  <r>
    <n v="3"/>
    <n v="1193"/>
    <s v="Esc. Rudecinda Rodríguez"/>
    <s v="Los Santos"/>
    <x v="60"/>
    <s v="Macaracas"/>
    <s v="HFC"/>
    <n v="7.7370979999999996"/>
    <n v="-80.549481999999998"/>
    <s v="20/07/2017"/>
  </r>
  <r>
    <n v="3"/>
    <n v="1194"/>
    <s v="Hospital Luis H. Moreno"/>
    <s v="Los Santos"/>
    <x v="60"/>
    <s v="Macaracas"/>
    <s v="FO"/>
    <n v="7.737304"/>
    <n v="-80.548631"/>
    <s v="20/07/2017"/>
  </r>
  <r>
    <n v="3"/>
    <n v="1195"/>
    <s v="Municipio Macaracas"/>
    <s v="Los Santos"/>
    <x v="60"/>
    <s v="Macaracas"/>
    <s v="FO"/>
    <n v="7.7328289999999997"/>
    <n v="-80.551196000000004"/>
    <s v="20/07/2017"/>
  </r>
  <r>
    <n v="3"/>
    <n v="1197"/>
    <s v="Area frente a Correos Nacionales Pedasí"/>
    <s v="Los Santos"/>
    <x v="61"/>
    <s v="Pedasí"/>
    <s v="FO"/>
    <n v="7.5311430000000001"/>
    <n v="-80.026691"/>
    <s v="18/07/2017"/>
  </r>
  <r>
    <n v="3"/>
    <n v="1200"/>
    <s v="Area frente al MIDA Pedasí"/>
    <s v="Los Santos"/>
    <x v="61"/>
    <s v="Pedasí"/>
    <s v="FO"/>
    <n v="7.533175"/>
    <n v="-80.026405999999994"/>
    <s v="18/07/2017"/>
  </r>
  <r>
    <n v="3"/>
    <n v="1201"/>
    <s v="Area frente al Organo Judicial Pedasí"/>
    <s v="Los Santos"/>
    <x v="61"/>
    <s v="Pedasí"/>
    <s v="FO"/>
    <n v="7.5299610000000001"/>
    <n v="-80.024484000000001"/>
    <s v="18/07/2017"/>
  </r>
  <r>
    <n v="3"/>
    <n v="1203"/>
    <s v="Biblioteca Publica Petra A.de Moscoso"/>
    <s v="Los Santos"/>
    <x v="61"/>
    <s v="Pedasí"/>
    <s v="FO"/>
    <n v="7.5294059999999998"/>
    <n v="-80.026016999999996"/>
    <s v="20/07/2017"/>
  </r>
  <r>
    <n v="3"/>
    <n v="1206"/>
    <s v="Cuartel de Bomberos Pedasí"/>
    <s v="Los Santos"/>
    <x v="61"/>
    <s v="Pedasí"/>
    <s v="FO"/>
    <n v="7.5333690000000004"/>
    <n v="-80.025262999999995"/>
    <s v="18/07/2017"/>
  </r>
  <r>
    <n v="3"/>
    <n v="1207"/>
    <s v="Instituto Plinio Ant. Moscoso"/>
    <s v="Los Santos"/>
    <x v="61"/>
    <s v="Pedasí"/>
    <s v="FO"/>
    <n v="7.5326880000000003"/>
    <n v="-80.027907999999996"/>
    <s v="18/07/2017"/>
  </r>
  <r>
    <n v="3"/>
    <n v="1209"/>
    <s v="Parque Central Pedasí"/>
    <s v="Los Santos"/>
    <x v="61"/>
    <s v="Pedasí"/>
    <s v="FO"/>
    <n v="7.5340449999999999"/>
    <n v="-80.026408000000004"/>
    <s v="18/07/2017"/>
  </r>
  <r>
    <n v="3"/>
    <n v="1210"/>
    <s v="Parque de Calle Arriba"/>
    <s v="Los Santos"/>
    <x v="61"/>
    <s v="Pedasí"/>
    <s v="FO"/>
    <n v="7.5315529999999997"/>
    <n v="-80.029242999999994"/>
    <s v="18/07/2017"/>
  </r>
  <r>
    <n v="3"/>
    <n v="1211"/>
    <s v="Parque de la Iglesia Santa Catalina"/>
    <s v="Los Santos"/>
    <x v="61"/>
    <s v="Pedasí"/>
    <s v="FO"/>
    <n v="7.5295040000000002"/>
    <n v="-80.026106999999996"/>
    <s v="18/07/2017"/>
  </r>
  <r>
    <n v="3"/>
    <n v="1212"/>
    <s v="Area frente al MIDA Pocrí"/>
    <s v="Los Santos"/>
    <x v="62"/>
    <s v="Pocrí"/>
    <s v="FO"/>
    <n v="7.6596840000000004"/>
    <n v="-80.118583000000001"/>
    <s v="18/07/2017"/>
  </r>
  <r>
    <n v="3"/>
    <n v="1214"/>
    <s v="Escuela Ernestina Sucre Falcon"/>
    <s v="Los Santos"/>
    <x v="62"/>
    <s v="Pocrí"/>
    <s v="FO"/>
    <n v="7.6613689999999997"/>
    <n v="-80.121866999999995"/>
    <s v="18/07/2017"/>
  </r>
  <r>
    <n v="3"/>
    <n v="1217"/>
    <s v="Mercado Artesanal"/>
    <s v="Los Santos"/>
    <x v="62"/>
    <s v="Pocrí"/>
    <s v="FO"/>
    <n v="7.6607060000000002"/>
    <n v="-80.121498000000003"/>
    <s v="18/07/2017"/>
  </r>
  <r>
    <n v="3"/>
    <n v="1218"/>
    <s v="Palacio Municipal Pocrí"/>
    <s v="Los Santos"/>
    <x v="62"/>
    <s v="Pocrí"/>
    <s v="FO"/>
    <n v="7.6601249999999999"/>
    <n v="-80.118291999999997"/>
    <s v="18/07/2017"/>
  </r>
  <r>
    <n v="3"/>
    <n v="1219"/>
    <s v="Parque Central de Pocrí"/>
    <s v="Los Santos"/>
    <x v="62"/>
    <s v="Pocrí"/>
    <s v="FO"/>
    <n v="7.664148"/>
    <n v="-80.135532999999995"/>
    <s v="18/07/2017"/>
  </r>
  <r>
    <n v="3"/>
    <n v="1220"/>
    <s v="Esc. Bucaro"/>
    <s v="Los Santos"/>
    <x v="63"/>
    <s v="Tonosí"/>
    <s v="Satelital"/>
    <n v="7.3482180000000001"/>
    <n v="-80.353183999999999"/>
    <s v="19/10/2017"/>
  </r>
  <r>
    <n v="3"/>
    <n v="1221"/>
    <s v="Esc. Rosa María Angulo de Arce"/>
    <s v="Los Santos"/>
    <x v="63"/>
    <s v="Tonosí"/>
    <s v="FO"/>
    <n v="7.4073089999999997"/>
    <n v="-80.438581999999997"/>
    <s v="01/08/2017"/>
  </r>
  <r>
    <n v="3"/>
    <n v="1222"/>
    <s v="Municipio Tonosí (cabecera)"/>
    <s v="Los Santos"/>
    <x v="63"/>
    <s v="Tonosí"/>
    <s v="FO"/>
    <n v="7.4078210000000002"/>
    <n v="-80.440650000000005"/>
    <s v="01/08/2017"/>
  </r>
  <r>
    <n v="3"/>
    <n v="1223"/>
    <s v="Alcaldía de Arraiján"/>
    <s v="Panamá Oeste"/>
    <x v="64"/>
    <s v="Arraiján"/>
    <s v="FO"/>
    <n v="8.9536259999999999"/>
    <n v="-79.654201999999998"/>
    <s v="25/07/2017"/>
  </r>
  <r>
    <n v="3"/>
    <n v="1225"/>
    <s v="C.E. Las Colinas de Cáceres"/>
    <s v="Panamá Oeste"/>
    <x v="64"/>
    <s v="Arraiján"/>
    <s v="FO"/>
    <n v="8.9413579999999993"/>
    <n v="-79.663267000000005"/>
    <s v="18/10/2017"/>
  </r>
  <r>
    <n v="3"/>
    <n v="1226"/>
    <s v="C.E. Valle del Sol"/>
    <s v="Panamá Oeste"/>
    <x v="64"/>
    <s v="Arraiján"/>
    <s v="FO"/>
    <n v="8.9273039999999995"/>
    <n v="-79.633859999999999"/>
    <s v="22/08/2017"/>
  </r>
  <r>
    <n v="3"/>
    <n v="1227"/>
    <s v="CEBG Cerro Silvestre"/>
    <s v="Panamá Oeste"/>
    <x v="64"/>
    <s v="Arraiján"/>
    <s v="FO"/>
    <n v="8.9400589999999998"/>
    <n v="-79.678145000000001"/>
    <s v="28/08/2017"/>
  </r>
  <r>
    <n v="3"/>
    <n v="1228"/>
    <s v="Centro de Salud Arraiján"/>
    <s v="Panamá Oeste"/>
    <x v="64"/>
    <s v="Arraiján"/>
    <s v="FO"/>
    <n v="8.9533330000000007"/>
    <n v="-79.655867999999998"/>
    <s v="23/08/2017"/>
  </r>
  <r>
    <n v="3"/>
    <n v="1229"/>
    <s v="Cristóbal Adan de Urriola"/>
    <s v="Panamá Oeste"/>
    <x v="64"/>
    <s v="Arraiján"/>
    <s v="FO"/>
    <n v="8.9451180000000008"/>
    <n v="-79.654069000000007"/>
    <s v="25/07/2017"/>
  </r>
  <r>
    <n v="3"/>
    <n v="1231"/>
    <s v="El Tecal"/>
    <s v="Panamá Oeste"/>
    <x v="64"/>
    <s v="Arraiján"/>
    <s v="FO"/>
    <n v="8.9011060000000004"/>
    <n v="-79.711950000000002"/>
    <s v="31/07/2017"/>
  </r>
  <r>
    <n v="3"/>
    <n v="1232"/>
    <s v="Esc. Residencial Vacamonte"/>
    <s v="Panamá Oeste"/>
    <x v="64"/>
    <s v="Arraiján"/>
    <s v="FO"/>
    <n v="8.9153490000000009"/>
    <n v="-79.699848000000003"/>
    <s v="29/08/2017"/>
  </r>
  <r>
    <n v="3"/>
    <n v="1233"/>
    <s v="Escuela Estela María Sierra"/>
    <s v="Panamá Oeste"/>
    <x v="64"/>
    <s v="Arraiján"/>
    <s v="FO"/>
    <n v="8.9414029999999993"/>
    <n v="-79.639911999999995"/>
    <s v="25/07/2017"/>
  </r>
  <r>
    <n v="3"/>
    <n v="1234"/>
    <s v="Escuela primaria Guillermo Andreve"/>
    <s v="Panamá Oeste"/>
    <x v="64"/>
    <s v="Arraiján"/>
    <s v="FO"/>
    <n v="8.9481619999999999"/>
    <n v="-79.655167000000006"/>
    <s v="22/08/2017"/>
  </r>
  <r>
    <n v="3"/>
    <n v="1235"/>
    <s v="IPT Fernando de Lesseps - Burunga"/>
    <s v="Panamá Oeste"/>
    <x v="64"/>
    <s v="Arraiján"/>
    <s v="FO"/>
    <n v="8.9584100000000007"/>
    <n v="-79.654476000000003"/>
    <s v="01/08/2017"/>
  </r>
  <r>
    <n v="3"/>
    <n v="1236"/>
    <s v="La Polvareda"/>
    <s v="Panamá Oeste"/>
    <x v="64"/>
    <s v="Arraiján"/>
    <s v="FO"/>
    <n v="8.9422219999999992"/>
    <n v="-79.644164000000004"/>
    <s v="21/07/2017"/>
  </r>
  <r>
    <n v="3"/>
    <n v="1237"/>
    <s v="Loma Bonita"/>
    <s v="Panamá Oeste"/>
    <x v="64"/>
    <s v="Arraiján"/>
    <s v="FO"/>
    <n v="8.9294840000000004"/>
    <n v="-79.691728999999995"/>
    <s v="31/07/2017"/>
  </r>
  <r>
    <n v="3"/>
    <n v="1238"/>
    <s v="Lucas Barcenas - Burunga"/>
    <s v="Panamá Oeste"/>
    <x v="64"/>
    <s v="Arraiján"/>
    <s v="FO"/>
    <n v="8.9670880000000004"/>
    <n v="-79.665384000000003"/>
    <s v="20/07/2017"/>
  </r>
  <r>
    <n v="3"/>
    <n v="1240"/>
    <s v="Roberto F. Chiari"/>
    <s v="Panamá Oeste"/>
    <x v="64"/>
    <s v="Arraiján"/>
    <s v="FO"/>
    <n v="8.9451180000000008"/>
    <n v="-79.654069000000007"/>
    <s v="04/08/2017"/>
  </r>
  <r>
    <n v="3"/>
    <n v="1241"/>
    <s v="C.E. Fuente de Amor"/>
    <s v="Panamá Oeste"/>
    <x v="64"/>
    <s v="Burunga"/>
    <s v="FO"/>
    <n v="8.9763509999999993"/>
    <n v="-79.672443999999999"/>
    <s v="19/07/2017"/>
  </r>
  <r>
    <n v="3"/>
    <n v="1242"/>
    <s v="C.E. Nva. Jerusalén"/>
    <s v="Panamá Oeste"/>
    <x v="64"/>
    <s v="Burunga"/>
    <s v="FO"/>
    <n v="8.980359"/>
    <n v="-79.676914999999994"/>
    <s v="20/07/2017"/>
  </r>
  <r>
    <n v="3"/>
    <n v="1243"/>
    <s v="C.E.B.G. Reina T. de Araúz"/>
    <s v="Panamá Oeste"/>
    <x v="64"/>
    <s v="Burunga"/>
    <s v="FO"/>
    <n v="8.9555880000000005"/>
    <n v="-79.675601"/>
    <s v="19/07/2017"/>
  </r>
  <r>
    <n v="3"/>
    <n v="1244"/>
    <s v="C.E.B.G.Burunga"/>
    <s v="Panamá Oeste"/>
    <x v="64"/>
    <s v="Burunga"/>
    <s v="FO"/>
    <n v="8.9671280000000007"/>
    <n v="-79.674373000000003"/>
    <s v="19/07/2017"/>
  </r>
  <r>
    <n v="3"/>
    <n v="1245"/>
    <s v="ESC. LLUVIA DE BENDICIONES"/>
    <s v="Panamá Oeste"/>
    <x v="64"/>
    <s v="Burunga"/>
    <s v="FO"/>
    <n v="8.9480559999999993"/>
    <n v="-79.675832999999997"/>
    <s v="28/08/2017"/>
  </r>
  <r>
    <n v="3"/>
    <n v="1246"/>
    <s v="ESC. ONCE DE OCTUBRE"/>
    <s v="Panamá Oeste"/>
    <x v="64"/>
    <s v="Burunga"/>
    <s v="FO"/>
    <n v="8.9726130000000008"/>
    <n v="-79.665120999999999"/>
    <s v="20/07/2017"/>
  </r>
  <r>
    <n v="3"/>
    <n v="1248"/>
    <s v="C. DE S. NVO.CHORRILLO"/>
    <s v="Panamá Oeste"/>
    <x v="64"/>
    <s v="Cerro Silvestre"/>
    <s v="FO"/>
    <n v="8.9496070000000003"/>
    <n v="-79.691517000000005"/>
    <s v="22/08/2017"/>
  </r>
  <r>
    <n v="3"/>
    <n v="1249"/>
    <s v="C.E. La Playita"/>
    <s v="Panamá Oeste"/>
    <x v="64"/>
    <s v="Cerro Silvestre"/>
    <s v="Satelital"/>
    <n v="8.8941499999999998"/>
    <n v="-79.655519999999996"/>
    <s v="18/10/2017"/>
  </r>
  <r>
    <n v="3"/>
    <n v="1250"/>
    <s v="C.E. Monte Claro"/>
    <s v="Panamá Oeste"/>
    <x v="64"/>
    <s v="Cerro Silvestre"/>
    <s v="FO"/>
    <n v="8.9239119999999996"/>
    <n v="-79.664702000000005"/>
    <s v="02/08/2017"/>
  </r>
  <r>
    <n v="3"/>
    <n v="1251"/>
    <s v="C.E.B.G. Cerro Silvestre"/>
    <s v="Panamá Oeste"/>
    <x v="64"/>
    <s v="Cerro Silvestre"/>
    <s v="FO"/>
    <n v="8.9478589999999993"/>
    <n v="-79.678303999999997"/>
    <s v="22/08/2017"/>
  </r>
  <r>
    <n v="3"/>
    <n v="1252"/>
    <s v="C.E.B.G. BIQUE"/>
    <s v="Panamá Oeste"/>
    <x v="64"/>
    <s v="Cerro Silvestre"/>
    <s v="PTP"/>
    <n v="8.9148420000000002"/>
    <n v="-79.672794999999994"/>
    <s v="19/07/2017"/>
  </r>
  <r>
    <n v="3"/>
    <n v="1253"/>
    <s v="Escuela Hogar San José de Malambo"/>
    <s v="Panamá Oeste"/>
    <x v="64"/>
    <s v="Cerro Silvestre"/>
    <s v="FO"/>
    <n v="8.9465190000000003"/>
    <n v="-79.676916000000006"/>
    <s v="24/07/2017"/>
  </r>
  <r>
    <n v="3"/>
    <n v="1254"/>
    <s v="C.E. LEONIDAS DELGADO VARGAS"/>
    <s v="Panamá Oeste"/>
    <x v="64"/>
    <s v="Juan Demóstenes Arosemena"/>
    <s v="FO"/>
    <n v="8.9376700000000007"/>
    <n v="-79.718078000000006"/>
    <s v="20/07/2017"/>
  </r>
  <r>
    <n v="3"/>
    <n v="1255"/>
    <s v="C.E.B.G. CERRO TIGRE"/>
    <s v="Panamá Oeste"/>
    <x v="64"/>
    <s v="Juan Demóstenes Arosemena"/>
    <s v="HFC"/>
    <n v="8.9367520000000003"/>
    <n v="-79.708040999999994"/>
    <s v="20/07/2017"/>
  </r>
  <r>
    <n v="3"/>
    <n v="1256"/>
    <s v="Escuela Nuevo Arraiján"/>
    <s v="Panamá Oeste"/>
    <x v="64"/>
    <s v="Juan Demóstenes Arosemena"/>
    <s v="FO"/>
    <n v="8.9262569999999997"/>
    <n v="-79.719172999999998"/>
    <s v="02/08/2017"/>
  </r>
  <r>
    <n v="3"/>
    <n v="1258"/>
    <s v="C.E Cosecha Amistad"/>
    <s v="Panamá Oeste"/>
    <x v="64"/>
    <s v="Veracruz"/>
    <s v="FO"/>
    <n v="8.8894669999999998"/>
    <n v="-79.640608"/>
    <s v="27/07/2017"/>
  </r>
  <r>
    <n v="3"/>
    <n v="1259"/>
    <s v="C.E. Veracruz"/>
    <s v="Panamá Oeste"/>
    <x v="64"/>
    <s v="Veracruz"/>
    <s v="HFC"/>
    <n v="8.8905480000000008"/>
    <n v="-79.626350000000002"/>
    <s v="29/08/2017"/>
  </r>
  <r>
    <n v="3"/>
    <n v="1260"/>
    <s v="C.E.B.G. Veracruz"/>
    <s v="Panamá Oeste"/>
    <x v="64"/>
    <s v="Veracruz"/>
    <s v="FO"/>
    <n v="8.899756"/>
    <n v="-79.612027999999995"/>
    <s v="27/07/2017"/>
  </r>
  <r>
    <n v="3"/>
    <n v="1261"/>
    <s v="Centro de Salud Veracruz"/>
    <s v="Panamá Oeste"/>
    <x v="64"/>
    <s v="Veracruz"/>
    <s v="HFC"/>
    <n v="8.8875530000000005"/>
    <n v="-79.633623"/>
    <s v="31/07/2017"/>
  </r>
  <r>
    <n v="3"/>
    <n v="1262"/>
    <s v="ESC. KOSKUNA"/>
    <s v="Panamá Oeste"/>
    <x v="64"/>
    <s v="Veracruz"/>
    <s v="FO"/>
    <n v="8.8974530000000005"/>
    <n v="-79.615029000000007"/>
    <s v="27/07/2017"/>
  </r>
  <r>
    <n v="3"/>
    <n v="1264"/>
    <s v="Escuela Brisas del Chumical"/>
    <s v="Panamá Oeste"/>
    <x v="64"/>
    <s v="Vista Alegre"/>
    <s v="FO"/>
    <n v="8.9172320000000003"/>
    <n v="-79.687012999999993"/>
    <s v="31/07/2017"/>
  </r>
  <r>
    <n v="3"/>
    <n v="1265"/>
    <s v="Junta Comunal de Vista Alegre"/>
    <s v="Panamá Oeste"/>
    <x v="64"/>
    <s v="Vista Alegre"/>
    <s v="FO"/>
    <n v="8.9269470000000002"/>
    <n v="-79.707447000000002"/>
    <s v="22/08/2017"/>
  </r>
  <r>
    <n v="3"/>
    <n v="1267"/>
    <s v="Avenida Central Capira"/>
    <s v="Panamá Oeste"/>
    <x v="65"/>
    <s v="Capira"/>
    <s v="FO"/>
    <n v="8.7581860000000002"/>
    <n v="-79.876976999999997"/>
    <s v="23/08/2017"/>
  </r>
  <r>
    <n v="3"/>
    <n v="1269"/>
    <s v="Centro de Salud Jose Pablo Garcia"/>
    <s v="Panamá Oeste"/>
    <x v="65"/>
    <s v="Capira"/>
    <s v="FO"/>
    <n v="8.7584780000000002"/>
    <n v="-79.875226999999995"/>
    <s v="01/08/2017"/>
  </r>
  <r>
    <n v="3"/>
    <n v="1270"/>
    <s v="Concejo Municipal"/>
    <s v="Panamá Oeste"/>
    <x v="65"/>
    <s v="Capira"/>
    <s v="FO"/>
    <n v="8.7594410000000007"/>
    <n v="-79.876277000000002"/>
    <s v="26/07/2017"/>
  </r>
  <r>
    <n v="3"/>
    <n v="1271"/>
    <s v="Escuela Federico Boyd"/>
    <s v="Panamá Oeste"/>
    <x v="65"/>
    <s v="Capira"/>
    <s v="FO"/>
    <n v="8.7577409999999993"/>
    <n v="-79.877808000000002"/>
    <s v="26/07/2017"/>
  </r>
  <r>
    <n v="3"/>
    <n v="1272"/>
    <s v="I.P.T. Capira"/>
    <s v="Panamá Oeste"/>
    <x v="65"/>
    <s v="Capira"/>
    <s v="HFC"/>
    <n v="8.7668859999999995"/>
    <n v="-79.863573000000002"/>
    <s v="01/08/2017"/>
  </r>
  <r>
    <n v="3"/>
    <n v="1274"/>
    <s v="MIDA Capira"/>
    <s v="Panamá Oeste"/>
    <x v="65"/>
    <s v="Capira"/>
    <s v="FO"/>
    <n v="8.7574190000000005"/>
    <n v="-79.872760999999997"/>
    <s v="26/07/2017"/>
  </r>
  <r>
    <n v="3"/>
    <n v="1275"/>
    <s v="Parque Gilberto Brid"/>
    <s v="Panamá Oeste"/>
    <x v="65"/>
    <s v="Capira"/>
    <s v="FO"/>
    <n v="8.7555110000000003"/>
    <n v="-79.878162000000003"/>
    <s v="28/07/2017"/>
  </r>
  <r>
    <n v="3"/>
    <n v="1276"/>
    <s v="Parque San Isidro Capira"/>
    <s v="Panamá Oeste"/>
    <x v="65"/>
    <s v="Capira"/>
    <s v="FO"/>
    <n v="8.7591490000000007"/>
    <n v="-79.876496000000003"/>
    <s v="28/07/2017"/>
  </r>
  <r>
    <n v="3"/>
    <n v="1279"/>
    <s v="C. DE S. LIDICE (JUAN H. FLORES)"/>
    <s v="Panamá Oeste"/>
    <x v="65"/>
    <s v="Lídice"/>
    <s v="HFC"/>
    <n v="8.7472060000000003"/>
    <n v="-79.909833000000006"/>
    <s v="26/07/2017"/>
  </r>
  <r>
    <n v="3"/>
    <n v="1280"/>
    <s v="C.E. Lídice"/>
    <s v="Panamá Oeste"/>
    <x v="65"/>
    <s v="Lídice"/>
    <s v="HFC"/>
    <n v="8.7499669999999998"/>
    <n v="-79.907380000000003"/>
    <s v="01/08/2017"/>
  </r>
  <r>
    <n v="3"/>
    <n v="1281"/>
    <s v="C.E. MAJARA"/>
    <s v="Panamá Oeste"/>
    <x v="65"/>
    <s v="Lídice"/>
    <s v="Satelital"/>
    <n v="8.7473890000000001"/>
    <n v="-79.909936999999999"/>
    <s v="19/10/2017"/>
  </r>
  <r>
    <n v="3"/>
    <n v="1283"/>
    <s v="C.E. Sta. Cruz"/>
    <s v="Panamá Oeste"/>
    <x v="66"/>
    <s v="Bejuco"/>
    <s v="PTP"/>
    <n v="8.6319839999999992"/>
    <n v="-79.881407999999993"/>
    <s v="04/08/2017"/>
  </r>
  <r>
    <n v="3"/>
    <n v="1284"/>
    <s v="CEBG Berta E. Fernandez"/>
    <s v="Panamá Oeste"/>
    <x v="66"/>
    <s v="Bejuco"/>
    <s v="HFC"/>
    <n v="8.5977969999999999"/>
    <n v="-79.888249999999999"/>
    <s v="04/08/2017"/>
  </r>
  <r>
    <n v="3"/>
    <n v="1285"/>
    <s v="Centro Cultural de Chame y San Carlos"/>
    <s v="Panamá Oeste"/>
    <x v="66"/>
    <s v="Bejuco"/>
    <s v="FO"/>
    <n v="8.6029999999999998"/>
    <n v="-79.887583000000006"/>
    <s v="21/08/2017"/>
  </r>
  <r>
    <n v="3"/>
    <n v="1290"/>
    <s v="Junta comunal de Bejuco"/>
    <s v="Panamá Oeste"/>
    <x v="66"/>
    <s v="Bejuco"/>
    <s v="FO"/>
    <n v="8.6004439999999995"/>
    <n v="-79.887861000000001"/>
    <s v="21/08/2017"/>
  </r>
  <r>
    <n v="3"/>
    <n v="1293"/>
    <s v="Alcaldía Chame"/>
    <s v="Panamá Oeste"/>
    <x v="66"/>
    <s v="Chame"/>
    <s v="FO"/>
    <n v="8.5783989999999992"/>
    <n v="-79.884260999999995"/>
    <s v="03/08/2017"/>
  </r>
  <r>
    <n v="3"/>
    <n v="1296"/>
    <s v="Escuela Harmodio Arias Madrid"/>
    <s v="Panamá Oeste"/>
    <x v="66"/>
    <s v="Chame"/>
    <s v="FO"/>
    <n v="8.5823769999999993"/>
    <n v="-79.885683999999998"/>
    <s v="03/08/2017"/>
  </r>
  <r>
    <n v="3"/>
    <n v="1297"/>
    <s v="Escuela Rafael Maduro"/>
    <s v="Panamá Oeste"/>
    <x v="66"/>
    <s v="Chame"/>
    <s v="FO"/>
    <n v="8.5768710000000006"/>
    <n v="-79.882554999999996"/>
    <s v="03/08/2017"/>
  </r>
  <r>
    <n v="3"/>
    <n v="1299"/>
    <s v="Parque de Chame"/>
    <s v="Panamá Oeste"/>
    <x v="66"/>
    <s v="Chame"/>
    <s v="FO"/>
    <n v="8.6027900000000006"/>
    <n v="-79.88767"/>
    <s v="21/08/2017"/>
  </r>
  <r>
    <n v="3"/>
    <n v="1302"/>
    <s v="CEBG El Trapichito"/>
    <s v="Panamá Oeste"/>
    <x v="67"/>
    <s v="Barrio Balboa"/>
    <s v="PMP"/>
    <n v="8.8834099999999996"/>
    <n v="-79.800021000000001"/>
    <s v="17/07/2017"/>
  </r>
  <r>
    <n v="3"/>
    <n v="1304"/>
    <s v="Cuartel de Bomberos Barrio Balboa"/>
    <s v="Panamá Oeste"/>
    <x v="67"/>
    <s v="Barrio Balboa"/>
    <s v="FO"/>
    <n v="8.8779800000000009"/>
    <n v="-79.779899999999998"/>
    <s v="17/07/2017"/>
  </r>
  <r>
    <n v="3"/>
    <n v="1305"/>
    <s v="José María Barranco"/>
    <s v="Panamá Oeste"/>
    <x v="67"/>
    <s v="Barrio Balboa"/>
    <s v="FO"/>
    <n v="8.8734160000000006"/>
    <n v="-79.781041999999999"/>
    <s v="17/07/2017"/>
  </r>
  <r>
    <n v="3"/>
    <n v="1308"/>
    <s v="Tomás Martin Feuillet"/>
    <s v="Panamá Oeste"/>
    <x v="67"/>
    <s v="Barrio Balboa"/>
    <s v="FO"/>
    <n v="8.8714080000000006"/>
    <n v="-79.785663"/>
    <s v="17/07/2017"/>
  </r>
  <r>
    <n v="3"/>
    <n v="1314"/>
    <s v="Centro de Salud Magalis Ruiz"/>
    <s v="Panamá Oeste"/>
    <x v="67"/>
    <s v="Barrio Colón"/>
    <s v="PMP"/>
    <n v="8.8714239999999993"/>
    <n v="-79.811760000000007"/>
    <s v="17/07/2017"/>
  </r>
  <r>
    <n v="3"/>
    <n v="1315"/>
    <s v="Colegio Moisés Castillo Ocaña"/>
    <s v="Panamá Oeste"/>
    <x v="67"/>
    <s v="Barrio Colón"/>
    <s v="FO"/>
    <n v="8.8921650000000003"/>
    <n v="-79.78116"/>
    <s v="17/07/2017"/>
  </r>
  <r>
    <n v="3"/>
    <n v="1316"/>
    <s v="Corregiduria de Policia de Barrio Colón"/>
    <s v="Panamá Oeste"/>
    <x v="67"/>
    <s v="Barrio Colón"/>
    <s v="FO"/>
    <n v="8.8866399999999999"/>
    <n v="-79.781289999999998"/>
    <s v="23/08/2017"/>
  </r>
  <r>
    <n v="3"/>
    <n v="1318"/>
    <s v="Leopoldo Castillo G"/>
    <s v="Panamá Oeste"/>
    <x v="67"/>
    <s v="Barrio Colón"/>
    <s v="FO"/>
    <n v="8.8770000000000007"/>
    <n v="-79.776508000000007"/>
    <s v="17/07/2017"/>
  </r>
  <r>
    <n v="3"/>
    <n v="1320"/>
    <s v="Municipio Barrio Colón"/>
    <s v="Panamá Oeste"/>
    <x v="67"/>
    <s v="Barrio Colón"/>
    <s v="FO"/>
    <n v="8.8753189999999993"/>
    <n v="-79.790313999999995"/>
    <s v="18/07/2017"/>
  </r>
  <r>
    <n v="3"/>
    <n v="1324"/>
    <s v="Parque Recreativo Barrio Colón"/>
    <s v="Panamá Oeste"/>
    <x v="67"/>
    <s v="Barrio Colón"/>
    <s v="FO"/>
    <n v="8.8824570000000005"/>
    <n v="-79.775039000000007"/>
    <s v="18/07/2017"/>
  </r>
  <r>
    <n v="3"/>
    <n v="1325"/>
    <s v="Plaza 10 de Noviembre"/>
    <s v="Panamá Oeste"/>
    <x v="67"/>
    <s v="Barrio Colón"/>
    <s v="FO"/>
    <n v="8.8813910000000007"/>
    <n v="-79.779402000000005"/>
    <s v="18/07/2017"/>
  </r>
  <r>
    <n v="3"/>
    <n v="1327"/>
    <s v="Primaria-Naciones Unidas"/>
    <s v="Panamá Oeste"/>
    <x v="67"/>
    <s v="Barrio Colón"/>
    <s v="FO"/>
    <n v="8.8878900000000005"/>
    <n v="-79.772841999999997"/>
    <s v="18/07/2017"/>
  </r>
  <r>
    <n v="3"/>
    <n v="1328"/>
    <s v="Primaria-Victoria D'Spinay"/>
    <s v="Panamá Oeste"/>
    <x v="67"/>
    <s v="Barrio Colón"/>
    <s v="FO"/>
    <n v="8.872579"/>
    <n v="-79.795921000000007"/>
    <s v="18/07/2017"/>
  </r>
  <r>
    <n v="3"/>
    <n v="1329"/>
    <s v="C.E. Potrero Grande"/>
    <s v="Panamá Oeste"/>
    <x v="67"/>
    <s v="El Coco"/>
    <s v="FO"/>
    <n v="8.8799539999999997"/>
    <n v="-79.821444999999997"/>
    <s v="18/07/2017"/>
  </r>
  <r>
    <n v="3"/>
    <n v="1331"/>
    <s v="Primaria-Escuela El Coco"/>
    <s v="Panamá Oeste"/>
    <x v="67"/>
    <s v="El Coco"/>
    <s v="FO"/>
    <n v="8.8676010000000005"/>
    <n v="-79.806949000000003"/>
    <s v="18/07/2017"/>
  </r>
  <r>
    <n v="3"/>
    <n v="1332"/>
    <s v="C.E. VIRGEN DE GUADALUPE"/>
    <s v="Panamá Oeste"/>
    <x v="67"/>
    <s v="Guadalupe"/>
    <s v="FO"/>
    <n v="8.8569250000000004"/>
    <n v="-79.823404999999994"/>
    <s v="21/07/2017"/>
  </r>
  <r>
    <n v="3"/>
    <n v="1333"/>
    <s v="C.E.B.G. EL NAZARENO"/>
    <s v="Panamá Oeste"/>
    <x v="67"/>
    <s v="Guadalupe"/>
    <s v="HFC"/>
    <n v="8.8427059999999997"/>
    <n v="-79.838384000000005"/>
    <s v="19/07/2017"/>
  </r>
  <r>
    <n v="3"/>
    <n v="1334"/>
    <s v="Escuela Primaria Zaira Nuñez"/>
    <s v="Panamá Oeste"/>
    <x v="67"/>
    <s v="Guadalupe"/>
    <s v="FO"/>
    <n v="8.8623049999999992"/>
    <n v="-79.809218000000001"/>
    <s v="18/07/2017"/>
  </r>
  <r>
    <n v="3"/>
    <n v="1335"/>
    <s v="IPT La Chorrera"/>
    <s v="Panamá Oeste"/>
    <x v="67"/>
    <s v="Guadalupe"/>
    <s v="FO"/>
    <n v="8.8644990000000004"/>
    <n v="-79.800852000000006"/>
    <s v="23/08/2017"/>
  </r>
  <r>
    <n v="3"/>
    <n v="1336"/>
    <s v="C.E. Victoriano Chacón"/>
    <s v="Panamá Oeste"/>
    <x v="67"/>
    <s v="Puerto Caimito"/>
    <s v="FO"/>
    <n v="8.8684150000000006"/>
    <n v="-79.715215000000001"/>
    <s v="28/08/2017"/>
  </r>
  <r>
    <n v="3"/>
    <n v="1337"/>
    <s v="Hogar Ciudad del Niño"/>
    <s v="Panamá Oeste"/>
    <x v="67"/>
    <s v="Puerto Caimito"/>
    <s v="FO"/>
    <n v="8.8634210000000007"/>
    <n v="-79.773343999999994"/>
    <s v="18/10/2017"/>
  </r>
  <r>
    <n v="3"/>
    <n v="1338"/>
    <s v="C. DE S. DE SAN CARLOS"/>
    <s v="Panamá Oeste"/>
    <x v="68"/>
    <s v="San Carlos Borromeo"/>
    <s v="FO"/>
    <n v="8.4736189999999993"/>
    <n v="-79.958395999999993"/>
    <s v="15/11/2017"/>
  </r>
  <r>
    <n v="3"/>
    <n v="1339"/>
    <s v="C.E. Colón"/>
    <s v="Panamá Oeste"/>
    <x v="68"/>
    <s v="San Carlos Borromeo"/>
    <s v="FO"/>
    <n v="8.4992699999999992"/>
    <n v="-79.971682000000001"/>
    <s v="19/10/2017"/>
  </r>
  <r>
    <n v="3"/>
    <n v="1340"/>
    <s v="Iglesia de San Carlos"/>
    <s v="Panamá Oeste"/>
    <x v="68"/>
    <s v="San Carlos Borromeo"/>
    <s v="FO"/>
    <n v="8.4727250000000005"/>
    <n v="-79.958342000000002"/>
    <s v="21/08/2017"/>
  </r>
  <r>
    <n v="3"/>
    <n v="1341"/>
    <s v="Municipio San Carlos"/>
    <s v="Panamá Oeste"/>
    <x v="68"/>
    <s v="San Carlos Borromeo"/>
    <s v="FO"/>
    <n v="8.4736560000000001"/>
    <n v="-79.960047000000003"/>
    <s v="21/08/2017"/>
  </r>
  <r>
    <n v="3"/>
    <n v="1342"/>
    <s v="C.E. Rodeo Viejo"/>
    <s v="Panamá Oeste"/>
    <x v="68"/>
    <s v="San José"/>
    <s v="HFC"/>
    <n v="8.5273280000000007"/>
    <n v="-79.938682"/>
    <s v="03/08/2017"/>
  </r>
  <r>
    <n v="2"/>
    <n v="1343"/>
    <s v="Escuela Manuel Amador Guerrero"/>
    <s v="Panamá"/>
    <x v="41"/>
    <s v="El Chorrillo"/>
    <s v="PMP"/>
    <n v="8.9500019999999996"/>
    <n v="-79.542342000000005"/>
    <s v="19/07/2017"/>
  </r>
  <r>
    <n v="2"/>
    <n v="1344"/>
    <s v="Parroquia Santa María del Camino"/>
    <s v="Panamá"/>
    <x v="41"/>
    <s v="Juan Díaz"/>
    <s v="PMP"/>
    <n v="9.0468729999999997"/>
    <n v="-79.434742"/>
    <s v="13/07/2017"/>
  </r>
  <r>
    <n v="2"/>
    <n v="1345"/>
    <s v="Escuela de la Concepción"/>
    <s v="Panamá"/>
    <x v="41"/>
    <s v="Juan Díaz"/>
    <s v="PMP"/>
    <n v="9.0488280000000003"/>
    <n v="-79.428901999999994"/>
    <s v="23/05/2017"/>
  </r>
  <r>
    <n v="2"/>
    <n v="1347"/>
    <s v="Iglesia Cristo Redentor"/>
    <s v="Panamá"/>
    <x v="42"/>
    <s v="Amelia Denis de Icaza"/>
    <s v="PMP"/>
    <n v="9.0382499999999997"/>
    <n v="-79.498919999999998"/>
    <s v="10/07/2017"/>
  </r>
  <r>
    <n v="2"/>
    <n v="1348"/>
    <s v="Centro de Salud Santa Ana"/>
    <s v="Panamá"/>
    <x v="41"/>
    <s v="Santa Ana"/>
    <s v="PMP"/>
    <n v="8.9534109999999991"/>
    <n v="-79.541453000000004"/>
    <s v="19/07/2017"/>
  </r>
  <r>
    <n v="2"/>
    <n v="1349"/>
    <s v="Autoridad Marítima de Panamá"/>
    <s v="Panamá"/>
    <x v="41"/>
    <s v="San Felipe"/>
    <s v="PMP"/>
    <n v="8.958717"/>
    <n v="-79.536507"/>
    <s v="20/07/2017"/>
  </r>
  <r>
    <n v="2"/>
    <n v="1350"/>
    <s v="Mercado El Cruce"/>
    <s v="Panamá"/>
    <x v="41"/>
    <s v="Calidonia"/>
    <s v="PMP"/>
    <n v="8.9628960000000006"/>
    <n v="-79.540662999999995"/>
    <s v="19/07/2017"/>
  </r>
  <r>
    <n v="2"/>
    <n v="1352"/>
    <s v="Junta Comunal Belisario Frias"/>
    <s v="Panamá"/>
    <x v="42"/>
    <s v="Belisario Frías"/>
    <s v="FO"/>
    <n v="9.0732689999999998"/>
    <n v="-79.489936"/>
    <s v="18/07/2017"/>
  </r>
  <r>
    <n v="2"/>
    <n v="1355"/>
    <s v="Junta Comunal Belisario Porras"/>
    <s v="Panamá"/>
    <x v="42"/>
    <s v="Omar Torrijos"/>
    <s v="FO"/>
    <n v="9.0492699999999999"/>
    <n v="-79.500339999999994"/>
    <s v="10/07/2017"/>
  </r>
  <r>
    <n v="1"/>
    <n v="1357"/>
    <s v="Escuela San Vicente"/>
    <s v="Chiriquí"/>
    <x v="5"/>
    <s v="Puerto Tomás Armuelles"/>
    <s v="FO"/>
    <n v="8.3125339999999994"/>
    <n v="-82.855827000000005"/>
    <s v="25/07/2017"/>
  </r>
  <r>
    <n v="1"/>
    <n v="1358"/>
    <s v="Escuela El Porvenir"/>
    <s v="Chiriquí"/>
    <x v="8"/>
    <s v="La Concepción"/>
    <s v="FO"/>
    <n v="8.5284139999999997"/>
    <n v="-82.622236000000001"/>
    <s v="27/07/2017"/>
  </r>
  <r>
    <n v="1"/>
    <n v="1359"/>
    <s v="Escuela Jose Luciano Lara"/>
    <s v="Chiriquí"/>
    <x v="11"/>
    <s v="Los Algarrobos"/>
    <s v="HFC"/>
    <n v="8.4982699999999998"/>
    <n v="-82.425511999999998"/>
    <s v="25/05/2017"/>
  </r>
  <r>
    <n v="1"/>
    <n v="1360"/>
    <s v="Junta Comunal de Tijeras"/>
    <s v="Chiriquí"/>
    <x v="6"/>
    <s v="Tijeras"/>
    <s v="HFC"/>
    <n v="8.4709260000000004"/>
    <n v="-82.556616000000005"/>
    <s v="01/06/2017"/>
  </r>
  <r>
    <n v="1"/>
    <n v="1362"/>
    <s v="Tribunal Electoral"/>
    <s v="Chiriquí"/>
    <x v="10"/>
    <s v="San José de David"/>
    <s v="FO"/>
    <n v="8.4302320000000002"/>
    <n v="-82.425639000000004"/>
    <s v="04/08/2017"/>
  </r>
  <r>
    <n v="1"/>
    <n v="1364"/>
    <s v="Parque La Santita"/>
    <s v="Veraguas"/>
    <x v="33"/>
    <s v="Soná"/>
    <s v="FO"/>
    <n v="8.0058330000000009"/>
    <n v="-81.316517000000005"/>
    <s v="05/09/2017"/>
  </r>
  <r>
    <n v="1"/>
    <n v="1365"/>
    <s v="Policia Nacional de La Raya"/>
    <s v="Veraguas"/>
    <x v="32"/>
    <s v="La Raya de Santa María"/>
    <s v="FO"/>
    <n v="8.1689509999999999"/>
    <n v="-80.824122000000003"/>
    <s v="04/10/2017"/>
  </r>
  <r>
    <n v="1"/>
    <n v="1366"/>
    <s v="Escuela Finca 66"/>
    <s v="Bocas del Toro"/>
    <x v="2"/>
    <s v="Changuinola"/>
    <s v="FO"/>
    <n v="9.4460040000000003"/>
    <n v="-82.517251999999999"/>
    <s v="29/06/2017"/>
  </r>
  <r>
    <n v="1"/>
    <n v="1367"/>
    <s v="Parque de Rambala"/>
    <s v="Bocas del Toro"/>
    <x v="3"/>
    <s v="Rambala"/>
    <s v="FO"/>
    <n v="8.9178320000000006"/>
    <n v="-82.185001"/>
    <s v="03/08/2017"/>
  </r>
  <r>
    <n v="1"/>
    <n v="1369"/>
    <s v="Bomberos Isla Colon"/>
    <s v="Bocas del Toro"/>
    <x v="0"/>
    <s v="Bocas del Toro"/>
    <s v="FO"/>
    <n v="9.2030419999999999"/>
    <n v="-82.142238000000006"/>
    <s v="23/11/2017"/>
  </r>
  <r>
    <n v="3"/>
    <n v="1370"/>
    <s v="Escuela Sergio Perez Delgado"/>
    <s v="Herrera"/>
    <x v="51"/>
    <s v="San Miguel de Monagrillo"/>
    <s v="FO"/>
    <n v="7.9804219999999999"/>
    <n v="-80.434970000000007"/>
    <s v="02/10/2017"/>
  </r>
  <r>
    <n v="2"/>
    <n v="1374"/>
    <s v="Escuela Basica Corozal"/>
    <s v="Comarca Emberá-Wounaan"/>
    <x v="36"/>
    <s v="Cirilo Guaynora"/>
    <s v="Satelital"/>
    <n v="8.1202000000000005"/>
    <n v="-77.354799"/>
    <s v="07/08/2017"/>
  </r>
  <r>
    <n v="3"/>
    <n v="1377"/>
    <s v="Palacio Municipal"/>
    <s v="Los Santos"/>
    <x v="59"/>
    <s v="La Villa de Los Santos"/>
    <s v="FO"/>
    <n v="7.9375349999999996"/>
    <n v="-80.413931000000005"/>
    <s v="05/07/2017"/>
  </r>
  <r>
    <n v="1"/>
    <n v="1380"/>
    <s v="CEBG Nievecita"/>
    <s v="Bocas del Toro"/>
    <x v="2"/>
    <s v="Las Tablas"/>
    <s v="FO"/>
    <n v="9.5431609999999996"/>
    <n v="-82.739405000000005"/>
    <s v="19/12/2017"/>
  </r>
  <r>
    <n v="3"/>
    <n v="1381"/>
    <s v="Agencia de Caja de Seguro Social"/>
    <s v="Los Santos"/>
    <x v="58"/>
    <s v="Las Tablas"/>
    <s v="FO"/>
    <n v="7.771134"/>
    <n v="-80.276499999999999"/>
    <s v="03/10/2017"/>
  </r>
  <r>
    <n v="3"/>
    <n v="1382"/>
    <s v="CENTRO DE SALUD POCRI"/>
    <s v="Coclé"/>
    <x v="44"/>
    <s v="Pocrí"/>
    <s v="FO"/>
    <n v="8.2576959999999993"/>
    <n v="-80.551332000000002"/>
    <s v="17/10/2017"/>
  </r>
  <r>
    <n v="3"/>
    <n v="1383"/>
    <s v="Policlínica San Juan"/>
    <s v="Coclé"/>
    <x v="47"/>
    <s v="Natá"/>
    <s v="FO"/>
    <n v="8.3415780000000002"/>
    <n v="-80.520792"/>
    <s v="18/10/2017"/>
  </r>
  <r>
    <n v="3"/>
    <n v="1384"/>
    <s v="Centro de Salud Chitré"/>
    <s v="Herrera"/>
    <x v="51"/>
    <s v="Chitré"/>
    <s v="FO"/>
    <n v="7.9663750000000002"/>
    <n v="-80.417756999999995"/>
    <s v="02/10/2017"/>
  </r>
  <r>
    <n v="3"/>
    <n v="1385"/>
    <s v="Museo El Caño"/>
    <s v="Coclé"/>
    <x v="47"/>
    <s v="El Caño"/>
    <s v="FO"/>
    <n v="8.4159579999999998"/>
    <n v="-80.507897"/>
    <s v="17/10/2017"/>
  </r>
  <r>
    <n v="3"/>
    <n v="1386"/>
    <s v="CEBG Los Canelos"/>
    <s v="Herrera"/>
    <x v="56"/>
    <s v="Los Canelos"/>
    <s v="FO"/>
    <n v="8.1239670000000004"/>
    <n v="-80.700130000000001"/>
    <s v="06/10/2017"/>
  </r>
  <r>
    <n v="3"/>
    <n v="1388"/>
    <s v="Palacio Municipal Pablo Jaén"/>
    <s v="Los Santos"/>
    <x v="61"/>
    <s v="Pedasí"/>
    <s v="FO"/>
    <n v="7.5311890000000004"/>
    <n v="-80.026786000000001"/>
    <s v="18/07/2017"/>
  </r>
  <r>
    <n v="3"/>
    <n v="1389"/>
    <s v="Corregiduría de Bejuco"/>
    <s v="Panamá Oeste"/>
    <x v="66"/>
    <s v="Bejuco"/>
    <s v="FO"/>
    <n v="8.6004439999999995"/>
    <n v="-79.887861000000001"/>
    <s v="21/08/2017"/>
  </r>
  <r>
    <n v="3"/>
    <n v="1390"/>
    <s v="CEBG ANA POLO TAPIA"/>
    <s v="Coclé"/>
    <x v="44"/>
    <s v="San Juan Bautista de Aguadulce"/>
    <s v="FO"/>
    <n v="8.239217"/>
    <n v="-80.554117000000005"/>
    <s v="26/07/2017"/>
  </r>
  <r>
    <n v="3"/>
    <n v="1394"/>
    <s v="Junta Comunal de Chitré"/>
    <s v="Herrera"/>
    <x v="51"/>
    <s v="Llano Bonito"/>
    <s v="FO"/>
    <n v="7.9620889999999997"/>
    <n v="-80.428809000000001"/>
    <s v="02/10/2017"/>
  </r>
  <r>
    <n v="1"/>
    <n v="1395"/>
    <s v="Centro de Bellas Artes"/>
    <s v="Chiriquí"/>
    <x v="10"/>
    <s v="San José de David"/>
    <s v="PMP"/>
    <n v="8.4201750000000004"/>
    <n v="-82.432376000000005"/>
    <s v="29/11/2017"/>
  </r>
  <r>
    <n v="3"/>
    <n v="1396"/>
    <s v="Municipio de Penonomé"/>
    <s v="Coclé"/>
    <x v="48"/>
    <s v="Penonomé"/>
    <s v="FO"/>
    <n v="8.5197439999999993"/>
    <n v="-80.360112000000001"/>
    <s v="20/10/2017"/>
  </r>
  <r>
    <n v="3"/>
    <n v="1397"/>
    <s v="Mercado del Valle de Antón"/>
    <s v="Coclé"/>
    <x v="45"/>
    <s v="El Valle"/>
    <s v="FO"/>
    <n v="8.6045549999999995"/>
    <n v="-80.131213000000002"/>
    <s v="20/11/2017"/>
  </r>
  <r>
    <n v="3"/>
    <n v="1398"/>
    <s v="Centro Educativo Guillermo Endara"/>
    <s v="Panamá Oeste"/>
    <x v="67"/>
    <s v="Playa Leona"/>
    <s v="FO"/>
    <n v="8.8613"/>
    <n v="-79.784499999999994"/>
    <s v="16/11/2017"/>
  </r>
  <r>
    <n v="1"/>
    <n v="1400"/>
    <s v="Policía Nacional Río de Jesús"/>
    <s v="Veraguas"/>
    <x v="69"/>
    <s v="La Ermita de Río de Jesús"/>
    <s v="PTP"/>
    <n v="7.984337"/>
    <n v="-81.162656999999996"/>
    <s v="23/11/2017"/>
  </r>
  <r>
    <n v="3"/>
    <n v="1401"/>
    <s v="Escuela Ollas Abajo"/>
    <s v="Panamá Oeste"/>
    <x v="65"/>
    <s v="Las Ollas Arriba"/>
    <s v="FO"/>
    <n v="8.8373690000000007"/>
    <n v="-79.894853999999995"/>
    <s v="15/11/2017"/>
  </r>
  <r>
    <n v="3"/>
    <n v="1402"/>
    <s v="CEBG Llano Grande"/>
    <s v="Coclé"/>
    <x v="46"/>
    <s v="Llano Grande"/>
    <s v="Satelital"/>
    <n v="8.639545"/>
    <n v="-80.440154000000007"/>
    <s v="23/10/2017"/>
  </r>
  <r>
    <n v="3"/>
    <n v="1403"/>
    <s v="CEBG José Nadal Silva"/>
    <s v="Coclé"/>
    <x v="46"/>
    <s v="La Pintada"/>
    <s v="HFC"/>
    <n v="8.5922070000000001"/>
    <n v="-80.447081999999995"/>
    <s v="20/10/2017"/>
  </r>
  <r>
    <n v="3"/>
    <n v="1404"/>
    <s v="Escuela Embarcadero de Cascajal"/>
    <s v="Coclé"/>
    <x v="46"/>
    <s v="Llano Grande"/>
    <s v="Satelital"/>
    <n v="8.7179179999999992"/>
    <n v="-80.456704999999999"/>
    <s v="12/12/2017"/>
  </r>
  <r>
    <n v="3"/>
    <n v="1405"/>
    <s v="Parque de la Iglesia de San Francisco"/>
    <s v="Panamá Oeste"/>
    <x v="67"/>
    <s v="Barrio Colón"/>
    <s v="FO"/>
    <n v="8.8826479999999997"/>
    <n v="-79.779966999999999"/>
    <s v="16/11/2017"/>
  </r>
  <r>
    <n v="3"/>
    <n v="1406"/>
    <s v="Escuela La Nueva Arenosa"/>
    <s v="Panamá Oeste"/>
    <x v="65"/>
    <s v="La Trinidad"/>
    <s v="FO"/>
    <n v="8.8697800000000004"/>
    <n v="-79.996216000000004"/>
    <s v="06/12/2017"/>
  </r>
  <r>
    <n v="3"/>
    <n v="1407"/>
    <s v="CEBG Villa Carmen (MINA)"/>
    <s v="Coclé"/>
    <x v="48"/>
    <s v="Toabré"/>
    <s v="Satelital"/>
    <n v="8.8040059999999993"/>
    <n v="-80.553434999999993"/>
    <s v="20/10/2017"/>
  </r>
  <r>
    <n v="1"/>
    <n v="1409"/>
    <s v="Flor de Anis"/>
    <s v="Comarca Ngäbe-Buglé"/>
    <x v="22"/>
    <s v="Hato Chamí"/>
    <s v="Satelital"/>
    <n v="8.4207800000000006"/>
    <n v="-81.765309999999999"/>
    <s v="27/11/2017"/>
  </r>
  <r>
    <n v="1"/>
    <n v="1410"/>
    <s v="CEBG Llano Tugrí"/>
    <s v="Comarca Ngäbe-Buglé"/>
    <x v="21"/>
    <s v="Peña Blanca"/>
    <s v="FO"/>
    <n v="8.4738860000000003"/>
    <n v="-82.567273"/>
    <s v="20/12/2017"/>
  </r>
  <r>
    <n v="1"/>
    <n v="1411"/>
    <s v="Municipio de Münä"/>
    <s v="Comarca Ngäbe-Buglé"/>
    <x v="21"/>
    <s v="Chichica"/>
    <s v="Satelital"/>
    <n v="8.2245069999999991"/>
    <n v="-81.394458999999998"/>
    <s v="22/09/2017"/>
  </r>
  <r>
    <n v="2"/>
    <n v="1412"/>
    <s v="Cuerpo de Bomberos Juan Antonio Guizado"/>
    <s v="Panamá"/>
    <x v="41"/>
    <s v="Santa Ana"/>
    <s v="PTP"/>
    <n v="8.9523659999999996"/>
    <n v="-79.540301999999997"/>
    <s v="13/12/2017"/>
  </r>
  <r>
    <n v="2"/>
    <n v="1413"/>
    <s v="Cuartel de Bomberos Cmdte. Julio Salas"/>
    <s v="Colón"/>
    <x v="34"/>
    <s v="Sabanitas"/>
    <s v="PMP"/>
    <n v="9.3465830000000008"/>
    <n v="-79.806414000000004"/>
    <s v="12/12/2017"/>
  </r>
  <r>
    <n v="2"/>
    <n v="1414"/>
    <s v="Escuela Nuevo Paraiso"/>
    <s v="Colón"/>
    <x v="34"/>
    <s v="Salamanca"/>
    <s v="Satelital"/>
    <n v="9.2689059999999994"/>
    <n v="-79.634603999999996"/>
    <s v="14/12/2017"/>
  </r>
  <r>
    <n v="2"/>
    <n v="1415"/>
    <s v="Centro de Salud Patricia Duncan"/>
    <s v="Colón"/>
    <x v="34"/>
    <s v="Barrio Norte"/>
    <s v="PMP"/>
    <n v="9.3628219999999995"/>
    <n v="-79.905276999999998"/>
    <s v="27/12/2017"/>
  </r>
  <r>
    <n v="1"/>
    <n v="1416"/>
    <s v="CEBG Los Algarrobos Arriba"/>
    <s v="Chiriquí"/>
    <x v="11"/>
    <s v="Los Algarrobos"/>
    <s v="FO"/>
    <n v="8.5182330000000004"/>
    <n v="-82.425715999999994"/>
    <s v="20/12/2017"/>
  </r>
  <r>
    <n v="1"/>
    <n v="1418"/>
    <s v="SENAFRONT Progreso"/>
    <s v="Chiriquí"/>
    <x v="5"/>
    <s v="Progreso"/>
    <s v="FO"/>
    <n v="8.4502380000000006"/>
    <n v="-82.836330000000004"/>
    <s v="20/09/2018"/>
  </r>
  <r>
    <n v="1"/>
    <n v="1419"/>
    <s v="CEBG Quebrada Cayuco"/>
    <s v="Comarca Ngäbe-Buglé"/>
    <x v="70"/>
    <s v="Samboa"/>
    <s v="Satelital"/>
    <n v="8.8033520000000003"/>
    <n v="-82.061283000000003"/>
    <s v="30/01/2018"/>
  </r>
  <r>
    <n v="2"/>
    <n v="1422"/>
    <s v="Escuela Primaria Gatuncillo"/>
    <s v="Colón"/>
    <x v="34"/>
    <s v="Buena Vista"/>
    <s v="FO"/>
    <n v="9.2516610000000004"/>
    <n v="-79.646313000000006"/>
    <s v="03/08/2017"/>
  </r>
  <r>
    <n v="2"/>
    <n v="1423"/>
    <s v="Autoridad Nacional para la Innovación Gubernamental"/>
    <s v="Panamá"/>
    <x v="41"/>
    <s v="Bella Vista"/>
    <s v="FO"/>
    <n v="8.9872189999999996"/>
    <n v="-79.515535"/>
    <s v="02/08/2018"/>
  </r>
  <r>
    <n v="2"/>
    <n v="1425"/>
    <s v="Instituto Fermín Naudeau"/>
    <s v="Panamá"/>
    <x v="41"/>
    <s v="Bella Vista"/>
    <s v="PMP"/>
    <n v="8.9801699999999993"/>
    <n v="-79.527941999999996"/>
    <s v="07/06/2018"/>
  </r>
  <r>
    <n v="2"/>
    <n v="1426"/>
    <s v="Centro de Salud Las Margaritas"/>
    <s v="Panamá"/>
    <x v="40"/>
    <s v="Las Margaritas"/>
    <s v="HFC"/>
    <n v="9.1892390000000006"/>
    <n v="-79.086157"/>
    <s v="08/06/2018"/>
  </r>
  <r>
    <n v="2"/>
    <n v="1427"/>
    <s v="Primer Ciclo Louis Martin"/>
    <s v="Panamá"/>
    <x v="42"/>
    <s v="Amelia Denis de Icaza"/>
    <s v="FO"/>
    <n v="9.0428999999999995"/>
    <n v="-79.500662000000005"/>
    <s v="07/06/2018"/>
  </r>
  <r>
    <n v="1"/>
    <n v="1430"/>
    <s v="Escuela Calovébora"/>
    <s v="Comarca Ngäbe-Buglé"/>
    <x v="71"/>
    <s v="Santa Catalina o Calovébora"/>
    <s v="Satelital"/>
    <n v="8.7871279999999992"/>
    <n v="-81.209497999999996"/>
    <s v="18/01/2018"/>
  </r>
  <r>
    <n v="3"/>
    <n v="1431"/>
    <s v="Escuela Elizabeth Flores de Herrera"/>
    <s v="Coclé"/>
    <x v="45"/>
    <s v="Río Hato"/>
    <s v="FO"/>
    <n v="8.4384940000000004"/>
    <n v="-80.159858999999997"/>
    <s v="11/09/2018"/>
  </r>
  <r>
    <n v="2"/>
    <n v="1432"/>
    <s v="Escuela Peñas Blancas"/>
    <s v="Panamá"/>
    <x v="41"/>
    <s v="Chilibre"/>
    <s v="Satelital"/>
    <n v="9.2792460000000005"/>
    <n v="-79.570249000000004"/>
    <s v="18/09/2018"/>
  </r>
  <r>
    <n v="3"/>
    <n v="1433"/>
    <s v="BOMBEROS DE OCÚ"/>
    <s v="Herrera"/>
    <x v="53"/>
    <s v="San Sebastián de Ocú"/>
    <s v="FO"/>
    <n v="7.9448210000000001"/>
    <n v="-80.777428"/>
    <s v="20/09/2018"/>
  </r>
  <r>
    <n v="3"/>
    <n v="1434"/>
    <s v="Centro de Salud de Las Minas"/>
    <s v="Herrera"/>
    <x v="72"/>
    <s v="Las Minas"/>
    <s v="FO"/>
    <n v="7.7995640000000002"/>
    <n v="-80.747480999999993"/>
    <s v="18/09/2018"/>
  </r>
  <r>
    <n v="3"/>
    <n v="1435"/>
    <s v="Centro de Salud de Santa María"/>
    <s v="Herrera"/>
    <x v="56"/>
    <s v="Santa María"/>
    <s v="FO"/>
    <n v="8.1155369999999998"/>
    <n v="-80.661456999999999"/>
    <s v="17/09/2018"/>
  </r>
  <r>
    <n v="3"/>
    <n v="1436"/>
    <s v="INADEH CHITRÉ"/>
    <s v="Herrera"/>
    <x v="51"/>
    <s v="Chitré"/>
    <s v="FO"/>
    <n v="7.9561609999999998"/>
    <n v="-80.424021999999994"/>
    <s v="17/09/2018"/>
  </r>
  <r>
    <n v="3"/>
    <n v="1437"/>
    <s v="MINSA - CAPSI de Pesé"/>
    <s v="Herrera"/>
    <x v="55"/>
    <s v="Pesé"/>
    <s v="FO"/>
    <n v="7.9142919999999997"/>
    <n v="-80.608948999999996"/>
    <s v="18/09/2018"/>
  </r>
  <r>
    <n v="3"/>
    <n v="1438"/>
    <s v="MINSA - CAPSI Ocu"/>
    <s v="Herrera"/>
    <x v="53"/>
    <s v="San Sebastián de Ocú"/>
    <s v="FO"/>
    <n v="7.9548160000000001"/>
    <n v="-80.781619000000006"/>
    <s v="18/09/2018"/>
  </r>
  <r>
    <n v="1"/>
    <n v="1440"/>
    <s v="HOSPITAL DE CHIRIQUI GRANDE"/>
    <s v="Bocas del Toro"/>
    <x v="3"/>
    <s v="Rambala"/>
    <s v="FO"/>
    <n v="8.9301879999999993"/>
    <n v="-82.182191000000003"/>
    <s v="18/09/2018"/>
  </r>
  <r>
    <n v="1"/>
    <n v="1441"/>
    <s v="CAPSI de Dolega"/>
    <s v="Chiriquí"/>
    <x v="11"/>
    <s v="Los Anastacios"/>
    <s v="FO"/>
    <n v="8.5475390000000004"/>
    <n v="-82.421272000000002"/>
    <s v="19/09/2018"/>
  </r>
  <r>
    <n v="1"/>
    <n v="1442"/>
    <s v="Centro de Salud de Boquete"/>
    <s v="Chiriquí"/>
    <x v="7"/>
    <s v="Bajo Boquete"/>
    <s v="FO"/>
    <n v="8.7762810000000009"/>
    <n v="-82.431201999999999"/>
    <s v="18/09/2018"/>
  </r>
  <r>
    <n v="1"/>
    <n v="1443"/>
    <s v="Parque Central del Distrito de Remedios"/>
    <s v="Chiriquí"/>
    <x v="13"/>
    <s v="Remedios"/>
    <s v="FO"/>
    <n v="8.2255880000000001"/>
    <n v="-81.830911"/>
    <s v="17/09/2018"/>
  </r>
  <r>
    <n v="1"/>
    <n v="1444"/>
    <s v="MINSA - CAPSI de Volcán"/>
    <s v="Chiriquí"/>
    <x v="9"/>
    <s v="Volcán"/>
    <s v="FO"/>
    <n v="8.7959859999999992"/>
    <n v="-82.627240999999998"/>
    <s v="19/09/2018"/>
  </r>
  <r>
    <n v="3"/>
    <n v="1446"/>
    <s v="BANCO DE DESARROLLO AGROPECUARIO DE NATÁ"/>
    <s v="Coclé"/>
    <x v="47"/>
    <s v="Natá"/>
    <s v="FO"/>
    <n v="8.3328009999999999"/>
    <n v="-80.516264000000007"/>
    <s v="11/09/2018"/>
  </r>
  <r>
    <n v="3"/>
    <n v="1448"/>
    <s v="Hospital Materno Infantil El Valle"/>
    <s v="Coclé"/>
    <x v="45"/>
    <s v="Antón"/>
    <s v="FO"/>
    <n v="8.4011139999999997"/>
    <n v="-80.271197999999998"/>
    <s v="11/09/2018"/>
  </r>
  <r>
    <n v="3"/>
    <n v="1451"/>
    <s v="Centro de Salud El Espino"/>
    <s v="Panamá Oeste"/>
    <x v="67"/>
    <s v="Santa Rita"/>
    <s v="FO"/>
    <n v="8.8397830000000006"/>
    <n v="-79.848393999999999"/>
    <s v="04/09/2018"/>
  </r>
  <r>
    <n v="3"/>
    <n v="1452"/>
    <s v="Centro de Salud Nuevo Arraiján Artemio Jaén"/>
    <s v="Panamá Oeste"/>
    <x v="64"/>
    <s v="Vista Alegre"/>
    <s v="FO"/>
    <n v="8.9256919999999997"/>
    <n v="-79.719483999999994"/>
    <s v="06/09/2018"/>
  </r>
  <r>
    <n v="3"/>
    <n v="1453"/>
    <s v="Centro de Salud Rosa Tazón"/>
    <s v="Panamá Oeste"/>
    <x v="66"/>
    <s v="Chame"/>
    <s v="FO"/>
    <n v="8.5772589999999997"/>
    <n v="-79.878545000000003"/>
    <s v="04/09/2018"/>
  </r>
  <r>
    <n v="3"/>
    <n v="1454"/>
    <s v="COLEGIO PEDRO PABLO SANCHEZ #2"/>
    <s v="Panamá Oeste"/>
    <x v="67"/>
    <s v="Barrio Balboa"/>
    <s v="FO"/>
    <n v="8.869783"/>
    <n v="-79.785245000000003"/>
    <s v="06/09/2018"/>
  </r>
  <r>
    <n v="3"/>
    <n v="1455"/>
    <s v="Policlínica Dr. Blas Gómez Chetro"/>
    <s v="Panamá Oeste"/>
    <x v="64"/>
    <s v="Arraiján"/>
    <s v="FO"/>
    <n v="8.9535440000000008"/>
    <n v="-79.656153000000003"/>
    <s v="06/09/2018"/>
  </r>
  <r>
    <n v="3"/>
    <n v="1456"/>
    <s v="ULAPS San José"/>
    <s v="Panamá Oeste"/>
    <x v="68"/>
    <s v="San José"/>
    <s v="FO"/>
    <n v="8.5352569999999996"/>
    <n v="-79.924524000000005"/>
    <s v="04/09/2018"/>
  </r>
  <r>
    <n v="3"/>
    <n v="1457"/>
    <s v="ULAPS Vista Alegre "/>
    <s v="Panamá Oeste"/>
    <x v="64"/>
    <s v="Vista Alegre"/>
    <s v="FO"/>
    <n v="8.9251570000000005"/>
    <n v="-79.699285000000003"/>
    <s v="06/09/2018"/>
  </r>
  <r>
    <n v="1"/>
    <n v="1458"/>
    <s v="CAPSI La Mata"/>
    <s v="Veraguas"/>
    <x v="32"/>
    <s v="Carlos Santana Ávila"/>
    <s v="FO"/>
    <n v="7.7177740000000004"/>
    <n v="-80.250304"/>
    <s v="24/09/2018"/>
  </r>
  <r>
    <n v="1"/>
    <n v="1459"/>
    <s v="Centro de Salud de San Francisco"/>
    <s v="Veraguas"/>
    <x v="31"/>
    <s v="San Francisco de la Montaña"/>
    <s v="FO"/>
    <n v="8.2409750000000006"/>
    <n v="-80.973011999999997"/>
    <s v="24/09/2018"/>
  </r>
  <r>
    <n v="1"/>
    <n v="1460"/>
    <s v="Parque de Rio de Jesus"/>
    <s v="Veraguas"/>
    <x v="69"/>
    <s v="La Ermita de Río de Jesús"/>
    <s v="PMP"/>
    <n v="7.9833910000000001"/>
    <n v="-81.160504000000003"/>
    <s v="25/09/2018"/>
  </r>
  <r>
    <n v="1"/>
    <n v="1461"/>
    <s v="Municipio de Rio de Jesus"/>
    <s v="Veraguas"/>
    <x v="69"/>
    <s v="La Ermita de Río de Jesús"/>
    <s v="PMP"/>
    <n v="7.9833259999999999"/>
    <n v="-81.160743999999994"/>
    <s v="25/09/2018"/>
  </r>
  <r>
    <n v="2"/>
    <n v="1462"/>
    <s v="Escuela Mamitupu"/>
    <s v="Comarca Guna Yala"/>
    <x v="37"/>
    <s v="Ailigandí"/>
    <s v="Satelital"/>
    <n v="9.1914599999999993"/>
    <n v="-77.972899999999996"/>
    <s v="24/10/2018"/>
  </r>
  <r>
    <n v="2"/>
    <n v="1463"/>
    <s v="Escuela San Ignacio de Tupile"/>
    <s v="Comarca Guna Yala"/>
    <x v="37"/>
    <s v="Ailigandí"/>
    <s v="Satelital"/>
    <n v="9.2946000000000009"/>
    <n v="-78.154510000000002"/>
    <s v="24/10/2018"/>
  </r>
  <r>
    <n v="2"/>
    <n v="1464"/>
    <s v="Centro Regional Universitario Colon"/>
    <s v="Colón"/>
    <x v="34"/>
    <s v="Cristóbal"/>
    <s v="FO"/>
    <n v="9.3420039999999993"/>
    <n v="-79.895505"/>
    <s v="31/07/2018"/>
  </r>
  <r>
    <n v="2"/>
    <n v="1465"/>
    <s v="Escuela Simon Urbina"/>
    <s v="Colón"/>
    <x v="34"/>
    <s v="Cristóbal"/>
    <s v="FO"/>
    <n v="9.3390070000000005"/>
    <n v="-79.891670000000005"/>
    <s v="31/07/2018"/>
  </r>
  <r>
    <n v="2"/>
    <n v="1466"/>
    <s v="IFARHU Colón"/>
    <s v="Colón"/>
    <x v="34"/>
    <s v="Cristóbal"/>
    <s v="FO"/>
    <n v="9.3400619999999996"/>
    <n v="-79.875242999999998"/>
    <s v="16/08/2018"/>
  </r>
  <r>
    <n v="2"/>
    <n v="1467"/>
    <s v="Policlinica Hugo Spadafora"/>
    <s v="Colón"/>
    <x v="34"/>
    <s v="Cristóbal Este"/>
    <s v="FO"/>
    <n v="9.3514189999999999"/>
    <n v="-79.858422000000004"/>
    <s v="31/07/2018"/>
  </r>
  <r>
    <n v="2"/>
    <n v="1468"/>
    <s v="Parque Barriada Nueva Providencia"/>
    <s v="Colón"/>
    <x v="34"/>
    <s v="Nueva Providencia"/>
    <s v="PMP"/>
    <n v="9.3172800000000002"/>
    <n v="-79.792480999999995"/>
    <s v="31/07/2018"/>
  </r>
  <r>
    <n v="2"/>
    <n v="1469"/>
    <s v="Escuela Pablo Arosemena"/>
    <s v="Colón"/>
    <x v="34"/>
    <s v="Barrio Norte"/>
    <s v="PMP"/>
    <n v="9.3636420000000005"/>
    <n v="-79.905417999999997"/>
    <s v="12/07/2018"/>
  </r>
  <r>
    <n v="2"/>
    <n v="1470"/>
    <s v="Policentro de Salud Juan A. Nuñez"/>
    <s v="Colón"/>
    <x v="34"/>
    <s v="Barrio Sur"/>
    <s v="PMP"/>
    <n v="9.3576060000000005"/>
    <n v="-79.902405999999999"/>
    <s v="31/07/2018"/>
  </r>
  <r>
    <n v="2"/>
    <n v="1471"/>
    <s v="Área frente a MIVI Altos del Lago"/>
    <s v="Colón"/>
    <x v="34"/>
    <s v="Cristóbal Este"/>
    <s v="FO"/>
    <n v="9.3646379999999994"/>
    <n v="-79.852964999999998"/>
    <s v="16/08/2018"/>
  </r>
  <r>
    <n v="2"/>
    <n v="1472"/>
    <s v="Cuartel de Bomberos Altos del Lago"/>
    <s v="Colón"/>
    <x v="34"/>
    <s v="Cristóbal Este"/>
    <s v="PMP"/>
    <n v="9.3669340000000005"/>
    <n v="-79.845254999999995"/>
    <s v="31/07/2018"/>
  </r>
  <r>
    <n v="2"/>
    <n v="1474"/>
    <s v="Campus Harmodio Arias Madrid"/>
    <s v="Panamá"/>
    <x v="41"/>
    <s v="Bella Vista"/>
    <s v="PMP"/>
    <n v="8.9798329999999993"/>
    <n v="-79.545771999999999"/>
    <s v="03/08/2018"/>
  </r>
  <r>
    <n v="2"/>
    <n v="1475"/>
    <s v="Gimnasio Universidad de Panama Transismica"/>
    <s v="Panamá"/>
    <x v="41"/>
    <s v="Bella Vista"/>
    <s v="PMP"/>
    <n v="8.9819060000000004"/>
    <n v="-79.536680000000004"/>
    <s v="02/08/2018"/>
  </r>
  <r>
    <n v="2"/>
    <n v="1476"/>
    <s v="Paraninfo Campus Dr. Octavio Mendez UP"/>
    <s v="Panamá"/>
    <x v="41"/>
    <s v="Bella Vista"/>
    <s v="PMP"/>
    <n v="8.9839420000000008"/>
    <n v="-79.535146999999995"/>
    <s v="03/08/2018"/>
  </r>
  <r>
    <n v="2"/>
    <n v="1479"/>
    <s v="Instituto Nacional de Musica"/>
    <s v="Panamá"/>
    <x v="41"/>
    <s v="Ancón"/>
    <s v="PMP"/>
    <n v="8.9746229999999994"/>
    <n v="-79.559267000000006"/>
    <s v="03/08/2018"/>
  </r>
  <r>
    <n v="2"/>
    <n v="1480"/>
    <s v="IPHE Sede Principal - Ancon"/>
    <s v="Panamá"/>
    <x v="41"/>
    <s v="Ancón"/>
    <s v="PMP"/>
    <n v="8.9597920000000002"/>
    <n v="-79.543120999999999"/>
    <s v="03/08/2018"/>
  </r>
  <r>
    <n v="2"/>
    <n v="1481"/>
    <s v="Oficinas administrativas de la Asociación Kuna Nega"/>
    <s v="Panamá"/>
    <x v="41"/>
    <s v="Ancón"/>
    <s v="PTP"/>
    <n v="8.9611769999999993"/>
    <n v="-79.546143999999998"/>
    <s v="06/08/2018"/>
  </r>
  <r>
    <n v="2"/>
    <n v="1482"/>
    <s v="Parque Isla Perico Amador"/>
    <s v="Panamá"/>
    <x v="41"/>
    <s v="Ancón"/>
    <s v="PMP"/>
    <n v="8.9151480000000003"/>
    <n v="-79.528891000000002"/>
    <s v="30/08/2018"/>
  </r>
  <r>
    <n v="2"/>
    <n v="1484"/>
    <s v="Cuarto de Urgencias CSS Transitmica"/>
    <s v="Panamá"/>
    <x v="41"/>
    <s v="Bella Vista"/>
    <s v="PMP"/>
    <n v="8.9802070000000001"/>
    <n v="-79.536227999999994"/>
    <s v="03/08/2018"/>
  </r>
  <r>
    <n v="2"/>
    <n v="1485"/>
    <s v="Cuartel de Bomberos Ricardo Arango"/>
    <s v="Panamá"/>
    <x v="41"/>
    <s v="Calidonia"/>
    <s v="PMP"/>
    <n v="8.9657260000000001"/>
    <n v="-79.537732000000005"/>
    <s v="03/08/2018"/>
  </r>
  <r>
    <n v="2"/>
    <n v="1486"/>
    <s v="Escuela José A. Arango #2"/>
    <s v="Panamá"/>
    <x v="41"/>
    <s v="Betania"/>
    <s v="PMP"/>
    <n v="9.0059880000000003"/>
    <n v="-79.528619000000006"/>
    <s v="02/08/2018"/>
  </r>
  <r>
    <n v="2"/>
    <n v="1487"/>
    <s v="Instituto América #2"/>
    <s v="Panamá"/>
    <x v="41"/>
    <s v="Betania"/>
    <s v="FO"/>
    <n v="9.0201390000000004"/>
    <n v="-79.528272000000001"/>
    <s v="02/08/2018"/>
  </r>
  <r>
    <n v="2"/>
    <n v="1488"/>
    <s v="Plaza V Centenario"/>
    <s v="Panamá"/>
    <x v="41"/>
    <s v="San Felipe"/>
    <s v="PMP"/>
    <n v="8.9567099999999993"/>
    <n v="-79.535931000000005"/>
    <s v="26/09/2018"/>
  </r>
  <r>
    <n v="2"/>
    <n v="1490"/>
    <s v="Instituto Geografico Tommy Guardia"/>
    <s v="Panamá"/>
    <x v="41"/>
    <s v="Curundú"/>
    <s v="PMP"/>
    <n v="8.9845229999999994"/>
    <n v="-79.535792999999998"/>
    <s v="02/08/2018"/>
  </r>
  <r>
    <n v="2"/>
    <n v="1491"/>
    <s v="Centro de Formación Bonifacio Pereira - El Chorrillo"/>
    <s v="Panamá"/>
    <x v="41"/>
    <s v="El Chorrillo"/>
    <s v="PMP"/>
    <n v="8.9476530000000007"/>
    <n v="-79.548010000000005"/>
    <s v="06/08/2018"/>
  </r>
  <r>
    <n v="2"/>
    <n v="1492"/>
    <s v="Centro de Salud Chorrillo"/>
    <s v="Panamá"/>
    <x v="41"/>
    <s v="El Chorrillo"/>
    <s v="PMP"/>
    <n v="8.9474149999999995"/>
    <n v="-79.548255999999995"/>
    <s v="06/08/2018"/>
  </r>
  <r>
    <n v="2"/>
    <n v="1493"/>
    <s v="Policia Chorrillo frente a Parque Los Aburridos"/>
    <s v="Panamá"/>
    <x v="41"/>
    <s v="El Chorrillo"/>
    <s v="PMP"/>
    <n v="8.951746"/>
    <n v="-79.541371999999996"/>
    <s v="13/08/2018"/>
  </r>
  <r>
    <n v="2"/>
    <n v="1494"/>
    <s v="CEBG Francisco de Miranda"/>
    <s v="Panamá"/>
    <x v="41"/>
    <s v="24 de Diciembre"/>
    <s v="FO"/>
    <n v="9.0984780000000001"/>
    <n v="-79.326554999999999"/>
    <s v="01/08/2018"/>
  </r>
  <r>
    <n v="2"/>
    <n v="1495"/>
    <s v="Escuela Carmen Sole Bosch #2"/>
    <s v="Panamá"/>
    <x v="41"/>
    <s v="Juan Díaz"/>
    <s v="PMP"/>
    <n v="9.0451580000000007"/>
    <n v="-79.464226999999994"/>
    <s v="01/08/2018"/>
  </r>
  <r>
    <n v="2"/>
    <n v="1496"/>
    <s v="ULAPS Juan Diaz"/>
    <s v="Panamá"/>
    <x v="41"/>
    <s v="Juan Díaz"/>
    <s v="PMP"/>
    <n v="9.0372179999999993"/>
    <n v="-79.466975000000005"/>
    <s v="01/08/2018"/>
  </r>
  <r>
    <n v="2"/>
    <n v="1497"/>
    <s v="Parque de la Democracia, Paitilla"/>
    <s v="Panamá"/>
    <x v="41"/>
    <s v="San Francisco"/>
    <s v="PTP"/>
    <n v="8.9742239999999995"/>
    <n v="-79.517728000000005"/>
    <s v="30/08/2018"/>
  </r>
  <r>
    <n v="2"/>
    <n v="1498"/>
    <s v="Escuela Fernando Guardia Jaén"/>
    <s v="Panamá"/>
    <x v="41"/>
    <s v="Pacora"/>
    <s v="FO"/>
    <n v="9.0859369999999995"/>
    <n v="-79.294560000000004"/>
    <s v="01/08/2018"/>
  </r>
  <r>
    <n v="2"/>
    <n v="1499"/>
    <s v="Centro de Salud Pedregal"/>
    <s v="Panamá"/>
    <x v="41"/>
    <s v="Pedregal"/>
    <s v="FO"/>
    <n v="9.0702590000000001"/>
    <n v="-79.424268999999995"/>
    <s v="01/08/2018"/>
  </r>
  <r>
    <n v="2"/>
    <n v="1500"/>
    <s v="Centro de Salud Boca La Caja"/>
    <s v="Panamá"/>
    <x v="41"/>
    <s v="San Francisco"/>
    <s v="PMP"/>
    <n v="8.985144"/>
    <n v="-79.506071000000006"/>
    <s v="02/08/2018"/>
  </r>
  <r>
    <n v="2"/>
    <n v="1501"/>
    <s v="Parque Omar Área Cerca de la Administracion"/>
    <s v="Panamá"/>
    <x v="41"/>
    <s v="San Francisco"/>
    <s v="FO"/>
    <n v="8.9982070000000007"/>
    <n v="-79.506818999999993"/>
    <s v="06/08/2018"/>
  </r>
  <r>
    <n v="2"/>
    <n v="1502"/>
    <s v="Estación Cuerpo de Bomberos Tocumen (Luis Endara Paniza)"/>
    <s v="Panamá"/>
    <x v="41"/>
    <s v="Tocumen"/>
    <s v="FO"/>
    <n v="9.0805389999999999"/>
    <n v="-79.385358999999994"/>
    <s v="01/08/2018"/>
  </r>
  <r>
    <n v="2"/>
    <n v="1503"/>
    <s v="Consejo Provincial de San Miguelito "/>
    <s v="Panamá"/>
    <x v="42"/>
    <s v="Mateo Iturralde"/>
    <s v="FO"/>
    <n v="9.0368899999999996"/>
    <n v="-79.498058999999998"/>
    <s v="02/08/2018"/>
  </r>
  <r>
    <n v="2"/>
    <n v="1504"/>
    <s v="Iglesia Nuestra Señora del Rosario"/>
    <s v="Panamá"/>
    <x v="42"/>
    <s v="Belisario Frías"/>
    <s v="PMP"/>
    <n v="9.0824999999999996"/>
    <n v="-79.491934999999998"/>
    <s v="02/08/2018"/>
  </r>
  <r>
    <n v="2"/>
    <n v="1505"/>
    <s v="Municipio de Santa Isabel (Colón)"/>
    <s v="Colón"/>
    <x v="73"/>
    <s v="Miramar"/>
    <s v="FO"/>
    <n v="9.5733239999999995"/>
    <n v="-79.359752999999998"/>
    <s v="20/09/2018"/>
  </r>
  <r>
    <n v="2"/>
    <n v="1506"/>
    <s v="Nueva sede del centro de Educación Pre-Escolar de Montería"/>
    <s v="Panamá"/>
    <x v="41"/>
    <s v="Pedregal"/>
    <s v="FO"/>
    <n v="9.0676229999999993"/>
    <n v="-79.419016999999997"/>
    <s v="18/12/2018"/>
  </r>
  <r>
    <n v="2"/>
    <n v="1507"/>
    <s v="Junta Comunal de Chilibre"/>
    <s v="Panamá"/>
    <x v="41"/>
    <s v="Chilibre"/>
    <s v="FO"/>
    <n v="9.1729889999999994"/>
    <n v="-79.610444000000001"/>
    <s v="16/08/2018"/>
  </r>
  <r>
    <n v="3"/>
    <n v="1510"/>
    <s v="Municipio de Pese"/>
    <s v="Herrera"/>
    <x v="55"/>
    <s v="Pesé"/>
    <s v="FO"/>
    <n v="7.9077029999999997"/>
    <n v="-80.612898999999999"/>
    <s v="18/09/2018"/>
  </r>
  <r>
    <n v="1"/>
    <n v="1511"/>
    <s v="Junta Comunal Los Anastacios"/>
    <s v="Chiriquí"/>
    <x v="11"/>
    <s v="Los Anastacios"/>
    <s v="FO"/>
    <n v="8.5340089999999993"/>
    <n v="-82.420703000000003"/>
    <s v="19/09/2018"/>
  </r>
  <r>
    <n v="2"/>
    <n v="1512"/>
    <s v="Junta Comunal Barrio Sur"/>
    <s v="Colón"/>
    <x v="34"/>
    <s v="Barrio Sur"/>
    <s v="FO"/>
    <n v="9.3563740000000006"/>
    <n v="-79.897615000000002"/>
    <s v="31/07/2018"/>
  </r>
  <r>
    <n v="3"/>
    <n v="1513"/>
    <s v="Biblioteca Pública de Natá"/>
    <s v="Coclé"/>
    <x v="47"/>
    <s v="Natá"/>
    <s v="FO"/>
    <n v="8.3328009999999999"/>
    <n v="-80.516264000000007"/>
    <s v="11/09/2018"/>
  </r>
  <r>
    <n v="3"/>
    <n v="1515"/>
    <s v="Área frente al MIDES"/>
    <s v="Panamá Oeste"/>
    <x v="64"/>
    <s v="Vista Alegre"/>
    <s v="FO"/>
    <n v="8.9267240000000001"/>
    <n v="-79.708552999999995"/>
    <s v="06/09/2018"/>
  </r>
  <r>
    <n v="1"/>
    <n v="1516"/>
    <s v="CEBG Alto de Higuerón"/>
    <s v="Comarca Ngäbe-Buglé"/>
    <x v="21"/>
    <s v="Sitio Prado"/>
    <s v="Satelital"/>
    <n v="8.4002780000000001"/>
    <n v="-81.548889000000003"/>
    <s v="08/07/2019"/>
  </r>
  <r>
    <n v="3"/>
    <n v="1517"/>
    <s v="Tribunal Electoral de La Villa"/>
    <s v="Los Santos"/>
    <x v="59"/>
    <s v="La Villa de Los Santos"/>
    <s v="FO"/>
    <n v="7.9355250000000002"/>
    <n v="-80.417873"/>
    <s v="19/09/2018"/>
  </r>
  <r>
    <n v="3"/>
    <n v="1518"/>
    <s v="CEBG Feliciano Pinzón Cristóbal"/>
    <s v="Coclé"/>
    <x v="74"/>
    <s v="La Pava"/>
    <s v="Radio"/>
    <n v="8.1155369999999998"/>
    <n v="-80.613829999999993"/>
    <s v="12/09/2018"/>
  </r>
  <r>
    <n v="3"/>
    <n v="1519"/>
    <s v="CEBG EL HATO"/>
    <s v="Coclé"/>
    <x v="74"/>
    <s v="Olá"/>
    <s v="FO"/>
    <n v="8.4492340000000006"/>
    <n v="-80.648512999999994"/>
    <s v="12/09/2018"/>
  </r>
  <r>
    <n v="3"/>
    <n v="1520"/>
    <s v="C.E.B.G. CABALLERO"/>
    <s v="Coclé"/>
    <x v="45"/>
    <s v="Caballero"/>
    <s v="FO"/>
    <n v="8.5469069999999991"/>
    <n v="-80.19632"/>
    <s v="19/11/2018"/>
  </r>
  <r>
    <n v="3"/>
    <n v="1521"/>
    <s v="C.E.B.G. ALTOS DE LA ESTANCIA"/>
    <s v="Coclé"/>
    <x v="45"/>
    <s v="San Juan de Dios"/>
    <s v="FO"/>
    <n v="8.5936880000000002"/>
    <n v="-80.174983999999995"/>
    <s v="19/11/2018"/>
  </r>
  <r>
    <n v="3"/>
    <n v="1522"/>
    <s v="Parque de San Carlos"/>
    <s v="Panamá Oeste"/>
    <x v="68"/>
    <s v="San Carlos Borromeo"/>
    <s v="FO"/>
    <n v="8.4733710000000002"/>
    <n v="-79.956771000000003"/>
    <s v="04/09/2018"/>
  </r>
  <r>
    <n v="3"/>
    <n v="1523"/>
    <s v="Municipio de Ola (Roberto Isaza)"/>
    <s v="Coclé"/>
    <x v="74"/>
    <s v="Olá"/>
    <s v="FO"/>
    <n v="8.4210049999999992"/>
    <n v="-80.650811000000004"/>
    <s v="12/09/2018"/>
  </r>
  <r>
    <n v="3"/>
    <n v="1526"/>
    <s v="ESCUELA EL CRISTO DE OLÁ"/>
    <s v="Coclé"/>
    <x v="74"/>
    <s v="El Copé"/>
    <s v="PTP"/>
    <n v="8.430555"/>
    <n v="-80.680079000000006"/>
    <s v="20/11/2018"/>
  </r>
  <r>
    <n v="3"/>
    <n v="1527"/>
    <s v="CEBG SAN JOSE DEL NARANJAL"/>
    <s v="Coclé"/>
    <x v="48"/>
    <s v="Toabré"/>
    <s v="PMP"/>
    <n v="8.6324039999999993"/>
    <n v="-80.337489000000005"/>
    <s v="20/11/2018"/>
  </r>
  <r>
    <n v="3"/>
    <n v="1524"/>
    <s v="Parque de Santo Domingo"/>
    <s v="Los Santos"/>
    <x v="58"/>
    <s v="Santo Domingo"/>
    <s v="FO"/>
    <m/>
    <m/>
    <s v="26/09/2018"/>
  </r>
  <r>
    <n v="2"/>
    <n v="1525"/>
    <s v="Muelle Multiproposito Cinta Costera II"/>
    <s v="Panamá"/>
    <x v="41"/>
    <s v="Calidonia"/>
    <s v="PMP"/>
    <n v="8.9587269999999997"/>
    <n v="-79.537441999999999"/>
    <s v="26/09/2018"/>
  </r>
  <r>
    <n v="1"/>
    <n v="1528"/>
    <s v="Mercado Publico de David – Cadena de Frio"/>
    <s v="Chiriquí"/>
    <x v="10"/>
    <s v="Chiriquí"/>
    <s v="PTP"/>
    <n v="8.4219889999999999"/>
    <n v="-82.436528999999993"/>
    <s v="19/09/2018"/>
  </r>
  <r>
    <n v="3"/>
    <n v="1529"/>
    <s v="Municipio de Los Pozos"/>
    <s v="Herrera"/>
    <x v="52"/>
    <s v="Los Pozos"/>
    <s v="FO"/>
    <n v="7.7878610000000004"/>
    <n v="-80.646276"/>
    <s v="18/09/2018"/>
  </r>
  <r>
    <n v="3"/>
    <n v="1530"/>
    <s v="Terminal de buses de Las Tablas"/>
    <s v="Los Santos"/>
    <x v="58"/>
    <s v="Las Tablas"/>
    <s v="FO"/>
    <n v="7.7705109999999999"/>
    <n v="-80.276047000000005"/>
    <s v="26/09/2018"/>
  </r>
  <r>
    <n v="3"/>
    <n v="1531"/>
    <s v="MUSEO HERMANOS ARIAS MADRID"/>
    <s v="Coclé"/>
    <x v="48"/>
    <s v="Penonomé"/>
    <s v="FO"/>
    <n v="8.5249349999999993"/>
    <n v="-80.356769999999997"/>
    <s v="19/11/2018"/>
  </r>
  <r>
    <n v="3"/>
    <n v="1532"/>
    <s v="Escuela Las Gaitas"/>
    <s v="Panamá Oeste"/>
    <x v="65"/>
    <s v="Cirí Grande"/>
    <s v="FO"/>
    <n v="8.8293759999999999"/>
    <n v="-80.052443999999994"/>
    <s v="13/11/2018"/>
  </r>
  <r>
    <n v="3"/>
    <n v="1533"/>
    <s v="Esc. Coloncito"/>
    <s v="Panamá Oeste"/>
    <x v="66"/>
    <s v="Nueva Gorgona"/>
    <s v="FO"/>
    <n v="8.4947569999999999"/>
    <n v="-82.637788"/>
    <s v="12/11/2018"/>
  </r>
  <r>
    <n v="3"/>
    <n v="1534"/>
    <s v="Escuela Mata Ahogado"/>
    <s v="Panamá Oeste"/>
    <x v="68"/>
    <s v="Los Llanitos"/>
    <s v="FO"/>
    <n v="8.6217939999999995"/>
    <n v="-80.097406000000007"/>
    <s v="12/11/2018"/>
  </r>
  <r>
    <n v="3"/>
    <n v="1535"/>
    <s v="Centro de Salud Palmas Bellas"/>
    <s v="Colón"/>
    <x v="49"/>
    <s v="Palmas Bellas"/>
    <s v="PMP"/>
    <n v="9.2273639999999997"/>
    <n v="-80.084411000000003"/>
    <s v="14/11/2018"/>
  </r>
  <r>
    <n v="3"/>
    <n v="1536"/>
    <s v="Centro de Salud Escobal"/>
    <s v="Colón"/>
    <x v="34"/>
    <s v="Escobal"/>
    <s v="PMP"/>
    <n v="9.1487540000000003"/>
    <n v="-79.963095999999993"/>
    <s v="14/11/2018"/>
  </r>
  <r>
    <n v="3"/>
    <n v="1537"/>
    <s v="Esc. El Chumical"/>
    <s v="Herrera"/>
    <x v="72"/>
    <s v="Chumical"/>
    <s v="FO"/>
    <n v="7.8484189999999998"/>
    <n v="-80.736358999999993"/>
    <s v="21/11/2018"/>
  </r>
  <r>
    <n v="3"/>
    <n v="1538"/>
    <s v="C.E.B.G. Sebastián Pinzón"/>
    <s v="Herrera"/>
    <x v="56"/>
    <s v="Santa María"/>
    <s v="FO"/>
    <n v="8.1148000000000007"/>
    <n v="-80.662499999999994"/>
    <s v="22/11/2018"/>
  </r>
  <r>
    <n v="3"/>
    <n v="1539"/>
    <s v="Esc.La Tiza"/>
    <s v="Los Santos"/>
    <x v="58"/>
    <s v="La Tiza"/>
    <s v="FO"/>
    <n v="7.7537000000000003"/>
    <n v="-80.288300000000007"/>
    <s v="21/11/2018"/>
  </r>
  <r>
    <n v="3"/>
    <n v="1540"/>
    <s v="Esc. Felicia de Morcillo"/>
    <s v="Los Santos"/>
    <x v="57"/>
    <s v="El Espinal"/>
    <s v="FO"/>
    <n v="7.8664740000000002"/>
    <n v="-80.320526000000001"/>
    <s v="21/11/2018"/>
  </r>
  <r>
    <n v="3"/>
    <n v="1541"/>
    <s v="Esc. Los Ángeles"/>
    <s v="Los Santos"/>
    <x v="59"/>
    <s v="Los Ángeles"/>
    <s v="FO"/>
    <n v="7.8853629999999999"/>
    <n v="-80.354138000000006"/>
    <s v="21/11/2018"/>
  </r>
  <r>
    <n v="3"/>
    <n v="1542"/>
    <s v="C.E.B.G. Carlos Vallesteros"/>
    <s v="Los Santos"/>
    <x v="58"/>
    <s v="La Palma"/>
    <s v="FO"/>
    <n v="7.6932980000000004"/>
    <n v="-80.193978999999999"/>
    <s v="22/11/2018"/>
  </r>
  <r>
    <n v="2"/>
    <n v="1543"/>
    <s v="Policía Altos del Lago"/>
    <s v="Colón"/>
    <x v="34"/>
    <s v="Cristóbal"/>
    <s v="PMP"/>
    <n v="9.3673540000000006"/>
    <n v="-79.850480000000005"/>
    <s v="31/07/2018"/>
  </r>
  <r>
    <n v="1"/>
    <n v="1545"/>
    <s v="MINSA/CAPSI TIGRE DE LOS AMARILLOS"/>
    <s v="Veraguas"/>
    <x v="33"/>
    <s v="Hicaco"/>
    <s v="FO"/>
    <n v="7.7073429999999998"/>
    <n v="-81.262157000000002"/>
    <s v="06/12/2018"/>
  </r>
  <r>
    <n v="1"/>
    <n v="1546"/>
    <s v="COLEGIO SECUNDARIO LA MESA"/>
    <s v="Veraguas"/>
    <x v="27"/>
    <s v="La Mesa"/>
    <s v="FO"/>
    <n v="8.1473870000000002"/>
    <n v="-81.184863000000007"/>
    <s v="03/12/2018"/>
  </r>
  <r>
    <n v="1"/>
    <n v="1547"/>
    <s v="COLEGIO PRIMARIO JOSE MUÑOZ"/>
    <s v="Veraguas"/>
    <x v="27"/>
    <s v="La Mesa"/>
    <s v="FO"/>
    <n v="8.1489039999999999"/>
    <n v="-81.186654000000004"/>
    <s v="03/12/2018"/>
  </r>
  <r>
    <n v="1"/>
    <n v="1548"/>
    <s v="Alcaldía de Santa Fé"/>
    <s v="Veraguas"/>
    <x v="75"/>
    <s v="Santa Fe"/>
    <s v="FO"/>
    <n v="8.5115599999999993"/>
    <n v="-81.077685000000002"/>
    <s v="04/12/2018"/>
  </r>
  <r>
    <n v="1"/>
    <n v="1549"/>
    <s v="CEBG SANTA FÉ"/>
    <s v="Veraguas"/>
    <x v="75"/>
    <s v="Santa Fe"/>
    <s v="FO"/>
    <n v="8.5097140000000007"/>
    <n v="-81.077499000000003"/>
    <s v="04/12/2018"/>
  </r>
  <r>
    <n v="1"/>
    <n v="1550"/>
    <s v="CENTRO DE SALUD DE RIO SERENO"/>
    <s v="Chiriquí"/>
    <x v="14"/>
    <s v="Río Sereno"/>
    <s v="FO"/>
    <n v="8.8229880000000005"/>
    <n v="-82.84366"/>
    <s v="28/11/2018"/>
  </r>
  <r>
    <n v="1"/>
    <n v="1551"/>
    <s v="ESC. GUACA ARRIBA"/>
    <s v="Chiriquí"/>
    <x v="10"/>
    <s v="Guacá"/>
    <s v="FO"/>
    <n v="8.5502559999999992"/>
    <n v="-82.490379000000004"/>
    <s v="27/11/2018"/>
  </r>
  <r>
    <n v="1"/>
    <n v="1552"/>
    <s v="Centro de Salud de Boquerón"/>
    <s v="Chiriquí"/>
    <x v="6"/>
    <s v="Boquerón"/>
    <s v="FO"/>
    <n v="8.5022319999999993"/>
    <n v="-82.567645999999996"/>
    <s v="27/11/2018"/>
  </r>
  <r>
    <n v="1"/>
    <n v="1553"/>
    <s v="ESC. LAJAS ADENTRO"/>
    <s v="Chiriquí"/>
    <x v="15"/>
    <s v="Lajas Adentro"/>
    <s v="FO"/>
    <n v="8.2512910000000002"/>
    <n v="-81.879052000000001"/>
    <s v="26/11/2018"/>
  </r>
  <r>
    <n v="1"/>
    <n v="1554"/>
    <s v="ESC. LEOPOLDINA FIELD"/>
    <s v="Chiriquí"/>
    <x v="11"/>
    <s v="San Francisco de Dolega"/>
    <s v="FO"/>
    <n v="8.5611660000000001"/>
    <n v="-82.413228000000004"/>
    <s v="27/11/2018"/>
  </r>
  <r>
    <n v="1"/>
    <n v="1555"/>
    <s v="JC SANTA CRUZ"/>
    <s v="Chiriquí"/>
    <x v="14"/>
    <s v="Santa Cruz"/>
    <s v="Radio"/>
    <n v="8.6469000000000005"/>
    <n v="-82.759737000000001"/>
    <s v="28/11/2018"/>
  </r>
  <r>
    <n v="1"/>
    <n v="1556"/>
    <s v="ESC. NUEVA CALIFORNIA"/>
    <s v="Chiriquí"/>
    <x v="9"/>
    <s v="Volcán"/>
    <s v="FO"/>
    <n v="8.7858420000000006"/>
    <n v="-82.647244999999998"/>
    <s v="28/11/2018"/>
  </r>
  <r>
    <n v="1"/>
    <n v="1557"/>
    <s v="JC DOMINICAL"/>
    <s v="Chiriquí"/>
    <x v="14"/>
    <s v="Dominical"/>
    <s v="Radio"/>
    <n v="8.6714649999999995"/>
    <n v="-82.799895000000006"/>
    <s v="28/11/2018"/>
  </r>
  <r>
    <n v="1"/>
    <n v="1558"/>
    <s v="JC BREÑÓN"/>
    <s v="Chiriquí"/>
    <x v="14"/>
    <s v="Breñón"/>
    <s v="Satelital"/>
    <n v="8.6273940000000007"/>
    <n v="-82.812810999999996"/>
    <s v="29/11/2018"/>
  </r>
  <r>
    <n v="1"/>
    <n v="1559"/>
    <s v="ESC. SEC. DE VOLCAN"/>
    <s v="Chiriquí"/>
    <x v="9"/>
    <s v="Volcán"/>
    <s v="FO"/>
    <n v="8.7897599999999994"/>
    <n v="-82.633322000000007"/>
    <s v="28/11/2018"/>
  </r>
  <r>
    <n v="1"/>
    <n v="1560"/>
    <s v="CENTRO DE SALUD CHIRIQUI"/>
    <s v="Chiriquí"/>
    <x v="10"/>
    <s v="Chiriquí"/>
    <s v="FO"/>
    <n v="8.3972270000000009"/>
    <n v="-82.323133999999996"/>
    <s v="26/11/2018"/>
  </r>
  <r>
    <n v="1"/>
    <n v="1561"/>
    <s v="ESC. RIO MAR"/>
    <s v="Chiriquí"/>
    <x v="5"/>
    <s v="Puerto Tomás Armuelles"/>
    <s v="FO"/>
    <n v="8.2799639999999997"/>
    <n v="-82.857381000000004"/>
    <s v="28/11/2018"/>
  </r>
  <r>
    <n v="1"/>
    <n v="1562"/>
    <s v="CENTRO DE SALUD CALDERA"/>
    <s v="Chiriquí"/>
    <x v="7"/>
    <s v="Caldera"/>
    <s v="FO"/>
    <n v="8.654318"/>
    <n v="-82.380641999999995"/>
    <s v="27/11/2018"/>
  </r>
  <r>
    <n v="1"/>
    <n v="1563"/>
    <s v="ESCUELA BUENOS AIRES"/>
    <s v="Chiriquí"/>
    <x v="17"/>
    <s v="Potrero de Caña"/>
    <s v="FO"/>
    <n v="8.2708119999999994"/>
    <n v="-81.670084000000003"/>
    <s v="26/11/2018"/>
  </r>
  <r>
    <n v="1"/>
    <n v="1564"/>
    <s v="ESCUELA EL HIGO"/>
    <s v="Chiriquí"/>
    <x v="10"/>
    <s v="Cochea"/>
    <s v="FO"/>
    <n v="8.5776640000000004"/>
    <n v="-82.384617000000006"/>
    <s v="27/11/2018"/>
  </r>
  <r>
    <n v="1"/>
    <n v="1565"/>
    <s v="ESC. GUALACA"/>
    <s v="Chiriquí"/>
    <x v="12"/>
    <s v="Gualaca"/>
    <s v="FO"/>
    <n v="8.5259160000000005"/>
    <n v="-82.299642000000006"/>
    <s v="26/11/2018"/>
  </r>
  <r>
    <n v="1"/>
    <n v="1566"/>
    <s v="C.E.B.G. PASO CANOA INT."/>
    <s v="Chiriquí"/>
    <x v="5"/>
    <s v="Progreso"/>
    <s v="FO"/>
    <n v="8.5373359999999998"/>
    <n v="-82.838453000000001"/>
    <s v="28/11/2018"/>
  </r>
  <r>
    <n v="1"/>
    <n v="1567"/>
    <s v="CENTRO DE SALUD SANTA MARTA"/>
    <s v="Chiriquí"/>
    <x v="8"/>
    <s v="Santa Marta"/>
    <s v="FO"/>
    <n v="8.7000810000000008"/>
    <n v="-82.589890999999994"/>
    <s v="27/11/2018"/>
  </r>
  <r>
    <n v="1"/>
    <n v="1568"/>
    <s v="ESC. CERRO COLORADO"/>
    <s v="Chiriquí"/>
    <x v="6"/>
    <s v="Bágala"/>
    <s v="FO"/>
    <n v="8.5093019999999999"/>
    <n v="-82.535358000000002"/>
    <s v="27/11/2018"/>
  </r>
  <r>
    <n v="1"/>
    <n v="1569"/>
    <s v="CEBG. SANTA MARTA"/>
    <s v="Chiriquí"/>
    <x v="6"/>
    <s v="Paraíso"/>
    <s v="FO"/>
    <n v="8.7000810000000008"/>
    <n v="-82.589890999999994"/>
    <s v="27/11/2018"/>
  </r>
  <r>
    <n v="1"/>
    <n v="1570"/>
    <s v="ESC. AGUACATE"/>
    <s v="Chiriquí"/>
    <x v="6"/>
    <s v="Guabal"/>
    <s v="FO"/>
    <n v="8.630395"/>
    <n v="-82.545319000000006"/>
    <s v="27/11/2018"/>
  </r>
  <r>
    <n v="2"/>
    <n v="1571"/>
    <s v="Escuela Bilingüe Juntos Podemos"/>
    <s v="Panamá"/>
    <x v="41"/>
    <s v="Curundú"/>
    <s v="PMP"/>
    <n v="8.9692120000000006"/>
    <n v="-79.543111999999994"/>
    <s v="18/12/2018"/>
  </r>
  <r>
    <n v="3"/>
    <n v="1573"/>
    <s v="CENTRO DE SALUD EL CRISTO"/>
    <s v="Coclé"/>
    <x v="44"/>
    <s v="El Cristo"/>
    <s v="FO"/>
    <n v="8.2541580000000003"/>
    <n v="-80.618303999999995"/>
    <s v="20/11/2018"/>
  </r>
  <r>
    <n v="3"/>
    <n v="1574"/>
    <s v="Escuela Madera"/>
    <s v="Coclé"/>
    <x v="46"/>
    <s v="El Potrero"/>
    <s v="FO"/>
    <n v="8.5532789999999999"/>
    <n v="-80.534678999999997"/>
    <s v="20/11/2018"/>
  </r>
  <r>
    <n v="3"/>
    <n v="1575"/>
    <s v="Junta Comunal de Cañaveral"/>
    <s v="Coclé"/>
    <x v="48"/>
    <s v="Cañaveral"/>
    <s v="HFC"/>
    <n v="8.4709099999999999"/>
    <n v="-80.399787000000003"/>
    <s v="23/11/2018"/>
  </r>
  <r>
    <n v="2"/>
    <n v="1576"/>
    <s v="Kiosko #1/Cinta Costera 1"/>
    <s v="Panamá"/>
    <x v="41"/>
    <s v="El Chorrillo"/>
    <s v="PMP"/>
    <n v="8.9663749999999993"/>
    <n v="-79.532380000000003"/>
    <s v="14/12/2018"/>
  </r>
  <r>
    <n v="2"/>
    <n v="1577"/>
    <s v="Kiosko #2/Cinta Costera 1"/>
    <s v="Panamá"/>
    <x v="41"/>
    <s v="El Chorrillo"/>
    <s v="PMP"/>
    <n v="8.9666340000000009"/>
    <n v="-79.532435000000007"/>
    <s v="14/12/2018"/>
  </r>
  <r>
    <n v="2"/>
    <n v="1578"/>
    <s v="Kiosko #3/Cinta Costera 1"/>
    <s v="Panamá"/>
    <x v="41"/>
    <s v="El Chorrillo"/>
    <s v="PMP"/>
    <n v="8.9673049999999996"/>
    <n v="-79.532227000000006"/>
    <s v="14/12/2018"/>
  </r>
  <r>
    <n v="2"/>
    <n v="1579"/>
    <s v="Kiosko #4/Cinta Costera 1"/>
    <s v="Panamá"/>
    <x v="41"/>
    <s v="El Chorrillo"/>
    <s v="PMP"/>
    <n v="8.9735230000000001"/>
    <n v="-79.528670000000005"/>
    <s v="14/12/2018"/>
  </r>
  <r>
    <n v="2"/>
    <n v="1580"/>
    <s v="Kiosko #5/Cinta Costera 1"/>
    <s v="Panamá"/>
    <x v="41"/>
    <s v="El Chorrillo"/>
    <s v="PMP"/>
    <n v="8.9735709999999997"/>
    <n v="-79.528193000000002"/>
    <s v="14/12/2018"/>
  </r>
  <r>
    <n v="1"/>
    <n v="1581"/>
    <s v="Escuela Llano del Nance"/>
    <s v="Veraguas"/>
    <x v="24"/>
    <s v="Jesús Nazareno de Atalaya"/>
    <s v="FO"/>
    <n v="8.0490680000000001"/>
    <n v="-80.895830000000004"/>
    <s v="07/12/2018"/>
  </r>
  <r>
    <n v="1"/>
    <n v="1582"/>
    <s v="MIDES Changuinola"/>
    <s v="Bocas del Toro"/>
    <x v="2"/>
    <s v="Changuinola"/>
    <s v="PTP"/>
    <n v="9.4505599999999994"/>
    <n v="-82.520939999999996"/>
    <s v="05/06/2019"/>
  </r>
  <r>
    <n v="2"/>
    <n v="1584"/>
    <s v="Junta Comunal de Curundú"/>
    <s v="Panamá"/>
    <x v="41"/>
    <s v="Curundú"/>
    <s v="PMP"/>
    <n v="8.9704069999999998"/>
    <n v="-79.544888999999998"/>
    <s v="31/01/2019"/>
  </r>
  <r>
    <n v="2"/>
    <n v="1585"/>
    <s v="Paseo Marino"/>
    <s v="Colón"/>
    <x v="34"/>
    <s v="Barrio Norte"/>
    <s v="PMP"/>
    <n v="9.3650739999999999"/>
    <n v="-79.896732"/>
    <s v="28/02/2019"/>
  </r>
  <r>
    <n v="1"/>
    <n v="1586"/>
    <s v="Centro de Salud BISIRA"/>
    <s v="Comarca Ngäbe-Buglé"/>
    <x v="76"/>
    <s v="Bisira"/>
    <s v="Satelital"/>
    <n v="8.9011110000000002"/>
    <n v="-81.861110999999994"/>
    <m/>
  </r>
  <r>
    <n v="1"/>
    <n v="1588"/>
    <s v="Centro de Salud de Santa Catalina"/>
    <s v="Comarca Ngäbe-Buglé"/>
    <x v="71"/>
    <s v="Santa Catalina o Calovébora"/>
    <s v="Satelital"/>
    <n v="8.7834719999999997"/>
    <n v="-81.312147999999993"/>
    <m/>
  </r>
  <r>
    <n v="3"/>
    <n v="1590"/>
    <s v="Centro de Salud Chiguiri Arriba"/>
    <s v="Coclé"/>
    <x v="48"/>
    <s v="Chiguirí Arriba"/>
    <s v="Satelital"/>
    <n v="8.6749930000000006"/>
    <n v="-80.192053999999999"/>
    <s v="08/07/2019"/>
  </r>
  <r>
    <n v="2"/>
    <n v="1591"/>
    <s v="Centro Educativo Poussepin"/>
    <s v="Panamá"/>
    <x v="41"/>
    <s v="Curundú"/>
    <s v="PMP"/>
    <n v="8.9719440000000006"/>
    <n v="-79.541667000000004"/>
    <s v="22/05/2019"/>
  </r>
  <r>
    <n v="2"/>
    <n v="1592"/>
    <s v="Area frente al Comedor Infantil de Curundú"/>
    <s v="Panamá"/>
    <x v="41"/>
    <s v="Curundú"/>
    <s v="PMP"/>
    <n v="8.9717690000000001"/>
    <n v="-79.542203000000001"/>
    <s v="22/05/2019"/>
  </r>
  <r>
    <n v="3"/>
    <n v="1593"/>
    <s v="Escuela Pablo Ballesteros"/>
    <s v="Los Santos"/>
    <x v="61"/>
    <s v="Los Asientos"/>
    <s v="FO"/>
    <n v="7.5154269999999999"/>
    <n v="-80.131095999999999"/>
    <s v="19/06/2019"/>
  </r>
  <r>
    <n v="2"/>
    <n v="1594"/>
    <s v="Instituto Comercial Bolivar"/>
    <s v="Panamá"/>
    <x v="41"/>
    <s v="Calidonia"/>
    <s v="PMP"/>
    <n v="8.9639439999999997"/>
    <n v="-79.537053"/>
    <s v="22/05/2019"/>
  </r>
  <r>
    <n v="2"/>
    <n v="1595"/>
    <s v="Casa de Justicia Comunitaria de Paz Curundú"/>
    <s v="Panamá"/>
    <x v="41"/>
    <s v="Curundú"/>
    <s v="PMP"/>
    <n v="8.9694439999999993"/>
    <n v="-79.544167000000002"/>
    <s v="22/05/2019"/>
  </r>
  <r>
    <n v="3"/>
    <n v="1597"/>
    <s v="Biblioteca Las Pleyades"/>
    <s v="Coclé"/>
    <x v="46"/>
    <s v="La Pintada"/>
    <s v="Satelital"/>
    <n v="8.5269999999999992"/>
    <n v="-80.376000000000005"/>
    <m/>
  </r>
  <r>
    <n v="1"/>
    <n v="1598"/>
    <s v="Cancha Deportiva de Tolé"/>
    <s v="Chiriquí"/>
    <x v="17"/>
    <s v="Tolé"/>
    <s v="FO"/>
    <n v="8.2428539999999995"/>
    <n v="-81.672606999999999"/>
    <s v="10/06/2019"/>
  </r>
  <r>
    <n v="1"/>
    <n v="1599"/>
    <s v="Municipio de Mariato"/>
    <s v="Veraguas"/>
    <x v="29"/>
    <s v="Mariato"/>
    <s v="FO"/>
    <n v="7.649019"/>
    <n v="-80.989369999999994"/>
    <s v="21/05/2019"/>
  </r>
  <r>
    <n v="1"/>
    <n v="1600"/>
    <s v="Centro de Salud Kusapin"/>
    <s v="Comarca Ngäbe-Buglé"/>
    <x v="19"/>
    <s v="Kusapín"/>
    <s v="Satelital"/>
    <n v="9.1844269999999995"/>
    <n v="-81.891095000000007"/>
    <m/>
  </r>
  <r>
    <n v="3"/>
    <n v="1601"/>
    <s v="CEBG San Luis Cuatro Calles"/>
    <s v="Colón"/>
    <x v="50"/>
    <s v="Coclé del Norte"/>
    <s v="Satelital"/>
    <n v="8.9235290000000003"/>
    <n v="-80.406756999999999"/>
    <s v="08/07/2019"/>
  </r>
  <r>
    <n v="2"/>
    <n v="1602"/>
    <s v="Area al frente del Municipio de Panama"/>
    <s v="Panamá"/>
    <x v="41"/>
    <s v="Ancón"/>
    <s v="PMP"/>
    <n v="8.9705239999999993"/>
    <n v="-79.533949000000007"/>
    <s v="25/06/2019"/>
  </r>
  <r>
    <n v="1"/>
    <n v="1603"/>
    <s v="CEBG Rio Guazaro"/>
    <s v="Veraguas"/>
    <x v="75"/>
    <s v="Calovébora"/>
    <s v="Satelital"/>
    <n v="8.8090039999999998"/>
    <n v="-81.079943"/>
    <m/>
  </r>
  <r>
    <n v="1"/>
    <n v="1604"/>
    <s v="C.E.B.G Roberto Cibala"/>
    <s v="Veraguas"/>
    <x v="75"/>
    <s v="Río Luis"/>
    <s v="Satelital"/>
    <n v="8.6832150000000006"/>
    <n v="-81.219841000000002"/>
    <m/>
  </r>
  <r>
    <n v="3"/>
    <n v="1605"/>
    <s v="Caja de Ahorros Guararé"/>
    <s v="Los Santos"/>
    <x v="57"/>
    <s v="Guararé"/>
    <s v="FO"/>
    <n v="7.8212419999999998"/>
    <n v="-80.281739999999999"/>
    <s v="19/06/2019"/>
  </r>
  <r>
    <n v="2"/>
    <n v="1606"/>
    <s v="Cancha de Football en Ciudad Radial"/>
    <s v="Panamá"/>
    <x v="41"/>
    <s v="Juan Díaz"/>
    <s v="PMP"/>
    <n v="9.0434629999999991"/>
    <n v="-79.425118999999995"/>
    <s v="25/06/2019"/>
  </r>
  <r>
    <n v="2"/>
    <n v="1607"/>
    <s v="Parque Recreativo en Chanis"/>
    <s v="Panamá"/>
    <x v="41"/>
    <s v="Parque Lefevre"/>
    <s v="PMP"/>
    <n v="9.0227260000000005"/>
    <n v="-79.482324000000006"/>
    <s v="11/07/2019"/>
  </r>
  <r>
    <n v="2"/>
    <n v="1608"/>
    <s v="Parque Heliodoro Patiño"/>
    <s v="Panamá"/>
    <x v="41"/>
    <s v="Juan Díaz"/>
    <s v="PMP"/>
    <n v="9.0457470000000004"/>
    <n v="-79.444939000000005"/>
    <s v="25/06/2019"/>
  </r>
  <r>
    <n v="2"/>
    <n v="1610"/>
    <s v="Area frente al Museo de la Libertad"/>
    <s v="Panamá"/>
    <x v="41"/>
    <s v="Ancón"/>
    <s v="PTP"/>
    <n v="8.9465900000000005"/>
    <n v="-79.554716999999997"/>
    <s v="12/12/2019"/>
  </r>
  <r>
    <n v="2"/>
    <n v="1611"/>
    <s v="Escuela Barriada Kuna"/>
    <s v="Colón"/>
    <x v="34"/>
    <s v="Cativá"/>
    <s v="FO"/>
    <n v="9.3748290000000001"/>
    <n v="-79.841780999999997"/>
    <s v="05/07/2019"/>
  </r>
  <r>
    <n v="2"/>
    <n v="1612"/>
    <s v="Escuela de Miramar"/>
    <s v="Colón"/>
    <x v="73"/>
    <s v="Miramar"/>
    <s v="FO"/>
    <n v="9.5752500000000005"/>
    <n v="-79.337410000000006"/>
    <m/>
  </r>
  <r>
    <n v="3"/>
    <n v="1613"/>
    <s v="Parque El Manito Ocueño"/>
    <s v="Herrera"/>
    <x v="53"/>
    <s v="San Sebastián de Ocú"/>
    <s v="FO"/>
    <n v="7.9470000000000001"/>
    <n v="-80.778306000000001"/>
    <s v="18/11/2020"/>
  </r>
  <r>
    <n v="3"/>
    <n v="1614"/>
    <s v="CEBG Jacinta María Henríquez"/>
    <s v="Panamá Oeste"/>
    <x v="66"/>
    <s v="Buenos Aires"/>
    <s v="FO"/>
    <n v="8.6316500000000005"/>
    <n v="-79.945605999999998"/>
    <m/>
  </r>
  <r>
    <n v="3"/>
    <n v="1615"/>
    <s v="Parque de la Cancha de Baloncesto"/>
    <s v="Herrera"/>
    <x v="55"/>
    <s v="Pesé"/>
    <s v="FO"/>
    <n v="7.9091620000000002"/>
    <n v="-80.617125000000001"/>
    <s v="17/11/2020"/>
  </r>
  <r>
    <n v="2"/>
    <n v="1616"/>
    <s v="Parque Mango"/>
    <s v="Panamá"/>
    <x v="41"/>
    <s v="Ancón"/>
    <s v="PMP"/>
    <n v="8.9480400000000007"/>
    <n v="-79.553230999999997"/>
    <s v="25/06/2019"/>
  </r>
  <r>
    <n v="2"/>
    <n v="1617"/>
    <s v="Policia Nacional Area B Rolando Martinez"/>
    <s v="Panamá"/>
    <x v="42"/>
    <s v="Amelia Denis de Icaza"/>
    <s v="PMP"/>
    <n v="9.0435719999999993"/>
    <n v="-79.501800000000003"/>
    <m/>
  </r>
  <r>
    <n v="3"/>
    <n v="1621"/>
    <s v="Escuela Alejandro Tapia"/>
    <s v="Coclé"/>
    <x v="44"/>
    <s v="Pocrí"/>
    <s v="FO"/>
    <n v="8.2512889999999999"/>
    <n v="-80.533654999999996"/>
    <s v="19/11/2020"/>
  </r>
  <r>
    <n v="1"/>
    <n v="1622"/>
    <s v="PC Divalá"/>
    <s v="Chiriquí"/>
    <x v="4"/>
    <s v="Divalá"/>
    <s v="FO"/>
    <n v="8.4126879999999993"/>
    <n v="-82.716010999999995"/>
    <m/>
  </r>
  <r>
    <n v="1"/>
    <n v="1623"/>
    <s v="Escuela Bella Vista"/>
    <s v="Chiriquí"/>
    <x v="5"/>
    <s v="Puerto Tomás Armuelles"/>
    <s v="FO"/>
    <n v="8.3125909999999994"/>
    <n v="-82.855694"/>
    <s v="01/12/2020"/>
  </r>
  <r>
    <n v="3"/>
    <n v="1624"/>
    <s v="Parque José María Núñez"/>
    <s v="Herrera"/>
    <x v="53"/>
    <s v="San Sebastián de Ocú"/>
    <s v="FO"/>
    <n v="7.9444520000000001"/>
    <n v="-80.777148999999994"/>
    <s v="18/11/2020"/>
  </r>
  <r>
    <n v="1"/>
    <n v="1625"/>
    <s v="Área del Parque Infantil Paco Garcia"/>
    <s v="Chiriquí"/>
    <x v="10"/>
    <s v="San José de David"/>
    <s v="FO"/>
    <n v="8.4284809999999997"/>
    <n v="-82.430154000000002"/>
    <s v="03/12/2020"/>
  </r>
  <r>
    <n v="2"/>
    <n v="1626"/>
    <s v="Parque Andres Bello"/>
    <s v="Panamá"/>
    <x v="41"/>
    <s v="Bella Vista"/>
    <s v="FO"/>
    <n v="8.9897950000000009"/>
    <n v="-79.526083999999997"/>
    <m/>
  </r>
  <r>
    <n v="2"/>
    <n v="1627"/>
    <s v="Parque Urraca"/>
    <s v="Panamá"/>
    <x v="41"/>
    <s v="Bella Vista"/>
    <s v="FO"/>
    <n v="8.9752860000000005"/>
    <n v="-79.528068000000005"/>
    <s v="12/12/2019"/>
  </r>
  <r>
    <n v="2"/>
    <n v="1628"/>
    <s v="Instituto Agro Forestal en Canglón"/>
    <s v="Darien"/>
    <x v="39"/>
    <s v="Metetí"/>
    <s v="FO"/>
    <n v="8.3019800000000004"/>
    <n v="-77.816432000000006"/>
    <m/>
  </r>
  <r>
    <n v="2"/>
    <n v="1633"/>
    <s v="Escuela Altos de Cabuya"/>
    <s v="Panamá"/>
    <x v="41"/>
    <s v="24 de Diciembre"/>
    <s v="FO"/>
    <n v="9.1142230000000009"/>
    <n v="-79.372957999999997"/>
    <m/>
  </r>
  <r>
    <n v="1"/>
    <n v="1634"/>
    <s v="Hospital Nuevo Dionisio Arrocha"/>
    <s v="Chiriquí"/>
    <x v="5"/>
    <s v="Puerto Tomás Armuelles"/>
    <s v="FO"/>
    <n v="8.2767110000000006"/>
    <n v="-82.860833999999997"/>
    <s v="01/12/2020"/>
  </r>
  <r>
    <n v="3"/>
    <n v="1635"/>
    <s v="Area de la Plaza Simon Bolivar"/>
    <s v="Los Santos"/>
    <x v="59"/>
    <s v="La Villa de Los Santos"/>
    <s v="FO"/>
    <n v="7.9376930000000003"/>
    <n v="-80.414053999999993"/>
    <s v="23/11/2020"/>
  </r>
  <r>
    <n v="1"/>
    <n v="1636"/>
    <s v="Agencia del IDAAN - Santiago"/>
    <s v="Veraguas"/>
    <x v="32"/>
    <s v="Santiago Apóstol"/>
    <s v="FO"/>
    <n v="8.0958919999999992"/>
    <n v="-80.984097000000006"/>
    <s v="27/11/2020"/>
  </r>
  <r>
    <n v="3"/>
    <n v="1637"/>
    <s v="Área del Parque de la Iglesia de Monagrillo"/>
    <s v="Herrera"/>
    <x v="51"/>
    <s v="San Miguel de Monagrillo"/>
    <s v="FO"/>
    <n v="7.9797640000000003"/>
    <n v="-80.435891999999996"/>
    <s v="19/11/2020"/>
  </r>
  <r>
    <n v="1"/>
    <n v="1638"/>
    <s v="Escuela Paso Canoas Arriba"/>
    <s v="Chiriquí"/>
    <x v="5"/>
    <s v="Progreso"/>
    <s v="FO"/>
    <n v="8.5560899999999993"/>
    <n v="-82.828846999999996"/>
    <m/>
  </r>
  <r>
    <n v="3"/>
    <n v="1639"/>
    <s v="Escuela Estado de Minnesota"/>
    <s v="Panamá Oeste"/>
    <x v="64"/>
    <s v="Arraiján"/>
    <s v="FO"/>
    <n v="8.9478369999999998"/>
    <n v="-79.634163000000001"/>
    <m/>
  </r>
  <r>
    <n v="2"/>
    <n v="1640"/>
    <s v="Junta Comunal Barrio Norte"/>
    <s v="Colón"/>
    <x v="34"/>
    <s v="Barrio Norte"/>
    <s v="HFC"/>
    <n v="9.3603769999999997"/>
    <n v="-79.903700999999998"/>
    <m/>
  </r>
  <r>
    <n v="2"/>
    <n v="1641"/>
    <s v="CEBG Lorenza G de Lasso "/>
    <s v="Panamá"/>
    <x v="40"/>
    <s v="El Llano"/>
    <s v="FO"/>
    <n v="9.2215009999999999"/>
    <n v="-78.965800999999999"/>
    <m/>
  </r>
  <r>
    <n v="2"/>
    <n v="1642"/>
    <s v="CEBG Piriati Embera"/>
    <s v="Panamá"/>
    <x v="40"/>
    <s v="Madugandí"/>
    <s v="FO"/>
    <n v="9.0510970000000004"/>
    <n v="-78.623948999999996"/>
    <m/>
  </r>
  <r>
    <n v="1"/>
    <n v="1643"/>
    <s v="IPT Jaime Melamed"/>
    <s v="Veraguas"/>
    <x v="30"/>
    <s v="Pilón"/>
    <s v="FO"/>
    <n v="7.9515229999999999"/>
    <n v="-81.071839999999995"/>
    <s v="23/11/2020"/>
  </r>
  <r>
    <n v="3"/>
    <n v="1644"/>
    <s v="Escuela La Coca"/>
    <s v="Coclé"/>
    <x v="45"/>
    <s v="Caballero"/>
    <s v="FO"/>
    <n v="8.5622779999999992"/>
    <n v="-80.176742000000004"/>
    <m/>
  </r>
  <r>
    <n v="3"/>
    <n v="1645"/>
    <s v="Escuela Guararé Arriba"/>
    <s v="Los Santos"/>
    <x v="57"/>
    <s v="Guararé Arriba"/>
    <s v="FO"/>
    <n v="7.8078960000000004"/>
    <n v="-80.359272000000004"/>
    <s v="24/11/2020"/>
  </r>
  <r>
    <n v="2"/>
    <n v="1647"/>
    <s v="C.E.B.G Bilingue Estado de Qatar"/>
    <s v="Panamá"/>
    <x v="40"/>
    <s v="San Cristóbal de Chepo"/>
    <s v="FO"/>
    <n v="9.1316919999999993"/>
    <n v="-79.228064000000003"/>
    <m/>
  </r>
  <r>
    <n v="2"/>
    <n v="1648"/>
    <s v="CEBG La Tosca"/>
    <s v="Panamá"/>
    <x v="40"/>
    <s v="Tortí"/>
    <s v="FO"/>
    <n v="9.0361370000000001"/>
    <n v="-78.600668999999996"/>
    <m/>
  </r>
  <r>
    <n v="3"/>
    <n v="1649"/>
    <s v="Escuela Pedro Pablo Sanchez"/>
    <s v="Panamá Oeste"/>
    <x v="67"/>
    <s v="Barrio Balboa"/>
    <s v="FO"/>
    <n v="8.8701150000000002"/>
    <n v="-79.784796"/>
    <m/>
  </r>
  <r>
    <n v="1"/>
    <n v="1650"/>
    <s v="Policía Nacional Changuinola"/>
    <s v="Bocas del Toro"/>
    <x v="2"/>
    <s v="Changuinola"/>
    <s v="FO"/>
    <n v="9.4485499999999991"/>
    <n v="-82.518296000000007"/>
    <m/>
  </r>
  <r>
    <n v="1"/>
    <n v="1651"/>
    <s v="Hospital Guillermo Sánchez Borbón"/>
    <s v="Bocas del Toro"/>
    <x v="0"/>
    <s v="Bocas del Toro"/>
    <s v="FO"/>
    <n v="9.3605420000000006"/>
    <n v="-82.253090999999998"/>
    <m/>
  </r>
  <r>
    <n v="2"/>
    <n v="1652"/>
    <s v="Escuela Portuchada"/>
    <s v="Darien"/>
    <x v="39"/>
    <s v="Metetí"/>
    <s v="FO"/>
    <n v="8.4681390000000007"/>
    <n v="-77.942749000000006"/>
    <m/>
  </r>
  <r>
    <n v="2"/>
    <n v="1653"/>
    <s v="Escuela Arenal"/>
    <s v="Darien"/>
    <x v="38"/>
    <s v="Río Congo Arriba"/>
    <s v="FO"/>
    <n v="8.7981370000000005"/>
    <n v="-78.370531"/>
    <m/>
  </r>
  <r>
    <n v="2"/>
    <n v="1654"/>
    <s v="Escuela La Moneda"/>
    <s v="Darien"/>
    <x v="38"/>
    <s v="Río Iglesias"/>
    <s v="FO"/>
    <n v="8.5877949999999998"/>
    <n v="-78.056380000000004"/>
    <m/>
  </r>
  <r>
    <n v="2"/>
    <n v="1657"/>
    <s v="Escuela Punuloso"/>
    <s v="Darien"/>
    <x v="39"/>
    <s v="Metetí"/>
    <s v="FO"/>
    <n v="8.5266749999999991"/>
    <n v="-77.986232000000001"/>
    <m/>
  </r>
  <r>
    <n v="2"/>
    <n v="1658"/>
    <s v="Escuela Primaria José Isabel Herrera"/>
    <s v="Colón"/>
    <x v="73"/>
    <s v="Nombre de Dios"/>
    <s v="FO"/>
    <n v="9.580209"/>
    <n v="-79.468069999999997"/>
    <m/>
  </r>
  <r>
    <n v="2"/>
    <n v="1659"/>
    <s v="CEBG San Vicente"/>
    <s v="Darien"/>
    <x v="39"/>
    <s v="Metetí"/>
    <s v="FO"/>
    <n v="8.5661850000000008"/>
    <n v="-78.031988999999996"/>
    <m/>
  </r>
  <r>
    <n v="2"/>
    <n v="1660"/>
    <s v="Policlinica Nuevo San Juan"/>
    <s v="Colón"/>
    <x v="34"/>
    <s v="San Juan"/>
    <s v="FO"/>
    <n v="9.2610200000000003"/>
    <n v="-79.681348"/>
    <m/>
  </r>
  <r>
    <n v="3"/>
    <n v="1661"/>
    <s v="Junta Comunal de Barrio Balboa"/>
    <s v="Panamá Oeste"/>
    <x v="67"/>
    <s v="Barrio Balboa"/>
    <s v="PMP"/>
    <n v="8.8791039999999999"/>
    <n v="-79.788503000000006"/>
    <m/>
  </r>
  <r>
    <n v="3"/>
    <n v="1662"/>
    <s v="Escuela Punta Chame"/>
    <s v="Panamá Oeste"/>
    <x v="66"/>
    <s v="Punta Chame"/>
    <s v="FO"/>
    <n v="8.6462380000000003"/>
    <n v="-79.709395999999998"/>
    <m/>
  </r>
  <r>
    <n v="1"/>
    <n v="1664"/>
    <s v="C.E.B.G. San Pedro Rincón"/>
    <s v="Veraguas"/>
    <x v="32"/>
    <s v="Los Algarrobos"/>
    <s v="FO"/>
    <n v="8.0860299999999992"/>
    <n v="-81.086190000000002"/>
    <m/>
  </r>
  <r>
    <n v="2"/>
    <n v="1665"/>
    <s v="Parque Central María Chiquita"/>
    <s v="Colón"/>
    <x v="35"/>
    <s v="María Chiquita"/>
    <s v="FO"/>
    <n v="9.4434380000000004"/>
    <n v="-79.750679000000005"/>
    <m/>
  </r>
  <r>
    <n v="3"/>
    <n v="1666"/>
    <s v="Bomberos de Antón"/>
    <s v="Coclé"/>
    <x v="45"/>
    <s v="Antón"/>
    <s v="FO"/>
    <n v="8.3966580000000004"/>
    <n v="-80.265196000000003"/>
    <m/>
  </r>
  <r>
    <n v="1"/>
    <n v="1667"/>
    <s v="C.E.B.G. Vueltas Largas"/>
    <s v="Veraguas"/>
    <x v="75"/>
    <s v="Santa Fe"/>
    <s v="FO"/>
    <n v="8.4499549999999992"/>
    <n v="-81.060739999999996"/>
    <m/>
  </r>
  <r>
    <n v="1"/>
    <n v="1668"/>
    <s v="AMP - Isla Colón"/>
    <s v="Bocas del Toro"/>
    <x v="0"/>
    <s v="Bocas del Toro"/>
    <s v="FO"/>
    <n v="8.9915389999999995"/>
    <n v="-79.524659"/>
    <m/>
  </r>
  <r>
    <n v="2"/>
    <n v="1669"/>
    <s v="CEBG Ernesto T. Lefevre"/>
    <s v="Panamá"/>
    <x v="41"/>
    <s v="Juan Díaz"/>
    <s v="PTP"/>
    <n v="9.0455170000000003"/>
    <n v="-79.447106000000005"/>
    <m/>
  </r>
  <r>
    <n v="3"/>
    <n v="1670"/>
    <s v="Esc. Primaria Rubén Dario Carles"/>
    <s v="Coclé"/>
    <x v="48"/>
    <s v="Penonomé"/>
    <s v="FO"/>
    <n v="8.5279720000000001"/>
    <n v="-80.346558000000002"/>
    <m/>
  </r>
  <r>
    <n v="2"/>
    <n v="1671"/>
    <s v="Centro de Salud de Portobelo"/>
    <s v="Colón"/>
    <x v="35"/>
    <s v="San Felipe de Portobelo"/>
    <s v="FO"/>
    <n v="9.5519409999999993"/>
    <n v="-79.654983999999999"/>
    <m/>
  </r>
  <r>
    <n v="2"/>
    <n v="1672"/>
    <s v="Instituto Dr. Alfredo Cantón"/>
    <s v="Panamá"/>
    <x v="41"/>
    <s v="Bella Vista"/>
    <s v="FO"/>
    <n v="8.9803090000000001"/>
    <n v="-79.528139999999993"/>
    <m/>
  </r>
  <r>
    <n v="2"/>
    <n v="1673"/>
    <s v="Instituto Dr. Alfredo Cantón 2"/>
    <s v="Panamá"/>
    <x v="41"/>
    <s v="Bella Vista"/>
    <s v="FO"/>
    <n v="8.9803090000000001"/>
    <n v="-79.528139999999993"/>
    <m/>
  </r>
  <r>
    <n v="2"/>
    <n v="1674"/>
    <s v="Edificio Administrativo de la Comunidad Mulatupu"/>
    <s v="Comarca Guna Yala"/>
    <x v="37"/>
    <s v="Tubualá"/>
    <s v="Satelital"/>
    <n v="8.9470469999999995"/>
    <n v="-77.751085000000003"/>
    <m/>
  </r>
  <r>
    <n v="3"/>
    <n v="1675"/>
    <s v="Parque Unión de Chitré"/>
    <s v="Herrera"/>
    <x v="51"/>
    <s v="Chitré"/>
    <s v="FO"/>
    <n v="7.9627470000000002"/>
    <n v="-80.428445999999994"/>
    <m/>
  </r>
  <r>
    <n v="2"/>
    <n v="1676"/>
    <s v="Area frente al Ministerio de Desarrollo Social Barrio Norte"/>
    <s v="Colón"/>
    <x v="34"/>
    <s v="Barrio Norte"/>
    <s v="PMP"/>
    <n v="9.3575490000000006"/>
    <n v="-79.891019"/>
    <m/>
  </r>
  <r>
    <n v="2"/>
    <n v="1677"/>
    <s v="Primaria - Gran Bretaña"/>
    <s v="Panamá"/>
    <x v="41"/>
    <s v="Juan Díaz"/>
    <s v="PMP"/>
    <n v="9.0441490000000009"/>
    <n v="-79.449617000000003"/>
    <m/>
  </r>
  <r>
    <n v="2"/>
    <n v="1678"/>
    <s v="Area frente a la Autoridad Maritima de Panama"/>
    <s v="Darien"/>
    <x v="38"/>
    <s v="La Palma"/>
    <s v="PMP"/>
    <n v="8.4067019999999992"/>
    <n v="-78.137191000000001"/>
    <m/>
  </r>
  <r>
    <n v="2"/>
    <n v="1679"/>
    <s v="Area frente a la iglesia de Santa Ana"/>
    <s v="Panamá"/>
    <x v="41"/>
    <s v="Santa Ana"/>
    <s v="PMP"/>
    <n v="8.9537689999999994"/>
    <n v="-79.539125999999996"/>
    <m/>
  </r>
  <r>
    <n v="3"/>
    <n v="1680"/>
    <s v="J. C. Pesé"/>
    <s v="Herrera"/>
    <x v="55"/>
    <s v="Pesé"/>
    <s v="FO"/>
    <n v="7.9092140000000004"/>
    <n v="-80.614248000000003"/>
    <m/>
  </r>
  <r>
    <n v="3"/>
    <n v="1681"/>
    <s v="MIDES de Las Tablas"/>
    <s v="Los Santos"/>
    <x v="58"/>
    <s v="Las Tablas"/>
    <s v="FO"/>
    <n v="7.7660660000000004"/>
    <n v="-80.272199999999998"/>
    <m/>
  </r>
  <r>
    <n v="3"/>
    <n v="1682"/>
    <s v="Nueva Terminal de Transporte de Ocú"/>
    <s v="Herrera"/>
    <x v="53"/>
    <s v="San Sebastián de Ocú"/>
    <s v="FO"/>
    <n v="7.9582740000000003"/>
    <n v="-80.780664999999999"/>
    <m/>
  </r>
  <r>
    <n v="3"/>
    <n v="1684"/>
    <s v="Casa de la Cultura Monagrillo"/>
    <s v="Herrera"/>
    <x v="51"/>
    <s v="San Miguel de Monagrillo"/>
    <s v="FO"/>
    <n v="7.9791160000000003"/>
    <n v="-80.437467999999996"/>
    <m/>
  </r>
  <r>
    <n v="2"/>
    <n v="1685"/>
    <s v="Centro de Bellas Artes y Cultura"/>
    <s v="Colón"/>
    <x v="34"/>
    <s v="Barrio Norte"/>
    <s v="PMP"/>
    <n v="9.3562580000000004"/>
    <n v="-79.893901"/>
    <m/>
  </r>
  <r>
    <n v="3"/>
    <n v="1686"/>
    <s v="Centro Artesanal de Herrera (Casa Amarilla)"/>
    <s v="Herrera"/>
    <x v="51"/>
    <s v="La Arena"/>
    <s v="FO"/>
    <n v="7.970377"/>
    <n v="-80.461670999999996"/>
    <m/>
  </r>
  <r>
    <n v="2"/>
    <n v="1688"/>
    <s v="Puesto de control Senafront Guna Yala"/>
    <s v="Comarca Guna Yala"/>
    <x v="37"/>
    <s v="Narganá"/>
    <s v="FO"/>
    <n v="9.3399149999999995"/>
    <n v="-78.993891000000005"/>
    <m/>
  </r>
  <r>
    <n v="3"/>
    <n v="1689"/>
    <s v="Policlínica Dr. Manuel de Jesús Rojas"/>
    <s v="Coclé"/>
    <x v="44"/>
    <s v="San Juan Bautista de Aguadulce"/>
    <s v="FO"/>
    <n v="8.2536959999999997"/>
    <n v="-80.537889000000007"/>
    <m/>
  </r>
  <r>
    <n v="2"/>
    <n v="1690"/>
    <s v="Centro educativo Gardí Sugduc"/>
    <s v="Comarca Guna Yala"/>
    <x v="37"/>
    <s v="Narganá"/>
    <s v="FO"/>
    <n v="9.4427280000000007"/>
    <n v="-78.979410000000001"/>
    <m/>
  </r>
  <r>
    <n v="2"/>
    <n v="1691"/>
    <s v="Centro Turístico Mi Pueblito"/>
    <s v="Panamá"/>
    <x v="41"/>
    <s v="Calidonia"/>
    <s v="FO"/>
    <n v="8.9543680000000005"/>
    <n v="-79.547455999999997"/>
    <m/>
  </r>
  <r>
    <n v="2"/>
    <n v="1692"/>
    <s v="Universidad de Panama sede Darién"/>
    <s v="Darien"/>
    <x v="39"/>
    <s v="Metetí"/>
    <s v="FO"/>
    <n v="8.5488780000000002"/>
    <n v="-78.013520999999997"/>
    <m/>
  </r>
  <r>
    <n v="2"/>
    <n v="1693"/>
    <s v="Escuela San Francisco de Piriati"/>
    <s v="Panamá"/>
    <x v="40"/>
    <s v="Tortí"/>
    <m/>
    <m/>
    <m/>
    <m/>
  </r>
  <r>
    <n v="2"/>
    <n v="1694"/>
    <s v="Escuela Río Tortí Abajo"/>
    <s v="Panamá"/>
    <x v="40"/>
    <s v="Tortí"/>
    <s v="FO"/>
    <n v="8.9454589999999996"/>
    <n v="-78.386756000000005"/>
    <m/>
  </r>
  <r>
    <n v="3"/>
    <n v="1695"/>
    <s v="C.S. Miguel de la Borda"/>
    <s v="Colón"/>
    <x v="50"/>
    <s v="Miguel de la Borda"/>
    <s v="FO"/>
    <n v="9.1550670000000007"/>
    <n v="-80.299768999999998"/>
    <m/>
  </r>
  <r>
    <n v="1"/>
    <n v="1696"/>
    <s v="Mercado de Artesanias"/>
    <s v="Bocas del Toro"/>
    <x v="0"/>
    <s v="Bocas del Toro"/>
    <s v="FO"/>
    <n v="9.3394359999999992"/>
    <n v="-82.240497000000005"/>
    <m/>
  </r>
  <r>
    <n v="2"/>
    <n v="1697"/>
    <s v="Policlinica de la CSS Canita"/>
    <s v="Panamá"/>
    <x v="40"/>
    <s v="Cañita"/>
    <s v="FO"/>
    <n v="9.2197800000000001"/>
    <n v="-78.890693999999996"/>
    <m/>
  </r>
  <r>
    <n v="2"/>
    <n v="1698"/>
    <s v="Municipio de Colon"/>
    <s v="Colón"/>
    <x v="34"/>
    <s v="Barrio Norte"/>
    <s v="Radio"/>
    <n v="9.3643350000000005"/>
    <n v="-79.904098000000005"/>
    <m/>
  </r>
  <r>
    <n v="1"/>
    <n v="1699"/>
    <s v="Sub Centro de Salud De La Mata de Bugaba"/>
    <s v="Chiriquí"/>
    <x v="8"/>
    <s v="Bugaba"/>
    <s v="FO"/>
    <n v="8.4870490000000007"/>
    <n v="-82.620356000000001"/>
    <m/>
  </r>
  <r>
    <n v="3"/>
    <n v="1700"/>
    <s v="Colegio Manuel María Tejada R."/>
    <s v="Los Santos"/>
    <x v="58"/>
    <s v="Las Tablas"/>
    <s v="FO"/>
    <n v="7.7920030000000002"/>
    <n v="-80.272987000000001"/>
    <m/>
  </r>
  <r>
    <n v="3"/>
    <n v="1701"/>
    <s v="MINSA CAPSI BURUNGA"/>
    <s v="Panamá Oeste"/>
    <x v="64"/>
    <s v="Burunga"/>
    <s v="FO"/>
    <n v="8.9679669999999998"/>
    <n v="-79.664421000000004"/>
    <m/>
  </r>
  <r>
    <n v="2"/>
    <n v="1702"/>
    <s v="Junta Comunal de la Mesa de San Martin"/>
    <s v="Panamá"/>
    <x v="41"/>
    <s v="San Martín"/>
    <s v="FO"/>
    <m/>
    <m/>
    <m/>
  </r>
  <r>
    <n v="1"/>
    <n v="1703"/>
    <s v="Gimnasio Denis Arce"/>
    <s v="Chiriquí"/>
    <x v="10"/>
    <s v="Pedregal"/>
    <s v="FO"/>
    <n v="8.3853790000000004"/>
    <n v="-82.425555000000003"/>
    <m/>
  </r>
  <r>
    <n v="2"/>
    <n v="1704"/>
    <s v="Escuela Nueva Activa de Juan Gil"/>
    <s v="Panamá"/>
    <x v="41"/>
    <s v="San Martín"/>
    <m/>
    <m/>
    <m/>
    <m/>
  </r>
  <r>
    <n v="2"/>
    <n v="1705"/>
    <s v="Escuela Atanacio Morales"/>
    <s v="Panamá"/>
    <x v="40"/>
    <s v="Madugandí"/>
    <m/>
    <m/>
    <m/>
    <m/>
  </r>
  <r>
    <n v="2"/>
    <n v="1706"/>
    <s v="Escuela Carriazo"/>
    <s v="Panamá"/>
    <x v="41"/>
    <s v="San Martín"/>
    <m/>
    <m/>
    <m/>
    <m/>
  </r>
  <r>
    <n v="2"/>
    <n v="1707"/>
    <s v="Centro de Salud Akua Yala"/>
    <s v="Panamá"/>
    <x v="40"/>
    <s v="Madugandí"/>
    <m/>
    <m/>
    <m/>
    <m/>
  </r>
  <r>
    <n v="2"/>
    <n v="1708"/>
    <s v="Area frente a la Direccion Regional de MiAmbiente Cañita"/>
    <s v="Panamá"/>
    <x v="40"/>
    <s v="Cañita"/>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EF6CA3-544F-402C-83FD-8590643A4776}" name="TablaDiná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1:B79" firstHeaderRow="1" firstDataRow="1" firstDataCol="1"/>
  <pivotFields count="10">
    <pivotField dataField="1" showAll="0"/>
    <pivotField showAll="0"/>
    <pivotField showAll="0"/>
    <pivotField showAll="0"/>
    <pivotField axis="axisRow" showAll="0">
      <items count="78">
        <item x="44"/>
        <item x="4"/>
        <item x="1"/>
        <item x="45"/>
        <item x="64"/>
        <item x="24"/>
        <item x="5"/>
        <item x="18"/>
        <item x="0"/>
        <item x="6"/>
        <item x="7"/>
        <item x="8"/>
        <item x="25"/>
        <item x="26"/>
        <item x="65"/>
        <item x="36"/>
        <item x="49"/>
        <item x="66"/>
        <item x="2"/>
        <item x="38"/>
        <item x="40"/>
        <item x="3"/>
        <item x="51"/>
        <item x="34"/>
        <item x="37"/>
        <item x="10"/>
        <item x="11"/>
        <item x="50"/>
        <item x="12"/>
        <item x="57"/>
        <item x="70"/>
        <item x="76"/>
        <item x="19"/>
        <item x="67"/>
        <item x="27"/>
        <item x="46"/>
        <item x="72"/>
        <item x="28"/>
        <item x="58"/>
        <item x="52"/>
        <item x="59"/>
        <item x="60"/>
        <item x="29"/>
        <item x="20"/>
        <item x="30"/>
        <item x="21"/>
        <item x="47"/>
        <item x="22"/>
        <item x="23"/>
        <item x="53"/>
        <item x="74"/>
        <item x="41"/>
        <item x="54"/>
        <item x="61"/>
        <item x="48"/>
        <item x="55"/>
        <item x="39"/>
        <item x="62"/>
        <item x="35"/>
        <item x="13"/>
        <item x="14"/>
        <item x="69"/>
        <item x="68"/>
        <item x="15"/>
        <item x="31"/>
        <item x="16"/>
        <item x="42"/>
        <item x="71"/>
        <item x="75"/>
        <item x="73"/>
        <item x="56"/>
        <item x="32"/>
        <item x="33"/>
        <item x="43"/>
        <item x="9"/>
        <item x="17"/>
        <item x="63"/>
        <item t="default"/>
      </items>
    </pivotField>
    <pivotField showAll="0"/>
    <pivotField showAll="0"/>
    <pivotField showAll="0"/>
    <pivotField showAll="0"/>
    <pivotField showAll="0"/>
  </pivotFields>
  <rowFields count="1">
    <field x="4"/>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Cuenta de Región" fld="0" subtotal="count" baseField="4" baseItem="0"/>
  </dataFields>
  <formats count="2">
    <format dxfId="79">
      <pivotArea field="4" type="button" dataOnly="0" labelOnly="1" outline="0" axis="axisRow" fieldPosition="0"/>
    </format>
    <format dxfId="7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764B6-49B2-4081-A17F-90BD798902AA}" name="Tabla1" displayName="Tabla1" ref="A1:J1322" totalsRowShown="0" headerRowDxfId="94" dataDxfId="92" headerRowBorderDxfId="93" tableBorderDxfId="91" totalsRowBorderDxfId="90" headerRowCellStyle="Normal 3" dataCellStyle="Normal 3">
  <autoFilter ref="A1:J1322" xr:uid="{85F2449E-8077-48AE-81F3-C37E2DFE2473}">
    <filterColumn colId="3">
      <filters>
        <filter val="Bocas del Toro"/>
        <filter val="Coclé"/>
        <filter val="Colón"/>
        <filter val="Comarca Emberá-Wounaan"/>
        <filter val="Comarca Guna Yala"/>
        <filter val="Comarca Ngäbe-Buglé"/>
        <filter val="Darien"/>
        <filter val="Herrera"/>
        <filter val="Los Santos"/>
        <filter val="Panamá"/>
        <filter val="Panamá Oeste"/>
        <filter val="Veraguas"/>
      </filters>
    </filterColumn>
  </autoFilter>
  <tableColumns count="10">
    <tableColumn id="1" xr3:uid="{D36BB88F-6D34-4C1B-9210-21072FDB54DA}" name="Región" dataDxfId="89" dataCellStyle="Normal 3"/>
    <tableColumn id="2" xr3:uid="{1D2DF942-C85B-4DE8-8E49-6BDFD053D3E1}" name="PA" dataDxfId="88" dataCellStyle="Normal 3"/>
    <tableColumn id="3" xr3:uid="{F28B4FF6-BD57-4AF4-8FC4-8570795C28CD}" name="Nombre" dataDxfId="87" dataCellStyle="Normal 3"/>
    <tableColumn id="4" xr3:uid="{DB58B5F5-5A42-4BBE-922E-89BA65B8D69E}" name="Provincia" dataDxfId="86" dataCellStyle="Normal 3"/>
    <tableColumn id="5" xr3:uid="{D073C196-CF2B-44C2-8DF3-41CF0BFAD780}" name="Distrito" dataDxfId="85" dataCellStyle="Normal 3"/>
    <tableColumn id="6" xr3:uid="{4BBD15A0-CC7D-473D-93F4-2BE2133DD849}" name="Corregimiento" dataDxfId="84" dataCellStyle="Normal 3"/>
    <tableColumn id="7" xr3:uid="{63745FD8-FDE9-4F25-92BD-9FE49D39388F}" name="Tipo UM" dataDxfId="83" dataCellStyle="Normal 3"/>
    <tableColumn id="8" xr3:uid="{189450F2-E747-4835-9F74-EF7D335636D1}" name="Latitud" dataDxfId="82" dataCellStyle="Normal 3"/>
    <tableColumn id="9" xr3:uid="{A8FF2000-B6EC-4DFA-9C9C-B57860B2B77D}" name="Longitud" dataDxfId="81" dataCellStyle="Normal 3"/>
    <tableColumn id="10" xr3:uid="{2C1BF29E-35AE-4838-8A33-0DDCA245B209}" name="Fecha de Activación" dataDxfId="80" dataCellStyle="Normal 3"/>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4B4F18-FD8D-466B-98C8-160E12DDD23C}" name="Tabla2" displayName="Tabla2" ref="A1:U61" totalsRowShown="0" headerRowDxfId="77" dataDxfId="76" tableBorderDxfId="75">
  <autoFilter ref="A1:U61" xr:uid="{414B4F18-FD8D-466B-98C8-160E12DDD23C}"/>
  <tableColumns count="21">
    <tableColumn id="1" xr3:uid="{80B31D4A-56E3-4EF7-B097-8EBDA44838BC}" name="Región" dataDxfId="74"/>
    <tableColumn id="2" xr3:uid="{BD3FE291-979A-4078-8387-298A621AD2D3}" name="PA" dataDxfId="73"/>
    <tableColumn id="3" xr3:uid="{53D49EB9-D1BF-4017-8F92-CDE6049794EC}" name="Nombre" dataDxfId="72"/>
    <tableColumn id="4" xr3:uid="{A1B80216-AF3A-4A7B-9551-5875A29B88F8}" name="Provincia" dataDxfId="71"/>
    <tableColumn id="5" xr3:uid="{B68BEBC5-691A-40C7-B616-E05A6BD822CA}" name="Distrito" dataDxfId="70"/>
    <tableColumn id="6" xr3:uid="{E81AA0CB-5D51-4026-90E8-5DC9DFF349A8}" name="Corregimiento" dataDxfId="69"/>
    <tableColumn id="7" xr3:uid="{216BA54A-86C0-4721-9C1A-25CB4A750151}" name="Tipo UM" dataDxfId="68"/>
    <tableColumn id="8" xr3:uid="{0D7CD68D-EC40-4839-8EE6-341AAC08DCAD}" name="Latitud" dataDxfId="67"/>
    <tableColumn id="9" xr3:uid="{5353FDEE-E4DA-43B1-9C05-8C018D523358}" name="Longitud" dataDxfId="66"/>
    <tableColumn id="10" xr3:uid="{4BBA6472-C81E-4A68-A1C1-752FB6FCD2B4}" name="Fecha de Activación" dataDxfId="65"/>
    <tableColumn id="11" xr3:uid="{F5B46CB6-79F5-409C-AA1C-58FAE736E087}" name="Proveedores" dataDxfId="64">
      <calculatedColumnFormula>VLOOKUP(C2,BD_SESIONES_DE_USUARIO!A2:H61,7,FALSE)</calculatedColumnFormula>
    </tableColumn>
    <tableColumn id="12" xr3:uid="{5192DC28-EAEF-456F-B3F7-1A5E3C57C26E}" name="Sesiones" dataDxfId="63">
      <calculatedColumnFormula>VLOOKUP(C2,BD_SESIONES_DE_USUARIO!A2:H61,5,FALSE)</calculatedColumnFormula>
    </tableColumn>
    <tableColumn id="13" xr3:uid="{C3E270F1-3443-4835-90F5-B6EEC5AC3954}" name="Total GB" dataDxfId="62">
      <calculatedColumnFormula>VLOOKUP(C2,BD_DATA_TRANSFERIDA!A2:G61,5,FALSE)</calculatedColumnFormula>
    </tableColumn>
    <tableColumn id="14" xr3:uid="{A4987742-5E8B-46E3-B7AB-66D2269DBA76}" name="Nombre_Meduca" dataDxfId="61" dataCellStyle="Normal 5"/>
    <tableColumn id="15" xr3:uid="{59DCAF22-E13D-45E5-B805-D4CC0DFE1E4D}" name="Dependencia" dataDxfId="60">
      <calculatedColumnFormula>VLOOKUP(N2,BD_MEDUCA!$A$4583:$M$4587,3,TRUE)</calculatedColumnFormula>
    </tableColumn>
    <tableColumn id="16" xr3:uid="{B96F1CBB-C6A7-42ED-903F-E9D9C903D539}" name="Status" dataDxfId="59">
      <calculatedColumnFormula>VLOOKUP(N2,BD_MEDUCA!$A$4583:$M$4587,4,TRUE)</calculatedColumnFormula>
    </tableColumn>
    <tableColumn id="17" xr3:uid="{FE8B91AA-7A9D-41C0-AF40-56869D4FD482}" name="Área" dataDxfId="58">
      <calculatedColumnFormula>VLOOKUP(N2,BD_MEDUCA!$A$4583:$M$4587,10,TRUE)</calculatedColumnFormula>
    </tableColumn>
    <tableColumn id="18" xr3:uid="{84DB8283-43CA-45B8-A290-FF1BA7F7416A}" name="Indígena" dataDxfId="57">
      <calculatedColumnFormula>VLOOKUP(N2,BD_MEDUCA!$A$4583:$M$4587,11,TRUE)</calculatedColumnFormula>
    </tableColumn>
    <tableColumn id="19" xr3:uid="{706A1412-E91B-4CD5-A061-A43DB658EE38}" name="Áreas Comarcales" dataDxfId="56">
      <calculatedColumnFormula>VLOOKUP(N2,BD_MEDUCA!$A$4583:$M$4587,12,TRUE)</calculatedColumnFormula>
    </tableColumn>
    <tableColumn id="20" xr3:uid="{5B5FE32C-FC12-4992-B4CD-D144243184B9}" name="Decretos" dataDxfId="55">
      <calculatedColumnFormula>VLOOKUP(N2,BD_MEDUCA!$A$4583:$M$4587,13,TRUE)</calculatedColumnFormula>
    </tableColumn>
    <tableColumn id="21" xr3:uid="{D9676901-7E6D-477E-A601-7BD15FA0AF8B}" name="Muestra_Meduca" dataDxfId="54">
      <calculatedColumnFormula>VLOOKUP(N2,BD_MEDUCA!$A$4583:$M$4587,2,TRUE)</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D9C3DB-4345-40C2-9421-7E7823AE8623}" name="Tabla3" displayName="Tabla3" ref="A1:H61" totalsRowShown="0" headerRowDxfId="53" dataDxfId="51" headerRowBorderDxfId="52" tableBorderDxfId="50" totalsRowBorderDxfId="49" headerRowCellStyle="Normal 2" dataCellStyle="Normal 2">
  <autoFilter ref="A1:H61" xr:uid="{F1D9C3DB-4345-40C2-9421-7E7823AE8623}"/>
  <tableColumns count="8">
    <tableColumn id="1" xr3:uid="{B695AFCF-4DA4-489B-A4BC-DA07B0A44FDF}" name="Nombre" dataDxfId="48" dataCellStyle="Normal 2"/>
    <tableColumn id="2" xr3:uid="{FE881F64-5D80-45E8-B3EF-932CC2CDA90A}" name="Provincia" dataDxfId="47" dataCellStyle="Normal 2"/>
    <tableColumn id="3" xr3:uid="{5341D570-3DAF-4AB5-99FE-4BC707E232B9}" name="Distrito" dataDxfId="46" dataCellStyle="Normal 2"/>
    <tableColumn id="4" xr3:uid="{44366500-4AA4-4796-9134-2A68D2B71417}" name="Corregimiento" dataDxfId="45" dataCellStyle="Normal 2"/>
    <tableColumn id="5" xr3:uid="{5E842778-59AD-45CC-919F-21A10AE916A9}" name="Total " dataDxfId="44" dataCellStyle="Normal 2"/>
    <tableColumn id="6" xr3:uid="{0C055D58-9EFC-47D2-BCC8-FD47B7E2E636}" name="Región" dataDxfId="43" dataCellStyle="Normal 2"/>
    <tableColumn id="7" xr3:uid="{B6CF66A6-A9FC-4CAD-9585-D9350F9711E7}" name="Proveedor" dataDxfId="42" dataCellStyle="Normal 2"/>
    <tableColumn id="8" xr3:uid="{3B833CA6-7AAA-44FE-9E8F-88DDB9578A81}" name="PA" dataDxfId="41"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6FC43A-7A35-4ED8-BDA6-DB79B827F164}" name="Tabla4" displayName="Tabla4" ref="A1:G61" totalsRowShown="0" headerRowDxfId="40" dataDxfId="38" headerRowBorderDxfId="39" tableBorderDxfId="37" totalsRowBorderDxfId="36" headerRowCellStyle="Normal 2" dataCellStyle="Normal 2">
  <autoFilter ref="A1:G61" xr:uid="{916FC43A-7A35-4ED8-BDA6-DB79B827F164}"/>
  <tableColumns count="7">
    <tableColumn id="1" xr3:uid="{A29A72BB-ACF2-4EA2-B2DF-AE3A8CD3B73F}" name="Nombre" dataDxfId="35" dataCellStyle="Normal 2"/>
    <tableColumn id="2" xr3:uid="{92A74579-F41F-4D4A-B675-9D819937A165}" name="Provincia" dataDxfId="34" dataCellStyle="Normal 2"/>
    <tableColumn id="3" xr3:uid="{8129FF13-5360-48BF-847F-015D77CCEAC1}" name="Distrito" dataDxfId="33" dataCellStyle="Normal 2"/>
    <tableColumn id="4" xr3:uid="{763063B5-47E9-45E6-97FE-8BFF8EEDF8E6}" name="Corregimiento" dataDxfId="32" dataCellStyle="Normal 2"/>
    <tableColumn id="5" xr3:uid="{5FC7EB6A-03CA-48B4-96F6-267B06CE6700}" name="Total " dataDxfId="31" dataCellStyle="Normal 2"/>
    <tableColumn id="6" xr3:uid="{D51A06CD-67E8-4F4F-92D7-31BED9E8535D}" name="Región" dataDxfId="30" dataCellStyle="Normal 2"/>
    <tableColumn id="7" xr3:uid="{4A88B7E7-CE45-4B60-91E4-ED6C2AAD7610}" name="PA" dataDxfId="29" dataCellStyle="Normal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3F243B-7B90-4ED0-95EC-BA619E3FE42B}" name="Tabla6" displayName="Tabla6" ref="A4:P4587" totalsRowShown="0" headerRowDxfId="28" dataDxfId="26" headerRowBorderDxfId="27" tableBorderDxfId="25" headerRowCellStyle="Normal 5" dataCellStyle="Normal 5">
  <autoFilter ref="A4:P4587" xr:uid="{00000000-0009-0000-0000-000000000000}"/>
  <tableColumns count="16">
    <tableColumn id="1" xr3:uid="{70ECCE8E-06B4-458E-98C7-46236FC2F60E}" name="Código SIACE" dataDxfId="24" dataCellStyle="Normal 5"/>
    <tableColumn id="2" xr3:uid="{E36BBBC5-D0DF-4993-8A64-4E3715FC7A66}" name="Marco Muestral -Sistema Educativo" dataDxfId="23" dataCellStyle="Normal 5"/>
    <tableColumn id="3" xr3:uid="{0F04CDE0-747B-4D7D-B3DA-D7E8F6C289E1}" name="Dependencia" dataDxfId="22" dataCellStyle="Normal 5"/>
    <tableColumn id="4" xr3:uid="{DCEBFFBB-2689-462B-994F-B90CAABD3346}" name="Estatus" dataDxfId="21" dataCellStyle="Cálculo"/>
    <tableColumn id="5" xr3:uid="{E1FCC11F-AFB6-4440-9167-2B23502D39D7}" name="Provincia" dataDxfId="20" dataCellStyle="Normal 5"/>
    <tableColumn id="6" xr3:uid="{7476F3C1-39B8-4D62-99B7-3DCB478C4DF5}" name="Región Escolar" dataDxfId="19" dataCellStyle="Normal 5"/>
    <tableColumn id="7" xr3:uid="{8FE61AB3-2BDA-47B8-B43D-E37958E8BA96}" name="Distrito" dataDxfId="18" dataCellStyle="Normal 5"/>
    <tableColumn id="8" xr3:uid="{B39F5ECB-4A43-405C-8166-0A57192AE2A9}" name="Corregimiento" dataDxfId="17" dataCellStyle="Normal 5"/>
    <tableColumn id="9" xr3:uid="{72A8784C-362C-48D6-9AF1-1859CC6D5499}" name="Nombre del Centro Educativo" dataDxfId="16" dataCellStyle="Normal 5"/>
    <tableColumn id="10" xr3:uid="{E8461185-18DC-4B42-B14F-83184ED47D5F}" name="Área" dataDxfId="15" dataCellStyle="Normal 5"/>
    <tableColumn id="11" xr3:uid="{33126189-DA84-49E1-AD74-F2BE9E0A9332}" name="Indigena" dataDxfId="14" dataCellStyle="Normal 5"/>
    <tableColumn id="12" xr3:uid="{D8786BD2-0C64-4BD9-B65B-3174CCFA1543}" name="Áreas Comarcales" dataDxfId="13" dataCellStyle="Normal 5"/>
    <tableColumn id="13" xr3:uid="{9516C5DB-DFA9-45B3-A9F0-65A058A2CFFB}" name="Decretos (Creación, funcionamiento, cambio nombre, ampliación)" dataDxfId="12" dataCellStyle="Normal 5"/>
    <tableColumn id="14" xr3:uid="{248BCF30-878D-4BF2-8B5D-533BEFEF6A33}" name="Otros Decretos relacionados(Cambio de nombre, ampliacion, cierre)" dataDxfId="11" dataCellStyle="Normal 5"/>
    <tableColumn id="15" xr3:uid="{F24A0348-7D00-4901-A8C3-1549150F6E47}" name="Oferta 2023" dataDxfId="10" dataCellStyle="Normal 5"/>
    <tableColumn id="16" xr3:uid="{015B7F03-22F6-4A6D-92FA-31B83F23977B}" name="Bachiller" dataDxfId="9" dataCellStyle="Normal 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3-05-22T13:05:35.83" personId="{391EE41B-9028-4196-87FF-2ABD7B6338D3}" id="{A0574BCF-CC13-43EB-AFBA-B0FFE4093CB1}">
    <text>Dependencias Oficial y Particular, pero todas son PÚBLICAS</text>
  </threadedComment>
  <threadedComment ref="I4" dT="2023-04-16T00:44:05.37" personId="{391EE41B-9028-4196-87FF-2ABD7B6338D3}" id="{A6835B5C-CB9C-4B61-AE1F-082CAC0FD6F7}">
    <text>Los centros educativos marcados en amarillo pasar a ser por decreto "BILINGÜE" en la dependencia Oficial</text>
  </threadedComment>
  <threadedComment ref="L4" dT="2023-09-15T12:49:39.11" personId="{E5F82D8E-654A-4613-B2C5-843B6139C4A3}" id="{2C18410D-C9CD-44BC-8B23-F053127CF76F}">
    <text>Investigar por que estas áreas están como indígena en la columna AC, contra la columna AE - Comarcas</text>
  </threadedComment>
  <threadedComment ref="D214" dT="2023-05-11T20:04:59.23" personId="{391EE41B-9028-4196-87FF-2ABD7B6338D3}" id="{94ADE386-6037-4A26-91B3-0C0474193B93}">
    <text>Programa inactivo hasta el 2022, Se reactiva en el 2023.</text>
  </threadedComment>
  <threadedComment ref="A266" dT="2023-05-31T18:30:29.68" personId="{391EE41B-9028-4196-87FF-2ABD7B6338D3}" id="{B4A21896-DC02-41D9-B470-D12B17CF9712}">
    <text xml:space="preserve">CE nuevo 2023
</text>
  </threadedComment>
  <threadedComment ref="A267" dT="2023-05-31T18:30:37.57" personId="{391EE41B-9028-4196-87FF-2ABD7B6338D3}" id="{DC8CDA5F-92C7-4D2D-BFCA-919F1B72EB51}">
    <text xml:space="preserve">CE nuevo 2023
</text>
  </threadedComment>
  <threadedComment ref="A268" dT="2023-05-31T18:30:44.72" personId="{391EE41B-9028-4196-87FF-2ABD7B6338D3}" id="{C2003DE3-66DC-4435-8AD7-2FBA0C7964F3}">
    <text xml:space="preserve">CE nuevo 2023
</text>
  </threadedComment>
  <threadedComment ref="A728" dT="2023-05-17T16:49:49.30" personId="{391EE41B-9028-4196-87FF-2ABD7B6338D3}" id="{857284EF-A2E1-4088-8674-FDA07B04DC8F}">
    <text>CE nuevo 2023</text>
  </threadedComment>
  <threadedComment ref="A729" dT="2023-05-17T16:50:35.33" personId="{391EE41B-9028-4196-87FF-2ABD7B6338D3}" id="{73317158-7520-41B9-BC2E-34FFC318D29B}">
    <text>CE nuevo 2023</text>
  </threadedComment>
  <threadedComment ref="D1817" dT="2023-07-03T15:05:01.50" personId="{E5F82D8E-654A-4613-B2C5-843B6139C4A3}" id="{0A98624D-C7FD-4D17-BF25-7EDDD01F5040}">
    <text>Solo se tiene un docente, pero labora en la Ailitupu</text>
  </threadedComment>
  <threadedComment ref="A2465" dT="2023-08-01T01:41:40.34" personId="{E5F82D8E-654A-4613-B2C5-843B6139C4A3}" id="{8E7433AB-3568-4374-9355-53F338687299}">
    <text>ACTIVO 2023</text>
  </threadedComment>
  <threadedComment ref="A2470" dT="2023-08-02T14:34:09.54" personId="{E5F82D8E-654A-4613-B2C5-843B6139C4A3}" id="{03483367-9156-40E9-B9CF-1B6216E2474B}">
    <text xml:space="preserve">New 2023
</text>
  </threadedComment>
  <threadedComment ref="A2471" dT="2023-08-02T14:34:33.17" personId="{E5F82D8E-654A-4613-B2C5-843B6139C4A3}" id="{F09CFFDC-7418-4BE8-BBC5-CD86A9A4415A}">
    <text>New 2023</text>
  </threadedComment>
  <threadedComment ref="A2472" dT="2023-08-02T14:34:41.59" personId="{E5F82D8E-654A-4613-B2C5-843B6139C4A3}" id="{54CBBCD5-14BE-485F-AFF1-CAF14A0BC8BA}">
    <text>New 2023</text>
  </threadedComment>
  <threadedComment ref="A2473" dT="2023-08-02T14:34:49.97" personId="{E5F82D8E-654A-4613-B2C5-843B6139C4A3}" id="{73A1ACDC-260C-4986-84D2-5045D6427015}">
    <text>New 2023</text>
  </threadedComment>
  <threadedComment ref="A2474" dT="2023-08-02T14:34:57.93" personId="{E5F82D8E-654A-4613-B2C5-843B6139C4A3}" id="{F0E2729E-AF93-4BB1-BDB3-4053363B57A5}">
    <text>New 2023</text>
  </threadedComment>
  <threadedComment ref="A2475" dT="2023-08-02T14:35:07.35" personId="{E5F82D8E-654A-4613-B2C5-843B6139C4A3}" id="{6C00D827-62DF-4E56-AEBC-491EABFBC935}">
    <text>New 2023</text>
  </threadedComment>
  <threadedComment ref="A2476" dT="2023-08-02T14:35:15.48" personId="{E5F82D8E-654A-4613-B2C5-843B6139C4A3}" id="{65894413-4327-4991-A6FF-03673012F566}">
    <text>New 2023</text>
  </threadedComment>
  <threadedComment ref="A2477" dT="2023-08-02T14:35:24.12" personId="{E5F82D8E-654A-4613-B2C5-843B6139C4A3}" id="{C284CF27-E4DE-496A-ABE2-648AAE53A81D}">
    <text>New 2023</text>
  </threadedComment>
  <threadedComment ref="A2478" dT="2023-08-02T14:34:23.34" personId="{E5F82D8E-654A-4613-B2C5-843B6139C4A3}" id="{D6FE9D21-AD89-46A7-A8DE-3564075E2C30}">
    <text>New 2023</text>
  </threadedComment>
  <threadedComment ref="A2716" dT="2023-08-02T14:07:58.01" personId="{E5F82D8E-654A-4613-B2C5-843B6139C4A3}" id="{24909EA3-DC4F-4567-B4C3-6025A108FC80}">
    <text>New 2023</text>
  </threadedComment>
  <threadedComment ref="A3382" dT="2023-05-18T19:38:42.92" personId="{391EE41B-9028-4196-87FF-2ABD7B6338D3}" id="{9DE72E00-2D4D-414B-8446-45DBA55A9080}">
    <text>Reactiva, 2023</text>
  </threadedComment>
  <threadedComment ref="C3429" dT="2023-11-17T01:30:47.43" personId="{E5F82D8E-654A-4613-B2C5-843B6139C4A3}" id="{BB83717C-75F8-4894-91EF-F2446A8D918D}">
    <text>Investigar el cambio de dependencia de este colegio, aparece en SIACE calificaciones  30 de octubre de 2023</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2449E-8077-48AE-81F3-C37E2DFE2473}">
  <sheetPr>
    <tabColor theme="8" tint="-0.249977111117893"/>
    <pageSetUpPr fitToPage="1"/>
  </sheetPr>
  <dimension ref="A1:J1322"/>
  <sheetViews>
    <sheetView workbookViewId="0">
      <pane xSplit="3" ySplit="1" topLeftCell="F8" activePane="bottomRight" state="frozen"/>
      <selection pane="topRight" activeCell="D1" sqref="D1"/>
      <selection pane="bottomLeft" activeCell="A2" sqref="A2"/>
      <selection pane="bottomRight" activeCell="A8" sqref="A8"/>
    </sheetView>
  </sheetViews>
  <sheetFormatPr baseColWidth="10" defaultColWidth="8.77734375" defaultRowHeight="14.4" x14ac:dyDescent="0.3"/>
  <cols>
    <col min="1" max="1" width="9.21875" style="7" customWidth="1"/>
    <col min="2" max="2" width="6.5546875" style="7" customWidth="1"/>
    <col min="3" max="3" width="57.44140625" style="7" customWidth="1"/>
    <col min="4" max="4" width="27" style="7" bestFit="1" customWidth="1"/>
    <col min="5" max="5" width="22.88671875" style="7" customWidth="1"/>
    <col min="6" max="6" width="25" style="7" customWidth="1"/>
    <col min="7" max="7" width="11.77734375" style="7" bestFit="1" customWidth="1"/>
    <col min="8" max="8" width="12.44140625" style="7" customWidth="1"/>
    <col min="9" max="9" width="15.5546875" style="7" customWidth="1"/>
    <col min="10" max="10" width="21.77734375" style="7" customWidth="1"/>
    <col min="11" max="16384" width="8.77734375" style="7"/>
  </cols>
  <sheetData>
    <row r="1" spans="1:10" ht="15.6" x14ac:dyDescent="0.3">
      <c r="A1" s="66" t="s">
        <v>0</v>
      </c>
      <c r="B1" s="67" t="s">
        <v>1</v>
      </c>
      <c r="C1" s="67" t="s">
        <v>2</v>
      </c>
      <c r="D1" s="67" t="s">
        <v>3</v>
      </c>
      <c r="E1" s="67" t="s">
        <v>4</v>
      </c>
      <c r="F1" s="67" t="s">
        <v>5</v>
      </c>
      <c r="G1" s="67" t="s">
        <v>6</v>
      </c>
      <c r="H1" s="67" t="s">
        <v>7</v>
      </c>
      <c r="I1" s="67" t="s">
        <v>8</v>
      </c>
      <c r="J1" s="68" t="s">
        <v>9</v>
      </c>
    </row>
    <row r="2" spans="1:10" x14ac:dyDescent="0.3">
      <c r="A2" s="20">
        <v>1</v>
      </c>
      <c r="B2" s="8">
        <v>1</v>
      </c>
      <c r="C2" s="8" t="s">
        <v>10</v>
      </c>
      <c r="D2" s="8" t="s">
        <v>11</v>
      </c>
      <c r="E2" s="8" t="s">
        <v>11</v>
      </c>
      <c r="F2" s="8" t="s">
        <v>11</v>
      </c>
      <c r="G2" s="8" t="s">
        <v>12</v>
      </c>
      <c r="H2" s="8">
        <v>9.3406540000000007</v>
      </c>
      <c r="I2" s="8">
        <v>-82.242498999999995</v>
      </c>
      <c r="J2" s="21" t="s">
        <v>13</v>
      </c>
    </row>
    <row r="3" spans="1:10" x14ac:dyDescent="0.3">
      <c r="A3" s="20">
        <v>1</v>
      </c>
      <c r="B3" s="8">
        <v>3</v>
      </c>
      <c r="C3" s="8" t="s">
        <v>14</v>
      </c>
      <c r="D3" s="8" t="s">
        <v>11</v>
      </c>
      <c r="E3" s="8" t="s">
        <v>11</v>
      </c>
      <c r="F3" s="8" t="s">
        <v>11</v>
      </c>
      <c r="G3" s="8" t="s">
        <v>12</v>
      </c>
      <c r="H3" s="8">
        <v>9.3389380000000006</v>
      </c>
      <c r="I3" s="8">
        <v>-82.242667999999995</v>
      </c>
      <c r="J3" s="21" t="s">
        <v>13</v>
      </c>
    </row>
    <row r="4" spans="1:10" x14ac:dyDescent="0.3">
      <c r="A4" s="20">
        <v>1</v>
      </c>
      <c r="B4" s="8">
        <v>6</v>
      </c>
      <c r="C4" s="8" t="s">
        <v>15</v>
      </c>
      <c r="D4" s="8" t="s">
        <v>11</v>
      </c>
      <c r="E4" s="8" t="s">
        <v>16</v>
      </c>
      <c r="F4" s="8" t="s">
        <v>17</v>
      </c>
      <c r="G4" s="8" t="s">
        <v>12</v>
      </c>
      <c r="H4" s="8">
        <v>9.2997409999999991</v>
      </c>
      <c r="I4" s="8">
        <v>-82.413301000000004</v>
      </c>
      <c r="J4" s="21" t="s">
        <v>18</v>
      </c>
    </row>
    <row r="5" spans="1:10" x14ac:dyDescent="0.3">
      <c r="A5" s="20">
        <v>1</v>
      </c>
      <c r="B5" s="8">
        <v>7</v>
      </c>
      <c r="C5" s="8" t="s">
        <v>19</v>
      </c>
      <c r="D5" s="8" t="s">
        <v>11</v>
      </c>
      <c r="E5" s="8" t="s">
        <v>16</v>
      </c>
      <c r="F5" s="8" t="s">
        <v>17</v>
      </c>
      <c r="G5" s="8" t="s">
        <v>12</v>
      </c>
      <c r="H5" s="8">
        <v>9.2927149999999994</v>
      </c>
      <c r="I5" s="8">
        <v>-82.394886999999997</v>
      </c>
      <c r="J5" s="21" t="s">
        <v>20</v>
      </c>
    </row>
    <row r="6" spans="1:10" x14ac:dyDescent="0.3">
      <c r="A6" s="20">
        <v>1</v>
      </c>
      <c r="B6" s="8">
        <v>8</v>
      </c>
      <c r="C6" s="8" t="s">
        <v>21</v>
      </c>
      <c r="D6" s="8" t="s">
        <v>11</v>
      </c>
      <c r="E6" s="8" t="s">
        <v>16</v>
      </c>
      <c r="F6" s="8" t="s">
        <v>17</v>
      </c>
      <c r="G6" s="8" t="s">
        <v>12</v>
      </c>
      <c r="H6" s="8">
        <v>9.2900740000000006</v>
      </c>
      <c r="I6" s="8">
        <v>-82.404399999999995</v>
      </c>
      <c r="J6" s="21" t="s">
        <v>22</v>
      </c>
    </row>
    <row r="7" spans="1:10" x14ac:dyDescent="0.3">
      <c r="A7" s="20">
        <v>1</v>
      </c>
      <c r="B7" s="8">
        <v>9</v>
      </c>
      <c r="C7" s="8" t="s">
        <v>23</v>
      </c>
      <c r="D7" s="8" t="s">
        <v>11</v>
      </c>
      <c r="E7" s="8" t="s">
        <v>16</v>
      </c>
      <c r="F7" s="8" t="s">
        <v>17</v>
      </c>
      <c r="G7" s="8" t="s">
        <v>12</v>
      </c>
      <c r="H7" s="8">
        <v>9.2950900000000001</v>
      </c>
      <c r="I7" s="8">
        <v>-82.404894999999996</v>
      </c>
      <c r="J7" s="21" t="s">
        <v>24</v>
      </c>
    </row>
    <row r="8" spans="1:10" x14ac:dyDescent="0.3">
      <c r="A8" s="20">
        <v>1</v>
      </c>
      <c r="B8" s="8">
        <v>10</v>
      </c>
      <c r="C8" s="8" t="s">
        <v>25</v>
      </c>
      <c r="D8" s="8" t="s">
        <v>11</v>
      </c>
      <c r="E8" s="8" t="s">
        <v>16</v>
      </c>
      <c r="F8" s="8" t="s">
        <v>17</v>
      </c>
      <c r="G8" s="8" t="s">
        <v>12</v>
      </c>
      <c r="H8" s="8">
        <v>9.3055040000000009</v>
      </c>
      <c r="I8" s="8">
        <v>-82.437320999999997</v>
      </c>
      <c r="J8" s="21" t="s">
        <v>18</v>
      </c>
    </row>
    <row r="9" spans="1:10" x14ac:dyDescent="0.3">
      <c r="A9" s="20">
        <v>1</v>
      </c>
      <c r="B9" s="8">
        <v>11</v>
      </c>
      <c r="C9" s="8" t="s">
        <v>26</v>
      </c>
      <c r="D9" s="8" t="s">
        <v>11</v>
      </c>
      <c r="E9" s="8" t="s">
        <v>16</v>
      </c>
      <c r="F9" s="8" t="s">
        <v>17</v>
      </c>
      <c r="G9" s="8" t="s">
        <v>12</v>
      </c>
      <c r="H9" s="8">
        <v>9.2839460000000003</v>
      </c>
      <c r="I9" s="8">
        <v>-82.410793999999996</v>
      </c>
      <c r="J9" s="21" t="s">
        <v>24</v>
      </c>
    </row>
    <row r="10" spans="1:10" x14ac:dyDescent="0.3">
      <c r="A10" s="20">
        <v>1</v>
      </c>
      <c r="B10" s="8">
        <v>13</v>
      </c>
      <c r="C10" s="8" t="s">
        <v>27</v>
      </c>
      <c r="D10" s="8" t="s">
        <v>11</v>
      </c>
      <c r="E10" s="8" t="s">
        <v>28</v>
      </c>
      <c r="F10" s="8" t="s">
        <v>28</v>
      </c>
      <c r="G10" s="8" t="s">
        <v>12</v>
      </c>
      <c r="H10" s="8">
        <v>9.4372150000000001</v>
      </c>
      <c r="I10" s="8">
        <v>-82.519311000000002</v>
      </c>
      <c r="J10" s="21" t="s">
        <v>18</v>
      </c>
    </row>
    <row r="11" spans="1:10" x14ac:dyDescent="0.3">
      <c r="A11" s="20">
        <v>1</v>
      </c>
      <c r="B11" s="8">
        <v>17</v>
      </c>
      <c r="C11" s="8" t="s">
        <v>29</v>
      </c>
      <c r="D11" s="8" t="s">
        <v>11</v>
      </c>
      <c r="E11" s="8" t="s">
        <v>28</v>
      </c>
      <c r="F11" s="8" t="s">
        <v>28</v>
      </c>
      <c r="G11" s="8" t="s">
        <v>12</v>
      </c>
      <c r="H11" s="8">
        <v>9.4711029999999994</v>
      </c>
      <c r="I11" s="8">
        <v>-82.513953999999998</v>
      </c>
      <c r="J11" s="21" t="s">
        <v>30</v>
      </c>
    </row>
    <row r="12" spans="1:10" x14ac:dyDescent="0.3">
      <c r="A12" s="20">
        <v>1</v>
      </c>
      <c r="B12" s="8">
        <v>19</v>
      </c>
      <c r="C12" s="8" t="s">
        <v>31</v>
      </c>
      <c r="D12" s="8" t="s">
        <v>11</v>
      </c>
      <c r="E12" s="8" t="s">
        <v>28</v>
      </c>
      <c r="F12" s="8" t="s">
        <v>28</v>
      </c>
      <c r="G12" s="8" t="s">
        <v>12</v>
      </c>
      <c r="H12" s="8">
        <v>9.4490429999999996</v>
      </c>
      <c r="I12" s="8">
        <v>-82.516495000000006</v>
      </c>
      <c r="J12" s="21" t="s">
        <v>24</v>
      </c>
    </row>
    <row r="13" spans="1:10" x14ac:dyDescent="0.3">
      <c r="A13" s="20">
        <v>1</v>
      </c>
      <c r="B13" s="8">
        <v>20</v>
      </c>
      <c r="C13" s="8" t="s">
        <v>32</v>
      </c>
      <c r="D13" s="8" t="s">
        <v>11</v>
      </c>
      <c r="E13" s="8" t="s">
        <v>28</v>
      </c>
      <c r="F13" s="8" t="s">
        <v>28</v>
      </c>
      <c r="G13" s="8" t="s">
        <v>33</v>
      </c>
      <c r="H13" s="8">
        <v>9.4714100000000006</v>
      </c>
      <c r="I13" s="8">
        <v>-82.515739999999994</v>
      </c>
      <c r="J13" s="21" t="s">
        <v>34</v>
      </c>
    </row>
    <row r="14" spans="1:10" x14ac:dyDescent="0.3">
      <c r="A14" s="20">
        <v>1</v>
      </c>
      <c r="B14" s="8">
        <v>21</v>
      </c>
      <c r="C14" s="8" t="s">
        <v>35</v>
      </c>
      <c r="D14" s="8" t="s">
        <v>11</v>
      </c>
      <c r="E14" s="8" t="s">
        <v>28</v>
      </c>
      <c r="F14" s="8" t="s">
        <v>28</v>
      </c>
      <c r="G14" s="8" t="s">
        <v>12</v>
      </c>
      <c r="H14" s="8">
        <v>9.4545820000000003</v>
      </c>
      <c r="I14" s="8">
        <v>-82.516881999999995</v>
      </c>
      <c r="J14" s="21" t="s">
        <v>34</v>
      </c>
    </row>
    <row r="15" spans="1:10" x14ac:dyDescent="0.3">
      <c r="A15" s="20">
        <v>1</v>
      </c>
      <c r="B15" s="8">
        <v>22</v>
      </c>
      <c r="C15" s="8" t="s">
        <v>36</v>
      </c>
      <c r="D15" s="8" t="s">
        <v>11</v>
      </c>
      <c r="E15" s="8" t="s">
        <v>28</v>
      </c>
      <c r="F15" s="8" t="s">
        <v>28</v>
      </c>
      <c r="G15" s="8" t="s">
        <v>12</v>
      </c>
      <c r="H15" s="8">
        <v>9.4560519999999997</v>
      </c>
      <c r="I15" s="8">
        <v>-82.514567</v>
      </c>
      <c r="J15" s="21" t="s">
        <v>37</v>
      </c>
    </row>
    <row r="16" spans="1:10" x14ac:dyDescent="0.3">
      <c r="A16" s="20">
        <v>1</v>
      </c>
      <c r="B16" s="8">
        <v>24</v>
      </c>
      <c r="C16" s="8" t="s">
        <v>38</v>
      </c>
      <c r="D16" s="8" t="s">
        <v>11</v>
      </c>
      <c r="E16" s="8" t="s">
        <v>28</v>
      </c>
      <c r="F16" s="8" t="s">
        <v>28</v>
      </c>
      <c r="G16" s="8" t="s">
        <v>12</v>
      </c>
      <c r="H16" s="8">
        <v>9.4776340000000001</v>
      </c>
      <c r="I16" s="8">
        <v>-82.508425000000003</v>
      </c>
      <c r="J16" s="21" t="s">
        <v>30</v>
      </c>
    </row>
    <row r="17" spans="1:10" x14ac:dyDescent="0.3">
      <c r="A17" s="20">
        <v>1</v>
      </c>
      <c r="B17" s="8">
        <v>26</v>
      </c>
      <c r="C17" s="8" t="s">
        <v>39</v>
      </c>
      <c r="D17" s="8" t="s">
        <v>11</v>
      </c>
      <c r="E17" s="8" t="s">
        <v>28</v>
      </c>
      <c r="F17" s="8" t="s">
        <v>28</v>
      </c>
      <c r="G17" s="8" t="s">
        <v>12</v>
      </c>
      <c r="H17" s="8">
        <v>9.4498580000000008</v>
      </c>
      <c r="I17" s="8">
        <v>-82.518679000000006</v>
      </c>
      <c r="J17" s="21" t="s">
        <v>24</v>
      </c>
    </row>
    <row r="18" spans="1:10" x14ac:dyDescent="0.3">
      <c r="A18" s="20">
        <v>1</v>
      </c>
      <c r="B18" s="8">
        <v>27</v>
      </c>
      <c r="C18" s="8" t="s">
        <v>40</v>
      </c>
      <c r="D18" s="8" t="s">
        <v>11</v>
      </c>
      <c r="E18" s="8" t="s">
        <v>28</v>
      </c>
      <c r="F18" s="8" t="s">
        <v>28</v>
      </c>
      <c r="G18" s="8" t="s">
        <v>33</v>
      </c>
      <c r="H18" s="8">
        <v>9.4270239999999994</v>
      </c>
      <c r="I18" s="8">
        <v>-82.555803999999995</v>
      </c>
      <c r="J18" s="21" t="s">
        <v>30</v>
      </c>
    </row>
    <row r="19" spans="1:10" x14ac:dyDescent="0.3">
      <c r="A19" s="20">
        <v>1</v>
      </c>
      <c r="B19" s="8">
        <v>28</v>
      </c>
      <c r="C19" s="8" t="s">
        <v>41</v>
      </c>
      <c r="D19" s="8" t="s">
        <v>11</v>
      </c>
      <c r="E19" s="8" t="s">
        <v>28</v>
      </c>
      <c r="F19" s="8" t="s">
        <v>28</v>
      </c>
      <c r="G19" s="8" t="s">
        <v>12</v>
      </c>
      <c r="H19" s="8">
        <v>9.4372679999999995</v>
      </c>
      <c r="I19" s="8">
        <v>-82.497184000000004</v>
      </c>
      <c r="J19" s="21" t="s">
        <v>34</v>
      </c>
    </row>
    <row r="20" spans="1:10" x14ac:dyDescent="0.3">
      <c r="A20" s="20">
        <v>1</v>
      </c>
      <c r="B20" s="8">
        <v>29</v>
      </c>
      <c r="C20" s="8" t="s">
        <v>42</v>
      </c>
      <c r="D20" s="8" t="s">
        <v>11</v>
      </c>
      <c r="E20" s="8" t="s">
        <v>28</v>
      </c>
      <c r="F20" s="8" t="s">
        <v>28</v>
      </c>
      <c r="G20" s="8" t="s">
        <v>12</v>
      </c>
      <c r="H20" s="8">
        <v>9.474736</v>
      </c>
      <c r="I20" s="8">
        <v>-82.499968999999993</v>
      </c>
      <c r="J20" s="21" t="s">
        <v>34</v>
      </c>
    </row>
    <row r="21" spans="1:10" x14ac:dyDescent="0.3">
      <c r="A21" s="20">
        <v>1</v>
      </c>
      <c r="B21" s="8">
        <v>30</v>
      </c>
      <c r="C21" s="8" t="s">
        <v>43</v>
      </c>
      <c r="D21" s="8" t="s">
        <v>11</v>
      </c>
      <c r="E21" s="8" t="s">
        <v>28</v>
      </c>
      <c r="F21" s="8" t="s">
        <v>28</v>
      </c>
      <c r="G21" s="8" t="s">
        <v>12</v>
      </c>
      <c r="H21" s="8">
        <v>9.474577</v>
      </c>
      <c r="I21" s="8">
        <v>-82.482877999999999</v>
      </c>
      <c r="J21" s="21" t="s">
        <v>34</v>
      </c>
    </row>
    <row r="22" spans="1:10" x14ac:dyDescent="0.3">
      <c r="A22" s="20">
        <v>1</v>
      </c>
      <c r="B22" s="8">
        <v>31</v>
      </c>
      <c r="C22" s="8" t="s">
        <v>44</v>
      </c>
      <c r="D22" s="8" t="s">
        <v>11</v>
      </c>
      <c r="E22" s="8" t="s">
        <v>28</v>
      </c>
      <c r="F22" s="8" t="s">
        <v>28</v>
      </c>
      <c r="G22" s="8" t="s">
        <v>12</v>
      </c>
      <c r="H22" s="8">
        <v>9.4589680000000005</v>
      </c>
      <c r="I22" s="8">
        <v>-82.496082000000001</v>
      </c>
      <c r="J22" s="21" t="s">
        <v>45</v>
      </c>
    </row>
    <row r="23" spans="1:10" x14ac:dyDescent="0.3">
      <c r="A23" s="20">
        <v>1</v>
      </c>
      <c r="B23" s="8">
        <v>32</v>
      </c>
      <c r="C23" s="8" t="s">
        <v>46</v>
      </c>
      <c r="D23" s="8" t="s">
        <v>11</v>
      </c>
      <c r="E23" s="8" t="s">
        <v>28</v>
      </c>
      <c r="F23" s="8" t="s">
        <v>28</v>
      </c>
      <c r="G23" s="8" t="s">
        <v>12</v>
      </c>
      <c r="H23" s="8">
        <v>9.4379480000000004</v>
      </c>
      <c r="I23" s="8">
        <v>-82.497598999999994</v>
      </c>
      <c r="J23" s="21" t="s">
        <v>45</v>
      </c>
    </row>
    <row r="24" spans="1:10" x14ac:dyDescent="0.3">
      <c r="A24" s="20">
        <v>1</v>
      </c>
      <c r="B24" s="8">
        <v>33</v>
      </c>
      <c r="C24" s="8" t="s">
        <v>47</v>
      </c>
      <c r="D24" s="8" t="s">
        <v>11</v>
      </c>
      <c r="E24" s="8" t="s">
        <v>28</v>
      </c>
      <c r="F24" s="8" t="s">
        <v>48</v>
      </c>
      <c r="G24" s="8" t="s">
        <v>12</v>
      </c>
      <c r="H24" s="8">
        <v>9.4058150000000005</v>
      </c>
      <c r="I24" s="8">
        <v>-82.501580000000004</v>
      </c>
      <c r="J24" s="21" t="s">
        <v>30</v>
      </c>
    </row>
    <row r="25" spans="1:10" x14ac:dyDescent="0.3">
      <c r="A25" s="20">
        <v>1</v>
      </c>
      <c r="B25" s="8">
        <v>34</v>
      </c>
      <c r="C25" s="8" t="s">
        <v>49</v>
      </c>
      <c r="D25" s="8" t="s">
        <v>11</v>
      </c>
      <c r="E25" s="8" t="s">
        <v>28</v>
      </c>
      <c r="F25" s="8" t="s">
        <v>48</v>
      </c>
      <c r="G25" s="8" t="s">
        <v>12</v>
      </c>
      <c r="H25" s="8">
        <v>9.4208449999999999</v>
      </c>
      <c r="I25" s="8">
        <v>-82.520880000000005</v>
      </c>
      <c r="J25" s="21" t="s">
        <v>30</v>
      </c>
    </row>
    <row r="26" spans="1:10" x14ac:dyDescent="0.3">
      <c r="A26" s="20">
        <v>1</v>
      </c>
      <c r="B26" s="8">
        <v>35</v>
      </c>
      <c r="C26" s="8" t="s">
        <v>50</v>
      </c>
      <c r="D26" s="8" t="s">
        <v>11</v>
      </c>
      <c r="E26" s="8" t="s">
        <v>28</v>
      </c>
      <c r="F26" s="8" t="s">
        <v>48</v>
      </c>
      <c r="G26" s="8" t="s">
        <v>12</v>
      </c>
      <c r="H26" s="8">
        <v>9.4200789999999994</v>
      </c>
      <c r="I26" s="8">
        <v>-82.520909000000003</v>
      </c>
      <c r="J26" s="21" t="s">
        <v>24</v>
      </c>
    </row>
    <row r="27" spans="1:10" x14ac:dyDescent="0.3">
      <c r="A27" s="20">
        <v>1</v>
      </c>
      <c r="B27" s="8">
        <v>36</v>
      </c>
      <c r="C27" s="8" t="s">
        <v>51</v>
      </c>
      <c r="D27" s="8" t="s">
        <v>11</v>
      </c>
      <c r="E27" s="8" t="s">
        <v>28</v>
      </c>
      <c r="F27" s="8" t="s">
        <v>48</v>
      </c>
      <c r="G27" s="8" t="s">
        <v>12</v>
      </c>
      <c r="H27" s="8">
        <v>9.3904639999999997</v>
      </c>
      <c r="I27" s="8">
        <v>-82.535364999999999</v>
      </c>
      <c r="J27" s="21" t="s">
        <v>30</v>
      </c>
    </row>
    <row r="28" spans="1:10" x14ac:dyDescent="0.3">
      <c r="A28" s="20">
        <v>1</v>
      </c>
      <c r="B28" s="8">
        <v>37</v>
      </c>
      <c r="C28" s="8" t="s">
        <v>52</v>
      </c>
      <c r="D28" s="8" t="s">
        <v>11</v>
      </c>
      <c r="E28" s="8" t="s">
        <v>28</v>
      </c>
      <c r="F28" s="8" t="s">
        <v>48</v>
      </c>
      <c r="G28" s="8" t="s">
        <v>53</v>
      </c>
      <c r="H28" s="8">
        <v>9.4246429999999997</v>
      </c>
      <c r="I28" s="8">
        <v>-82.471710999999999</v>
      </c>
      <c r="J28" s="21" t="s">
        <v>54</v>
      </c>
    </row>
    <row r="29" spans="1:10" x14ac:dyDescent="0.3">
      <c r="A29" s="20">
        <v>1</v>
      </c>
      <c r="B29" s="8">
        <v>38</v>
      </c>
      <c r="C29" s="8" t="s">
        <v>55</v>
      </c>
      <c r="D29" s="8" t="s">
        <v>11</v>
      </c>
      <c r="E29" s="8" t="s">
        <v>28</v>
      </c>
      <c r="F29" s="8" t="s">
        <v>48</v>
      </c>
      <c r="G29" s="8" t="s">
        <v>12</v>
      </c>
      <c r="H29" s="8">
        <v>9.3753630000000001</v>
      </c>
      <c r="I29" s="8">
        <v>-82.528323999999998</v>
      </c>
      <c r="J29" s="21" t="s">
        <v>30</v>
      </c>
    </row>
    <row r="30" spans="1:10" x14ac:dyDescent="0.3">
      <c r="A30" s="20">
        <v>1</v>
      </c>
      <c r="B30" s="8">
        <v>39</v>
      </c>
      <c r="C30" s="8" t="s">
        <v>56</v>
      </c>
      <c r="D30" s="8" t="s">
        <v>11</v>
      </c>
      <c r="E30" s="8" t="s">
        <v>28</v>
      </c>
      <c r="F30" s="8" t="s">
        <v>48</v>
      </c>
      <c r="G30" s="8" t="s">
        <v>12</v>
      </c>
      <c r="H30" s="8">
        <v>9.4156689999999994</v>
      </c>
      <c r="I30" s="8">
        <v>-82.526246</v>
      </c>
      <c r="J30" s="21" t="s">
        <v>37</v>
      </c>
    </row>
    <row r="31" spans="1:10" x14ac:dyDescent="0.3">
      <c r="A31" s="20">
        <v>1</v>
      </c>
      <c r="B31" s="8">
        <v>40</v>
      </c>
      <c r="C31" s="8" t="s">
        <v>57</v>
      </c>
      <c r="D31" s="8" t="s">
        <v>11</v>
      </c>
      <c r="E31" s="8" t="s">
        <v>28</v>
      </c>
      <c r="F31" s="8" t="s">
        <v>48</v>
      </c>
      <c r="G31" s="8" t="s">
        <v>12</v>
      </c>
      <c r="H31" s="8">
        <v>9.4953570000000003</v>
      </c>
      <c r="I31" s="8">
        <v>-82.586636999999996</v>
      </c>
      <c r="J31" s="21" t="s">
        <v>30</v>
      </c>
    </row>
    <row r="32" spans="1:10" x14ac:dyDescent="0.3">
      <c r="A32" s="20">
        <v>1</v>
      </c>
      <c r="B32" s="8">
        <v>41</v>
      </c>
      <c r="C32" s="8" t="s">
        <v>58</v>
      </c>
      <c r="D32" s="8" t="s">
        <v>11</v>
      </c>
      <c r="E32" s="8" t="s">
        <v>28</v>
      </c>
      <c r="F32" s="8" t="s">
        <v>48</v>
      </c>
      <c r="G32" s="8" t="s">
        <v>12</v>
      </c>
      <c r="H32" s="8">
        <v>9.4219749999999998</v>
      </c>
      <c r="I32" s="8">
        <v>-82.523320999999996</v>
      </c>
      <c r="J32" s="21" t="s">
        <v>30</v>
      </c>
    </row>
    <row r="33" spans="1:10" x14ac:dyDescent="0.3">
      <c r="A33" s="20">
        <v>1</v>
      </c>
      <c r="B33" s="8">
        <v>42</v>
      </c>
      <c r="C33" s="8" t="s">
        <v>59</v>
      </c>
      <c r="D33" s="8" t="s">
        <v>11</v>
      </c>
      <c r="E33" s="8" t="s">
        <v>28</v>
      </c>
      <c r="F33" s="8" t="s">
        <v>60</v>
      </c>
      <c r="G33" s="8" t="s">
        <v>12</v>
      </c>
      <c r="H33" s="8">
        <v>9.4920229999999997</v>
      </c>
      <c r="I33" s="8">
        <v>-82.611637999999999</v>
      </c>
      <c r="J33" s="21" t="s">
        <v>37</v>
      </c>
    </row>
    <row r="34" spans="1:10" x14ac:dyDescent="0.3">
      <c r="A34" s="20">
        <v>1</v>
      </c>
      <c r="B34" s="8">
        <v>43</v>
      </c>
      <c r="C34" s="8" t="s">
        <v>61</v>
      </c>
      <c r="D34" s="8" t="s">
        <v>11</v>
      </c>
      <c r="E34" s="8" t="s">
        <v>28</v>
      </c>
      <c r="F34" s="8" t="s">
        <v>60</v>
      </c>
      <c r="G34" s="8" t="s">
        <v>12</v>
      </c>
      <c r="H34" s="8">
        <v>9.4885590000000004</v>
      </c>
      <c r="I34" s="8">
        <v>-82.607680000000002</v>
      </c>
      <c r="J34" s="21" t="s">
        <v>37</v>
      </c>
    </row>
    <row r="35" spans="1:10" x14ac:dyDescent="0.3">
      <c r="A35" s="20">
        <v>1</v>
      </c>
      <c r="B35" s="8">
        <v>44</v>
      </c>
      <c r="C35" s="8" t="s">
        <v>62</v>
      </c>
      <c r="D35" s="8" t="s">
        <v>11</v>
      </c>
      <c r="E35" s="8" t="s">
        <v>28</v>
      </c>
      <c r="F35" s="8" t="s">
        <v>60</v>
      </c>
      <c r="G35" s="8" t="s">
        <v>12</v>
      </c>
      <c r="H35" s="8">
        <v>9.491225</v>
      </c>
      <c r="I35" s="8">
        <v>-82.624135999999993</v>
      </c>
      <c r="J35" s="21" t="s">
        <v>37</v>
      </c>
    </row>
    <row r="36" spans="1:10" x14ac:dyDescent="0.3">
      <c r="A36" s="20">
        <v>1</v>
      </c>
      <c r="B36" s="8">
        <v>45</v>
      </c>
      <c r="C36" s="8" t="s">
        <v>63</v>
      </c>
      <c r="D36" s="8" t="s">
        <v>11</v>
      </c>
      <c r="E36" s="8" t="s">
        <v>28</v>
      </c>
      <c r="F36" s="8" t="s">
        <v>60</v>
      </c>
      <c r="G36" s="8" t="s">
        <v>12</v>
      </c>
      <c r="H36" s="8">
        <v>9.4953570000000003</v>
      </c>
      <c r="I36" s="8">
        <v>-82.586636999999996</v>
      </c>
      <c r="J36" s="21" t="s">
        <v>37</v>
      </c>
    </row>
    <row r="37" spans="1:10" x14ac:dyDescent="0.3">
      <c r="A37" s="20">
        <v>1</v>
      </c>
      <c r="B37" s="8">
        <v>46</v>
      </c>
      <c r="C37" s="8" t="s">
        <v>64</v>
      </c>
      <c r="D37" s="8" t="s">
        <v>11</v>
      </c>
      <c r="E37" s="8" t="s">
        <v>28</v>
      </c>
      <c r="F37" s="8" t="s">
        <v>60</v>
      </c>
      <c r="G37" s="8" t="s">
        <v>12</v>
      </c>
      <c r="H37" s="8">
        <v>9.5148010000000003</v>
      </c>
      <c r="I37" s="8">
        <v>-82.594971000000001</v>
      </c>
      <c r="J37" s="21" t="s">
        <v>65</v>
      </c>
    </row>
    <row r="38" spans="1:10" x14ac:dyDescent="0.3">
      <c r="A38" s="20">
        <v>1</v>
      </c>
      <c r="B38" s="8">
        <v>47</v>
      </c>
      <c r="C38" s="8" t="s">
        <v>66</v>
      </c>
      <c r="D38" s="8" t="s">
        <v>11</v>
      </c>
      <c r="E38" s="8" t="s">
        <v>28</v>
      </c>
      <c r="F38" s="8" t="s">
        <v>60</v>
      </c>
      <c r="G38" s="8" t="s">
        <v>12</v>
      </c>
      <c r="H38" s="8">
        <v>9.4815760000000004</v>
      </c>
      <c r="I38" s="8">
        <v>-82.597803999999996</v>
      </c>
      <c r="J38" s="21" t="s">
        <v>20</v>
      </c>
    </row>
    <row r="39" spans="1:10" x14ac:dyDescent="0.3">
      <c r="A39" s="20">
        <v>1</v>
      </c>
      <c r="B39" s="8">
        <v>48</v>
      </c>
      <c r="C39" s="8" t="s">
        <v>67</v>
      </c>
      <c r="D39" s="8" t="s">
        <v>11</v>
      </c>
      <c r="E39" s="8" t="s">
        <v>28</v>
      </c>
      <c r="F39" s="8" t="s">
        <v>60</v>
      </c>
      <c r="G39" s="8" t="s">
        <v>12</v>
      </c>
      <c r="H39" s="8">
        <v>9.4649570000000001</v>
      </c>
      <c r="I39" s="8">
        <v>-82.549522999999994</v>
      </c>
      <c r="J39" s="21" t="s">
        <v>20</v>
      </c>
    </row>
    <row r="40" spans="1:10" x14ac:dyDescent="0.3">
      <c r="A40" s="20">
        <v>1</v>
      </c>
      <c r="B40" s="8">
        <v>49</v>
      </c>
      <c r="C40" s="8" t="s">
        <v>68</v>
      </c>
      <c r="D40" s="8" t="s">
        <v>11</v>
      </c>
      <c r="E40" s="8" t="s">
        <v>28</v>
      </c>
      <c r="F40" s="8" t="s">
        <v>60</v>
      </c>
      <c r="G40" s="8" t="s">
        <v>12</v>
      </c>
      <c r="H40" s="8">
        <v>9.4963200000000008</v>
      </c>
      <c r="I40" s="8">
        <v>-82.610202999999998</v>
      </c>
      <c r="J40" s="21" t="s">
        <v>20</v>
      </c>
    </row>
    <row r="41" spans="1:10" x14ac:dyDescent="0.3">
      <c r="A41" s="20">
        <v>1</v>
      </c>
      <c r="B41" s="8">
        <v>51</v>
      </c>
      <c r="C41" s="8" t="s">
        <v>69</v>
      </c>
      <c r="D41" s="8" t="s">
        <v>11</v>
      </c>
      <c r="E41" s="8" t="s">
        <v>70</v>
      </c>
      <c r="F41" s="8" t="s">
        <v>70</v>
      </c>
      <c r="G41" s="8" t="s">
        <v>12</v>
      </c>
      <c r="H41" s="8">
        <v>8.9455220000000004</v>
      </c>
      <c r="I41" s="8">
        <v>-82.115149000000002</v>
      </c>
      <c r="J41" s="21" t="s">
        <v>65</v>
      </c>
    </row>
    <row r="42" spans="1:10" x14ac:dyDescent="0.3">
      <c r="A42" s="20">
        <v>1</v>
      </c>
      <c r="B42" s="8">
        <v>52</v>
      </c>
      <c r="C42" s="8" t="s">
        <v>71</v>
      </c>
      <c r="D42" s="8" t="s">
        <v>11</v>
      </c>
      <c r="E42" s="8" t="s">
        <v>70</v>
      </c>
      <c r="F42" s="8" t="s">
        <v>70</v>
      </c>
      <c r="G42" s="8" t="s">
        <v>12</v>
      </c>
      <c r="H42" s="8">
        <v>8.9180240000000008</v>
      </c>
      <c r="I42" s="8">
        <v>-82.184955000000002</v>
      </c>
      <c r="J42" s="21" t="s">
        <v>65</v>
      </c>
    </row>
    <row r="43" spans="1:10" x14ac:dyDescent="0.3">
      <c r="A43" s="20">
        <v>1</v>
      </c>
      <c r="B43" s="8">
        <v>53</v>
      </c>
      <c r="C43" s="8" t="s">
        <v>72</v>
      </c>
      <c r="D43" s="8" t="s">
        <v>11</v>
      </c>
      <c r="E43" s="8" t="s">
        <v>70</v>
      </c>
      <c r="F43" s="8" t="s">
        <v>70</v>
      </c>
      <c r="G43" s="8" t="s">
        <v>12</v>
      </c>
      <c r="H43" s="8">
        <v>8.9487839999999998</v>
      </c>
      <c r="I43" s="8">
        <v>-82.116083000000003</v>
      </c>
      <c r="J43" s="21" t="s">
        <v>65</v>
      </c>
    </row>
    <row r="44" spans="1:10" x14ac:dyDescent="0.3">
      <c r="A44" s="20">
        <v>1</v>
      </c>
      <c r="B44" s="8">
        <v>55</v>
      </c>
      <c r="C44" s="8" t="s">
        <v>73</v>
      </c>
      <c r="D44" s="8" t="s">
        <v>11</v>
      </c>
      <c r="E44" s="8" t="s">
        <v>70</v>
      </c>
      <c r="F44" s="8" t="s">
        <v>74</v>
      </c>
      <c r="G44" s="8" t="s">
        <v>12</v>
      </c>
      <c r="H44" s="8">
        <v>8.9135159999999996</v>
      </c>
      <c r="I44" s="8">
        <v>-82.186711000000003</v>
      </c>
      <c r="J44" s="21" t="s">
        <v>20</v>
      </c>
    </row>
    <row r="45" spans="1:10" x14ac:dyDescent="0.3">
      <c r="A45" s="20">
        <v>1</v>
      </c>
      <c r="B45" s="8">
        <v>56</v>
      </c>
      <c r="C45" s="8" t="s">
        <v>75</v>
      </c>
      <c r="D45" s="8" t="s">
        <v>11</v>
      </c>
      <c r="E45" s="8" t="s">
        <v>70</v>
      </c>
      <c r="F45" s="8" t="s">
        <v>74</v>
      </c>
      <c r="G45" s="8" t="s">
        <v>12</v>
      </c>
      <c r="H45" s="8">
        <v>8.8079059999999991</v>
      </c>
      <c r="I45" s="8">
        <v>-82.184109000000007</v>
      </c>
      <c r="J45" s="21" t="s">
        <v>22</v>
      </c>
    </row>
    <row r="46" spans="1:10" hidden="1" x14ac:dyDescent="0.3">
      <c r="A46" s="20">
        <v>1</v>
      </c>
      <c r="B46" s="8">
        <v>57</v>
      </c>
      <c r="C46" s="8" t="s">
        <v>76</v>
      </c>
      <c r="D46" s="8" t="s">
        <v>77</v>
      </c>
      <c r="E46" s="8" t="s">
        <v>78</v>
      </c>
      <c r="F46" s="8" t="s">
        <v>79</v>
      </c>
      <c r="G46" s="8" t="s">
        <v>33</v>
      </c>
      <c r="H46" s="8">
        <v>8.4958869999999997</v>
      </c>
      <c r="I46" s="8">
        <v>-82.807280000000006</v>
      </c>
      <c r="J46" s="21" t="s">
        <v>80</v>
      </c>
    </row>
    <row r="47" spans="1:10" hidden="1" x14ac:dyDescent="0.3">
      <c r="A47" s="20">
        <v>1</v>
      </c>
      <c r="B47" s="8">
        <v>58</v>
      </c>
      <c r="C47" s="8" t="s">
        <v>81</v>
      </c>
      <c r="D47" s="8" t="s">
        <v>77</v>
      </c>
      <c r="E47" s="8" t="s">
        <v>78</v>
      </c>
      <c r="F47" s="8" t="s">
        <v>79</v>
      </c>
      <c r="G47" s="8" t="s">
        <v>12</v>
      </c>
      <c r="H47" s="8">
        <v>8.4006699999999999</v>
      </c>
      <c r="I47" s="8">
        <v>-82.558188000000001</v>
      </c>
      <c r="J47" s="21" t="s">
        <v>82</v>
      </c>
    </row>
    <row r="48" spans="1:10" hidden="1" x14ac:dyDescent="0.3">
      <c r="A48" s="20">
        <v>1</v>
      </c>
      <c r="B48" s="8">
        <v>59</v>
      </c>
      <c r="C48" s="8" t="s">
        <v>83</v>
      </c>
      <c r="D48" s="8" t="s">
        <v>77</v>
      </c>
      <c r="E48" s="8" t="s">
        <v>78</v>
      </c>
      <c r="F48" s="8" t="s">
        <v>79</v>
      </c>
      <c r="G48" s="8" t="s">
        <v>12</v>
      </c>
      <c r="H48" s="8">
        <v>8.4008260000000003</v>
      </c>
      <c r="I48" s="8">
        <v>-82.557997</v>
      </c>
      <c r="J48" s="21" t="s">
        <v>82</v>
      </c>
    </row>
    <row r="49" spans="1:10" hidden="1" x14ac:dyDescent="0.3">
      <c r="A49" s="20">
        <v>1</v>
      </c>
      <c r="B49" s="8">
        <v>60</v>
      </c>
      <c r="C49" s="8" t="s">
        <v>84</v>
      </c>
      <c r="D49" s="8" t="s">
        <v>77</v>
      </c>
      <c r="E49" s="8" t="s">
        <v>78</v>
      </c>
      <c r="F49" s="8" t="s">
        <v>85</v>
      </c>
      <c r="G49" s="8" t="s">
        <v>12</v>
      </c>
      <c r="H49" s="8">
        <v>8.4115479999999998</v>
      </c>
      <c r="I49" s="8">
        <v>-82.716166000000001</v>
      </c>
      <c r="J49" s="21" t="s">
        <v>86</v>
      </c>
    </row>
    <row r="50" spans="1:10" hidden="1" x14ac:dyDescent="0.3">
      <c r="A50" s="20">
        <v>1</v>
      </c>
      <c r="B50" s="8">
        <v>61</v>
      </c>
      <c r="C50" s="8" t="s">
        <v>87</v>
      </c>
      <c r="D50" s="8" t="s">
        <v>77</v>
      </c>
      <c r="E50" s="8" t="s">
        <v>78</v>
      </c>
      <c r="F50" s="8" t="s">
        <v>85</v>
      </c>
      <c r="G50" s="8" t="s">
        <v>12</v>
      </c>
      <c r="H50" s="8">
        <v>8.4172349999999998</v>
      </c>
      <c r="I50" s="8">
        <v>-82.713975000000005</v>
      </c>
      <c r="J50" s="21" t="s">
        <v>88</v>
      </c>
    </row>
    <row r="51" spans="1:10" hidden="1" x14ac:dyDescent="0.3">
      <c r="A51" s="20">
        <v>1</v>
      </c>
      <c r="B51" s="8">
        <v>62</v>
      </c>
      <c r="C51" s="8" t="s">
        <v>89</v>
      </c>
      <c r="D51" s="8" t="s">
        <v>77</v>
      </c>
      <c r="E51" s="8" t="s">
        <v>78</v>
      </c>
      <c r="F51" s="8" t="s">
        <v>90</v>
      </c>
      <c r="G51" s="8" t="s">
        <v>12</v>
      </c>
      <c r="H51" s="8">
        <v>8.3517499999999991</v>
      </c>
      <c r="I51" s="8">
        <v>-82.530525999999995</v>
      </c>
      <c r="J51" s="21" t="s">
        <v>91</v>
      </c>
    </row>
    <row r="52" spans="1:10" hidden="1" x14ac:dyDescent="0.3">
      <c r="A52" s="20">
        <v>1</v>
      </c>
      <c r="B52" s="8">
        <v>64</v>
      </c>
      <c r="C52" s="8" t="s">
        <v>92</v>
      </c>
      <c r="D52" s="8" t="s">
        <v>77</v>
      </c>
      <c r="E52" s="8" t="s">
        <v>93</v>
      </c>
      <c r="F52" s="8" t="s">
        <v>94</v>
      </c>
      <c r="G52" s="8" t="s">
        <v>12</v>
      </c>
      <c r="H52" s="8">
        <v>8.4068970000000007</v>
      </c>
      <c r="I52" s="8">
        <v>-82.790057000000004</v>
      </c>
      <c r="J52" s="21" t="s">
        <v>95</v>
      </c>
    </row>
    <row r="53" spans="1:10" hidden="1" x14ac:dyDescent="0.3">
      <c r="A53" s="20">
        <v>1</v>
      </c>
      <c r="B53" s="8">
        <v>65</v>
      </c>
      <c r="C53" s="8" t="s">
        <v>96</v>
      </c>
      <c r="D53" s="8" t="s">
        <v>77</v>
      </c>
      <c r="E53" s="8" t="s">
        <v>93</v>
      </c>
      <c r="F53" s="8" t="s">
        <v>94</v>
      </c>
      <c r="G53" s="8" t="s">
        <v>12</v>
      </c>
      <c r="H53" s="8">
        <v>8.3652719999999992</v>
      </c>
      <c r="I53" s="8">
        <v>-82.783434999999997</v>
      </c>
      <c r="J53" s="21" t="s">
        <v>95</v>
      </c>
    </row>
    <row r="54" spans="1:10" hidden="1" x14ac:dyDescent="0.3">
      <c r="A54" s="20">
        <v>1</v>
      </c>
      <c r="B54" s="8">
        <v>66</v>
      </c>
      <c r="C54" s="8" t="s">
        <v>97</v>
      </c>
      <c r="D54" s="8" t="s">
        <v>77</v>
      </c>
      <c r="E54" s="8" t="s">
        <v>93</v>
      </c>
      <c r="F54" s="8" t="s">
        <v>98</v>
      </c>
      <c r="G54" s="8" t="s">
        <v>99</v>
      </c>
      <c r="H54" s="8">
        <v>8.4515650000000004</v>
      </c>
      <c r="I54" s="8">
        <v>-82.834551000000005</v>
      </c>
      <c r="J54" s="21" t="s">
        <v>100</v>
      </c>
    </row>
    <row r="55" spans="1:10" hidden="1" x14ac:dyDescent="0.3">
      <c r="A55" s="20">
        <v>1</v>
      </c>
      <c r="B55" s="8">
        <v>68</v>
      </c>
      <c r="C55" s="8" t="s">
        <v>101</v>
      </c>
      <c r="D55" s="8" t="s">
        <v>77</v>
      </c>
      <c r="E55" s="8" t="s">
        <v>93</v>
      </c>
      <c r="F55" s="8" t="s">
        <v>98</v>
      </c>
      <c r="G55" s="8" t="s">
        <v>99</v>
      </c>
      <c r="H55" s="8">
        <v>8.347334</v>
      </c>
      <c r="I55" s="8">
        <v>-82.801157000000003</v>
      </c>
      <c r="J55" s="21" t="s">
        <v>100</v>
      </c>
    </row>
    <row r="56" spans="1:10" hidden="1" x14ac:dyDescent="0.3">
      <c r="A56" s="20">
        <v>1</v>
      </c>
      <c r="B56" s="8">
        <v>69</v>
      </c>
      <c r="C56" s="8" t="s">
        <v>102</v>
      </c>
      <c r="D56" s="8" t="s">
        <v>77</v>
      </c>
      <c r="E56" s="8" t="s">
        <v>93</v>
      </c>
      <c r="F56" s="8" t="s">
        <v>103</v>
      </c>
      <c r="G56" s="8" t="s">
        <v>12</v>
      </c>
      <c r="H56" s="8">
        <v>8.2779190000000007</v>
      </c>
      <c r="I56" s="8">
        <v>-82.864166999999995</v>
      </c>
      <c r="J56" s="21" t="s">
        <v>104</v>
      </c>
    </row>
    <row r="57" spans="1:10" hidden="1" x14ac:dyDescent="0.3">
      <c r="A57" s="20">
        <v>1</v>
      </c>
      <c r="B57" s="8">
        <v>70</v>
      </c>
      <c r="C57" s="8" t="s">
        <v>105</v>
      </c>
      <c r="D57" s="8" t="s">
        <v>77</v>
      </c>
      <c r="E57" s="8" t="s">
        <v>93</v>
      </c>
      <c r="F57" s="8" t="s">
        <v>103</v>
      </c>
      <c r="G57" s="8" t="s">
        <v>12</v>
      </c>
      <c r="H57" s="8">
        <v>8.2713520000000003</v>
      </c>
      <c r="I57" s="8">
        <v>-82.863630999999998</v>
      </c>
      <c r="J57" s="21" t="s">
        <v>104</v>
      </c>
    </row>
    <row r="58" spans="1:10" hidden="1" x14ac:dyDescent="0.3">
      <c r="A58" s="20">
        <v>1</v>
      </c>
      <c r="B58" s="8">
        <v>71</v>
      </c>
      <c r="C58" s="8" t="s">
        <v>106</v>
      </c>
      <c r="D58" s="8" t="s">
        <v>77</v>
      </c>
      <c r="E58" s="8" t="s">
        <v>93</v>
      </c>
      <c r="F58" s="8" t="s">
        <v>103</v>
      </c>
      <c r="G58" s="8" t="s">
        <v>12</v>
      </c>
      <c r="H58" s="8">
        <v>8.2729680000000005</v>
      </c>
      <c r="I58" s="8">
        <v>-82.861328</v>
      </c>
      <c r="J58" s="21" t="s">
        <v>107</v>
      </c>
    </row>
    <row r="59" spans="1:10" hidden="1" x14ac:dyDescent="0.3">
      <c r="A59" s="20">
        <v>1</v>
      </c>
      <c r="B59" s="8">
        <v>72</v>
      </c>
      <c r="C59" s="8" t="s">
        <v>108</v>
      </c>
      <c r="D59" s="8" t="s">
        <v>77</v>
      </c>
      <c r="E59" s="8" t="s">
        <v>93</v>
      </c>
      <c r="F59" s="8" t="s">
        <v>103</v>
      </c>
      <c r="G59" s="8" t="s">
        <v>12</v>
      </c>
      <c r="H59" s="8">
        <v>8.2728429999999999</v>
      </c>
      <c r="I59" s="8">
        <v>-82.894507000000004</v>
      </c>
      <c r="J59" s="21" t="s">
        <v>107</v>
      </c>
    </row>
    <row r="60" spans="1:10" hidden="1" x14ac:dyDescent="0.3">
      <c r="A60" s="20">
        <v>1</v>
      </c>
      <c r="B60" s="8">
        <v>74</v>
      </c>
      <c r="C60" s="8" t="s">
        <v>109</v>
      </c>
      <c r="D60" s="8" t="s">
        <v>77</v>
      </c>
      <c r="E60" s="8" t="s">
        <v>93</v>
      </c>
      <c r="F60" s="8" t="s">
        <v>103</v>
      </c>
      <c r="G60" s="8" t="s">
        <v>12</v>
      </c>
      <c r="H60" s="8">
        <v>8.2845770000000005</v>
      </c>
      <c r="I60" s="8">
        <v>-82.863122000000004</v>
      </c>
      <c r="J60" s="21" t="s">
        <v>104</v>
      </c>
    </row>
    <row r="61" spans="1:10" hidden="1" x14ac:dyDescent="0.3">
      <c r="A61" s="20">
        <v>1</v>
      </c>
      <c r="B61" s="8">
        <v>75</v>
      </c>
      <c r="C61" s="8" t="s">
        <v>110</v>
      </c>
      <c r="D61" s="8" t="s">
        <v>77</v>
      </c>
      <c r="E61" s="8" t="s">
        <v>93</v>
      </c>
      <c r="F61" s="8" t="s">
        <v>103</v>
      </c>
      <c r="G61" s="8" t="s">
        <v>99</v>
      </c>
      <c r="H61" s="8">
        <v>8.2709550000000007</v>
      </c>
      <c r="I61" s="8">
        <v>-82.859720999999993</v>
      </c>
      <c r="J61" s="21" t="s">
        <v>107</v>
      </c>
    </row>
    <row r="62" spans="1:10" hidden="1" x14ac:dyDescent="0.3">
      <c r="A62" s="20">
        <v>1</v>
      </c>
      <c r="B62" s="8">
        <v>77</v>
      </c>
      <c r="C62" s="8" t="s">
        <v>111</v>
      </c>
      <c r="D62" s="8" t="s">
        <v>77</v>
      </c>
      <c r="E62" s="8" t="s">
        <v>93</v>
      </c>
      <c r="F62" s="8" t="s">
        <v>103</v>
      </c>
      <c r="G62" s="8" t="s">
        <v>12</v>
      </c>
      <c r="H62" s="8">
        <v>8.2736689999999999</v>
      </c>
      <c r="I62" s="8">
        <v>-82.860183000000006</v>
      </c>
      <c r="J62" s="21" t="s">
        <v>104</v>
      </c>
    </row>
    <row r="63" spans="1:10" hidden="1" x14ac:dyDescent="0.3">
      <c r="A63" s="20">
        <v>1</v>
      </c>
      <c r="B63" s="8">
        <v>78</v>
      </c>
      <c r="C63" s="8" t="s">
        <v>112</v>
      </c>
      <c r="D63" s="8" t="s">
        <v>77</v>
      </c>
      <c r="E63" s="8" t="s">
        <v>93</v>
      </c>
      <c r="F63" s="8" t="s">
        <v>103</v>
      </c>
      <c r="G63" s="8" t="s">
        <v>12</v>
      </c>
      <c r="H63" s="8">
        <v>8.2715619999999994</v>
      </c>
      <c r="I63" s="8">
        <v>-82.860129999999998</v>
      </c>
      <c r="J63" s="21" t="s">
        <v>104</v>
      </c>
    </row>
    <row r="64" spans="1:10" hidden="1" x14ac:dyDescent="0.3">
      <c r="A64" s="20">
        <v>1</v>
      </c>
      <c r="B64" s="8">
        <v>79</v>
      </c>
      <c r="C64" s="8" t="s">
        <v>113</v>
      </c>
      <c r="D64" s="8" t="s">
        <v>77</v>
      </c>
      <c r="E64" s="8" t="s">
        <v>93</v>
      </c>
      <c r="F64" s="8" t="s">
        <v>103</v>
      </c>
      <c r="G64" s="8" t="s">
        <v>12</v>
      </c>
      <c r="H64" s="8">
        <v>8.3028429999999993</v>
      </c>
      <c r="I64" s="8">
        <v>-82.872246000000004</v>
      </c>
      <c r="J64" s="21" t="s">
        <v>104</v>
      </c>
    </row>
    <row r="65" spans="1:10" hidden="1" x14ac:dyDescent="0.3">
      <c r="A65" s="20">
        <v>1</v>
      </c>
      <c r="B65" s="8">
        <v>80</v>
      </c>
      <c r="C65" s="8" t="s">
        <v>114</v>
      </c>
      <c r="D65" s="8" t="s">
        <v>77</v>
      </c>
      <c r="E65" s="8" t="s">
        <v>93</v>
      </c>
      <c r="F65" s="8" t="s">
        <v>103</v>
      </c>
      <c r="G65" s="8" t="s">
        <v>12</v>
      </c>
      <c r="H65" s="8">
        <v>8.3089569999999995</v>
      </c>
      <c r="I65" s="8">
        <v>-82.840717999999995</v>
      </c>
      <c r="J65" s="21" t="s">
        <v>100</v>
      </c>
    </row>
    <row r="66" spans="1:10" hidden="1" x14ac:dyDescent="0.3">
      <c r="A66" s="20">
        <v>1</v>
      </c>
      <c r="B66" s="8">
        <v>81</v>
      </c>
      <c r="C66" s="8" t="s">
        <v>115</v>
      </c>
      <c r="D66" s="8" t="s">
        <v>77</v>
      </c>
      <c r="E66" s="8" t="s">
        <v>93</v>
      </c>
      <c r="F66" s="8" t="s">
        <v>103</v>
      </c>
      <c r="G66" s="8" t="s">
        <v>12</v>
      </c>
      <c r="H66" s="8">
        <v>8.2944589999999998</v>
      </c>
      <c r="I66" s="8">
        <v>-82.857206000000005</v>
      </c>
      <c r="J66" s="21" t="s">
        <v>107</v>
      </c>
    </row>
    <row r="67" spans="1:10" hidden="1" x14ac:dyDescent="0.3">
      <c r="A67" s="20">
        <v>1</v>
      </c>
      <c r="B67" s="8">
        <v>83</v>
      </c>
      <c r="C67" s="8" t="s">
        <v>116</v>
      </c>
      <c r="D67" s="8" t="s">
        <v>77</v>
      </c>
      <c r="E67" s="8" t="s">
        <v>93</v>
      </c>
      <c r="F67" s="8" t="s">
        <v>117</v>
      </c>
      <c r="G67" s="8" t="s">
        <v>12</v>
      </c>
      <c r="H67" s="8">
        <v>8.3475839999999994</v>
      </c>
      <c r="I67" s="8">
        <v>-82.801081999999994</v>
      </c>
      <c r="J67" s="21" t="s">
        <v>95</v>
      </c>
    </row>
    <row r="68" spans="1:10" hidden="1" x14ac:dyDescent="0.3">
      <c r="A68" s="20">
        <v>1</v>
      </c>
      <c r="B68" s="8">
        <v>84</v>
      </c>
      <c r="C68" s="8" t="s">
        <v>118</v>
      </c>
      <c r="D68" s="8" t="s">
        <v>77</v>
      </c>
      <c r="E68" s="8" t="s">
        <v>93</v>
      </c>
      <c r="F68" s="8" t="s">
        <v>117</v>
      </c>
      <c r="G68" s="8" t="s">
        <v>12</v>
      </c>
      <c r="H68" s="8">
        <v>8.4283090000000005</v>
      </c>
      <c r="I68" s="8">
        <v>-82.895268999999999</v>
      </c>
      <c r="J68" s="21" t="s">
        <v>119</v>
      </c>
    </row>
    <row r="69" spans="1:10" hidden="1" x14ac:dyDescent="0.3">
      <c r="A69" s="20">
        <v>1</v>
      </c>
      <c r="B69" s="8">
        <v>85</v>
      </c>
      <c r="C69" s="8" t="s">
        <v>120</v>
      </c>
      <c r="D69" s="8" t="s">
        <v>77</v>
      </c>
      <c r="E69" s="8" t="s">
        <v>93</v>
      </c>
      <c r="F69" s="8" t="s">
        <v>117</v>
      </c>
      <c r="G69" s="8" t="s">
        <v>99</v>
      </c>
      <c r="H69" s="8">
        <v>8.3910509999999991</v>
      </c>
      <c r="I69" s="8">
        <v>-82.903278999999998</v>
      </c>
      <c r="J69" s="21" t="s">
        <v>100</v>
      </c>
    </row>
    <row r="70" spans="1:10" hidden="1" x14ac:dyDescent="0.3">
      <c r="A70" s="20">
        <v>1</v>
      </c>
      <c r="B70" s="8">
        <v>86</v>
      </c>
      <c r="C70" s="8" t="s">
        <v>121</v>
      </c>
      <c r="D70" s="8" t="s">
        <v>77</v>
      </c>
      <c r="E70" s="8" t="s">
        <v>93</v>
      </c>
      <c r="F70" s="8" t="s">
        <v>117</v>
      </c>
      <c r="G70" s="8" t="s">
        <v>12</v>
      </c>
      <c r="H70" s="8">
        <v>8.4152129999999996</v>
      </c>
      <c r="I70" s="8">
        <v>-82.931434999999993</v>
      </c>
      <c r="J70" s="21" t="s">
        <v>122</v>
      </c>
    </row>
    <row r="71" spans="1:10" hidden="1" x14ac:dyDescent="0.3">
      <c r="A71" s="20">
        <v>1</v>
      </c>
      <c r="B71" s="8">
        <v>87</v>
      </c>
      <c r="C71" s="8" t="s">
        <v>123</v>
      </c>
      <c r="D71" s="8" t="s">
        <v>77</v>
      </c>
      <c r="E71" s="8" t="s">
        <v>93</v>
      </c>
      <c r="F71" s="8" t="s">
        <v>117</v>
      </c>
      <c r="G71" s="8" t="s">
        <v>12</v>
      </c>
      <c r="H71" s="8">
        <v>8.384487</v>
      </c>
      <c r="I71" s="8">
        <v>-82.875077000000005</v>
      </c>
      <c r="J71" s="21" t="s">
        <v>124</v>
      </c>
    </row>
    <row r="72" spans="1:10" hidden="1" x14ac:dyDescent="0.3">
      <c r="A72" s="20">
        <v>1</v>
      </c>
      <c r="B72" s="8">
        <v>88</v>
      </c>
      <c r="C72" s="8" t="s">
        <v>125</v>
      </c>
      <c r="D72" s="8" t="s">
        <v>77</v>
      </c>
      <c r="E72" s="8" t="s">
        <v>93</v>
      </c>
      <c r="F72" s="8" t="s">
        <v>117</v>
      </c>
      <c r="G72" s="8" t="s">
        <v>12</v>
      </c>
      <c r="H72" s="8">
        <v>8.4063839999999992</v>
      </c>
      <c r="I72" s="8">
        <v>-82.904103000000006</v>
      </c>
      <c r="J72" s="21" t="s">
        <v>95</v>
      </c>
    </row>
    <row r="73" spans="1:10" hidden="1" x14ac:dyDescent="0.3">
      <c r="A73" s="20">
        <v>1</v>
      </c>
      <c r="B73" s="8">
        <v>89</v>
      </c>
      <c r="C73" s="8" t="s">
        <v>126</v>
      </c>
      <c r="D73" s="8" t="s">
        <v>77</v>
      </c>
      <c r="E73" s="8" t="s">
        <v>93</v>
      </c>
      <c r="F73" s="8" t="s">
        <v>117</v>
      </c>
      <c r="G73" s="8" t="s">
        <v>12</v>
      </c>
      <c r="H73" s="8">
        <v>8.3973420000000001</v>
      </c>
      <c r="I73" s="8">
        <v>-82.891425999999996</v>
      </c>
      <c r="J73" s="21" t="s">
        <v>95</v>
      </c>
    </row>
    <row r="74" spans="1:10" hidden="1" x14ac:dyDescent="0.3">
      <c r="A74" s="20">
        <v>1</v>
      </c>
      <c r="B74" s="8">
        <v>90</v>
      </c>
      <c r="C74" s="8" t="s">
        <v>127</v>
      </c>
      <c r="D74" s="8" t="s">
        <v>77</v>
      </c>
      <c r="E74" s="8" t="s">
        <v>93</v>
      </c>
      <c r="F74" s="8" t="s">
        <v>117</v>
      </c>
      <c r="G74" s="8" t="s">
        <v>12</v>
      </c>
      <c r="H74" s="8">
        <v>8.349596</v>
      </c>
      <c r="I74" s="8">
        <v>-82.833843999999999</v>
      </c>
      <c r="J74" s="21" t="s">
        <v>95</v>
      </c>
    </row>
    <row r="75" spans="1:10" hidden="1" x14ac:dyDescent="0.3">
      <c r="A75" s="20">
        <v>1</v>
      </c>
      <c r="B75" s="8">
        <v>91</v>
      </c>
      <c r="C75" s="8" t="s">
        <v>128</v>
      </c>
      <c r="D75" s="8" t="s">
        <v>77</v>
      </c>
      <c r="E75" s="8" t="s">
        <v>93</v>
      </c>
      <c r="F75" s="8" t="s">
        <v>117</v>
      </c>
      <c r="G75" s="8" t="s">
        <v>99</v>
      </c>
      <c r="H75" s="8">
        <v>8.4071890000000007</v>
      </c>
      <c r="I75" s="8">
        <v>-82.888166999999996</v>
      </c>
      <c r="J75" s="21" t="s">
        <v>100</v>
      </c>
    </row>
    <row r="76" spans="1:10" hidden="1" x14ac:dyDescent="0.3">
      <c r="A76" s="20">
        <v>1</v>
      </c>
      <c r="B76" s="8">
        <v>92</v>
      </c>
      <c r="C76" s="8" t="s">
        <v>129</v>
      </c>
      <c r="D76" s="8" t="s">
        <v>77</v>
      </c>
      <c r="E76" s="8" t="s">
        <v>93</v>
      </c>
      <c r="F76" s="8" t="s">
        <v>117</v>
      </c>
      <c r="G76" s="8" t="s">
        <v>12</v>
      </c>
      <c r="H76" s="8">
        <v>8.4003610000000002</v>
      </c>
      <c r="I76" s="8">
        <v>-82.950248999999999</v>
      </c>
      <c r="J76" s="21" t="s">
        <v>119</v>
      </c>
    </row>
    <row r="77" spans="1:10" hidden="1" x14ac:dyDescent="0.3">
      <c r="A77" s="20">
        <v>1</v>
      </c>
      <c r="B77" s="8">
        <v>93</v>
      </c>
      <c r="C77" s="8" t="s">
        <v>130</v>
      </c>
      <c r="D77" s="8" t="s">
        <v>77</v>
      </c>
      <c r="E77" s="8" t="s">
        <v>93</v>
      </c>
      <c r="F77" s="8" t="s">
        <v>117</v>
      </c>
      <c r="G77" s="8" t="s">
        <v>12</v>
      </c>
      <c r="H77" s="8">
        <v>8.3258810000000008</v>
      </c>
      <c r="I77" s="8">
        <v>-82.817966999999996</v>
      </c>
      <c r="J77" s="21" t="s">
        <v>95</v>
      </c>
    </row>
    <row r="78" spans="1:10" hidden="1" x14ac:dyDescent="0.3">
      <c r="A78" s="20">
        <v>1</v>
      </c>
      <c r="B78" s="8">
        <v>94</v>
      </c>
      <c r="C78" s="8" t="s">
        <v>131</v>
      </c>
      <c r="D78" s="8" t="s">
        <v>77</v>
      </c>
      <c r="E78" s="8" t="s">
        <v>93</v>
      </c>
      <c r="F78" s="8" t="s">
        <v>117</v>
      </c>
      <c r="G78" s="8" t="s">
        <v>12</v>
      </c>
      <c r="H78" s="8">
        <v>8.3392379999999999</v>
      </c>
      <c r="I78" s="8">
        <v>-82.806692999999996</v>
      </c>
      <c r="J78" s="21" t="s">
        <v>95</v>
      </c>
    </row>
    <row r="79" spans="1:10" hidden="1" x14ac:dyDescent="0.3">
      <c r="A79" s="20">
        <v>1</v>
      </c>
      <c r="B79" s="8">
        <v>95</v>
      </c>
      <c r="C79" s="8" t="s">
        <v>132</v>
      </c>
      <c r="D79" s="8" t="s">
        <v>77</v>
      </c>
      <c r="E79" s="8" t="s">
        <v>93</v>
      </c>
      <c r="F79" s="8" t="s">
        <v>117</v>
      </c>
      <c r="G79" s="8" t="s">
        <v>12</v>
      </c>
      <c r="H79" s="8">
        <v>8.3713619999999995</v>
      </c>
      <c r="I79" s="8">
        <v>-82.887193999999994</v>
      </c>
      <c r="J79" s="21" t="s">
        <v>100</v>
      </c>
    </row>
    <row r="80" spans="1:10" hidden="1" x14ac:dyDescent="0.3">
      <c r="A80" s="20">
        <v>1</v>
      </c>
      <c r="B80" s="8">
        <v>96</v>
      </c>
      <c r="C80" s="8" t="s">
        <v>133</v>
      </c>
      <c r="D80" s="8" t="s">
        <v>77</v>
      </c>
      <c r="E80" s="8" t="s">
        <v>93</v>
      </c>
      <c r="F80" s="8" t="s">
        <v>117</v>
      </c>
      <c r="G80" s="8" t="s">
        <v>12</v>
      </c>
      <c r="H80" s="8">
        <v>8.3831389999999999</v>
      </c>
      <c r="I80" s="8">
        <v>-82.876480000000001</v>
      </c>
      <c r="J80" s="21" t="s">
        <v>124</v>
      </c>
    </row>
    <row r="81" spans="1:10" hidden="1" x14ac:dyDescent="0.3">
      <c r="A81" s="20">
        <v>1</v>
      </c>
      <c r="B81" s="8">
        <v>97</v>
      </c>
      <c r="C81" s="8" t="s">
        <v>134</v>
      </c>
      <c r="D81" s="8" t="s">
        <v>77</v>
      </c>
      <c r="E81" s="8" t="s">
        <v>93</v>
      </c>
      <c r="F81" s="8" t="s">
        <v>117</v>
      </c>
      <c r="G81" s="8" t="s">
        <v>12</v>
      </c>
      <c r="H81" s="8">
        <v>8.3392499999999998</v>
      </c>
      <c r="I81" s="8">
        <v>-82.806915000000004</v>
      </c>
      <c r="J81" s="21" t="s">
        <v>95</v>
      </c>
    </row>
    <row r="82" spans="1:10" hidden="1" x14ac:dyDescent="0.3">
      <c r="A82" s="20">
        <v>1</v>
      </c>
      <c r="B82" s="8">
        <v>98</v>
      </c>
      <c r="C82" s="8" t="s">
        <v>135</v>
      </c>
      <c r="D82" s="8" t="s">
        <v>77</v>
      </c>
      <c r="E82" s="8" t="s">
        <v>93</v>
      </c>
      <c r="F82" s="8" t="s">
        <v>117</v>
      </c>
      <c r="G82" s="8" t="s">
        <v>12</v>
      </c>
      <c r="H82" s="8">
        <v>8.4153739999999999</v>
      </c>
      <c r="I82" s="8">
        <v>-82.930785999999998</v>
      </c>
      <c r="J82" s="21" t="s">
        <v>119</v>
      </c>
    </row>
    <row r="83" spans="1:10" hidden="1" x14ac:dyDescent="0.3">
      <c r="A83" s="20">
        <v>1</v>
      </c>
      <c r="B83" s="8">
        <v>99</v>
      </c>
      <c r="C83" s="8" t="s">
        <v>136</v>
      </c>
      <c r="D83" s="8" t="s">
        <v>77</v>
      </c>
      <c r="E83" s="8" t="s">
        <v>137</v>
      </c>
      <c r="F83" s="8" t="s">
        <v>137</v>
      </c>
      <c r="G83" s="8" t="s">
        <v>12</v>
      </c>
      <c r="H83" s="8">
        <v>8.5523050000000005</v>
      </c>
      <c r="I83" s="8">
        <v>-82.592471000000003</v>
      </c>
      <c r="J83" s="21" t="s">
        <v>138</v>
      </c>
    </row>
    <row r="84" spans="1:10" hidden="1" x14ac:dyDescent="0.3">
      <c r="A84" s="20">
        <v>1</v>
      </c>
      <c r="B84" s="8">
        <v>100</v>
      </c>
      <c r="C84" s="8" t="s">
        <v>139</v>
      </c>
      <c r="D84" s="8" t="s">
        <v>77</v>
      </c>
      <c r="E84" s="8" t="s">
        <v>137</v>
      </c>
      <c r="F84" s="8" t="s">
        <v>137</v>
      </c>
      <c r="G84" s="8" t="s">
        <v>12</v>
      </c>
      <c r="H84" s="8">
        <v>8.5070879999999995</v>
      </c>
      <c r="I84" s="8">
        <v>-82.570997000000006</v>
      </c>
      <c r="J84" s="21" t="s">
        <v>140</v>
      </c>
    </row>
    <row r="85" spans="1:10" hidden="1" x14ac:dyDescent="0.3">
      <c r="A85" s="20">
        <v>1</v>
      </c>
      <c r="B85" s="8">
        <v>101</v>
      </c>
      <c r="C85" s="8" t="s">
        <v>141</v>
      </c>
      <c r="D85" s="8" t="s">
        <v>77</v>
      </c>
      <c r="E85" s="8" t="s">
        <v>137</v>
      </c>
      <c r="F85" s="8" t="s">
        <v>142</v>
      </c>
      <c r="G85" s="8" t="s">
        <v>12</v>
      </c>
      <c r="H85" s="8">
        <v>8.4980340000000005</v>
      </c>
      <c r="I85" s="8">
        <v>-82.592449000000002</v>
      </c>
      <c r="J85" s="21" t="s">
        <v>140</v>
      </c>
    </row>
    <row r="86" spans="1:10" hidden="1" x14ac:dyDescent="0.3">
      <c r="A86" s="20">
        <v>1</v>
      </c>
      <c r="B86" s="8">
        <v>103</v>
      </c>
      <c r="C86" s="8" t="s">
        <v>143</v>
      </c>
      <c r="D86" s="8" t="s">
        <v>77</v>
      </c>
      <c r="E86" s="8" t="s">
        <v>144</v>
      </c>
      <c r="F86" s="8" t="s">
        <v>145</v>
      </c>
      <c r="G86" s="8" t="s">
        <v>12</v>
      </c>
      <c r="H86" s="8">
        <v>8.7323819999999994</v>
      </c>
      <c r="I86" s="8">
        <v>-82.434166000000005</v>
      </c>
      <c r="J86" s="21" t="s">
        <v>146</v>
      </c>
    </row>
    <row r="87" spans="1:10" hidden="1" x14ac:dyDescent="0.3">
      <c r="A87" s="20">
        <v>1</v>
      </c>
      <c r="B87" s="8">
        <v>104</v>
      </c>
      <c r="C87" s="8" t="s">
        <v>147</v>
      </c>
      <c r="D87" s="8" t="s">
        <v>77</v>
      </c>
      <c r="E87" s="8" t="s">
        <v>144</v>
      </c>
      <c r="F87" s="8" t="s">
        <v>145</v>
      </c>
      <c r="G87" s="8" t="s">
        <v>33</v>
      </c>
      <c r="H87" s="8">
        <v>8.7452959999999997</v>
      </c>
      <c r="I87" s="8">
        <v>-82.432561000000007</v>
      </c>
      <c r="J87" s="21" t="s">
        <v>148</v>
      </c>
    </row>
    <row r="88" spans="1:10" hidden="1" x14ac:dyDescent="0.3">
      <c r="A88" s="20">
        <v>1</v>
      </c>
      <c r="B88" s="8">
        <v>105</v>
      </c>
      <c r="C88" s="8" t="s">
        <v>149</v>
      </c>
      <c r="D88" s="8" t="s">
        <v>77</v>
      </c>
      <c r="E88" s="8" t="s">
        <v>144</v>
      </c>
      <c r="F88" s="8" t="s">
        <v>150</v>
      </c>
      <c r="G88" s="8" t="s">
        <v>33</v>
      </c>
      <c r="H88" s="8">
        <v>8.7967490000000002</v>
      </c>
      <c r="I88" s="8">
        <v>-82.428303999999997</v>
      </c>
      <c r="J88" s="21" t="s">
        <v>148</v>
      </c>
    </row>
    <row r="89" spans="1:10" hidden="1" x14ac:dyDescent="0.3">
      <c r="A89" s="20">
        <v>1</v>
      </c>
      <c r="B89" s="8">
        <v>106</v>
      </c>
      <c r="C89" s="8" t="s">
        <v>151</v>
      </c>
      <c r="D89" s="8" t="s">
        <v>77</v>
      </c>
      <c r="E89" s="8" t="s">
        <v>144</v>
      </c>
      <c r="F89" s="8" t="s">
        <v>150</v>
      </c>
      <c r="G89" s="8" t="s">
        <v>33</v>
      </c>
      <c r="H89" s="8">
        <v>8.7760929999999995</v>
      </c>
      <c r="I89" s="8">
        <v>-82.433406000000005</v>
      </c>
      <c r="J89" s="21" t="s">
        <v>148</v>
      </c>
    </row>
    <row r="90" spans="1:10" hidden="1" x14ac:dyDescent="0.3">
      <c r="A90" s="20">
        <v>1</v>
      </c>
      <c r="B90" s="8">
        <v>107</v>
      </c>
      <c r="C90" s="8" t="s">
        <v>152</v>
      </c>
      <c r="D90" s="8" t="s">
        <v>77</v>
      </c>
      <c r="E90" s="8" t="s">
        <v>144</v>
      </c>
      <c r="F90" s="8" t="s">
        <v>150</v>
      </c>
      <c r="G90" s="8" t="s">
        <v>12</v>
      </c>
      <c r="H90" s="8">
        <v>8.7692490000000003</v>
      </c>
      <c r="I90" s="8">
        <v>-82.445526000000001</v>
      </c>
      <c r="J90" s="21" t="s">
        <v>146</v>
      </c>
    </row>
    <row r="91" spans="1:10" hidden="1" x14ac:dyDescent="0.3">
      <c r="A91" s="20">
        <v>1</v>
      </c>
      <c r="B91" s="8">
        <v>108</v>
      </c>
      <c r="C91" s="8" t="s">
        <v>153</v>
      </c>
      <c r="D91" s="8" t="s">
        <v>77</v>
      </c>
      <c r="E91" s="8" t="s">
        <v>154</v>
      </c>
      <c r="F91" s="8" t="s">
        <v>155</v>
      </c>
      <c r="G91" s="8" t="s">
        <v>12</v>
      </c>
      <c r="H91" s="8">
        <v>8.4892540000000007</v>
      </c>
      <c r="I91" s="8">
        <v>-82.789991999999998</v>
      </c>
      <c r="J91" s="21" t="s">
        <v>82</v>
      </c>
    </row>
    <row r="92" spans="1:10" hidden="1" x14ac:dyDescent="0.3">
      <c r="A92" s="20">
        <v>1</v>
      </c>
      <c r="B92" s="8">
        <v>109</v>
      </c>
      <c r="C92" s="8" t="s">
        <v>156</v>
      </c>
      <c r="D92" s="8" t="s">
        <v>77</v>
      </c>
      <c r="E92" s="8" t="s">
        <v>154</v>
      </c>
      <c r="F92" s="8" t="s">
        <v>155</v>
      </c>
      <c r="G92" s="8" t="s">
        <v>12</v>
      </c>
      <c r="H92" s="8">
        <v>8.489039</v>
      </c>
      <c r="I92" s="8">
        <v>-82.787958000000003</v>
      </c>
      <c r="J92" s="21" t="s">
        <v>86</v>
      </c>
    </row>
    <row r="93" spans="1:10" hidden="1" x14ac:dyDescent="0.3">
      <c r="A93" s="20">
        <v>1</v>
      </c>
      <c r="B93" s="8">
        <v>110</v>
      </c>
      <c r="C93" s="8" t="s">
        <v>157</v>
      </c>
      <c r="D93" s="8" t="s">
        <v>77</v>
      </c>
      <c r="E93" s="8" t="s">
        <v>154</v>
      </c>
      <c r="F93" s="8" t="s">
        <v>155</v>
      </c>
      <c r="G93" s="8" t="s">
        <v>12</v>
      </c>
      <c r="H93" s="8">
        <v>8.5628670000000007</v>
      </c>
      <c r="I93" s="8">
        <v>-82.740414000000001</v>
      </c>
      <c r="J93" s="21" t="s">
        <v>45</v>
      </c>
    </row>
    <row r="94" spans="1:10" hidden="1" x14ac:dyDescent="0.3">
      <c r="A94" s="20">
        <v>1</v>
      </c>
      <c r="B94" s="8">
        <v>111</v>
      </c>
      <c r="C94" s="8" t="s">
        <v>158</v>
      </c>
      <c r="D94" s="8" t="s">
        <v>77</v>
      </c>
      <c r="E94" s="8" t="s">
        <v>154</v>
      </c>
      <c r="F94" s="8" t="s">
        <v>155</v>
      </c>
      <c r="G94" s="8" t="s">
        <v>12</v>
      </c>
      <c r="H94" s="8">
        <v>8.4870269999999994</v>
      </c>
      <c r="I94" s="8">
        <v>-82.779692999999995</v>
      </c>
      <c r="J94" s="21" t="s">
        <v>159</v>
      </c>
    </row>
    <row r="95" spans="1:10" hidden="1" x14ac:dyDescent="0.3">
      <c r="A95" s="20">
        <v>1</v>
      </c>
      <c r="B95" s="8">
        <v>112</v>
      </c>
      <c r="C95" s="8" t="s">
        <v>160</v>
      </c>
      <c r="D95" s="8" t="s">
        <v>77</v>
      </c>
      <c r="E95" s="8" t="s">
        <v>154</v>
      </c>
      <c r="F95" s="8" t="s">
        <v>155</v>
      </c>
      <c r="G95" s="8" t="s">
        <v>12</v>
      </c>
      <c r="H95" s="8">
        <v>8.4822220000000002</v>
      </c>
      <c r="I95" s="8">
        <v>-82.815482000000003</v>
      </c>
      <c r="J95" s="21" t="s">
        <v>80</v>
      </c>
    </row>
    <row r="96" spans="1:10" hidden="1" x14ac:dyDescent="0.3">
      <c r="A96" s="20">
        <v>1</v>
      </c>
      <c r="B96" s="8">
        <v>113</v>
      </c>
      <c r="C96" s="8" t="s">
        <v>161</v>
      </c>
      <c r="D96" s="8" t="s">
        <v>77</v>
      </c>
      <c r="E96" s="8" t="s">
        <v>154</v>
      </c>
      <c r="F96" s="8" t="s">
        <v>155</v>
      </c>
      <c r="G96" s="8" t="s">
        <v>12</v>
      </c>
      <c r="H96" s="8">
        <v>8.5446200000000001</v>
      </c>
      <c r="I96" s="8">
        <v>-82.021127000000007</v>
      </c>
      <c r="J96" s="21" t="s">
        <v>159</v>
      </c>
    </row>
    <row r="97" spans="1:10" hidden="1" x14ac:dyDescent="0.3">
      <c r="A97" s="20">
        <v>1</v>
      </c>
      <c r="B97" s="8">
        <v>114</v>
      </c>
      <c r="C97" s="8" t="s">
        <v>162</v>
      </c>
      <c r="D97" s="8" t="s">
        <v>77</v>
      </c>
      <c r="E97" s="8" t="s">
        <v>154</v>
      </c>
      <c r="F97" s="8" t="s">
        <v>155</v>
      </c>
      <c r="G97" s="8" t="s">
        <v>12</v>
      </c>
      <c r="H97" s="8">
        <v>8.5661170000000002</v>
      </c>
      <c r="I97" s="8">
        <v>-82.786797000000007</v>
      </c>
      <c r="J97" s="21" t="s">
        <v>122</v>
      </c>
    </row>
    <row r="98" spans="1:10" hidden="1" x14ac:dyDescent="0.3">
      <c r="A98" s="20">
        <v>1</v>
      </c>
      <c r="B98" s="8">
        <v>115</v>
      </c>
      <c r="C98" s="8" t="s">
        <v>163</v>
      </c>
      <c r="D98" s="8" t="s">
        <v>77</v>
      </c>
      <c r="E98" s="8" t="s">
        <v>154</v>
      </c>
      <c r="F98" s="8" t="s">
        <v>155</v>
      </c>
      <c r="G98" s="8" t="s">
        <v>33</v>
      </c>
      <c r="H98" s="8">
        <v>8.5333799999999993</v>
      </c>
      <c r="I98" s="8">
        <v>-82.830779000000007</v>
      </c>
      <c r="J98" s="21" t="s">
        <v>164</v>
      </c>
    </row>
    <row r="99" spans="1:10" hidden="1" x14ac:dyDescent="0.3">
      <c r="A99" s="20">
        <v>1</v>
      </c>
      <c r="B99" s="8">
        <v>116</v>
      </c>
      <c r="C99" s="8" t="s">
        <v>165</v>
      </c>
      <c r="D99" s="8" t="s">
        <v>77</v>
      </c>
      <c r="E99" s="8" t="s">
        <v>154</v>
      </c>
      <c r="F99" s="8" t="s">
        <v>155</v>
      </c>
      <c r="G99" s="8" t="s">
        <v>12</v>
      </c>
      <c r="H99" s="8">
        <v>8.5627200000000006</v>
      </c>
      <c r="I99" s="8">
        <v>-82.799918000000005</v>
      </c>
      <c r="J99" s="21" t="s">
        <v>159</v>
      </c>
    </row>
    <row r="100" spans="1:10" hidden="1" x14ac:dyDescent="0.3">
      <c r="A100" s="20">
        <v>1</v>
      </c>
      <c r="B100" s="8">
        <v>117</v>
      </c>
      <c r="C100" s="8" t="s">
        <v>166</v>
      </c>
      <c r="D100" s="8" t="s">
        <v>77</v>
      </c>
      <c r="E100" s="8" t="s">
        <v>154</v>
      </c>
      <c r="F100" s="8" t="s">
        <v>155</v>
      </c>
      <c r="G100" s="8" t="s">
        <v>12</v>
      </c>
      <c r="H100" s="8">
        <v>8.483333</v>
      </c>
      <c r="I100" s="8">
        <v>-82.8</v>
      </c>
      <c r="J100" s="21" t="s">
        <v>100</v>
      </c>
    </row>
    <row r="101" spans="1:10" hidden="1" x14ac:dyDescent="0.3">
      <c r="A101" s="20">
        <v>1</v>
      </c>
      <c r="B101" s="8">
        <v>118</v>
      </c>
      <c r="C101" s="8" t="s">
        <v>167</v>
      </c>
      <c r="D101" s="8" t="s">
        <v>77</v>
      </c>
      <c r="E101" s="8" t="s">
        <v>154</v>
      </c>
      <c r="F101" s="8" t="s">
        <v>154</v>
      </c>
      <c r="G101" s="8" t="s">
        <v>33</v>
      </c>
      <c r="H101" s="8">
        <v>8.4963639999999998</v>
      </c>
      <c r="I101" s="8">
        <v>-82.636814000000001</v>
      </c>
      <c r="J101" s="21" t="s">
        <v>168</v>
      </c>
    </row>
    <row r="102" spans="1:10" hidden="1" x14ac:dyDescent="0.3">
      <c r="A102" s="20">
        <v>1</v>
      </c>
      <c r="B102" s="8">
        <v>119</v>
      </c>
      <c r="C102" s="8" t="s">
        <v>169</v>
      </c>
      <c r="D102" s="8" t="s">
        <v>77</v>
      </c>
      <c r="E102" s="8" t="s">
        <v>154</v>
      </c>
      <c r="F102" s="8" t="s">
        <v>154</v>
      </c>
      <c r="G102" s="8" t="s">
        <v>33</v>
      </c>
      <c r="H102" s="8">
        <v>8.5025849999999998</v>
      </c>
      <c r="I102" s="8">
        <v>-82.614278999999996</v>
      </c>
      <c r="J102" s="21" t="s">
        <v>107</v>
      </c>
    </row>
    <row r="103" spans="1:10" hidden="1" x14ac:dyDescent="0.3">
      <c r="A103" s="20">
        <v>1</v>
      </c>
      <c r="B103" s="8">
        <v>120</v>
      </c>
      <c r="C103" s="8" t="s">
        <v>170</v>
      </c>
      <c r="D103" s="8" t="s">
        <v>77</v>
      </c>
      <c r="E103" s="8" t="s">
        <v>154</v>
      </c>
      <c r="F103" s="8" t="s">
        <v>154</v>
      </c>
      <c r="G103" s="8" t="s">
        <v>12</v>
      </c>
      <c r="H103" s="8">
        <v>8.518929</v>
      </c>
      <c r="I103" s="8">
        <v>-82.624487999999999</v>
      </c>
      <c r="J103" s="21" t="s">
        <v>164</v>
      </c>
    </row>
    <row r="104" spans="1:10" hidden="1" x14ac:dyDescent="0.3">
      <c r="A104" s="20">
        <v>1</v>
      </c>
      <c r="B104" s="8">
        <v>121</v>
      </c>
      <c r="C104" s="8" t="s">
        <v>171</v>
      </c>
      <c r="D104" s="8" t="s">
        <v>77</v>
      </c>
      <c r="E104" s="8" t="s">
        <v>172</v>
      </c>
      <c r="F104" s="8" t="s">
        <v>173</v>
      </c>
      <c r="G104" s="8" t="s">
        <v>12</v>
      </c>
      <c r="H104" s="8">
        <v>8.8619059999999994</v>
      </c>
      <c r="I104" s="8">
        <v>-82.579029000000006</v>
      </c>
      <c r="J104" s="21" t="s">
        <v>174</v>
      </c>
    </row>
    <row r="105" spans="1:10" hidden="1" x14ac:dyDescent="0.3">
      <c r="A105" s="20">
        <v>1</v>
      </c>
      <c r="B105" s="8">
        <v>122</v>
      </c>
      <c r="C105" s="8" t="s">
        <v>175</v>
      </c>
      <c r="D105" s="8" t="s">
        <v>77</v>
      </c>
      <c r="E105" s="8" t="s">
        <v>172</v>
      </c>
      <c r="F105" s="8" t="s">
        <v>173</v>
      </c>
      <c r="G105" s="8" t="s">
        <v>12</v>
      </c>
      <c r="H105" s="8">
        <v>8.853529</v>
      </c>
      <c r="I105" s="8">
        <v>-82.573999999999998</v>
      </c>
      <c r="J105" s="21" t="s">
        <v>174</v>
      </c>
    </row>
    <row r="106" spans="1:10" hidden="1" x14ac:dyDescent="0.3">
      <c r="A106" s="20">
        <v>1</v>
      </c>
      <c r="B106" s="8">
        <v>123</v>
      </c>
      <c r="C106" s="8" t="s">
        <v>176</v>
      </c>
      <c r="D106" s="8" t="s">
        <v>77</v>
      </c>
      <c r="E106" s="8" t="s">
        <v>154</v>
      </c>
      <c r="F106" s="8"/>
      <c r="G106" s="8" t="s">
        <v>12</v>
      </c>
      <c r="H106" s="8">
        <v>8.8691770000000005</v>
      </c>
      <c r="I106" s="8">
        <v>-82.567344000000006</v>
      </c>
      <c r="J106" s="21" t="s">
        <v>174</v>
      </c>
    </row>
    <row r="107" spans="1:10" hidden="1" x14ac:dyDescent="0.3">
      <c r="A107" s="20">
        <v>1</v>
      </c>
      <c r="B107" s="8">
        <v>124</v>
      </c>
      <c r="C107" s="8" t="s">
        <v>177</v>
      </c>
      <c r="D107" s="8" t="s">
        <v>77</v>
      </c>
      <c r="E107" s="8" t="s">
        <v>172</v>
      </c>
      <c r="F107" s="8" t="s">
        <v>173</v>
      </c>
      <c r="G107" s="8" t="s">
        <v>12</v>
      </c>
      <c r="H107" s="8">
        <v>8.7927009999999992</v>
      </c>
      <c r="I107" s="8">
        <v>-82.628148999999993</v>
      </c>
      <c r="J107" s="21" t="s">
        <v>88</v>
      </c>
    </row>
    <row r="108" spans="1:10" hidden="1" x14ac:dyDescent="0.3">
      <c r="A108" s="20">
        <v>1</v>
      </c>
      <c r="B108" s="8">
        <v>125</v>
      </c>
      <c r="C108" s="8" t="s">
        <v>178</v>
      </c>
      <c r="D108" s="8" t="s">
        <v>77</v>
      </c>
      <c r="E108" s="8" t="s">
        <v>154</v>
      </c>
      <c r="F108" s="8" t="s">
        <v>179</v>
      </c>
      <c r="G108" s="8" t="s">
        <v>12</v>
      </c>
      <c r="H108" s="8">
        <v>8.5623050000000003</v>
      </c>
      <c r="I108" s="8">
        <v>-82.740249000000006</v>
      </c>
      <c r="J108" s="21" t="s">
        <v>138</v>
      </c>
    </row>
    <row r="109" spans="1:10" hidden="1" x14ac:dyDescent="0.3">
      <c r="A109" s="20">
        <v>1</v>
      </c>
      <c r="B109" s="8">
        <v>126</v>
      </c>
      <c r="C109" s="8" t="s">
        <v>180</v>
      </c>
      <c r="D109" s="8" t="s">
        <v>77</v>
      </c>
      <c r="E109" s="8" t="s">
        <v>154</v>
      </c>
      <c r="F109" s="8" t="s">
        <v>179</v>
      </c>
      <c r="G109" s="8" t="s">
        <v>12</v>
      </c>
      <c r="H109" s="8">
        <v>8.5500830000000008</v>
      </c>
      <c r="I109" s="8">
        <v>-82.757749000000004</v>
      </c>
      <c r="J109" s="21" t="s">
        <v>159</v>
      </c>
    </row>
    <row r="110" spans="1:10" hidden="1" x14ac:dyDescent="0.3">
      <c r="A110" s="20">
        <v>1</v>
      </c>
      <c r="B110" s="8">
        <v>128</v>
      </c>
      <c r="C110" s="8" t="s">
        <v>181</v>
      </c>
      <c r="D110" s="8" t="s">
        <v>77</v>
      </c>
      <c r="E110" s="8" t="s">
        <v>154</v>
      </c>
      <c r="F110" s="8" t="s">
        <v>182</v>
      </c>
      <c r="G110" s="8" t="s">
        <v>12</v>
      </c>
      <c r="H110" s="8">
        <v>8.5161090000000002</v>
      </c>
      <c r="I110" s="8">
        <v>-82.623138999999995</v>
      </c>
      <c r="J110" s="21" t="s">
        <v>164</v>
      </c>
    </row>
    <row r="111" spans="1:10" hidden="1" x14ac:dyDescent="0.3">
      <c r="A111" s="20">
        <v>1</v>
      </c>
      <c r="B111" s="8">
        <v>129</v>
      </c>
      <c r="C111" s="8" t="s">
        <v>183</v>
      </c>
      <c r="D111" s="8" t="s">
        <v>77</v>
      </c>
      <c r="E111" s="8" t="s">
        <v>154</v>
      </c>
      <c r="F111" s="8" t="s">
        <v>182</v>
      </c>
      <c r="G111" s="8" t="s">
        <v>12</v>
      </c>
      <c r="H111" s="8">
        <v>8.5173970000000008</v>
      </c>
      <c r="I111" s="8">
        <v>-82.618121000000002</v>
      </c>
      <c r="J111" s="21" t="s">
        <v>164</v>
      </c>
    </row>
    <row r="112" spans="1:10" hidden="1" x14ac:dyDescent="0.3">
      <c r="A112" s="20">
        <v>1</v>
      </c>
      <c r="B112" s="8">
        <v>131</v>
      </c>
      <c r="C112" s="8" t="s">
        <v>184</v>
      </c>
      <c r="D112" s="8" t="s">
        <v>77</v>
      </c>
      <c r="E112" s="8" t="s">
        <v>154</v>
      </c>
      <c r="F112" s="8" t="s">
        <v>182</v>
      </c>
      <c r="G112" s="8" t="s">
        <v>12</v>
      </c>
      <c r="H112" s="8">
        <v>8.5187489999999997</v>
      </c>
      <c r="I112" s="8">
        <v>-82.621190999999996</v>
      </c>
      <c r="J112" s="21" t="s">
        <v>107</v>
      </c>
    </row>
    <row r="113" spans="1:10" hidden="1" x14ac:dyDescent="0.3">
      <c r="A113" s="20">
        <v>1</v>
      </c>
      <c r="B113" s="8">
        <v>132</v>
      </c>
      <c r="C113" s="8" t="s">
        <v>185</v>
      </c>
      <c r="D113" s="8" t="s">
        <v>77</v>
      </c>
      <c r="E113" s="8" t="s">
        <v>154</v>
      </c>
      <c r="F113" s="8" t="s">
        <v>182</v>
      </c>
      <c r="G113" s="8" t="s">
        <v>12</v>
      </c>
      <c r="H113" s="8">
        <v>8.6773179999999996</v>
      </c>
      <c r="I113" s="8">
        <v>-82.624257999999998</v>
      </c>
      <c r="J113" s="21" t="s">
        <v>88</v>
      </c>
    </row>
    <row r="114" spans="1:10" hidden="1" x14ac:dyDescent="0.3">
      <c r="A114" s="20">
        <v>1</v>
      </c>
      <c r="B114" s="8">
        <v>133</v>
      </c>
      <c r="C114" s="8" t="s">
        <v>186</v>
      </c>
      <c r="D114" s="8" t="s">
        <v>77</v>
      </c>
      <c r="E114" s="8" t="s">
        <v>154</v>
      </c>
      <c r="F114" s="8" t="s">
        <v>182</v>
      </c>
      <c r="G114" s="8" t="s">
        <v>12</v>
      </c>
      <c r="H114" s="8">
        <v>8.5158000000000005</v>
      </c>
      <c r="I114" s="8">
        <v>-82.611885999999998</v>
      </c>
      <c r="J114" s="21" t="s">
        <v>107</v>
      </c>
    </row>
    <row r="115" spans="1:10" hidden="1" x14ac:dyDescent="0.3">
      <c r="A115" s="20">
        <v>1</v>
      </c>
      <c r="B115" s="8">
        <v>134</v>
      </c>
      <c r="C115" s="8" t="s">
        <v>187</v>
      </c>
      <c r="D115" s="8" t="s">
        <v>77</v>
      </c>
      <c r="E115" s="8" t="s">
        <v>154</v>
      </c>
      <c r="F115" s="8" t="s">
        <v>182</v>
      </c>
      <c r="G115" s="8" t="s">
        <v>12</v>
      </c>
      <c r="H115" s="8">
        <v>8.5925829999999994</v>
      </c>
      <c r="I115" s="8">
        <v>-82.636638000000005</v>
      </c>
      <c r="J115" s="21" t="s">
        <v>88</v>
      </c>
    </row>
    <row r="116" spans="1:10" hidden="1" x14ac:dyDescent="0.3">
      <c r="A116" s="20">
        <v>1</v>
      </c>
      <c r="B116" s="8">
        <v>135</v>
      </c>
      <c r="C116" s="8" t="s">
        <v>188</v>
      </c>
      <c r="D116" s="8" t="s">
        <v>77</v>
      </c>
      <c r="E116" s="8" t="s">
        <v>154</v>
      </c>
      <c r="F116" s="8" t="s">
        <v>182</v>
      </c>
      <c r="G116" s="8" t="s">
        <v>12</v>
      </c>
      <c r="H116" s="8">
        <v>8.5153169999999996</v>
      </c>
      <c r="I116" s="8">
        <v>-82.628041999999994</v>
      </c>
      <c r="J116" s="21" t="s">
        <v>107</v>
      </c>
    </row>
    <row r="117" spans="1:10" hidden="1" x14ac:dyDescent="0.3">
      <c r="A117" s="20">
        <v>1</v>
      </c>
      <c r="B117" s="8">
        <v>136</v>
      </c>
      <c r="C117" s="8" t="s">
        <v>189</v>
      </c>
      <c r="D117" s="8" t="s">
        <v>77</v>
      </c>
      <c r="E117" s="8" t="s">
        <v>154</v>
      </c>
      <c r="F117" s="8" t="s">
        <v>182</v>
      </c>
      <c r="G117" s="8" t="s">
        <v>12</v>
      </c>
      <c r="H117" s="8">
        <v>8.5202290000000005</v>
      </c>
      <c r="I117" s="8">
        <v>-82.627341999999999</v>
      </c>
      <c r="J117" s="21" t="s">
        <v>164</v>
      </c>
    </row>
    <row r="118" spans="1:10" hidden="1" x14ac:dyDescent="0.3">
      <c r="A118" s="20">
        <v>1</v>
      </c>
      <c r="B118" s="8">
        <v>137</v>
      </c>
      <c r="C118" s="8" t="s">
        <v>190</v>
      </c>
      <c r="D118" s="8" t="s">
        <v>77</v>
      </c>
      <c r="E118" s="8" t="s">
        <v>154</v>
      </c>
      <c r="F118" s="8" t="s">
        <v>182</v>
      </c>
      <c r="G118" s="8" t="s">
        <v>33</v>
      </c>
      <c r="H118" s="8">
        <v>8.5206590000000002</v>
      </c>
      <c r="I118" s="8">
        <v>-82.613268000000005</v>
      </c>
      <c r="J118" s="21" t="s">
        <v>168</v>
      </c>
    </row>
    <row r="119" spans="1:10" hidden="1" x14ac:dyDescent="0.3">
      <c r="A119" s="20">
        <v>1</v>
      </c>
      <c r="B119" s="8">
        <v>139</v>
      </c>
      <c r="C119" s="8" t="s">
        <v>191</v>
      </c>
      <c r="D119" s="8" t="s">
        <v>77</v>
      </c>
      <c r="E119" s="8" t="s">
        <v>154</v>
      </c>
      <c r="F119" s="8" t="s">
        <v>182</v>
      </c>
      <c r="G119" s="8" t="s">
        <v>12</v>
      </c>
      <c r="H119" s="8">
        <v>8.5159579999999995</v>
      </c>
      <c r="I119" s="8">
        <v>-82.619699999999995</v>
      </c>
      <c r="J119" s="21" t="s">
        <v>192</v>
      </c>
    </row>
    <row r="120" spans="1:10" hidden="1" x14ac:dyDescent="0.3">
      <c r="A120" s="20">
        <v>1</v>
      </c>
      <c r="B120" s="8">
        <v>142</v>
      </c>
      <c r="C120" s="8" t="s">
        <v>193</v>
      </c>
      <c r="D120" s="8" t="s">
        <v>77</v>
      </c>
      <c r="E120" s="8" t="s">
        <v>154</v>
      </c>
      <c r="F120" s="8" t="s">
        <v>182</v>
      </c>
      <c r="G120" s="8" t="s">
        <v>12</v>
      </c>
      <c r="H120" s="8">
        <v>8.5211299999999994</v>
      </c>
      <c r="I120" s="8">
        <v>-82.618429000000006</v>
      </c>
      <c r="J120" s="21" t="s">
        <v>80</v>
      </c>
    </row>
    <row r="121" spans="1:10" hidden="1" x14ac:dyDescent="0.3">
      <c r="A121" s="20">
        <v>1</v>
      </c>
      <c r="B121" s="8">
        <v>143</v>
      </c>
      <c r="C121" s="8" t="s">
        <v>194</v>
      </c>
      <c r="D121" s="8" t="s">
        <v>77</v>
      </c>
      <c r="E121" s="8" t="s">
        <v>154</v>
      </c>
      <c r="F121" s="8" t="s">
        <v>195</v>
      </c>
      <c r="G121" s="8" t="s">
        <v>12</v>
      </c>
      <c r="H121" s="8">
        <v>8.5179449999999992</v>
      </c>
      <c r="I121" s="8">
        <v>-82.671028000000007</v>
      </c>
      <c r="J121" s="21" t="s">
        <v>45</v>
      </c>
    </row>
    <row r="122" spans="1:10" hidden="1" x14ac:dyDescent="0.3">
      <c r="A122" s="20">
        <v>1</v>
      </c>
      <c r="B122" s="8">
        <v>144</v>
      </c>
      <c r="C122" s="8" t="s">
        <v>196</v>
      </c>
      <c r="D122" s="8" t="s">
        <v>77</v>
      </c>
      <c r="E122" s="8" t="s">
        <v>154</v>
      </c>
      <c r="F122" s="8" t="s">
        <v>195</v>
      </c>
      <c r="G122" s="8" t="s">
        <v>12</v>
      </c>
      <c r="H122" s="8">
        <v>8.5197260000000004</v>
      </c>
      <c r="I122" s="8">
        <v>-82.672055999999998</v>
      </c>
      <c r="J122" s="21" t="s">
        <v>197</v>
      </c>
    </row>
    <row r="123" spans="1:10" hidden="1" x14ac:dyDescent="0.3">
      <c r="A123" s="20">
        <v>1</v>
      </c>
      <c r="B123" s="8">
        <v>145</v>
      </c>
      <c r="C123" s="8" t="s">
        <v>198</v>
      </c>
      <c r="D123" s="8" t="s">
        <v>77</v>
      </c>
      <c r="E123" s="8" t="s">
        <v>154</v>
      </c>
      <c r="F123" s="8" t="s">
        <v>195</v>
      </c>
      <c r="G123" s="8" t="s">
        <v>12</v>
      </c>
      <c r="H123" s="8">
        <v>8.4684380000000008</v>
      </c>
      <c r="I123" s="8">
        <v>-82.675352000000004</v>
      </c>
      <c r="J123" s="21" t="s">
        <v>80</v>
      </c>
    </row>
    <row r="124" spans="1:10" hidden="1" x14ac:dyDescent="0.3">
      <c r="A124" s="20">
        <v>1</v>
      </c>
      <c r="B124" s="8">
        <v>146</v>
      </c>
      <c r="C124" s="8" t="s">
        <v>199</v>
      </c>
      <c r="D124" s="8" t="s">
        <v>77</v>
      </c>
      <c r="E124" s="8" t="s">
        <v>154</v>
      </c>
      <c r="F124" s="8" t="s">
        <v>195</v>
      </c>
      <c r="G124" s="8" t="s">
        <v>12</v>
      </c>
      <c r="H124" s="8">
        <v>8.5471710000000005</v>
      </c>
      <c r="I124" s="8">
        <v>-82.631968999999998</v>
      </c>
      <c r="J124" s="21" t="s">
        <v>45</v>
      </c>
    </row>
    <row r="125" spans="1:10" hidden="1" x14ac:dyDescent="0.3">
      <c r="A125" s="20">
        <v>1</v>
      </c>
      <c r="B125" s="8">
        <v>147</v>
      </c>
      <c r="C125" s="8" t="s">
        <v>200</v>
      </c>
      <c r="D125" s="8" t="s">
        <v>77</v>
      </c>
      <c r="E125" s="8" t="s">
        <v>154</v>
      </c>
      <c r="F125" s="8" t="s">
        <v>201</v>
      </c>
      <c r="G125" s="8" t="s">
        <v>12</v>
      </c>
      <c r="H125" s="8">
        <v>8.6044979999999995</v>
      </c>
      <c r="I125" s="8">
        <v>-82.728223</v>
      </c>
      <c r="J125" s="21" t="s">
        <v>86</v>
      </c>
    </row>
    <row r="126" spans="1:10" hidden="1" x14ac:dyDescent="0.3">
      <c r="A126" s="20">
        <v>1</v>
      </c>
      <c r="B126" s="8">
        <v>148</v>
      </c>
      <c r="C126" s="8" t="s">
        <v>202</v>
      </c>
      <c r="D126" s="8" t="s">
        <v>77</v>
      </c>
      <c r="E126" s="8" t="s">
        <v>154</v>
      </c>
      <c r="F126" s="8" t="s">
        <v>201</v>
      </c>
      <c r="G126" s="8" t="s">
        <v>12</v>
      </c>
      <c r="H126" s="8">
        <v>8.6361260000000009</v>
      </c>
      <c r="I126" s="8">
        <v>-82.729810000000001</v>
      </c>
      <c r="J126" s="21" t="s">
        <v>122</v>
      </c>
    </row>
    <row r="127" spans="1:10" hidden="1" x14ac:dyDescent="0.3">
      <c r="A127" s="20">
        <v>1</v>
      </c>
      <c r="B127" s="8">
        <v>149</v>
      </c>
      <c r="C127" s="8" t="s">
        <v>203</v>
      </c>
      <c r="D127" s="8" t="s">
        <v>77</v>
      </c>
      <c r="E127" s="8" t="s">
        <v>154</v>
      </c>
      <c r="F127" s="8" t="s">
        <v>201</v>
      </c>
      <c r="G127" s="8" t="s">
        <v>12</v>
      </c>
      <c r="H127" s="8">
        <v>8.6067060000000009</v>
      </c>
      <c r="I127" s="8">
        <v>-82.735619999999997</v>
      </c>
      <c r="J127" s="21" t="s">
        <v>86</v>
      </c>
    </row>
    <row r="128" spans="1:10" hidden="1" x14ac:dyDescent="0.3">
      <c r="A128" s="20">
        <v>1</v>
      </c>
      <c r="B128" s="8">
        <v>150</v>
      </c>
      <c r="C128" s="8" t="s">
        <v>204</v>
      </c>
      <c r="D128" s="8" t="s">
        <v>77</v>
      </c>
      <c r="E128" s="8" t="s">
        <v>154</v>
      </c>
      <c r="F128" s="8" t="s">
        <v>205</v>
      </c>
      <c r="G128" s="8" t="s">
        <v>12</v>
      </c>
      <c r="H128" s="8">
        <v>8.5167549999999999</v>
      </c>
      <c r="I128" s="8">
        <v>-82.699808000000004</v>
      </c>
      <c r="J128" s="21" t="s">
        <v>107</v>
      </c>
    </row>
    <row r="129" spans="1:10" hidden="1" x14ac:dyDescent="0.3">
      <c r="A129" s="20">
        <v>1</v>
      </c>
      <c r="B129" s="8">
        <v>151</v>
      </c>
      <c r="C129" s="8" t="s">
        <v>206</v>
      </c>
      <c r="D129" s="8" t="s">
        <v>77</v>
      </c>
      <c r="E129" s="8" t="s">
        <v>154</v>
      </c>
      <c r="F129" s="8" t="s">
        <v>207</v>
      </c>
      <c r="G129" s="8" t="s">
        <v>12</v>
      </c>
      <c r="H129" s="8">
        <v>8.4773840000000007</v>
      </c>
      <c r="I129" s="8">
        <v>-82.712063999999998</v>
      </c>
      <c r="J129" s="21" t="s">
        <v>107</v>
      </c>
    </row>
    <row r="130" spans="1:10" hidden="1" x14ac:dyDescent="0.3">
      <c r="A130" s="20">
        <v>1</v>
      </c>
      <c r="B130" s="8">
        <v>152</v>
      </c>
      <c r="C130" s="8" t="s">
        <v>208</v>
      </c>
      <c r="D130" s="8" t="s">
        <v>77</v>
      </c>
      <c r="E130" s="8" t="s">
        <v>154</v>
      </c>
      <c r="F130" s="8" t="s">
        <v>207</v>
      </c>
      <c r="G130" s="8" t="s">
        <v>12</v>
      </c>
      <c r="H130" s="8">
        <v>8.5135020000000008</v>
      </c>
      <c r="I130" s="8">
        <v>-82.712080999999998</v>
      </c>
      <c r="J130" s="21" t="s">
        <v>107</v>
      </c>
    </row>
    <row r="131" spans="1:10" hidden="1" x14ac:dyDescent="0.3">
      <c r="A131" s="20">
        <v>1</v>
      </c>
      <c r="B131" s="8">
        <v>153</v>
      </c>
      <c r="C131" s="8" t="s">
        <v>209</v>
      </c>
      <c r="D131" s="8" t="s">
        <v>77</v>
      </c>
      <c r="E131" s="8" t="s">
        <v>154</v>
      </c>
      <c r="F131" s="8" t="s">
        <v>210</v>
      </c>
      <c r="G131" s="8" t="s">
        <v>33</v>
      </c>
      <c r="H131" s="8">
        <v>8.5322519999999997</v>
      </c>
      <c r="I131" s="8">
        <v>-82.606675999999993</v>
      </c>
      <c r="J131" s="21" t="s">
        <v>168</v>
      </c>
    </row>
    <row r="132" spans="1:10" hidden="1" x14ac:dyDescent="0.3">
      <c r="A132" s="20">
        <v>1</v>
      </c>
      <c r="B132" s="8">
        <v>154</v>
      </c>
      <c r="C132" s="8" t="s">
        <v>211</v>
      </c>
      <c r="D132" s="8" t="s">
        <v>77</v>
      </c>
      <c r="E132" s="8" t="s">
        <v>172</v>
      </c>
      <c r="F132" s="8" t="s">
        <v>212</v>
      </c>
      <c r="G132" s="8" t="s">
        <v>12</v>
      </c>
      <c r="H132" s="8">
        <v>8.7750500000000002</v>
      </c>
      <c r="I132" s="8">
        <v>-82.639016999999996</v>
      </c>
      <c r="J132" s="21" t="s">
        <v>174</v>
      </c>
    </row>
    <row r="133" spans="1:10" hidden="1" x14ac:dyDescent="0.3">
      <c r="A133" s="20">
        <v>1</v>
      </c>
      <c r="B133" s="8">
        <v>155</v>
      </c>
      <c r="C133" s="8" t="s">
        <v>213</v>
      </c>
      <c r="D133" s="8" t="s">
        <v>77</v>
      </c>
      <c r="E133" s="8" t="s">
        <v>154</v>
      </c>
      <c r="F133" s="8"/>
      <c r="G133" s="8" t="s">
        <v>12</v>
      </c>
      <c r="H133" s="8">
        <v>8.7751359999999998</v>
      </c>
      <c r="I133" s="8">
        <v>-82.639093000000003</v>
      </c>
      <c r="J133" s="21" t="s">
        <v>174</v>
      </c>
    </row>
    <row r="134" spans="1:10" hidden="1" x14ac:dyDescent="0.3">
      <c r="A134" s="20">
        <v>1</v>
      </c>
      <c r="B134" s="8">
        <v>156</v>
      </c>
      <c r="C134" s="8" t="s">
        <v>214</v>
      </c>
      <c r="D134" s="8" t="s">
        <v>77</v>
      </c>
      <c r="E134" s="8" t="s">
        <v>154</v>
      </c>
      <c r="F134" s="8"/>
      <c r="G134" s="8" t="s">
        <v>12</v>
      </c>
      <c r="H134" s="8">
        <v>8.7095269999999996</v>
      </c>
      <c r="I134" s="8">
        <v>-82.624414999999999</v>
      </c>
      <c r="J134" s="21" t="s">
        <v>88</v>
      </c>
    </row>
    <row r="135" spans="1:10" hidden="1" x14ac:dyDescent="0.3">
      <c r="A135" s="20">
        <v>1</v>
      </c>
      <c r="B135" s="8">
        <v>157</v>
      </c>
      <c r="C135" s="8" t="s">
        <v>215</v>
      </c>
      <c r="D135" s="8" t="s">
        <v>77</v>
      </c>
      <c r="E135" s="8" t="s">
        <v>172</v>
      </c>
      <c r="F135" s="8" t="s">
        <v>212</v>
      </c>
      <c r="G135" s="8" t="s">
        <v>33</v>
      </c>
      <c r="H135" s="8">
        <v>8.7726699999999997</v>
      </c>
      <c r="I135" s="8">
        <v>-82.649088000000006</v>
      </c>
      <c r="J135" s="21" t="s">
        <v>80</v>
      </c>
    </row>
    <row r="136" spans="1:10" hidden="1" x14ac:dyDescent="0.3">
      <c r="A136" s="20">
        <v>1</v>
      </c>
      <c r="B136" s="8">
        <v>158</v>
      </c>
      <c r="C136" s="8" t="s">
        <v>216</v>
      </c>
      <c r="D136" s="8" t="s">
        <v>77</v>
      </c>
      <c r="E136" s="8" t="s">
        <v>172</v>
      </c>
      <c r="F136" s="8" t="s">
        <v>212</v>
      </c>
      <c r="G136" s="8" t="s">
        <v>33</v>
      </c>
      <c r="H136" s="8">
        <v>8.7934140000000003</v>
      </c>
      <c r="I136" s="8">
        <v>-82.646084999999999</v>
      </c>
      <c r="J136" s="21" t="s">
        <v>174</v>
      </c>
    </row>
    <row r="137" spans="1:10" hidden="1" x14ac:dyDescent="0.3">
      <c r="A137" s="20">
        <v>1</v>
      </c>
      <c r="B137" s="8">
        <v>159</v>
      </c>
      <c r="C137" s="8" t="s">
        <v>217</v>
      </c>
      <c r="D137" s="8" t="s">
        <v>77</v>
      </c>
      <c r="E137" s="8" t="s">
        <v>154</v>
      </c>
      <c r="F137" s="8" t="s">
        <v>212</v>
      </c>
      <c r="G137" s="8" t="s">
        <v>12</v>
      </c>
      <c r="H137" s="8">
        <v>8.7779530000000001</v>
      </c>
      <c r="I137" s="8">
        <v>-82.643328999999994</v>
      </c>
      <c r="J137" s="21" t="s">
        <v>80</v>
      </c>
    </row>
    <row r="138" spans="1:10" hidden="1" x14ac:dyDescent="0.3">
      <c r="A138" s="20">
        <v>1</v>
      </c>
      <c r="B138" s="8">
        <v>160</v>
      </c>
      <c r="C138" s="8" t="s">
        <v>218</v>
      </c>
      <c r="D138" s="8" t="s">
        <v>77</v>
      </c>
      <c r="E138" s="8" t="s">
        <v>154</v>
      </c>
      <c r="F138" s="8"/>
      <c r="G138" s="8" t="s">
        <v>12</v>
      </c>
      <c r="H138" s="8">
        <v>8.7761750000000003</v>
      </c>
      <c r="I138" s="8">
        <v>-82.640403000000006</v>
      </c>
      <c r="J138" s="21" t="s">
        <v>174</v>
      </c>
    </row>
    <row r="139" spans="1:10" hidden="1" x14ac:dyDescent="0.3">
      <c r="A139" s="20">
        <v>1</v>
      </c>
      <c r="B139" s="8">
        <v>161</v>
      </c>
      <c r="C139" s="8" t="s">
        <v>219</v>
      </c>
      <c r="D139" s="8" t="s">
        <v>77</v>
      </c>
      <c r="E139" s="8" t="s">
        <v>220</v>
      </c>
      <c r="F139" s="8" t="s">
        <v>77</v>
      </c>
      <c r="G139" s="8" t="s">
        <v>12</v>
      </c>
      <c r="H139" s="8">
        <v>8.3978950000000001</v>
      </c>
      <c r="I139" s="8">
        <v>-82.324775000000002</v>
      </c>
      <c r="J139" s="21" t="s">
        <v>168</v>
      </c>
    </row>
    <row r="140" spans="1:10" hidden="1" x14ac:dyDescent="0.3">
      <c r="A140" s="20">
        <v>1</v>
      </c>
      <c r="B140" s="8">
        <v>162</v>
      </c>
      <c r="C140" s="8" t="s">
        <v>221</v>
      </c>
      <c r="D140" s="8" t="s">
        <v>77</v>
      </c>
      <c r="E140" s="8" t="s">
        <v>220</v>
      </c>
      <c r="F140" s="8" t="s">
        <v>77</v>
      </c>
      <c r="G140" s="8" t="s">
        <v>53</v>
      </c>
      <c r="H140" s="8">
        <v>8.3704289999999997</v>
      </c>
      <c r="I140" s="8">
        <v>-82.279747999999998</v>
      </c>
      <c r="J140" s="21" t="s">
        <v>222</v>
      </c>
    </row>
    <row r="141" spans="1:10" hidden="1" x14ac:dyDescent="0.3">
      <c r="A141" s="20">
        <v>1</v>
      </c>
      <c r="B141" s="8">
        <v>163</v>
      </c>
      <c r="C141" s="8" t="s">
        <v>223</v>
      </c>
      <c r="D141" s="8" t="s">
        <v>77</v>
      </c>
      <c r="E141" s="8" t="s">
        <v>220</v>
      </c>
      <c r="F141" s="8" t="s">
        <v>77</v>
      </c>
      <c r="G141" s="8" t="s">
        <v>12</v>
      </c>
      <c r="H141" s="8">
        <v>8.4325349999999997</v>
      </c>
      <c r="I141" s="8">
        <v>-82.287987999999999</v>
      </c>
      <c r="J141" s="21" t="s">
        <v>168</v>
      </c>
    </row>
    <row r="142" spans="1:10" hidden="1" x14ac:dyDescent="0.3">
      <c r="A142" s="20">
        <v>1</v>
      </c>
      <c r="B142" s="8">
        <v>164</v>
      </c>
      <c r="C142" s="8" t="s">
        <v>224</v>
      </c>
      <c r="D142" s="8" t="s">
        <v>77</v>
      </c>
      <c r="E142" s="8" t="s">
        <v>220</v>
      </c>
      <c r="F142" s="8" t="s">
        <v>77</v>
      </c>
      <c r="G142" s="8" t="s">
        <v>12</v>
      </c>
      <c r="H142" s="8">
        <v>8.3998059999999999</v>
      </c>
      <c r="I142" s="8">
        <v>-82.251360000000005</v>
      </c>
      <c r="J142" s="21" t="s">
        <v>168</v>
      </c>
    </row>
    <row r="143" spans="1:10" hidden="1" x14ac:dyDescent="0.3">
      <c r="A143" s="20">
        <v>1</v>
      </c>
      <c r="B143" s="8">
        <v>165</v>
      </c>
      <c r="C143" s="8" t="s">
        <v>225</v>
      </c>
      <c r="D143" s="8" t="s">
        <v>77</v>
      </c>
      <c r="E143" s="8" t="s">
        <v>220</v>
      </c>
      <c r="F143" s="8" t="s">
        <v>226</v>
      </c>
      <c r="G143" s="8" t="s">
        <v>12</v>
      </c>
      <c r="H143" s="8">
        <v>8.5428610000000003</v>
      </c>
      <c r="I143" s="8">
        <v>-82.378026000000006</v>
      </c>
      <c r="J143" s="21" t="s">
        <v>222</v>
      </c>
    </row>
    <row r="144" spans="1:10" hidden="1" x14ac:dyDescent="0.3">
      <c r="A144" s="20">
        <v>1</v>
      </c>
      <c r="B144" s="8">
        <v>166</v>
      </c>
      <c r="C144" s="8" t="s">
        <v>227</v>
      </c>
      <c r="D144" s="8" t="s">
        <v>77</v>
      </c>
      <c r="E144" s="8" t="s">
        <v>220</v>
      </c>
      <c r="F144" s="8" t="s">
        <v>228</v>
      </c>
      <c r="G144" s="8" t="s">
        <v>12</v>
      </c>
      <c r="H144" s="8">
        <v>8.4084249999999994</v>
      </c>
      <c r="I144" s="8">
        <v>-82.433409999999995</v>
      </c>
      <c r="J144" s="21" t="s">
        <v>119</v>
      </c>
    </row>
    <row r="145" spans="1:10" hidden="1" x14ac:dyDescent="0.3">
      <c r="A145" s="20">
        <v>1</v>
      </c>
      <c r="B145" s="8">
        <v>169</v>
      </c>
      <c r="C145" s="8" t="s">
        <v>229</v>
      </c>
      <c r="D145" s="8" t="s">
        <v>77</v>
      </c>
      <c r="E145" s="8" t="s">
        <v>220</v>
      </c>
      <c r="F145" s="8" t="s">
        <v>228</v>
      </c>
      <c r="G145" s="8" t="s">
        <v>230</v>
      </c>
      <c r="H145" s="8">
        <v>8.4282210000000006</v>
      </c>
      <c r="I145" s="8">
        <v>-82.424817000000004</v>
      </c>
      <c r="J145" s="21" t="s">
        <v>146</v>
      </c>
    </row>
    <row r="146" spans="1:10" hidden="1" x14ac:dyDescent="0.3">
      <c r="A146" s="20">
        <v>1</v>
      </c>
      <c r="B146" s="8">
        <v>170</v>
      </c>
      <c r="C146" s="8" t="s">
        <v>231</v>
      </c>
      <c r="D146" s="8" t="s">
        <v>77</v>
      </c>
      <c r="E146" s="8" t="s">
        <v>220</v>
      </c>
      <c r="F146" s="8" t="s">
        <v>228</v>
      </c>
      <c r="G146" s="8" t="s">
        <v>12</v>
      </c>
      <c r="H146" s="8">
        <v>8.428668</v>
      </c>
      <c r="I146" s="8">
        <v>-82.430881999999997</v>
      </c>
      <c r="J146" s="21" t="s">
        <v>232</v>
      </c>
    </row>
    <row r="147" spans="1:10" hidden="1" x14ac:dyDescent="0.3">
      <c r="A147" s="20">
        <v>1</v>
      </c>
      <c r="B147" s="8">
        <v>171</v>
      </c>
      <c r="C147" s="8" t="s">
        <v>233</v>
      </c>
      <c r="D147" s="8" t="s">
        <v>77</v>
      </c>
      <c r="E147" s="8" t="s">
        <v>220</v>
      </c>
      <c r="F147" s="8" t="s">
        <v>228</v>
      </c>
      <c r="G147" s="8" t="s">
        <v>99</v>
      </c>
      <c r="H147" s="8">
        <v>8.4315560000000005</v>
      </c>
      <c r="I147" s="8">
        <v>-82.438490000000002</v>
      </c>
      <c r="J147" s="21" t="s">
        <v>234</v>
      </c>
    </row>
    <row r="148" spans="1:10" hidden="1" x14ac:dyDescent="0.3">
      <c r="A148" s="20">
        <v>1</v>
      </c>
      <c r="B148" s="8">
        <v>172</v>
      </c>
      <c r="C148" s="8" t="s">
        <v>235</v>
      </c>
      <c r="D148" s="8" t="s">
        <v>77</v>
      </c>
      <c r="E148" s="8" t="s">
        <v>220</v>
      </c>
      <c r="F148" s="8" t="s">
        <v>228</v>
      </c>
      <c r="G148" s="8" t="s">
        <v>12</v>
      </c>
      <c r="H148" s="8">
        <v>8.4203440000000001</v>
      </c>
      <c r="I148" s="8">
        <v>-82.421250999999998</v>
      </c>
      <c r="J148" s="21" t="s">
        <v>138</v>
      </c>
    </row>
    <row r="149" spans="1:10" hidden="1" x14ac:dyDescent="0.3">
      <c r="A149" s="20">
        <v>1</v>
      </c>
      <c r="B149" s="8">
        <v>173</v>
      </c>
      <c r="C149" s="8" t="s">
        <v>236</v>
      </c>
      <c r="D149" s="8" t="s">
        <v>77</v>
      </c>
      <c r="E149" s="8" t="s">
        <v>220</v>
      </c>
      <c r="F149" s="8" t="s">
        <v>228</v>
      </c>
      <c r="G149" s="8" t="s">
        <v>99</v>
      </c>
      <c r="H149" s="8">
        <v>8.4147300000000005</v>
      </c>
      <c r="I149" s="8">
        <v>-82.436054999999996</v>
      </c>
      <c r="J149" s="21" t="s">
        <v>237</v>
      </c>
    </row>
    <row r="150" spans="1:10" hidden="1" x14ac:dyDescent="0.3">
      <c r="A150" s="20">
        <v>1</v>
      </c>
      <c r="B150" s="8">
        <v>174</v>
      </c>
      <c r="C150" s="8" t="s">
        <v>238</v>
      </c>
      <c r="D150" s="8" t="s">
        <v>77</v>
      </c>
      <c r="E150" s="8" t="s">
        <v>220</v>
      </c>
      <c r="F150" s="8" t="s">
        <v>228</v>
      </c>
      <c r="G150" s="8" t="s">
        <v>12</v>
      </c>
      <c r="H150" s="8">
        <v>8.4395240000000005</v>
      </c>
      <c r="I150" s="8">
        <v>-82.427605</v>
      </c>
      <c r="J150" s="21" t="s">
        <v>237</v>
      </c>
    </row>
    <row r="151" spans="1:10" hidden="1" x14ac:dyDescent="0.3">
      <c r="A151" s="20">
        <v>1</v>
      </c>
      <c r="B151" s="8">
        <v>175</v>
      </c>
      <c r="C151" s="8" t="s">
        <v>239</v>
      </c>
      <c r="D151" s="8" t="s">
        <v>77</v>
      </c>
      <c r="E151" s="8" t="s">
        <v>220</v>
      </c>
      <c r="F151" s="8" t="s">
        <v>228</v>
      </c>
      <c r="G151" s="8" t="s">
        <v>99</v>
      </c>
      <c r="H151" s="8">
        <v>8.4244380000000003</v>
      </c>
      <c r="I151" s="8">
        <v>-82.443174999999997</v>
      </c>
      <c r="J151" s="21" t="s">
        <v>237</v>
      </c>
    </row>
    <row r="152" spans="1:10" hidden="1" x14ac:dyDescent="0.3">
      <c r="A152" s="20">
        <v>1</v>
      </c>
      <c r="B152" s="8">
        <v>176</v>
      </c>
      <c r="C152" s="8" t="s">
        <v>240</v>
      </c>
      <c r="D152" s="8" t="s">
        <v>77</v>
      </c>
      <c r="E152" s="8" t="s">
        <v>220</v>
      </c>
      <c r="F152" s="8" t="s">
        <v>228</v>
      </c>
      <c r="G152" s="8" t="s">
        <v>12</v>
      </c>
      <c r="H152" s="8">
        <v>8.4311249999999998</v>
      </c>
      <c r="I152" s="8">
        <v>-82.455375000000004</v>
      </c>
      <c r="J152" s="21" t="s">
        <v>234</v>
      </c>
    </row>
    <row r="153" spans="1:10" hidden="1" x14ac:dyDescent="0.3">
      <c r="A153" s="20">
        <v>1</v>
      </c>
      <c r="B153" s="8">
        <v>177</v>
      </c>
      <c r="C153" s="8" t="s">
        <v>241</v>
      </c>
      <c r="D153" s="8" t="s">
        <v>77</v>
      </c>
      <c r="E153" s="8" t="s">
        <v>220</v>
      </c>
      <c r="F153" s="8" t="s">
        <v>228</v>
      </c>
      <c r="G153" s="8" t="s">
        <v>99</v>
      </c>
      <c r="H153" s="8">
        <v>8.4329049999999999</v>
      </c>
      <c r="I153" s="8">
        <v>-82.419134</v>
      </c>
      <c r="J153" s="21" t="s">
        <v>164</v>
      </c>
    </row>
    <row r="154" spans="1:10" hidden="1" x14ac:dyDescent="0.3">
      <c r="A154" s="20">
        <v>1</v>
      </c>
      <c r="B154" s="8">
        <v>178</v>
      </c>
      <c r="C154" s="8" t="s">
        <v>242</v>
      </c>
      <c r="D154" s="8" t="s">
        <v>77</v>
      </c>
      <c r="E154" s="8" t="s">
        <v>220</v>
      </c>
      <c r="F154" s="8" t="s">
        <v>228</v>
      </c>
      <c r="G154" s="8" t="s">
        <v>99</v>
      </c>
      <c r="H154" s="8">
        <v>8.3935209999999998</v>
      </c>
      <c r="I154" s="8">
        <v>-82.426826000000005</v>
      </c>
      <c r="J154" s="21" t="s">
        <v>237</v>
      </c>
    </row>
    <row r="155" spans="1:10" hidden="1" x14ac:dyDescent="0.3">
      <c r="A155" s="20">
        <v>1</v>
      </c>
      <c r="B155" s="8">
        <v>179</v>
      </c>
      <c r="C155" s="8" t="s">
        <v>243</v>
      </c>
      <c r="D155" s="8" t="s">
        <v>77</v>
      </c>
      <c r="E155" s="8" t="s">
        <v>220</v>
      </c>
      <c r="F155" s="8" t="s">
        <v>228</v>
      </c>
      <c r="G155" s="8" t="s">
        <v>99</v>
      </c>
      <c r="H155" s="8">
        <v>8.4247700000000005</v>
      </c>
      <c r="I155" s="8">
        <v>-82.421047999999999</v>
      </c>
      <c r="J155" s="21" t="s">
        <v>234</v>
      </c>
    </row>
    <row r="156" spans="1:10" hidden="1" x14ac:dyDescent="0.3">
      <c r="A156" s="20">
        <v>1</v>
      </c>
      <c r="B156" s="8">
        <v>180</v>
      </c>
      <c r="C156" s="8" t="s">
        <v>244</v>
      </c>
      <c r="D156" s="8" t="s">
        <v>77</v>
      </c>
      <c r="E156" s="8" t="s">
        <v>220</v>
      </c>
      <c r="F156" s="8" t="s">
        <v>228</v>
      </c>
      <c r="G156" s="8" t="s">
        <v>12</v>
      </c>
      <c r="H156" s="8">
        <v>8.4194990000000001</v>
      </c>
      <c r="I156" s="8">
        <v>-82.427458000000001</v>
      </c>
      <c r="J156" s="21" t="s">
        <v>237</v>
      </c>
    </row>
    <row r="157" spans="1:10" hidden="1" x14ac:dyDescent="0.3">
      <c r="A157" s="20">
        <v>1</v>
      </c>
      <c r="B157" s="8">
        <v>181</v>
      </c>
      <c r="C157" s="8" t="s">
        <v>245</v>
      </c>
      <c r="D157" s="8" t="s">
        <v>77</v>
      </c>
      <c r="E157" s="8" t="s">
        <v>220</v>
      </c>
      <c r="F157" s="8" t="s">
        <v>228</v>
      </c>
      <c r="G157" s="8" t="s">
        <v>12</v>
      </c>
      <c r="H157" s="8">
        <v>8.4185009999999991</v>
      </c>
      <c r="I157" s="8">
        <v>-82.446292</v>
      </c>
      <c r="J157" s="21" t="s">
        <v>246</v>
      </c>
    </row>
    <row r="158" spans="1:10" hidden="1" x14ac:dyDescent="0.3">
      <c r="A158" s="20">
        <v>1</v>
      </c>
      <c r="B158" s="8">
        <v>182</v>
      </c>
      <c r="C158" s="8" t="s">
        <v>247</v>
      </c>
      <c r="D158" s="8" t="s">
        <v>77</v>
      </c>
      <c r="E158" s="8" t="s">
        <v>220</v>
      </c>
      <c r="F158" s="8" t="s">
        <v>228</v>
      </c>
      <c r="G158" s="8" t="s">
        <v>99</v>
      </c>
      <c r="H158" s="8">
        <v>8.4266909999999999</v>
      </c>
      <c r="I158" s="8">
        <v>-82.429716999999997</v>
      </c>
      <c r="J158" s="21" t="s">
        <v>237</v>
      </c>
    </row>
    <row r="159" spans="1:10" hidden="1" x14ac:dyDescent="0.3">
      <c r="A159" s="20">
        <v>1</v>
      </c>
      <c r="B159" s="8">
        <v>183</v>
      </c>
      <c r="C159" s="8" t="s">
        <v>248</v>
      </c>
      <c r="D159" s="8" t="s">
        <v>77</v>
      </c>
      <c r="E159" s="8" t="s">
        <v>220</v>
      </c>
      <c r="F159" s="8" t="s">
        <v>228</v>
      </c>
      <c r="G159" s="8" t="s">
        <v>99</v>
      </c>
      <c r="H159" s="8">
        <v>8.3997729999999997</v>
      </c>
      <c r="I159" s="8">
        <v>-82.43871</v>
      </c>
      <c r="J159" s="21" t="s">
        <v>237</v>
      </c>
    </row>
    <row r="160" spans="1:10" hidden="1" x14ac:dyDescent="0.3">
      <c r="A160" s="20">
        <v>1</v>
      </c>
      <c r="B160" s="8">
        <v>184</v>
      </c>
      <c r="C160" s="8" t="s">
        <v>249</v>
      </c>
      <c r="D160" s="8" t="s">
        <v>77</v>
      </c>
      <c r="E160" s="8" t="s">
        <v>220</v>
      </c>
      <c r="F160" s="8" t="s">
        <v>228</v>
      </c>
      <c r="G160" s="8" t="s">
        <v>99</v>
      </c>
      <c r="H160" s="8">
        <v>8.4167450000000006</v>
      </c>
      <c r="I160" s="8">
        <v>-82.441190000000006</v>
      </c>
      <c r="J160" s="21" t="s">
        <v>237</v>
      </c>
    </row>
    <row r="161" spans="1:10" hidden="1" x14ac:dyDescent="0.3">
      <c r="A161" s="20">
        <v>1</v>
      </c>
      <c r="B161" s="8">
        <v>185</v>
      </c>
      <c r="C161" s="8" t="s">
        <v>250</v>
      </c>
      <c r="D161" s="8" t="s">
        <v>77</v>
      </c>
      <c r="E161" s="8" t="s">
        <v>220</v>
      </c>
      <c r="F161" s="8" t="s">
        <v>228</v>
      </c>
      <c r="G161" s="8" t="s">
        <v>12</v>
      </c>
      <c r="H161" s="8">
        <v>8.4103119999999993</v>
      </c>
      <c r="I161" s="8">
        <v>-82.417305999999996</v>
      </c>
      <c r="J161" s="21" t="s">
        <v>168</v>
      </c>
    </row>
    <row r="162" spans="1:10" hidden="1" x14ac:dyDescent="0.3">
      <c r="A162" s="20">
        <v>1</v>
      </c>
      <c r="B162" s="8">
        <v>186</v>
      </c>
      <c r="C162" s="8" t="s">
        <v>251</v>
      </c>
      <c r="D162" s="8" t="s">
        <v>77</v>
      </c>
      <c r="E162" s="8" t="s">
        <v>220</v>
      </c>
      <c r="F162" s="8" t="s">
        <v>228</v>
      </c>
      <c r="G162" s="8" t="s">
        <v>12</v>
      </c>
      <c r="H162" s="8">
        <v>8.4256259999999994</v>
      </c>
      <c r="I162" s="8">
        <v>-82.417587999999995</v>
      </c>
      <c r="J162" s="21" t="s">
        <v>91</v>
      </c>
    </row>
    <row r="163" spans="1:10" hidden="1" x14ac:dyDescent="0.3">
      <c r="A163" s="20">
        <v>1</v>
      </c>
      <c r="B163" s="8">
        <v>188</v>
      </c>
      <c r="C163" s="8" t="s">
        <v>252</v>
      </c>
      <c r="D163" s="8" t="s">
        <v>77</v>
      </c>
      <c r="E163" s="8" t="s">
        <v>220</v>
      </c>
      <c r="F163" s="8" t="s">
        <v>228</v>
      </c>
      <c r="G163" s="8" t="s">
        <v>99</v>
      </c>
      <c r="H163" s="8">
        <v>8.4201879999999996</v>
      </c>
      <c r="I163" s="8">
        <v>-82.443980999999994</v>
      </c>
      <c r="J163" s="21" t="s">
        <v>232</v>
      </c>
    </row>
    <row r="164" spans="1:10" hidden="1" x14ac:dyDescent="0.3">
      <c r="A164" s="20">
        <v>1</v>
      </c>
      <c r="B164" s="8">
        <v>189</v>
      </c>
      <c r="C164" s="8" t="s">
        <v>253</v>
      </c>
      <c r="D164" s="8" t="s">
        <v>77</v>
      </c>
      <c r="E164" s="8" t="s">
        <v>220</v>
      </c>
      <c r="F164" s="8" t="s">
        <v>228</v>
      </c>
      <c r="G164" s="8" t="s">
        <v>12</v>
      </c>
      <c r="H164" s="8">
        <v>8.4370849999999997</v>
      </c>
      <c r="I164" s="8">
        <v>-82.418409999999994</v>
      </c>
      <c r="J164" s="21" t="s">
        <v>168</v>
      </c>
    </row>
    <row r="165" spans="1:10" hidden="1" x14ac:dyDescent="0.3">
      <c r="A165" s="20">
        <v>1</v>
      </c>
      <c r="B165" s="8">
        <v>190</v>
      </c>
      <c r="C165" s="8" t="s">
        <v>254</v>
      </c>
      <c r="D165" s="8" t="s">
        <v>77</v>
      </c>
      <c r="E165" s="8" t="s">
        <v>220</v>
      </c>
      <c r="F165" s="8" t="s">
        <v>228</v>
      </c>
      <c r="G165" s="8" t="s">
        <v>12</v>
      </c>
      <c r="H165" s="8">
        <v>8.4206310000000002</v>
      </c>
      <c r="I165" s="8">
        <v>-82.420781000000005</v>
      </c>
      <c r="J165" s="21" t="s">
        <v>237</v>
      </c>
    </row>
    <row r="166" spans="1:10" hidden="1" x14ac:dyDescent="0.3">
      <c r="A166" s="20">
        <v>1</v>
      </c>
      <c r="B166" s="8">
        <v>191</v>
      </c>
      <c r="C166" s="8" t="s">
        <v>255</v>
      </c>
      <c r="D166" s="8" t="s">
        <v>77</v>
      </c>
      <c r="E166" s="8" t="s">
        <v>220</v>
      </c>
      <c r="F166" s="8" t="s">
        <v>228</v>
      </c>
      <c r="G166" s="8" t="s">
        <v>12</v>
      </c>
      <c r="H166" s="8">
        <v>8.4221579999999996</v>
      </c>
      <c r="I166" s="8">
        <v>-82.421190999999993</v>
      </c>
      <c r="J166" s="21" t="s">
        <v>237</v>
      </c>
    </row>
    <row r="167" spans="1:10" hidden="1" x14ac:dyDescent="0.3">
      <c r="A167" s="20">
        <v>1</v>
      </c>
      <c r="B167" s="8">
        <v>193</v>
      </c>
      <c r="C167" s="8" t="s">
        <v>256</v>
      </c>
      <c r="D167" s="8" t="s">
        <v>77</v>
      </c>
      <c r="E167" s="8" t="s">
        <v>220</v>
      </c>
      <c r="F167" s="8" t="s">
        <v>228</v>
      </c>
      <c r="G167" s="8" t="s">
        <v>99</v>
      </c>
      <c r="H167" s="8">
        <v>8.4212500000000006</v>
      </c>
      <c r="I167" s="8">
        <v>-82.433920000000001</v>
      </c>
      <c r="J167" s="21" t="s">
        <v>234</v>
      </c>
    </row>
    <row r="168" spans="1:10" hidden="1" x14ac:dyDescent="0.3">
      <c r="A168" s="20">
        <v>1</v>
      </c>
      <c r="B168" s="8">
        <v>194</v>
      </c>
      <c r="C168" s="8" t="s">
        <v>257</v>
      </c>
      <c r="D168" s="8" t="s">
        <v>77</v>
      </c>
      <c r="E168" s="8" t="s">
        <v>220</v>
      </c>
      <c r="F168" s="8" t="s">
        <v>228</v>
      </c>
      <c r="G168" s="8" t="s">
        <v>12</v>
      </c>
      <c r="H168" s="8">
        <v>8.4270990000000001</v>
      </c>
      <c r="I168" s="8">
        <v>-82.435524000000001</v>
      </c>
      <c r="J168" s="21" t="s">
        <v>246</v>
      </c>
    </row>
    <row r="169" spans="1:10" hidden="1" x14ac:dyDescent="0.3">
      <c r="A169" s="20">
        <v>1</v>
      </c>
      <c r="B169" s="8">
        <v>195</v>
      </c>
      <c r="C169" s="8" t="s">
        <v>258</v>
      </c>
      <c r="D169" s="8" t="s">
        <v>77</v>
      </c>
      <c r="E169" s="8" t="s">
        <v>220</v>
      </c>
      <c r="F169" s="8" t="s">
        <v>228</v>
      </c>
      <c r="G169" s="8" t="s">
        <v>99</v>
      </c>
      <c r="H169" s="8">
        <v>8.4279030000000006</v>
      </c>
      <c r="I169" s="8">
        <v>-82.429924</v>
      </c>
      <c r="J169" s="21" t="s">
        <v>164</v>
      </c>
    </row>
    <row r="170" spans="1:10" hidden="1" x14ac:dyDescent="0.3">
      <c r="A170" s="20">
        <v>1</v>
      </c>
      <c r="B170" s="8">
        <v>196</v>
      </c>
      <c r="C170" s="8" t="s">
        <v>259</v>
      </c>
      <c r="D170" s="8" t="s">
        <v>77</v>
      </c>
      <c r="E170" s="8" t="s">
        <v>220</v>
      </c>
      <c r="F170" s="8" t="s">
        <v>228</v>
      </c>
      <c r="G170" s="8" t="s">
        <v>99</v>
      </c>
      <c r="H170" s="8">
        <v>8.4275839999999995</v>
      </c>
      <c r="I170" s="8">
        <v>-82.425166000000004</v>
      </c>
      <c r="J170" s="21" t="s">
        <v>234</v>
      </c>
    </row>
    <row r="171" spans="1:10" hidden="1" x14ac:dyDescent="0.3">
      <c r="A171" s="20">
        <v>1</v>
      </c>
      <c r="B171" s="8">
        <v>199</v>
      </c>
      <c r="C171" s="8" t="s">
        <v>260</v>
      </c>
      <c r="D171" s="8" t="s">
        <v>77</v>
      </c>
      <c r="E171" s="8" t="s">
        <v>220</v>
      </c>
      <c r="F171" s="8" t="s">
        <v>228</v>
      </c>
      <c r="G171" s="8" t="s">
        <v>12</v>
      </c>
      <c r="H171" s="8">
        <v>8.432817</v>
      </c>
      <c r="I171" s="8">
        <v>-82.430653000000007</v>
      </c>
      <c r="J171" s="21" t="s">
        <v>234</v>
      </c>
    </row>
    <row r="172" spans="1:10" hidden="1" x14ac:dyDescent="0.3">
      <c r="A172" s="20">
        <v>1</v>
      </c>
      <c r="B172" s="8">
        <v>200</v>
      </c>
      <c r="C172" s="8" t="s">
        <v>261</v>
      </c>
      <c r="D172" s="8" t="s">
        <v>77</v>
      </c>
      <c r="E172" s="8" t="s">
        <v>220</v>
      </c>
      <c r="F172" s="8" t="s">
        <v>228</v>
      </c>
      <c r="G172" s="8" t="s">
        <v>230</v>
      </c>
      <c r="H172" s="8">
        <v>8.4336570000000002</v>
      </c>
      <c r="I172" s="8">
        <v>-82.443006999999994</v>
      </c>
      <c r="J172" s="21" t="s">
        <v>168</v>
      </c>
    </row>
    <row r="173" spans="1:10" hidden="1" x14ac:dyDescent="0.3">
      <c r="A173" s="20">
        <v>1</v>
      </c>
      <c r="B173" s="8">
        <v>201</v>
      </c>
      <c r="C173" s="8" t="s">
        <v>262</v>
      </c>
      <c r="D173" s="8" t="s">
        <v>77</v>
      </c>
      <c r="E173" s="8" t="s">
        <v>220</v>
      </c>
      <c r="F173" s="8" t="s">
        <v>228</v>
      </c>
      <c r="G173" s="8" t="s">
        <v>12</v>
      </c>
      <c r="H173" s="8">
        <v>8.4201580000000007</v>
      </c>
      <c r="I173" s="8">
        <v>-82.418595999999994</v>
      </c>
      <c r="J173" s="21" t="s">
        <v>80</v>
      </c>
    </row>
    <row r="174" spans="1:10" hidden="1" x14ac:dyDescent="0.3">
      <c r="A174" s="20">
        <v>1</v>
      </c>
      <c r="B174" s="8">
        <v>202</v>
      </c>
      <c r="C174" s="8" t="s">
        <v>263</v>
      </c>
      <c r="D174" s="8" t="s">
        <v>77</v>
      </c>
      <c r="E174" s="8" t="s">
        <v>220</v>
      </c>
      <c r="F174" s="8" t="s">
        <v>264</v>
      </c>
      <c r="G174" s="8" t="s">
        <v>33</v>
      </c>
      <c r="H174" s="8">
        <v>8.4741549999999997</v>
      </c>
      <c r="I174" s="8">
        <v>-82.396315000000001</v>
      </c>
      <c r="J174" s="21" t="s">
        <v>265</v>
      </c>
    </row>
    <row r="175" spans="1:10" hidden="1" x14ac:dyDescent="0.3">
      <c r="A175" s="20">
        <v>1</v>
      </c>
      <c r="B175" s="8">
        <v>203</v>
      </c>
      <c r="C175" s="8" t="s">
        <v>266</v>
      </c>
      <c r="D175" s="8" t="s">
        <v>77</v>
      </c>
      <c r="E175" s="8" t="s">
        <v>220</v>
      </c>
      <c r="F175" s="8" t="s">
        <v>264</v>
      </c>
      <c r="G175" s="8" t="s">
        <v>12</v>
      </c>
      <c r="H175" s="8">
        <v>8.4281810000000004</v>
      </c>
      <c r="I175" s="8">
        <v>-82.336252999999999</v>
      </c>
      <c r="J175" s="21" t="s">
        <v>119</v>
      </c>
    </row>
    <row r="176" spans="1:10" hidden="1" x14ac:dyDescent="0.3">
      <c r="A176" s="20">
        <v>1</v>
      </c>
      <c r="B176" s="8">
        <v>204</v>
      </c>
      <c r="C176" s="8" t="s">
        <v>267</v>
      </c>
      <c r="D176" s="8" t="s">
        <v>77</v>
      </c>
      <c r="E176" s="8" t="s">
        <v>220</v>
      </c>
      <c r="F176" s="8" t="s">
        <v>264</v>
      </c>
      <c r="G176" s="8" t="s">
        <v>12</v>
      </c>
      <c r="H176" s="8">
        <v>8.4310880000000008</v>
      </c>
      <c r="I176" s="8">
        <v>-82.386255000000006</v>
      </c>
      <c r="J176" s="21" t="s">
        <v>268</v>
      </c>
    </row>
    <row r="177" spans="1:10" hidden="1" x14ac:dyDescent="0.3">
      <c r="A177" s="20">
        <v>1</v>
      </c>
      <c r="B177" s="8">
        <v>205</v>
      </c>
      <c r="C177" s="8" t="s">
        <v>269</v>
      </c>
      <c r="D177" s="8" t="s">
        <v>77</v>
      </c>
      <c r="E177" s="8" t="s">
        <v>220</v>
      </c>
      <c r="F177" s="8" t="s">
        <v>264</v>
      </c>
      <c r="G177" s="8" t="s">
        <v>12</v>
      </c>
      <c r="H177" s="8">
        <v>8.4525970000000008</v>
      </c>
      <c r="I177" s="8">
        <v>-82.400887999999995</v>
      </c>
      <c r="J177" s="21" t="s">
        <v>265</v>
      </c>
    </row>
    <row r="178" spans="1:10" hidden="1" x14ac:dyDescent="0.3">
      <c r="A178" s="20">
        <v>1</v>
      </c>
      <c r="B178" s="8">
        <v>206</v>
      </c>
      <c r="C178" s="8" t="s">
        <v>270</v>
      </c>
      <c r="D178" s="8" t="s">
        <v>77</v>
      </c>
      <c r="E178" s="8" t="s">
        <v>220</v>
      </c>
      <c r="F178" s="8" t="s">
        <v>264</v>
      </c>
      <c r="G178" s="8" t="s">
        <v>12</v>
      </c>
      <c r="H178" s="8">
        <v>8.4233329999999995</v>
      </c>
      <c r="I178" s="8">
        <v>-82.394638</v>
      </c>
      <c r="J178" s="21" t="s">
        <v>268</v>
      </c>
    </row>
    <row r="179" spans="1:10" hidden="1" x14ac:dyDescent="0.3">
      <c r="A179" s="20">
        <v>1</v>
      </c>
      <c r="B179" s="8">
        <v>207</v>
      </c>
      <c r="C179" s="8" t="s">
        <v>271</v>
      </c>
      <c r="D179" s="8" t="s">
        <v>77</v>
      </c>
      <c r="E179" s="8" t="s">
        <v>220</v>
      </c>
      <c r="F179" s="8" t="s">
        <v>264</v>
      </c>
      <c r="G179" s="8" t="s">
        <v>12</v>
      </c>
      <c r="H179" s="8">
        <v>8.4262250000000005</v>
      </c>
      <c r="I179" s="8">
        <v>-82.392247999999995</v>
      </c>
      <c r="J179" s="21" t="s">
        <v>268</v>
      </c>
    </row>
    <row r="180" spans="1:10" hidden="1" x14ac:dyDescent="0.3">
      <c r="A180" s="20">
        <v>1</v>
      </c>
      <c r="B180" s="8">
        <v>208</v>
      </c>
      <c r="C180" s="8" t="s">
        <v>272</v>
      </c>
      <c r="D180" s="8" t="s">
        <v>77</v>
      </c>
      <c r="E180" s="8" t="s">
        <v>220</v>
      </c>
      <c r="F180" s="8" t="s">
        <v>264</v>
      </c>
      <c r="G180" s="8" t="s">
        <v>12</v>
      </c>
      <c r="H180" s="8">
        <v>8.4408720000000006</v>
      </c>
      <c r="I180" s="8">
        <v>-82.393467999999999</v>
      </c>
      <c r="J180" s="21" t="s">
        <v>265</v>
      </c>
    </row>
    <row r="181" spans="1:10" hidden="1" x14ac:dyDescent="0.3">
      <c r="A181" s="20">
        <v>1</v>
      </c>
      <c r="B181" s="8">
        <v>209</v>
      </c>
      <c r="C181" s="8" t="s">
        <v>273</v>
      </c>
      <c r="D181" s="8" t="s">
        <v>77</v>
      </c>
      <c r="E181" s="8" t="s">
        <v>220</v>
      </c>
      <c r="F181" s="8" t="s">
        <v>274</v>
      </c>
      <c r="G181" s="8" t="s">
        <v>99</v>
      </c>
      <c r="H181" s="8">
        <v>8.5219109999999993</v>
      </c>
      <c r="I181" s="8">
        <v>-82.505616000000003</v>
      </c>
      <c r="J181" s="21" t="s">
        <v>138</v>
      </c>
    </row>
    <row r="182" spans="1:10" hidden="1" x14ac:dyDescent="0.3">
      <c r="A182" s="20">
        <v>1</v>
      </c>
      <c r="B182" s="8">
        <v>210</v>
      </c>
      <c r="C182" s="8" t="s">
        <v>275</v>
      </c>
      <c r="D182" s="8" t="s">
        <v>77</v>
      </c>
      <c r="E182" s="8" t="s">
        <v>220</v>
      </c>
      <c r="F182" s="8" t="s">
        <v>274</v>
      </c>
      <c r="G182" s="8" t="s">
        <v>99</v>
      </c>
      <c r="H182" s="8">
        <v>8.4311919999999994</v>
      </c>
      <c r="I182" s="8">
        <v>-82.455312000000006</v>
      </c>
      <c r="J182" s="21" t="s">
        <v>234</v>
      </c>
    </row>
    <row r="183" spans="1:10" hidden="1" x14ac:dyDescent="0.3">
      <c r="A183" s="20">
        <v>1</v>
      </c>
      <c r="B183" s="8">
        <v>211</v>
      </c>
      <c r="C183" s="8" t="s">
        <v>276</v>
      </c>
      <c r="D183" s="8" t="s">
        <v>77</v>
      </c>
      <c r="E183" s="8" t="s">
        <v>220</v>
      </c>
      <c r="F183" s="8" t="s">
        <v>274</v>
      </c>
      <c r="G183" s="8" t="s">
        <v>12</v>
      </c>
      <c r="H183" s="8">
        <v>8.4304919999999992</v>
      </c>
      <c r="I183" s="8">
        <v>-82.452574999999996</v>
      </c>
      <c r="J183" s="21" t="s">
        <v>168</v>
      </c>
    </row>
    <row r="184" spans="1:10" hidden="1" x14ac:dyDescent="0.3">
      <c r="A184" s="20">
        <v>1</v>
      </c>
      <c r="B184" s="8">
        <v>212</v>
      </c>
      <c r="C184" s="8" t="s">
        <v>277</v>
      </c>
      <c r="D184" s="8" t="s">
        <v>77</v>
      </c>
      <c r="E184" s="8" t="s">
        <v>220</v>
      </c>
      <c r="F184" s="8" t="s">
        <v>274</v>
      </c>
      <c r="G184" s="8" t="s">
        <v>99</v>
      </c>
      <c r="H184" s="8">
        <v>8.4231829999999999</v>
      </c>
      <c r="I184" s="8">
        <v>-82.442543999999998</v>
      </c>
      <c r="J184" s="21" t="s">
        <v>232</v>
      </c>
    </row>
    <row r="185" spans="1:10" hidden="1" x14ac:dyDescent="0.3">
      <c r="A185" s="20">
        <v>1</v>
      </c>
      <c r="B185" s="8">
        <v>213</v>
      </c>
      <c r="C185" s="8" t="s">
        <v>278</v>
      </c>
      <c r="D185" s="8" t="s">
        <v>77</v>
      </c>
      <c r="E185" s="8" t="s">
        <v>220</v>
      </c>
      <c r="F185" s="8" t="s">
        <v>279</v>
      </c>
      <c r="G185" s="8" t="s">
        <v>33</v>
      </c>
      <c r="H185" s="8">
        <v>8.4590029999999992</v>
      </c>
      <c r="I185" s="8">
        <v>-82</v>
      </c>
      <c r="J185" s="21" t="s">
        <v>246</v>
      </c>
    </row>
    <row r="186" spans="1:10" hidden="1" x14ac:dyDescent="0.3">
      <c r="A186" s="20">
        <v>1</v>
      </c>
      <c r="B186" s="8">
        <v>214</v>
      </c>
      <c r="C186" s="8" t="s">
        <v>280</v>
      </c>
      <c r="D186" s="8" t="s">
        <v>77</v>
      </c>
      <c r="E186" s="8" t="s">
        <v>220</v>
      </c>
      <c r="F186" s="8" t="s">
        <v>279</v>
      </c>
      <c r="G186" s="8" t="s">
        <v>33</v>
      </c>
      <c r="H186" s="8">
        <v>8.4681680000000004</v>
      </c>
      <c r="I186" s="8">
        <v>-82.479690000000005</v>
      </c>
      <c r="J186" s="21" t="s">
        <v>246</v>
      </c>
    </row>
    <row r="187" spans="1:10" hidden="1" x14ac:dyDescent="0.3">
      <c r="A187" s="20">
        <v>1</v>
      </c>
      <c r="B187" s="8">
        <v>215</v>
      </c>
      <c r="C187" s="8" t="s">
        <v>281</v>
      </c>
      <c r="D187" s="8" t="s">
        <v>77</v>
      </c>
      <c r="E187" s="8" t="s">
        <v>220</v>
      </c>
      <c r="F187" s="8" t="s">
        <v>279</v>
      </c>
      <c r="G187" s="8" t="s">
        <v>99</v>
      </c>
      <c r="H187" s="8">
        <v>8.4819469999999999</v>
      </c>
      <c r="I187" s="8">
        <v>-82.484803999999997</v>
      </c>
      <c r="J187" s="21" t="s">
        <v>282</v>
      </c>
    </row>
    <row r="188" spans="1:10" hidden="1" x14ac:dyDescent="0.3">
      <c r="A188" s="20">
        <v>1</v>
      </c>
      <c r="B188" s="8">
        <v>216</v>
      </c>
      <c r="C188" s="8" t="s">
        <v>283</v>
      </c>
      <c r="D188" s="8" t="s">
        <v>77</v>
      </c>
      <c r="E188" s="8" t="s">
        <v>220</v>
      </c>
      <c r="F188" s="8" t="s">
        <v>279</v>
      </c>
      <c r="G188" s="8" t="s">
        <v>12</v>
      </c>
      <c r="H188" s="8">
        <v>8.4775609999999997</v>
      </c>
      <c r="I188" s="8">
        <v>-82.712152000000003</v>
      </c>
      <c r="J188" s="21" t="s">
        <v>284</v>
      </c>
    </row>
    <row r="189" spans="1:10" hidden="1" x14ac:dyDescent="0.3">
      <c r="A189" s="20">
        <v>1</v>
      </c>
      <c r="B189" s="8">
        <v>218</v>
      </c>
      <c r="C189" s="8" t="s">
        <v>285</v>
      </c>
      <c r="D189" s="8" t="s">
        <v>77</v>
      </c>
      <c r="E189" s="8" t="s">
        <v>286</v>
      </c>
      <c r="F189" s="8" t="s">
        <v>287</v>
      </c>
      <c r="G189" s="8" t="s">
        <v>12</v>
      </c>
      <c r="H189" s="8">
        <v>8.5172799999999995</v>
      </c>
      <c r="I189" s="8">
        <v>-82.619337000000002</v>
      </c>
      <c r="J189" s="21" t="s">
        <v>288</v>
      </c>
    </row>
    <row r="190" spans="1:10" hidden="1" x14ac:dyDescent="0.3">
      <c r="A190" s="20">
        <v>1</v>
      </c>
      <c r="B190" s="8">
        <v>219</v>
      </c>
      <c r="C190" s="8" t="s">
        <v>289</v>
      </c>
      <c r="D190" s="8" t="s">
        <v>77</v>
      </c>
      <c r="E190" s="8" t="s">
        <v>286</v>
      </c>
      <c r="F190" s="8" t="s">
        <v>287</v>
      </c>
      <c r="G190" s="8" t="s">
        <v>33</v>
      </c>
      <c r="H190" s="8">
        <v>8.5756379999999996</v>
      </c>
      <c r="I190" s="8">
        <v>-82.443582000000006</v>
      </c>
      <c r="J190" s="21" t="s">
        <v>146</v>
      </c>
    </row>
    <row r="191" spans="1:10" hidden="1" x14ac:dyDescent="0.3">
      <c r="A191" s="20">
        <v>1</v>
      </c>
      <c r="B191" s="8">
        <v>220</v>
      </c>
      <c r="C191" s="8" t="s">
        <v>290</v>
      </c>
      <c r="D191" s="8" t="s">
        <v>77</v>
      </c>
      <c r="E191" s="8" t="s">
        <v>286</v>
      </c>
      <c r="F191" s="8" t="s">
        <v>287</v>
      </c>
      <c r="G191" s="8" t="s">
        <v>33</v>
      </c>
      <c r="H191" s="8">
        <v>8.5669579999999996</v>
      </c>
      <c r="I191" s="8">
        <v>-82.416613999999996</v>
      </c>
      <c r="J191" s="21" t="s">
        <v>148</v>
      </c>
    </row>
    <row r="192" spans="1:10" hidden="1" x14ac:dyDescent="0.3">
      <c r="A192" s="20">
        <v>1</v>
      </c>
      <c r="B192" s="8">
        <v>221</v>
      </c>
      <c r="C192" s="8" t="s">
        <v>291</v>
      </c>
      <c r="D192" s="8" t="s">
        <v>77</v>
      </c>
      <c r="E192" s="8" t="s">
        <v>286</v>
      </c>
      <c r="F192" s="8" t="s">
        <v>287</v>
      </c>
      <c r="G192" s="8" t="s">
        <v>12</v>
      </c>
      <c r="H192" s="8">
        <v>8.5645799999999994</v>
      </c>
      <c r="I192" s="8">
        <v>-82.449579999999997</v>
      </c>
      <c r="J192" s="21" t="s">
        <v>288</v>
      </c>
    </row>
    <row r="193" spans="1:10" hidden="1" x14ac:dyDescent="0.3">
      <c r="A193" s="20">
        <v>1</v>
      </c>
      <c r="B193" s="8">
        <v>223</v>
      </c>
      <c r="C193" s="8" t="s">
        <v>292</v>
      </c>
      <c r="D193" s="8" t="s">
        <v>77</v>
      </c>
      <c r="E193" s="8" t="s">
        <v>286</v>
      </c>
      <c r="F193" s="8" t="s">
        <v>287</v>
      </c>
      <c r="G193" s="8" t="s">
        <v>53</v>
      </c>
      <c r="H193" s="8">
        <v>8.5855680000000003</v>
      </c>
      <c r="I193" s="8">
        <v>-82.462704000000002</v>
      </c>
      <c r="J193" s="21" t="s">
        <v>222</v>
      </c>
    </row>
    <row r="194" spans="1:10" hidden="1" x14ac:dyDescent="0.3">
      <c r="A194" s="20">
        <v>1</v>
      </c>
      <c r="B194" s="8">
        <v>225</v>
      </c>
      <c r="C194" s="8" t="s">
        <v>293</v>
      </c>
      <c r="D194" s="8" t="s">
        <v>77</v>
      </c>
      <c r="E194" s="8" t="s">
        <v>286</v>
      </c>
      <c r="F194" s="8" t="s">
        <v>294</v>
      </c>
      <c r="G194" s="8" t="s">
        <v>12</v>
      </c>
      <c r="H194" s="8">
        <v>8.5321739999999995</v>
      </c>
      <c r="I194" s="8">
        <v>-82.420760999999999</v>
      </c>
      <c r="J194" s="21" t="s">
        <v>295</v>
      </c>
    </row>
    <row r="195" spans="1:10" hidden="1" x14ac:dyDescent="0.3">
      <c r="A195" s="20">
        <v>1</v>
      </c>
      <c r="B195" s="8">
        <v>226</v>
      </c>
      <c r="C195" s="8" t="s">
        <v>296</v>
      </c>
      <c r="D195" s="8" t="s">
        <v>77</v>
      </c>
      <c r="E195" s="8" t="s">
        <v>286</v>
      </c>
      <c r="F195" s="8" t="s">
        <v>294</v>
      </c>
      <c r="G195" s="8" t="s">
        <v>12</v>
      </c>
      <c r="H195" s="8">
        <v>8.529598</v>
      </c>
      <c r="I195" s="8">
        <v>-82.409977999999995</v>
      </c>
      <c r="J195" s="21" t="s">
        <v>297</v>
      </c>
    </row>
    <row r="196" spans="1:10" hidden="1" x14ac:dyDescent="0.3">
      <c r="A196" s="20">
        <v>1</v>
      </c>
      <c r="B196" s="8">
        <v>227</v>
      </c>
      <c r="C196" s="8" t="s">
        <v>298</v>
      </c>
      <c r="D196" s="8" t="s">
        <v>77</v>
      </c>
      <c r="E196" s="8" t="s">
        <v>286</v>
      </c>
      <c r="F196" s="8" t="s">
        <v>294</v>
      </c>
      <c r="G196" s="8" t="s">
        <v>12</v>
      </c>
      <c r="H196" s="8">
        <v>8.5304780000000004</v>
      </c>
      <c r="I196" s="8">
        <v>-82.417758000000006</v>
      </c>
      <c r="J196" s="21" t="s">
        <v>284</v>
      </c>
    </row>
    <row r="197" spans="1:10" hidden="1" x14ac:dyDescent="0.3">
      <c r="A197" s="20">
        <v>1</v>
      </c>
      <c r="B197" s="8">
        <v>228</v>
      </c>
      <c r="C197" s="8" t="s">
        <v>299</v>
      </c>
      <c r="D197" s="8" t="s">
        <v>77</v>
      </c>
      <c r="E197" s="8" t="s">
        <v>286</v>
      </c>
      <c r="F197" s="8" t="s">
        <v>294</v>
      </c>
      <c r="G197" s="8" t="s">
        <v>33</v>
      </c>
      <c r="H197" s="8">
        <v>8.5329960000000007</v>
      </c>
      <c r="I197" s="8">
        <v>-82.428818000000007</v>
      </c>
      <c r="J197" s="21" t="s">
        <v>168</v>
      </c>
    </row>
    <row r="198" spans="1:10" hidden="1" x14ac:dyDescent="0.3">
      <c r="A198" s="20">
        <v>1</v>
      </c>
      <c r="B198" s="8">
        <v>230</v>
      </c>
      <c r="C198" s="8" t="s">
        <v>300</v>
      </c>
      <c r="D198" s="8" t="s">
        <v>77</v>
      </c>
      <c r="E198" s="8" t="s">
        <v>286</v>
      </c>
      <c r="F198" s="8" t="s">
        <v>294</v>
      </c>
      <c r="G198" s="8" t="s">
        <v>12</v>
      </c>
      <c r="H198" s="8">
        <v>8.5327110000000008</v>
      </c>
      <c r="I198" s="8">
        <v>-82.419055999999998</v>
      </c>
      <c r="J198" s="21" t="s">
        <v>288</v>
      </c>
    </row>
    <row r="199" spans="1:10" hidden="1" x14ac:dyDescent="0.3">
      <c r="A199" s="20">
        <v>1</v>
      </c>
      <c r="B199" s="8">
        <v>231</v>
      </c>
      <c r="C199" s="8" t="s">
        <v>301</v>
      </c>
      <c r="D199" s="8" t="s">
        <v>77</v>
      </c>
      <c r="E199" s="8" t="s">
        <v>286</v>
      </c>
      <c r="F199" s="8" t="s">
        <v>294</v>
      </c>
      <c r="G199" s="8" t="s">
        <v>12</v>
      </c>
      <c r="H199" s="8">
        <v>8.5206959999999992</v>
      </c>
      <c r="I199" s="8">
        <v>-82.424133999999995</v>
      </c>
      <c r="J199" s="21" t="s">
        <v>295</v>
      </c>
    </row>
    <row r="200" spans="1:10" hidden="1" x14ac:dyDescent="0.3">
      <c r="A200" s="20">
        <v>1</v>
      </c>
      <c r="B200" s="8">
        <v>232</v>
      </c>
      <c r="C200" s="8" t="s">
        <v>302</v>
      </c>
      <c r="D200" s="8" t="s">
        <v>77</v>
      </c>
      <c r="E200" s="8" t="s">
        <v>286</v>
      </c>
      <c r="F200" s="8" t="s">
        <v>294</v>
      </c>
      <c r="G200" s="8" t="s">
        <v>33</v>
      </c>
      <c r="H200" s="8">
        <v>8.4995410000000007</v>
      </c>
      <c r="I200" s="8">
        <v>-82.425670999999994</v>
      </c>
      <c r="J200" s="21" t="s">
        <v>288</v>
      </c>
    </row>
    <row r="201" spans="1:10" hidden="1" x14ac:dyDescent="0.3">
      <c r="A201" s="20">
        <v>1</v>
      </c>
      <c r="B201" s="8">
        <v>233</v>
      </c>
      <c r="C201" s="8" t="s">
        <v>303</v>
      </c>
      <c r="D201" s="8" t="s">
        <v>77</v>
      </c>
      <c r="E201" s="8" t="s">
        <v>304</v>
      </c>
      <c r="F201" s="8" t="s">
        <v>304</v>
      </c>
      <c r="G201" s="8" t="s">
        <v>12</v>
      </c>
      <c r="H201" s="8">
        <v>8.4989690000000007</v>
      </c>
      <c r="I201" s="8">
        <v>-82.285015000000001</v>
      </c>
      <c r="J201" s="21" t="s">
        <v>295</v>
      </c>
    </row>
    <row r="202" spans="1:10" hidden="1" x14ac:dyDescent="0.3">
      <c r="A202" s="20">
        <v>1</v>
      </c>
      <c r="B202" s="8">
        <v>234</v>
      </c>
      <c r="C202" s="8" t="s">
        <v>305</v>
      </c>
      <c r="D202" s="8" t="s">
        <v>77</v>
      </c>
      <c r="E202" s="8" t="s">
        <v>304</v>
      </c>
      <c r="F202" s="8" t="s">
        <v>304</v>
      </c>
      <c r="G202" s="8" t="s">
        <v>12</v>
      </c>
      <c r="H202" s="8">
        <v>8.5323910000000005</v>
      </c>
      <c r="I202" s="8">
        <v>-82.299513000000005</v>
      </c>
      <c r="J202" s="21" t="s">
        <v>295</v>
      </c>
    </row>
    <row r="203" spans="1:10" hidden="1" x14ac:dyDescent="0.3">
      <c r="A203" s="20">
        <v>1</v>
      </c>
      <c r="B203" s="8">
        <v>235</v>
      </c>
      <c r="C203" s="8" t="s">
        <v>306</v>
      </c>
      <c r="D203" s="8" t="s">
        <v>77</v>
      </c>
      <c r="E203" s="8" t="s">
        <v>304</v>
      </c>
      <c r="F203" s="8" t="s">
        <v>304</v>
      </c>
      <c r="G203" s="8" t="s">
        <v>12</v>
      </c>
      <c r="H203" s="8">
        <v>8.5332109999999997</v>
      </c>
      <c r="I203" s="8">
        <v>-82.299683999999999</v>
      </c>
      <c r="J203" s="21" t="s">
        <v>295</v>
      </c>
    </row>
    <row r="204" spans="1:10" hidden="1" x14ac:dyDescent="0.3">
      <c r="A204" s="20">
        <v>1</v>
      </c>
      <c r="B204" s="8">
        <v>236</v>
      </c>
      <c r="C204" s="8" t="s">
        <v>307</v>
      </c>
      <c r="D204" s="8" t="s">
        <v>77</v>
      </c>
      <c r="E204" s="8" t="s">
        <v>304</v>
      </c>
      <c r="F204" s="8" t="s">
        <v>304</v>
      </c>
      <c r="G204" s="8" t="s">
        <v>12</v>
      </c>
      <c r="H204" s="8">
        <v>8.5228699999999993</v>
      </c>
      <c r="I204" s="8">
        <v>-82.300129999999996</v>
      </c>
      <c r="J204" s="21" t="s">
        <v>295</v>
      </c>
    </row>
    <row r="205" spans="1:10" hidden="1" x14ac:dyDescent="0.3">
      <c r="A205" s="20">
        <v>1</v>
      </c>
      <c r="B205" s="8">
        <v>237</v>
      </c>
      <c r="C205" s="8" t="s">
        <v>308</v>
      </c>
      <c r="D205" s="8" t="s">
        <v>77</v>
      </c>
      <c r="E205" s="8" t="s">
        <v>309</v>
      </c>
      <c r="F205" s="8" t="s">
        <v>309</v>
      </c>
      <c r="G205" s="8" t="s">
        <v>12</v>
      </c>
      <c r="H205" s="8">
        <v>8.2280730000000002</v>
      </c>
      <c r="I205" s="8">
        <v>-81.832277000000005</v>
      </c>
      <c r="J205" s="21" t="s">
        <v>310</v>
      </c>
    </row>
    <row r="206" spans="1:10" hidden="1" x14ac:dyDescent="0.3">
      <c r="A206" s="20">
        <v>1</v>
      </c>
      <c r="B206" s="8">
        <v>238</v>
      </c>
      <c r="C206" s="8" t="s">
        <v>311</v>
      </c>
      <c r="D206" s="8" t="s">
        <v>77</v>
      </c>
      <c r="E206" s="8" t="s">
        <v>309</v>
      </c>
      <c r="F206" s="8" t="s">
        <v>309</v>
      </c>
      <c r="G206" s="8" t="s">
        <v>12</v>
      </c>
      <c r="H206" s="8">
        <v>8.2281519999999997</v>
      </c>
      <c r="I206" s="8">
        <v>-81.832020999999997</v>
      </c>
      <c r="J206" s="21" t="s">
        <v>310</v>
      </c>
    </row>
    <row r="207" spans="1:10" hidden="1" x14ac:dyDescent="0.3">
      <c r="A207" s="20">
        <v>1</v>
      </c>
      <c r="B207" s="8">
        <v>239</v>
      </c>
      <c r="C207" s="8" t="s">
        <v>312</v>
      </c>
      <c r="D207" s="8" t="s">
        <v>77</v>
      </c>
      <c r="E207" s="8" t="s">
        <v>309</v>
      </c>
      <c r="F207" s="8" t="s">
        <v>309</v>
      </c>
      <c r="G207" s="8" t="s">
        <v>12</v>
      </c>
      <c r="H207" s="8">
        <v>8.2248059999999992</v>
      </c>
      <c r="I207" s="8">
        <v>-81.825525999999996</v>
      </c>
      <c r="J207" s="21" t="s">
        <v>310</v>
      </c>
    </row>
    <row r="208" spans="1:10" hidden="1" x14ac:dyDescent="0.3">
      <c r="A208" s="20">
        <v>1</v>
      </c>
      <c r="B208" s="8">
        <v>240</v>
      </c>
      <c r="C208" s="8" t="s">
        <v>313</v>
      </c>
      <c r="D208" s="8" t="s">
        <v>77</v>
      </c>
      <c r="E208" s="8" t="s">
        <v>314</v>
      </c>
      <c r="F208" s="8" t="s">
        <v>315</v>
      </c>
      <c r="G208" s="8" t="s">
        <v>99</v>
      </c>
      <c r="H208" s="8">
        <v>8.7306380000000008</v>
      </c>
      <c r="I208" s="8">
        <v>-82.888304000000005</v>
      </c>
      <c r="J208" s="21" t="s">
        <v>88</v>
      </c>
    </row>
    <row r="209" spans="1:10" hidden="1" x14ac:dyDescent="0.3">
      <c r="A209" s="20">
        <v>1</v>
      </c>
      <c r="B209" s="8">
        <v>241</v>
      </c>
      <c r="C209" s="8" t="s">
        <v>316</v>
      </c>
      <c r="D209" s="8" t="s">
        <v>77</v>
      </c>
      <c r="E209" s="8" t="s">
        <v>314</v>
      </c>
      <c r="F209" s="8" t="s">
        <v>315</v>
      </c>
      <c r="G209" s="8" t="s">
        <v>53</v>
      </c>
      <c r="H209" s="8">
        <v>8.7306380000000008</v>
      </c>
      <c r="I209" s="8">
        <v>-82.851915000000005</v>
      </c>
      <c r="J209" s="21" t="s">
        <v>317</v>
      </c>
    </row>
    <row r="210" spans="1:10" hidden="1" x14ac:dyDescent="0.3">
      <c r="A210" s="20">
        <v>1</v>
      </c>
      <c r="B210" s="8">
        <v>242</v>
      </c>
      <c r="C210" s="8" t="s">
        <v>318</v>
      </c>
      <c r="D210" s="8" t="s">
        <v>77</v>
      </c>
      <c r="E210" s="8" t="s">
        <v>314</v>
      </c>
      <c r="F210" s="8" t="s">
        <v>315</v>
      </c>
      <c r="G210" s="8" t="s">
        <v>53</v>
      </c>
      <c r="H210" s="8">
        <v>8.6703600000000005</v>
      </c>
      <c r="I210" s="8">
        <v>-82.839971000000006</v>
      </c>
      <c r="J210" s="21" t="s">
        <v>317</v>
      </c>
    </row>
    <row r="211" spans="1:10" hidden="1" x14ac:dyDescent="0.3">
      <c r="A211" s="20">
        <v>1</v>
      </c>
      <c r="B211" s="8">
        <v>243</v>
      </c>
      <c r="C211" s="8" t="s">
        <v>319</v>
      </c>
      <c r="D211" s="8" t="s">
        <v>77</v>
      </c>
      <c r="E211" s="8" t="s">
        <v>314</v>
      </c>
      <c r="F211" s="8" t="s">
        <v>320</v>
      </c>
      <c r="G211" s="8" t="s">
        <v>53</v>
      </c>
      <c r="H211" s="8">
        <v>8.7939710000000009</v>
      </c>
      <c r="I211" s="8">
        <v>-82.823025999999999</v>
      </c>
      <c r="J211" s="21" t="s">
        <v>321</v>
      </c>
    </row>
    <row r="212" spans="1:10" hidden="1" x14ac:dyDescent="0.3">
      <c r="A212" s="20">
        <v>1</v>
      </c>
      <c r="B212" s="8">
        <v>244</v>
      </c>
      <c r="C212" s="8" t="s">
        <v>322</v>
      </c>
      <c r="D212" s="8" t="s">
        <v>77</v>
      </c>
      <c r="E212" s="8" t="s">
        <v>314</v>
      </c>
      <c r="F212" s="8" t="s">
        <v>320</v>
      </c>
      <c r="G212" s="8" t="s">
        <v>99</v>
      </c>
      <c r="H212" s="8">
        <v>8.7928599999999992</v>
      </c>
      <c r="I212" s="8">
        <v>-82.788303999999997</v>
      </c>
      <c r="J212" s="21" t="s">
        <v>174</v>
      </c>
    </row>
    <row r="213" spans="1:10" hidden="1" x14ac:dyDescent="0.3">
      <c r="A213" s="20">
        <v>1</v>
      </c>
      <c r="B213" s="8">
        <v>245</v>
      </c>
      <c r="C213" s="8" t="s">
        <v>323</v>
      </c>
      <c r="D213" s="8" t="s">
        <v>77</v>
      </c>
      <c r="E213" s="8" t="s">
        <v>314</v>
      </c>
      <c r="F213" s="8" t="s">
        <v>320</v>
      </c>
      <c r="G213" s="8" t="s">
        <v>99</v>
      </c>
      <c r="H213" s="8">
        <v>8.8216099999999997</v>
      </c>
      <c r="I213" s="8">
        <v>-82.856154000000004</v>
      </c>
      <c r="J213" s="21" t="s">
        <v>174</v>
      </c>
    </row>
    <row r="214" spans="1:10" hidden="1" x14ac:dyDescent="0.3">
      <c r="A214" s="20">
        <v>1</v>
      </c>
      <c r="B214" s="8">
        <v>246</v>
      </c>
      <c r="C214" s="8" t="s">
        <v>324</v>
      </c>
      <c r="D214" s="8" t="s">
        <v>77</v>
      </c>
      <c r="E214" s="8" t="s">
        <v>314</v>
      </c>
      <c r="F214" s="8" t="s">
        <v>325</v>
      </c>
      <c r="G214" s="8" t="s">
        <v>53</v>
      </c>
      <c r="H214" s="8">
        <v>8.7431380000000001</v>
      </c>
      <c r="I214" s="8">
        <v>-82.819970999999995</v>
      </c>
      <c r="J214" s="21" t="s">
        <v>197</v>
      </c>
    </row>
    <row r="215" spans="1:10" hidden="1" x14ac:dyDescent="0.3">
      <c r="A215" s="20">
        <v>1</v>
      </c>
      <c r="B215" s="8">
        <v>247</v>
      </c>
      <c r="C215" s="8" t="s">
        <v>326</v>
      </c>
      <c r="D215" s="8" t="s">
        <v>77</v>
      </c>
      <c r="E215" s="8" t="s">
        <v>314</v>
      </c>
      <c r="F215" s="8" t="s">
        <v>325</v>
      </c>
      <c r="G215" s="8" t="s">
        <v>99</v>
      </c>
      <c r="H215" s="8">
        <v>8.7689079999999997</v>
      </c>
      <c r="I215" s="8">
        <v>-82.787887999999995</v>
      </c>
      <c r="J215" s="21" t="s">
        <v>174</v>
      </c>
    </row>
    <row r="216" spans="1:10" hidden="1" x14ac:dyDescent="0.3">
      <c r="A216" s="20">
        <v>1</v>
      </c>
      <c r="B216" s="8">
        <v>248</v>
      </c>
      <c r="C216" s="8" t="s">
        <v>327</v>
      </c>
      <c r="D216" s="8" t="s">
        <v>77</v>
      </c>
      <c r="E216" s="8" t="s">
        <v>314</v>
      </c>
      <c r="F216" s="8" t="s">
        <v>328</v>
      </c>
      <c r="G216" s="8" t="s">
        <v>53</v>
      </c>
      <c r="H216" s="8">
        <v>8.7930659999999996</v>
      </c>
      <c r="I216" s="8">
        <v>-82.861958999999999</v>
      </c>
      <c r="J216" s="21" t="s">
        <v>329</v>
      </c>
    </row>
    <row r="217" spans="1:10" hidden="1" x14ac:dyDescent="0.3">
      <c r="A217" s="20">
        <v>1</v>
      </c>
      <c r="B217" s="8">
        <v>249</v>
      </c>
      <c r="C217" s="8" t="s">
        <v>330</v>
      </c>
      <c r="D217" s="8" t="s">
        <v>77</v>
      </c>
      <c r="E217" s="8" t="s">
        <v>314</v>
      </c>
      <c r="F217" s="8" t="s">
        <v>328</v>
      </c>
      <c r="G217" s="8" t="s">
        <v>99</v>
      </c>
      <c r="H217" s="8">
        <v>8.8291160000000009</v>
      </c>
      <c r="I217" s="8">
        <v>-82.860619</v>
      </c>
      <c r="J217" s="21" t="s">
        <v>88</v>
      </c>
    </row>
    <row r="218" spans="1:10" hidden="1" x14ac:dyDescent="0.3">
      <c r="A218" s="20">
        <v>1</v>
      </c>
      <c r="B218" s="8">
        <v>250</v>
      </c>
      <c r="C218" s="8" t="s">
        <v>331</v>
      </c>
      <c r="D218" s="8" t="s">
        <v>77</v>
      </c>
      <c r="E218" s="8" t="s">
        <v>314</v>
      </c>
      <c r="F218" s="8" t="s">
        <v>328</v>
      </c>
      <c r="G218" s="8" t="s">
        <v>12</v>
      </c>
      <c r="H218" s="8">
        <v>8.8200819999999993</v>
      </c>
      <c r="I218" s="8">
        <v>-82.860525999999993</v>
      </c>
      <c r="J218" s="21" t="s">
        <v>332</v>
      </c>
    </row>
    <row r="219" spans="1:10" hidden="1" x14ac:dyDescent="0.3">
      <c r="A219" s="20">
        <v>1</v>
      </c>
      <c r="B219" s="8">
        <v>251</v>
      </c>
      <c r="C219" s="8" t="s">
        <v>333</v>
      </c>
      <c r="D219" s="8" t="s">
        <v>77</v>
      </c>
      <c r="E219" s="8" t="s">
        <v>314</v>
      </c>
      <c r="F219" s="8" t="s">
        <v>328</v>
      </c>
      <c r="G219" s="8" t="s">
        <v>12</v>
      </c>
      <c r="H219" s="8">
        <v>8.8166670000000007</v>
      </c>
      <c r="I219" s="8">
        <v>-82.866667000000007</v>
      </c>
      <c r="J219" s="21" t="s">
        <v>332</v>
      </c>
    </row>
    <row r="220" spans="1:10" hidden="1" x14ac:dyDescent="0.3">
      <c r="A220" s="20">
        <v>1</v>
      </c>
      <c r="B220" s="8">
        <v>252</v>
      </c>
      <c r="C220" s="8" t="s">
        <v>334</v>
      </c>
      <c r="D220" s="8" t="s">
        <v>77</v>
      </c>
      <c r="E220" s="8" t="s">
        <v>314</v>
      </c>
      <c r="F220" s="8" t="s">
        <v>328</v>
      </c>
      <c r="G220" s="8" t="s">
        <v>12</v>
      </c>
      <c r="H220" s="8">
        <v>8.8441189999999992</v>
      </c>
      <c r="I220" s="8">
        <v>-82.830207000000001</v>
      </c>
      <c r="J220" s="21" t="s">
        <v>332</v>
      </c>
    </row>
    <row r="221" spans="1:10" hidden="1" x14ac:dyDescent="0.3">
      <c r="A221" s="20">
        <v>1</v>
      </c>
      <c r="B221" s="8">
        <v>253</v>
      </c>
      <c r="C221" s="8" t="s">
        <v>335</v>
      </c>
      <c r="D221" s="8" t="s">
        <v>77</v>
      </c>
      <c r="E221" s="8" t="s">
        <v>314</v>
      </c>
      <c r="F221" s="8" t="s">
        <v>328</v>
      </c>
      <c r="G221" s="8" t="s">
        <v>12</v>
      </c>
      <c r="H221" s="8">
        <v>8.8202210000000001</v>
      </c>
      <c r="I221" s="8">
        <v>-82.861791999999994</v>
      </c>
      <c r="J221" s="21" t="s">
        <v>336</v>
      </c>
    </row>
    <row r="222" spans="1:10" hidden="1" x14ac:dyDescent="0.3">
      <c r="A222" s="20">
        <v>1</v>
      </c>
      <c r="B222" s="8">
        <v>254</v>
      </c>
      <c r="C222" s="8" t="s">
        <v>337</v>
      </c>
      <c r="D222" s="8" t="s">
        <v>77</v>
      </c>
      <c r="E222" s="8" t="s">
        <v>314</v>
      </c>
      <c r="F222" s="8" t="s">
        <v>338</v>
      </c>
      <c r="G222" s="8" t="s">
        <v>99</v>
      </c>
      <c r="H222" s="8">
        <v>8.8015629999999998</v>
      </c>
      <c r="I222" s="8">
        <v>-82.775093999999996</v>
      </c>
      <c r="J222" s="21" t="s">
        <v>174</v>
      </c>
    </row>
    <row r="223" spans="1:10" hidden="1" x14ac:dyDescent="0.3">
      <c r="A223" s="20">
        <v>1</v>
      </c>
      <c r="B223" s="8">
        <v>255</v>
      </c>
      <c r="C223" s="8" t="s">
        <v>339</v>
      </c>
      <c r="D223" s="8" t="s">
        <v>77</v>
      </c>
      <c r="E223" s="8" t="s">
        <v>314</v>
      </c>
      <c r="F223" s="8" t="s">
        <v>338</v>
      </c>
      <c r="G223" s="8" t="s">
        <v>99</v>
      </c>
      <c r="H223" s="8">
        <v>8.6963589999999993</v>
      </c>
      <c r="I223" s="8">
        <v>-82.702400999999995</v>
      </c>
      <c r="J223" s="21" t="s">
        <v>174</v>
      </c>
    </row>
    <row r="224" spans="1:10" hidden="1" x14ac:dyDescent="0.3">
      <c r="A224" s="20">
        <v>1</v>
      </c>
      <c r="B224" s="8">
        <v>256</v>
      </c>
      <c r="C224" s="8" t="s">
        <v>340</v>
      </c>
      <c r="D224" s="8" t="s">
        <v>77</v>
      </c>
      <c r="E224" s="8" t="s">
        <v>341</v>
      </c>
      <c r="F224" s="8" t="s">
        <v>342</v>
      </c>
      <c r="G224" s="8" t="s">
        <v>12</v>
      </c>
      <c r="H224" s="8">
        <v>8.2531029999999994</v>
      </c>
      <c r="I224" s="8">
        <v>-81.870566999999994</v>
      </c>
      <c r="J224" s="21" t="s">
        <v>297</v>
      </c>
    </row>
    <row r="225" spans="1:10" hidden="1" x14ac:dyDescent="0.3">
      <c r="A225" s="20">
        <v>1</v>
      </c>
      <c r="B225" s="8">
        <v>257</v>
      </c>
      <c r="C225" s="8" t="s">
        <v>343</v>
      </c>
      <c r="D225" s="8" t="s">
        <v>77</v>
      </c>
      <c r="E225" s="8" t="s">
        <v>341</v>
      </c>
      <c r="F225" s="8" t="s">
        <v>342</v>
      </c>
      <c r="G225" s="8" t="s">
        <v>12</v>
      </c>
      <c r="H225" s="8">
        <v>8.244351</v>
      </c>
      <c r="I225" s="8">
        <v>-81.869302000000005</v>
      </c>
      <c r="J225" s="21" t="s">
        <v>310</v>
      </c>
    </row>
    <row r="226" spans="1:10" hidden="1" x14ac:dyDescent="0.3">
      <c r="A226" s="20">
        <v>1</v>
      </c>
      <c r="B226" s="8">
        <v>258</v>
      </c>
      <c r="C226" s="8" t="s">
        <v>344</v>
      </c>
      <c r="D226" s="8" t="s">
        <v>77</v>
      </c>
      <c r="E226" s="8" t="s">
        <v>341</v>
      </c>
      <c r="F226" s="8" t="s">
        <v>342</v>
      </c>
      <c r="G226" s="8" t="s">
        <v>12</v>
      </c>
      <c r="H226" s="8">
        <v>8.2441940000000002</v>
      </c>
      <c r="I226" s="8">
        <v>-81.869669999999999</v>
      </c>
      <c r="J226" s="21" t="s">
        <v>310</v>
      </c>
    </row>
    <row r="227" spans="1:10" hidden="1" x14ac:dyDescent="0.3">
      <c r="A227" s="20">
        <v>1</v>
      </c>
      <c r="B227" s="8">
        <v>259</v>
      </c>
      <c r="C227" s="8" t="s">
        <v>345</v>
      </c>
      <c r="D227" s="8" t="s">
        <v>77</v>
      </c>
      <c r="E227" s="8" t="s">
        <v>341</v>
      </c>
      <c r="F227" s="8" t="s">
        <v>341</v>
      </c>
      <c r="G227" s="8" t="s">
        <v>12</v>
      </c>
      <c r="H227" s="8">
        <v>8.2967040000000001</v>
      </c>
      <c r="I227" s="8">
        <v>-81.869099000000006</v>
      </c>
      <c r="J227" s="21" t="s">
        <v>297</v>
      </c>
    </row>
    <row r="228" spans="1:10" hidden="1" x14ac:dyDescent="0.3">
      <c r="A228" s="20">
        <v>1</v>
      </c>
      <c r="B228" s="8">
        <v>260</v>
      </c>
      <c r="C228" s="8" t="s">
        <v>346</v>
      </c>
      <c r="D228" s="8" t="s">
        <v>77</v>
      </c>
      <c r="E228" s="8" t="s">
        <v>341</v>
      </c>
      <c r="F228" s="8" t="s">
        <v>341</v>
      </c>
      <c r="G228" s="8" t="s">
        <v>12</v>
      </c>
      <c r="H228" s="8">
        <v>8.2849190000000004</v>
      </c>
      <c r="I228" s="8">
        <v>-81.873867000000004</v>
      </c>
      <c r="J228" s="21" t="s">
        <v>310</v>
      </c>
    </row>
    <row r="229" spans="1:10" hidden="1" x14ac:dyDescent="0.3">
      <c r="A229" s="20">
        <v>1</v>
      </c>
      <c r="B229" s="8">
        <v>261</v>
      </c>
      <c r="C229" s="8" t="s">
        <v>347</v>
      </c>
      <c r="D229" s="8" t="s">
        <v>77</v>
      </c>
      <c r="E229" s="8" t="s">
        <v>348</v>
      </c>
      <c r="F229" s="8" t="s">
        <v>349</v>
      </c>
      <c r="G229" s="8" t="s">
        <v>12</v>
      </c>
      <c r="H229" s="8">
        <v>8.3558269999999997</v>
      </c>
      <c r="I229" s="8">
        <v>-82.115827999999993</v>
      </c>
      <c r="J229" s="21" t="s">
        <v>350</v>
      </c>
    </row>
    <row r="230" spans="1:10" hidden="1" x14ac:dyDescent="0.3">
      <c r="A230" s="20">
        <v>1</v>
      </c>
      <c r="B230" s="8">
        <v>262</v>
      </c>
      <c r="C230" s="8" t="s">
        <v>351</v>
      </c>
      <c r="D230" s="8" t="s">
        <v>77</v>
      </c>
      <c r="E230" s="8" t="s">
        <v>348</v>
      </c>
      <c r="F230" s="8" t="s">
        <v>349</v>
      </c>
      <c r="G230" s="8" t="s">
        <v>12</v>
      </c>
      <c r="H230" s="8">
        <v>8.3558269999999997</v>
      </c>
      <c r="I230" s="8">
        <v>-82.115827999999993</v>
      </c>
      <c r="J230" s="21" t="s">
        <v>352</v>
      </c>
    </row>
    <row r="231" spans="1:10" hidden="1" x14ac:dyDescent="0.3">
      <c r="A231" s="20">
        <v>1</v>
      </c>
      <c r="B231" s="8">
        <v>263</v>
      </c>
      <c r="C231" s="8" t="s">
        <v>353</v>
      </c>
      <c r="D231" s="8" t="s">
        <v>77</v>
      </c>
      <c r="E231" s="8" t="s">
        <v>348</v>
      </c>
      <c r="F231" s="8" t="s">
        <v>354</v>
      </c>
      <c r="G231" s="8" t="s">
        <v>12</v>
      </c>
      <c r="H231" s="8">
        <v>8.3131299999999992</v>
      </c>
      <c r="I231" s="8">
        <v>-82.154297999999997</v>
      </c>
      <c r="J231" s="21" t="s">
        <v>352</v>
      </c>
    </row>
    <row r="232" spans="1:10" hidden="1" x14ac:dyDescent="0.3">
      <c r="A232" s="20">
        <v>1</v>
      </c>
      <c r="B232" s="8">
        <v>264</v>
      </c>
      <c r="C232" s="8" t="s">
        <v>355</v>
      </c>
      <c r="D232" s="8" t="s">
        <v>77</v>
      </c>
      <c r="E232" s="8" t="s">
        <v>348</v>
      </c>
      <c r="F232" s="8" t="s">
        <v>354</v>
      </c>
      <c r="G232" s="8" t="s">
        <v>12</v>
      </c>
      <c r="H232" s="8">
        <v>8.3151069999999994</v>
      </c>
      <c r="I232" s="8">
        <v>-82.150560999999996</v>
      </c>
      <c r="J232" s="21" t="s">
        <v>352</v>
      </c>
    </row>
    <row r="233" spans="1:10" hidden="1" x14ac:dyDescent="0.3">
      <c r="A233" s="20">
        <v>1</v>
      </c>
      <c r="B233" s="8">
        <v>265</v>
      </c>
      <c r="C233" s="8" t="s">
        <v>356</v>
      </c>
      <c r="D233" s="8" t="s">
        <v>77</v>
      </c>
      <c r="E233" s="8" t="s">
        <v>348</v>
      </c>
      <c r="F233" s="8" t="s">
        <v>348</v>
      </c>
      <c r="G233" s="8" t="s">
        <v>53</v>
      </c>
      <c r="H233" s="8">
        <v>8.3442500000000006</v>
      </c>
      <c r="I233" s="8">
        <v>-82.054415000000006</v>
      </c>
      <c r="J233" s="21" t="s">
        <v>357</v>
      </c>
    </row>
    <row r="234" spans="1:10" hidden="1" x14ac:dyDescent="0.3">
      <c r="A234" s="20">
        <v>1</v>
      </c>
      <c r="B234" s="8">
        <v>266</v>
      </c>
      <c r="C234" s="8" t="s">
        <v>358</v>
      </c>
      <c r="D234" s="8" t="s">
        <v>77</v>
      </c>
      <c r="E234" s="8" t="s">
        <v>348</v>
      </c>
      <c r="F234" s="8" t="s">
        <v>348</v>
      </c>
      <c r="G234" s="8" t="s">
        <v>12</v>
      </c>
      <c r="H234" s="8">
        <v>8.3072440000000007</v>
      </c>
      <c r="I234" s="8">
        <v>-82.102102000000002</v>
      </c>
      <c r="J234" s="21" t="s">
        <v>282</v>
      </c>
    </row>
    <row r="235" spans="1:10" hidden="1" x14ac:dyDescent="0.3">
      <c r="A235" s="20">
        <v>1</v>
      </c>
      <c r="B235" s="8">
        <v>267</v>
      </c>
      <c r="C235" s="8" t="s">
        <v>359</v>
      </c>
      <c r="D235" s="8" t="s">
        <v>77</v>
      </c>
      <c r="E235" s="8" t="s">
        <v>348</v>
      </c>
      <c r="F235" s="8" t="s">
        <v>348</v>
      </c>
      <c r="G235" s="8" t="s">
        <v>12</v>
      </c>
      <c r="H235" s="8">
        <v>8.3095700000000008</v>
      </c>
      <c r="I235" s="8">
        <v>-82.105973000000006</v>
      </c>
      <c r="J235" s="21" t="s">
        <v>282</v>
      </c>
    </row>
    <row r="236" spans="1:10" hidden="1" x14ac:dyDescent="0.3">
      <c r="A236" s="20">
        <v>1</v>
      </c>
      <c r="B236" s="8">
        <v>268</v>
      </c>
      <c r="C236" s="8" t="s">
        <v>360</v>
      </c>
      <c r="D236" s="8" t="s">
        <v>77</v>
      </c>
      <c r="E236" s="8" t="s">
        <v>361</v>
      </c>
      <c r="F236" s="8" t="s">
        <v>361</v>
      </c>
      <c r="G236" s="8" t="s">
        <v>12</v>
      </c>
      <c r="H236" s="8">
        <v>8.2078620000000004</v>
      </c>
      <c r="I236" s="8">
        <v>-81.682471000000007</v>
      </c>
      <c r="J236" s="21" t="s">
        <v>65</v>
      </c>
    </row>
    <row r="237" spans="1:10" hidden="1" x14ac:dyDescent="0.3">
      <c r="A237" s="20">
        <v>1</v>
      </c>
      <c r="B237" s="8">
        <v>269</v>
      </c>
      <c r="C237" s="8" t="s">
        <v>362</v>
      </c>
      <c r="D237" s="8" t="s">
        <v>77</v>
      </c>
      <c r="E237" s="8" t="s">
        <v>361</v>
      </c>
      <c r="F237" s="8" t="s">
        <v>361</v>
      </c>
      <c r="G237" s="8" t="s">
        <v>12</v>
      </c>
      <c r="H237" s="8">
        <v>8.2426759999999994</v>
      </c>
      <c r="I237" s="8">
        <v>-81.670066000000006</v>
      </c>
      <c r="J237" s="21" t="s">
        <v>310</v>
      </c>
    </row>
    <row r="238" spans="1:10" hidden="1" x14ac:dyDescent="0.3">
      <c r="A238" s="20">
        <v>1</v>
      </c>
      <c r="B238" s="8">
        <v>270</v>
      </c>
      <c r="C238" s="8" t="s">
        <v>363</v>
      </c>
      <c r="D238" s="8" t="s">
        <v>77</v>
      </c>
      <c r="E238" s="8" t="s">
        <v>361</v>
      </c>
      <c r="F238" s="8" t="s">
        <v>361</v>
      </c>
      <c r="G238" s="8" t="s">
        <v>12</v>
      </c>
      <c r="H238" s="8">
        <v>8.2434259999999995</v>
      </c>
      <c r="I238" s="8">
        <v>-81.672526000000005</v>
      </c>
      <c r="J238" s="21" t="s">
        <v>310</v>
      </c>
    </row>
    <row r="239" spans="1:10" x14ac:dyDescent="0.3">
      <c r="A239" s="20">
        <v>1</v>
      </c>
      <c r="B239" s="8">
        <v>272</v>
      </c>
      <c r="C239" s="8" t="s">
        <v>364</v>
      </c>
      <c r="D239" s="8" t="s">
        <v>365</v>
      </c>
      <c r="E239" s="8" t="s">
        <v>366</v>
      </c>
      <c r="F239" s="8" t="s">
        <v>367</v>
      </c>
      <c r="G239" s="8" t="s">
        <v>53</v>
      </c>
      <c r="H239" s="8">
        <v>8.5488890000000008</v>
      </c>
      <c r="I239" s="8">
        <v>-81.09</v>
      </c>
      <c r="J239" s="21" t="s">
        <v>368</v>
      </c>
    </row>
    <row r="240" spans="1:10" x14ac:dyDescent="0.3">
      <c r="A240" s="20">
        <v>1</v>
      </c>
      <c r="B240" s="8">
        <v>276</v>
      </c>
      <c r="C240" s="8" t="s">
        <v>369</v>
      </c>
      <c r="D240" s="8" t="s">
        <v>365</v>
      </c>
      <c r="E240" s="8" t="s">
        <v>370</v>
      </c>
      <c r="F240" s="8" t="s">
        <v>370</v>
      </c>
      <c r="G240" s="8" t="s">
        <v>53</v>
      </c>
      <c r="H240" s="8">
        <v>9.0059140000000006</v>
      </c>
      <c r="I240" s="8">
        <v>-80.244971000000007</v>
      </c>
      <c r="J240" s="21" t="s">
        <v>371</v>
      </c>
    </row>
    <row r="241" spans="1:10" x14ac:dyDescent="0.3">
      <c r="A241" s="20">
        <v>1</v>
      </c>
      <c r="B241" s="8">
        <v>277</v>
      </c>
      <c r="C241" s="8" t="s">
        <v>372</v>
      </c>
      <c r="D241" s="8" t="s">
        <v>365</v>
      </c>
      <c r="E241" s="8" t="s">
        <v>370</v>
      </c>
      <c r="F241" s="8" t="s">
        <v>373</v>
      </c>
      <c r="G241" s="8" t="s">
        <v>53</v>
      </c>
      <c r="H241" s="8">
        <v>8.8407429999999998</v>
      </c>
      <c r="I241" s="8">
        <v>-81.565081000000006</v>
      </c>
      <c r="J241" s="21" t="s">
        <v>374</v>
      </c>
    </row>
    <row r="242" spans="1:10" x14ac:dyDescent="0.3">
      <c r="A242" s="20">
        <v>1</v>
      </c>
      <c r="B242" s="8">
        <v>278</v>
      </c>
      <c r="C242" s="8" t="s">
        <v>375</v>
      </c>
      <c r="D242" s="8" t="s">
        <v>365</v>
      </c>
      <c r="E242" s="8" t="s">
        <v>376</v>
      </c>
      <c r="F242" s="8" t="s">
        <v>377</v>
      </c>
      <c r="G242" s="8" t="s">
        <v>53</v>
      </c>
      <c r="H242" s="8">
        <v>8.3813890000000004</v>
      </c>
      <c r="I242" s="8">
        <v>-81.828056000000004</v>
      </c>
      <c r="J242" s="21" t="s">
        <v>54</v>
      </c>
    </row>
    <row r="243" spans="1:10" x14ac:dyDescent="0.3">
      <c r="A243" s="20">
        <v>1</v>
      </c>
      <c r="B243" s="8">
        <v>279</v>
      </c>
      <c r="C243" s="8" t="s">
        <v>378</v>
      </c>
      <c r="D243" s="8" t="s">
        <v>365</v>
      </c>
      <c r="E243" s="8" t="s">
        <v>379</v>
      </c>
      <c r="F243" s="8" t="s">
        <v>380</v>
      </c>
      <c r="G243" s="8" t="s">
        <v>99</v>
      </c>
      <c r="H243" s="8">
        <v>8.2947480000000002</v>
      </c>
      <c r="I243" s="8">
        <v>-81.673872000000003</v>
      </c>
      <c r="J243" s="21" t="s">
        <v>381</v>
      </c>
    </row>
    <row r="244" spans="1:10" x14ac:dyDescent="0.3">
      <c r="A244" s="20">
        <v>1</v>
      </c>
      <c r="B244" s="8">
        <v>280</v>
      </c>
      <c r="C244" s="8" t="s">
        <v>382</v>
      </c>
      <c r="D244" s="8" t="s">
        <v>365</v>
      </c>
      <c r="E244" s="8" t="s">
        <v>379</v>
      </c>
      <c r="F244" s="8" t="s">
        <v>383</v>
      </c>
      <c r="G244" s="8" t="s">
        <v>53</v>
      </c>
      <c r="H244" s="8">
        <v>8.3083720000000003</v>
      </c>
      <c r="I244" s="8">
        <v>-81.755565000000004</v>
      </c>
      <c r="J244" s="21" t="s">
        <v>222</v>
      </c>
    </row>
    <row r="245" spans="1:10" x14ac:dyDescent="0.3">
      <c r="A245" s="20">
        <v>1</v>
      </c>
      <c r="B245" s="8">
        <v>282</v>
      </c>
      <c r="C245" s="8" t="s">
        <v>384</v>
      </c>
      <c r="D245" s="8" t="s">
        <v>365</v>
      </c>
      <c r="E245" s="8" t="s">
        <v>379</v>
      </c>
      <c r="F245" s="8" t="s">
        <v>385</v>
      </c>
      <c r="G245" s="8" t="s">
        <v>53</v>
      </c>
      <c r="H245" s="8">
        <v>8.1367220000000007</v>
      </c>
      <c r="I245" s="8">
        <v>-81.375874999999994</v>
      </c>
      <c r="J245" s="21" t="s">
        <v>386</v>
      </c>
    </row>
    <row r="246" spans="1:10" x14ac:dyDescent="0.3">
      <c r="A246" s="20">
        <v>1</v>
      </c>
      <c r="B246" s="8">
        <v>284</v>
      </c>
      <c r="C246" s="8" t="s">
        <v>387</v>
      </c>
      <c r="D246" s="8" t="s">
        <v>365</v>
      </c>
      <c r="E246" s="8" t="s">
        <v>379</v>
      </c>
      <c r="F246" s="8" t="s">
        <v>388</v>
      </c>
      <c r="G246" s="8" t="s">
        <v>53</v>
      </c>
      <c r="H246" s="8">
        <v>8.2823060000000002</v>
      </c>
      <c r="I246" s="8">
        <v>-81.548304000000002</v>
      </c>
      <c r="J246" s="21" t="s">
        <v>389</v>
      </c>
    </row>
    <row r="247" spans="1:10" x14ac:dyDescent="0.3">
      <c r="A247" s="20">
        <v>1</v>
      </c>
      <c r="B247" s="8">
        <v>286</v>
      </c>
      <c r="C247" s="8" t="s">
        <v>390</v>
      </c>
      <c r="D247" s="8" t="s">
        <v>365</v>
      </c>
      <c r="E247" s="8" t="s">
        <v>379</v>
      </c>
      <c r="F247" s="8" t="s">
        <v>391</v>
      </c>
      <c r="G247" s="8" t="s">
        <v>53</v>
      </c>
      <c r="H247" s="8">
        <v>8.3732559999999996</v>
      </c>
      <c r="I247" s="8">
        <v>-81.579740999999999</v>
      </c>
      <c r="J247" s="21" t="s">
        <v>368</v>
      </c>
    </row>
    <row r="248" spans="1:10" x14ac:dyDescent="0.3">
      <c r="A248" s="20">
        <v>1</v>
      </c>
      <c r="B248" s="8">
        <v>287</v>
      </c>
      <c r="C248" s="8" t="s">
        <v>392</v>
      </c>
      <c r="D248" s="8" t="s">
        <v>365</v>
      </c>
      <c r="E248" s="8" t="s">
        <v>393</v>
      </c>
      <c r="F248" s="8" t="s">
        <v>394</v>
      </c>
      <c r="G248" s="8" t="s">
        <v>53</v>
      </c>
      <c r="H248" s="8">
        <v>8.3052320000000002</v>
      </c>
      <c r="I248" s="8">
        <v>-81.794828999999993</v>
      </c>
      <c r="J248" s="21" t="s">
        <v>395</v>
      </c>
    </row>
    <row r="249" spans="1:10" x14ac:dyDescent="0.3">
      <c r="A249" s="20">
        <v>1</v>
      </c>
      <c r="B249" s="8">
        <v>288</v>
      </c>
      <c r="C249" s="8" t="s">
        <v>396</v>
      </c>
      <c r="D249" s="8" t="s">
        <v>365</v>
      </c>
      <c r="E249" s="8" t="s">
        <v>393</v>
      </c>
      <c r="F249" s="8" t="s">
        <v>394</v>
      </c>
      <c r="G249" s="8" t="s">
        <v>53</v>
      </c>
      <c r="H249" s="8">
        <v>8.3071830000000002</v>
      </c>
      <c r="I249" s="8">
        <v>-81.794696000000002</v>
      </c>
      <c r="J249" s="21" t="s">
        <v>395</v>
      </c>
    </row>
    <row r="250" spans="1:10" x14ac:dyDescent="0.3">
      <c r="A250" s="20">
        <v>1</v>
      </c>
      <c r="B250" s="8">
        <v>290</v>
      </c>
      <c r="C250" s="8" t="s">
        <v>397</v>
      </c>
      <c r="D250" s="8" t="s">
        <v>365</v>
      </c>
      <c r="E250" s="8" t="s">
        <v>393</v>
      </c>
      <c r="F250" s="8" t="s">
        <v>398</v>
      </c>
      <c r="G250" s="8" t="s">
        <v>53</v>
      </c>
      <c r="H250" s="8">
        <v>8.2185939999999995</v>
      </c>
      <c r="I250" s="8">
        <v>-81.713463000000004</v>
      </c>
      <c r="J250" s="21" t="s">
        <v>395</v>
      </c>
    </row>
    <row r="251" spans="1:10" x14ac:dyDescent="0.3">
      <c r="A251" s="20">
        <v>1</v>
      </c>
      <c r="B251" s="8">
        <v>292</v>
      </c>
      <c r="C251" s="8" t="s">
        <v>399</v>
      </c>
      <c r="D251" s="8" t="s">
        <v>365</v>
      </c>
      <c r="E251" s="8" t="s">
        <v>400</v>
      </c>
      <c r="F251" s="8" t="s">
        <v>401</v>
      </c>
      <c r="G251" s="8" t="s">
        <v>53</v>
      </c>
      <c r="H251" s="8">
        <v>8.4528610000000004</v>
      </c>
      <c r="I251" s="8">
        <v>-81.418582000000001</v>
      </c>
      <c r="J251" s="21" t="s">
        <v>321</v>
      </c>
    </row>
    <row r="252" spans="1:10" x14ac:dyDescent="0.3">
      <c r="A252" s="20">
        <v>1</v>
      </c>
      <c r="B252" s="8">
        <v>293</v>
      </c>
      <c r="C252" s="8" t="s">
        <v>402</v>
      </c>
      <c r="D252" s="8" t="s">
        <v>365</v>
      </c>
      <c r="E252" s="8" t="s">
        <v>400</v>
      </c>
      <c r="F252" s="8" t="s">
        <v>403</v>
      </c>
      <c r="G252" s="8" t="s">
        <v>53</v>
      </c>
      <c r="H252" s="8">
        <v>8.4127150000000004</v>
      </c>
      <c r="I252" s="8">
        <v>-81.478875000000002</v>
      </c>
      <c r="J252" s="21" t="s">
        <v>404</v>
      </c>
    </row>
    <row r="253" spans="1:10" x14ac:dyDescent="0.3">
      <c r="A253" s="20">
        <v>1</v>
      </c>
      <c r="B253" s="8">
        <v>294</v>
      </c>
      <c r="C253" s="8" t="s">
        <v>405</v>
      </c>
      <c r="D253" s="8" t="s">
        <v>365</v>
      </c>
      <c r="E253" s="8" t="s">
        <v>400</v>
      </c>
      <c r="F253" s="8" t="s">
        <v>406</v>
      </c>
      <c r="G253" s="8" t="s">
        <v>53</v>
      </c>
      <c r="H253" s="8">
        <v>8.1628620000000005</v>
      </c>
      <c r="I253" s="8">
        <v>-81.543859999999995</v>
      </c>
      <c r="J253" s="21" t="s">
        <v>321</v>
      </c>
    </row>
    <row r="254" spans="1:10" x14ac:dyDescent="0.3">
      <c r="A254" s="20">
        <v>1</v>
      </c>
      <c r="B254" s="8">
        <v>295</v>
      </c>
      <c r="C254" s="8" t="s">
        <v>407</v>
      </c>
      <c r="D254" s="8" t="s">
        <v>365</v>
      </c>
      <c r="E254" s="8" t="s">
        <v>400</v>
      </c>
      <c r="F254" s="8" t="s">
        <v>408</v>
      </c>
      <c r="G254" s="8" t="s">
        <v>53</v>
      </c>
      <c r="H254" s="8">
        <v>8.3473059999999997</v>
      </c>
      <c r="I254" s="8">
        <v>-81.370249000000001</v>
      </c>
      <c r="J254" s="21" t="s">
        <v>321</v>
      </c>
    </row>
    <row r="255" spans="1:10" x14ac:dyDescent="0.3">
      <c r="A255" s="20">
        <v>1</v>
      </c>
      <c r="B255" s="8">
        <v>297</v>
      </c>
      <c r="C255" s="8" t="s">
        <v>409</v>
      </c>
      <c r="D255" s="8" t="s">
        <v>410</v>
      </c>
      <c r="E255" s="8" t="s">
        <v>411</v>
      </c>
      <c r="F255" s="8" t="s">
        <v>412</v>
      </c>
      <c r="G255" s="8" t="s">
        <v>33</v>
      </c>
      <c r="H255" s="8">
        <v>8.0434979999999996</v>
      </c>
      <c r="I255" s="8">
        <v>-80.925134999999997</v>
      </c>
      <c r="J255" s="21" t="s">
        <v>34</v>
      </c>
    </row>
    <row r="256" spans="1:10" x14ac:dyDescent="0.3">
      <c r="A256" s="20">
        <v>1</v>
      </c>
      <c r="B256" s="8">
        <v>298</v>
      </c>
      <c r="C256" s="8" t="s">
        <v>413</v>
      </c>
      <c r="D256" s="8" t="s">
        <v>410</v>
      </c>
      <c r="E256" s="8" t="s">
        <v>411</v>
      </c>
      <c r="F256" s="8" t="s">
        <v>412</v>
      </c>
      <c r="G256" s="8" t="s">
        <v>12</v>
      </c>
      <c r="H256" s="8">
        <v>8.0458510000000008</v>
      </c>
      <c r="I256" s="8">
        <v>-80.927366000000006</v>
      </c>
      <c r="J256" s="21" t="s">
        <v>20</v>
      </c>
    </row>
    <row r="257" spans="1:10" x14ac:dyDescent="0.3">
      <c r="A257" s="20">
        <v>1</v>
      </c>
      <c r="B257" s="8">
        <v>299</v>
      </c>
      <c r="C257" s="8" t="s">
        <v>414</v>
      </c>
      <c r="D257" s="8" t="s">
        <v>410</v>
      </c>
      <c r="E257" s="8" t="s">
        <v>415</v>
      </c>
      <c r="F257" s="8" t="s">
        <v>415</v>
      </c>
      <c r="G257" s="8" t="s">
        <v>12</v>
      </c>
      <c r="H257" s="8">
        <v>8.318695</v>
      </c>
      <c r="I257" s="8">
        <v>-80.843860000000006</v>
      </c>
      <c r="J257" s="21" t="s">
        <v>45</v>
      </c>
    </row>
    <row r="258" spans="1:10" x14ac:dyDescent="0.3">
      <c r="A258" s="20">
        <v>1</v>
      </c>
      <c r="B258" s="8">
        <v>300</v>
      </c>
      <c r="C258" s="8" t="s">
        <v>416</v>
      </c>
      <c r="D258" s="8" t="s">
        <v>410</v>
      </c>
      <c r="E258" s="8" t="s">
        <v>415</v>
      </c>
      <c r="F258" s="8" t="s">
        <v>415</v>
      </c>
      <c r="G258" s="8" t="s">
        <v>12</v>
      </c>
      <c r="H258" s="8">
        <v>8.2630929999999996</v>
      </c>
      <c r="I258" s="8">
        <v>-80.855002999999996</v>
      </c>
      <c r="J258" s="21" t="s">
        <v>37</v>
      </c>
    </row>
    <row r="259" spans="1:10" x14ac:dyDescent="0.3">
      <c r="A259" s="20">
        <v>1</v>
      </c>
      <c r="B259" s="8">
        <v>301</v>
      </c>
      <c r="C259" s="8" t="s">
        <v>417</v>
      </c>
      <c r="D259" s="8" t="s">
        <v>410</v>
      </c>
      <c r="E259" s="8" t="s">
        <v>418</v>
      </c>
      <c r="F259" s="8" t="s">
        <v>419</v>
      </c>
      <c r="G259" s="8" t="s">
        <v>99</v>
      </c>
      <c r="H259" s="8">
        <v>8.3123059999999995</v>
      </c>
      <c r="I259" s="8">
        <v>-81.213582000000002</v>
      </c>
      <c r="J259" s="21" t="s">
        <v>24</v>
      </c>
    </row>
    <row r="260" spans="1:10" x14ac:dyDescent="0.3">
      <c r="A260" s="20">
        <v>1</v>
      </c>
      <c r="B260" s="8">
        <v>302</v>
      </c>
      <c r="C260" s="8" t="s">
        <v>420</v>
      </c>
      <c r="D260" s="8" t="s">
        <v>410</v>
      </c>
      <c r="E260" s="8" t="s">
        <v>421</v>
      </c>
      <c r="F260" s="8" t="s">
        <v>422</v>
      </c>
      <c r="G260" s="8" t="s">
        <v>12</v>
      </c>
      <c r="H260" s="8">
        <v>8.1984180000000002</v>
      </c>
      <c r="I260" s="8">
        <v>-81.249138000000002</v>
      </c>
      <c r="J260" s="21" t="s">
        <v>13</v>
      </c>
    </row>
    <row r="261" spans="1:10" x14ac:dyDescent="0.3">
      <c r="A261" s="20">
        <v>1</v>
      </c>
      <c r="B261" s="8">
        <v>303</v>
      </c>
      <c r="C261" s="8" t="s">
        <v>423</v>
      </c>
      <c r="D261" s="8" t="s">
        <v>410</v>
      </c>
      <c r="E261" s="8" t="s">
        <v>421</v>
      </c>
      <c r="F261" s="8" t="s">
        <v>422</v>
      </c>
      <c r="G261" s="8" t="s">
        <v>12</v>
      </c>
      <c r="H261" s="8">
        <v>8.2034179999999992</v>
      </c>
      <c r="I261" s="8">
        <v>-81.195249000000004</v>
      </c>
      <c r="J261" s="21" t="s">
        <v>424</v>
      </c>
    </row>
    <row r="262" spans="1:10" x14ac:dyDescent="0.3">
      <c r="A262" s="20">
        <v>1</v>
      </c>
      <c r="B262" s="8">
        <v>304</v>
      </c>
      <c r="C262" s="8" t="s">
        <v>425</v>
      </c>
      <c r="D262" s="8" t="s">
        <v>410</v>
      </c>
      <c r="E262" s="8" t="s">
        <v>421</v>
      </c>
      <c r="F262" s="8" t="s">
        <v>421</v>
      </c>
      <c r="G262" s="8" t="s">
        <v>12</v>
      </c>
      <c r="H262" s="8">
        <v>8.1486549999999998</v>
      </c>
      <c r="I262" s="8">
        <v>-81.181200000000004</v>
      </c>
      <c r="J262" s="21" t="s">
        <v>65</v>
      </c>
    </row>
    <row r="263" spans="1:10" x14ac:dyDescent="0.3">
      <c r="A263" s="20">
        <v>1</v>
      </c>
      <c r="B263" s="8">
        <v>305</v>
      </c>
      <c r="C263" s="8" t="s">
        <v>426</v>
      </c>
      <c r="D263" s="8" t="s">
        <v>410</v>
      </c>
      <c r="E263" s="8" t="s">
        <v>421</v>
      </c>
      <c r="F263" s="8" t="s">
        <v>427</v>
      </c>
      <c r="G263" s="8" t="s">
        <v>12</v>
      </c>
      <c r="H263" s="8">
        <v>8.2140880000000003</v>
      </c>
      <c r="I263" s="8">
        <v>-81.326369999999997</v>
      </c>
      <c r="J263" s="21" t="s">
        <v>13</v>
      </c>
    </row>
    <row r="264" spans="1:10" x14ac:dyDescent="0.3">
      <c r="A264" s="20">
        <v>1</v>
      </c>
      <c r="B264" s="8">
        <v>306</v>
      </c>
      <c r="C264" s="8" t="s">
        <v>428</v>
      </c>
      <c r="D264" s="8" t="s">
        <v>410</v>
      </c>
      <c r="E264" s="8" t="s">
        <v>421</v>
      </c>
      <c r="F264" s="8" t="s">
        <v>427</v>
      </c>
      <c r="G264" s="8" t="s">
        <v>12</v>
      </c>
      <c r="H264" s="8">
        <v>8.2123969999999993</v>
      </c>
      <c r="I264" s="8">
        <v>-81.277072000000004</v>
      </c>
      <c r="J264" s="21" t="s">
        <v>13</v>
      </c>
    </row>
    <row r="265" spans="1:10" x14ac:dyDescent="0.3">
      <c r="A265" s="20">
        <v>1</v>
      </c>
      <c r="B265" s="8">
        <v>307</v>
      </c>
      <c r="C265" s="8" t="s">
        <v>429</v>
      </c>
      <c r="D265" s="8" t="s">
        <v>410</v>
      </c>
      <c r="E265" s="8" t="s">
        <v>421</v>
      </c>
      <c r="F265" s="8" t="s">
        <v>427</v>
      </c>
      <c r="G265" s="8" t="s">
        <v>12</v>
      </c>
      <c r="H265" s="8">
        <v>8.227862</v>
      </c>
      <c r="I265" s="8">
        <v>-81</v>
      </c>
      <c r="J265" s="21" t="s">
        <v>159</v>
      </c>
    </row>
    <row r="266" spans="1:10" x14ac:dyDescent="0.3">
      <c r="A266" s="20">
        <v>1</v>
      </c>
      <c r="B266" s="8">
        <v>308</v>
      </c>
      <c r="C266" s="8" t="s">
        <v>430</v>
      </c>
      <c r="D266" s="8" t="s">
        <v>410</v>
      </c>
      <c r="E266" s="8" t="s">
        <v>431</v>
      </c>
      <c r="F266" s="8" t="s">
        <v>432</v>
      </c>
      <c r="G266" s="8" t="s">
        <v>12</v>
      </c>
      <c r="H266" s="8">
        <v>8.1873059999999995</v>
      </c>
      <c r="I266" s="8">
        <v>-81.429415000000006</v>
      </c>
      <c r="J266" s="21" t="s">
        <v>433</v>
      </c>
    </row>
    <row r="267" spans="1:10" x14ac:dyDescent="0.3">
      <c r="A267" s="20">
        <v>1</v>
      </c>
      <c r="B267" s="8">
        <v>309</v>
      </c>
      <c r="C267" s="8" t="s">
        <v>434</v>
      </c>
      <c r="D267" s="8" t="s">
        <v>410</v>
      </c>
      <c r="E267" s="8" t="s">
        <v>431</v>
      </c>
      <c r="F267" s="8" t="s">
        <v>432</v>
      </c>
      <c r="G267" s="8" t="s">
        <v>12</v>
      </c>
      <c r="H267" s="8">
        <v>8.1873059999999995</v>
      </c>
      <c r="I267" s="8">
        <v>-81.429415000000006</v>
      </c>
      <c r="J267" s="21" t="s">
        <v>435</v>
      </c>
    </row>
    <row r="268" spans="1:10" x14ac:dyDescent="0.3">
      <c r="A268" s="20">
        <v>1</v>
      </c>
      <c r="B268" s="8">
        <v>311</v>
      </c>
      <c r="C268" s="8" t="s">
        <v>436</v>
      </c>
      <c r="D268" s="8" t="s">
        <v>410</v>
      </c>
      <c r="E268" s="8" t="s">
        <v>431</v>
      </c>
      <c r="F268" s="8" t="s">
        <v>431</v>
      </c>
      <c r="G268" s="8" t="s">
        <v>12</v>
      </c>
      <c r="H268" s="8">
        <v>8.1390750000000001</v>
      </c>
      <c r="I268" s="8">
        <v>-81.457167999999996</v>
      </c>
      <c r="J268" s="21" t="s">
        <v>435</v>
      </c>
    </row>
    <row r="269" spans="1:10" x14ac:dyDescent="0.3">
      <c r="A269" s="20">
        <v>1</v>
      </c>
      <c r="B269" s="8">
        <v>312</v>
      </c>
      <c r="C269" s="8" t="s">
        <v>437</v>
      </c>
      <c r="D269" s="8" t="s">
        <v>410</v>
      </c>
      <c r="E269" s="8" t="s">
        <v>431</v>
      </c>
      <c r="F269" s="8" t="s">
        <v>431</v>
      </c>
      <c r="G269" s="8" t="s">
        <v>12</v>
      </c>
      <c r="H269" s="8">
        <v>8.2021250000000006</v>
      </c>
      <c r="I269" s="8">
        <v>-81.493033999999994</v>
      </c>
      <c r="J269" s="21" t="s">
        <v>433</v>
      </c>
    </row>
    <row r="270" spans="1:10" x14ac:dyDescent="0.3">
      <c r="A270" s="20">
        <v>1</v>
      </c>
      <c r="B270" s="8">
        <v>314</v>
      </c>
      <c r="C270" s="8" t="s">
        <v>438</v>
      </c>
      <c r="D270" s="8" t="s">
        <v>410</v>
      </c>
      <c r="E270" s="8" t="s">
        <v>439</v>
      </c>
      <c r="F270" s="8" t="s">
        <v>439</v>
      </c>
      <c r="G270" s="8" t="s">
        <v>53</v>
      </c>
      <c r="H270" s="8">
        <v>7.5473090000000003</v>
      </c>
      <c r="I270" s="8">
        <v>-80.948859999999996</v>
      </c>
      <c r="J270" s="21" t="s">
        <v>222</v>
      </c>
    </row>
    <row r="271" spans="1:10" x14ac:dyDescent="0.3">
      <c r="A271" s="20">
        <v>1</v>
      </c>
      <c r="B271" s="8">
        <v>315</v>
      </c>
      <c r="C271" s="8" t="s">
        <v>440</v>
      </c>
      <c r="D271" s="8" t="s">
        <v>410</v>
      </c>
      <c r="E271" s="8" t="s">
        <v>439</v>
      </c>
      <c r="F271" s="8" t="s">
        <v>441</v>
      </c>
      <c r="G271" s="8" t="s">
        <v>53</v>
      </c>
      <c r="H271" s="8">
        <v>7.4386979999999996</v>
      </c>
      <c r="I271" s="8">
        <v>-80.887471000000005</v>
      </c>
      <c r="J271" s="21" t="s">
        <v>222</v>
      </c>
    </row>
    <row r="272" spans="1:10" x14ac:dyDescent="0.3">
      <c r="A272" s="20">
        <v>1</v>
      </c>
      <c r="B272" s="8">
        <v>316</v>
      </c>
      <c r="C272" s="8" t="s">
        <v>442</v>
      </c>
      <c r="D272" s="8" t="s">
        <v>410</v>
      </c>
      <c r="E272" s="8" t="s">
        <v>439</v>
      </c>
      <c r="F272" s="8" t="s">
        <v>441</v>
      </c>
      <c r="G272" s="8" t="s">
        <v>53</v>
      </c>
      <c r="H272" s="8">
        <v>7.4272559999999999</v>
      </c>
      <c r="I272" s="8">
        <v>-80.835392999999996</v>
      </c>
      <c r="J272" s="21" t="s">
        <v>222</v>
      </c>
    </row>
    <row r="273" spans="1:10" x14ac:dyDescent="0.3">
      <c r="A273" s="20">
        <v>1</v>
      </c>
      <c r="B273" s="8">
        <v>317</v>
      </c>
      <c r="C273" s="8" t="s">
        <v>443</v>
      </c>
      <c r="D273" s="8" t="s">
        <v>410</v>
      </c>
      <c r="E273" s="8" t="s">
        <v>444</v>
      </c>
      <c r="F273" s="8" t="s">
        <v>444</v>
      </c>
      <c r="G273" s="8" t="s">
        <v>33</v>
      </c>
      <c r="H273" s="8">
        <v>7.9894749999999997</v>
      </c>
      <c r="I273" s="8">
        <v>-81.054838000000004</v>
      </c>
      <c r="J273" s="21" t="s">
        <v>20</v>
      </c>
    </row>
    <row r="274" spans="1:10" x14ac:dyDescent="0.3">
      <c r="A274" s="20">
        <v>1</v>
      </c>
      <c r="B274" s="8">
        <v>318</v>
      </c>
      <c r="C274" s="8" t="s">
        <v>445</v>
      </c>
      <c r="D274" s="8" t="s">
        <v>410</v>
      </c>
      <c r="E274" s="8" t="s">
        <v>444</v>
      </c>
      <c r="F274" s="8" t="s">
        <v>444</v>
      </c>
      <c r="G274" s="8" t="s">
        <v>12</v>
      </c>
      <c r="H274" s="8">
        <v>7.9553630000000002</v>
      </c>
      <c r="I274" s="8">
        <v>-81.074415000000002</v>
      </c>
      <c r="J274" s="21" t="s">
        <v>20</v>
      </c>
    </row>
    <row r="275" spans="1:10" x14ac:dyDescent="0.3">
      <c r="A275" s="20">
        <v>1</v>
      </c>
      <c r="B275" s="8">
        <v>319</v>
      </c>
      <c r="C275" s="8" t="s">
        <v>446</v>
      </c>
      <c r="D275" s="8" t="s">
        <v>410</v>
      </c>
      <c r="E275" s="8" t="s">
        <v>447</v>
      </c>
      <c r="F275" s="8" t="s">
        <v>448</v>
      </c>
      <c r="G275" s="8" t="s">
        <v>53</v>
      </c>
      <c r="H275" s="8">
        <v>8.2500839999999993</v>
      </c>
      <c r="I275" s="8">
        <v>-81.083303999999998</v>
      </c>
      <c r="J275" s="21" t="s">
        <v>374</v>
      </c>
    </row>
    <row r="276" spans="1:10" x14ac:dyDescent="0.3">
      <c r="A276" s="20">
        <v>1</v>
      </c>
      <c r="B276" s="8">
        <v>320</v>
      </c>
      <c r="C276" s="8" t="s">
        <v>449</v>
      </c>
      <c r="D276" s="8" t="s">
        <v>410</v>
      </c>
      <c r="E276" s="8" t="s">
        <v>447</v>
      </c>
      <c r="F276" s="8" t="s">
        <v>450</v>
      </c>
      <c r="G276" s="8" t="s">
        <v>33</v>
      </c>
      <c r="H276" s="8">
        <v>8.2484169999999999</v>
      </c>
      <c r="I276" s="8">
        <v>-80.972748999999993</v>
      </c>
      <c r="J276" s="21" t="s">
        <v>20</v>
      </c>
    </row>
    <row r="277" spans="1:10" x14ac:dyDescent="0.3">
      <c r="A277" s="20">
        <v>1</v>
      </c>
      <c r="B277" s="8">
        <v>321</v>
      </c>
      <c r="C277" s="8" t="s">
        <v>451</v>
      </c>
      <c r="D277" s="8" t="s">
        <v>410</v>
      </c>
      <c r="E277" s="8" t="s">
        <v>447</v>
      </c>
      <c r="F277" s="8" t="s">
        <v>452</v>
      </c>
      <c r="G277" s="8" t="s">
        <v>12</v>
      </c>
      <c r="H277" s="8">
        <v>8.3517499999999991</v>
      </c>
      <c r="I277" s="8">
        <v>-81.040526</v>
      </c>
      <c r="J277" s="21" t="s">
        <v>453</v>
      </c>
    </row>
    <row r="278" spans="1:10" x14ac:dyDescent="0.3">
      <c r="A278" s="20">
        <v>1</v>
      </c>
      <c r="B278" s="8">
        <v>322</v>
      </c>
      <c r="C278" s="8" t="s">
        <v>454</v>
      </c>
      <c r="D278" s="8" t="s">
        <v>410</v>
      </c>
      <c r="E278" s="8" t="s">
        <v>455</v>
      </c>
      <c r="F278" s="8" t="s">
        <v>456</v>
      </c>
      <c r="G278" s="8" t="s">
        <v>12</v>
      </c>
      <c r="H278" s="8">
        <v>8.1223310000000009</v>
      </c>
      <c r="I278" s="8">
        <v>-80.968632999999997</v>
      </c>
      <c r="J278" s="21" t="s">
        <v>282</v>
      </c>
    </row>
    <row r="279" spans="1:10" x14ac:dyDescent="0.3">
      <c r="A279" s="20">
        <v>1</v>
      </c>
      <c r="B279" s="8">
        <v>323</v>
      </c>
      <c r="C279" s="8" t="s">
        <v>457</v>
      </c>
      <c r="D279" s="8" t="s">
        <v>410</v>
      </c>
      <c r="E279" s="8" t="s">
        <v>455</v>
      </c>
      <c r="F279" s="8" t="s">
        <v>456</v>
      </c>
      <c r="G279" s="8" t="s">
        <v>12</v>
      </c>
      <c r="H279" s="8">
        <v>8.1220829999999999</v>
      </c>
      <c r="I279" s="8">
        <v>-80.964996999999997</v>
      </c>
      <c r="J279" s="21" t="s">
        <v>140</v>
      </c>
    </row>
    <row r="280" spans="1:10" x14ac:dyDescent="0.3">
      <c r="A280" s="20">
        <v>1</v>
      </c>
      <c r="B280" s="8">
        <v>324</v>
      </c>
      <c r="C280" s="8" t="s">
        <v>458</v>
      </c>
      <c r="D280" s="8" t="s">
        <v>410</v>
      </c>
      <c r="E280" s="8" t="s">
        <v>455</v>
      </c>
      <c r="F280" s="8" t="s">
        <v>456</v>
      </c>
      <c r="G280" s="8" t="s">
        <v>12</v>
      </c>
      <c r="H280" s="8">
        <v>8.1184560000000001</v>
      </c>
      <c r="I280" s="8">
        <v>-80.965582999999995</v>
      </c>
      <c r="J280" s="21" t="s">
        <v>140</v>
      </c>
    </row>
    <row r="281" spans="1:10" x14ac:dyDescent="0.3">
      <c r="A281" s="20">
        <v>1</v>
      </c>
      <c r="B281" s="8">
        <v>325</v>
      </c>
      <c r="C281" s="8" t="s">
        <v>459</v>
      </c>
      <c r="D281" s="8" t="s">
        <v>410</v>
      </c>
      <c r="E281" s="8" t="s">
        <v>455</v>
      </c>
      <c r="F281" s="8" t="s">
        <v>456</v>
      </c>
      <c r="G281" s="8" t="s">
        <v>12</v>
      </c>
      <c r="H281" s="8">
        <v>8.1131360000000008</v>
      </c>
      <c r="I281" s="8">
        <v>-80.966166999999999</v>
      </c>
      <c r="J281" s="21" t="s">
        <v>138</v>
      </c>
    </row>
    <row r="282" spans="1:10" x14ac:dyDescent="0.3">
      <c r="A282" s="20">
        <v>1</v>
      </c>
      <c r="B282" s="8">
        <v>326</v>
      </c>
      <c r="C282" s="8" t="s">
        <v>460</v>
      </c>
      <c r="D282" s="8" t="s">
        <v>410</v>
      </c>
      <c r="E282" s="8" t="s">
        <v>455</v>
      </c>
      <c r="F282" s="8" t="s">
        <v>456</v>
      </c>
      <c r="G282" s="8" t="s">
        <v>12</v>
      </c>
      <c r="H282" s="8">
        <v>8.1114499999999996</v>
      </c>
      <c r="I282" s="8">
        <v>-80.970667000000006</v>
      </c>
      <c r="J282" s="21" t="s">
        <v>37</v>
      </c>
    </row>
    <row r="283" spans="1:10" x14ac:dyDescent="0.3">
      <c r="A283" s="20">
        <v>1</v>
      </c>
      <c r="B283" s="8">
        <v>327</v>
      </c>
      <c r="C283" s="8" t="s">
        <v>461</v>
      </c>
      <c r="D283" s="8" t="s">
        <v>410</v>
      </c>
      <c r="E283" s="8" t="s">
        <v>455</v>
      </c>
      <c r="F283" s="8" t="s">
        <v>456</v>
      </c>
      <c r="G283" s="8" t="s">
        <v>462</v>
      </c>
      <c r="H283" s="8">
        <v>8.1165190000000003</v>
      </c>
      <c r="I283" s="8">
        <v>-80.963901000000007</v>
      </c>
      <c r="J283" s="21" t="s">
        <v>82</v>
      </c>
    </row>
    <row r="284" spans="1:10" x14ac:dyDescent="0.3">
      <c r="A284" s="20">
        <v>1</v>
      </c>
      <c r="B284" s="8">
        <v>329</v>
      </c>
      <c r="C284" s="8" t="s">
        <v>463</v>
      </c>
      <c r="D284" s="8" t="s">
        <v>410</v>
      </c>
      <c r="E284" s="8" t="s">
        <v>455</v>
      </c>
      <c r="F284" s="8" t="s">
        <v>456</v>
      </c>
      <c r="G284" s="8" t="s">
        <v>99</v>
      </c>
      <c r="H284" s="8">
        <v>8.1172900000000006</v>
      </c>
      <c r="I284" s="8">
        <v>-80.965891999999997</v>
      </c>
      <c r="J284" s="21" t="s">
        <v>82</v>
      </c>
    </row>
    <row r="285" spans="1:10" x14ac:dyDescent="0.3">
      <c r="A285" s="20">
        <v>1</v>
      </c>
      <c r="B285" s="8">
        <v>330</v>
      </c>
      <c r="C285" s="8" t="s">
        <v>464</v>
      </c>
      <c r="D285" s="8" t="s">
        <v>410</v>
      </c>
      <c r="E285" s="8" t="s">
        <v>455</v>
      </c>
      <c r="F285" s="8" t="s">
        <v>456</v>
      </c>
      <c r="G285" s="8" t="s">
        <v>12</v>
      </c>
      <c r="H285" s="8">
        <v>8.1133249999999997</v>
      </c>
      <c r="I285" s="8">
        <v>-80.968556000000007</v>
      </c>
      <c r="J285" s="21" t="s">
        <v>282</v>
      </c>
    </row>
    <row r="286" spans="1:10" x14ac:dyDescent="0.3">
      <c r="A286" s="20">
        <v>1</v>
      </c>
      <c r="B286" s="8">
        <v>331</v>
      </c>
      <c r="C286" s="8" t="s">
        <v>465</v>
      </c>
      <c r="D286" s="8" t="s">
        <v>410</v>
      </c>
      <c r="E286" s="8" t="s">
        <v>455</v>
      </c>
      <c r="F286" s="8" t="s">
        <v>456</v>
      </c>
      <c r="G286" s="8" t="s">
        <v>12</v>
      </c>
      <c r="H286" s="8">
        <v>8.1155329999999992</v>
      </c>
      <c r="I286" s="8">
        <v>-80.967118999999997</v>
      </c>
      <c r="J286" s="21" t="s">
        <v>82</v>
      </c>
    </row>
    <row r="287" spans="1:10" x14ac:dyDescent="0.3">
      <c r="A287" s="20">
        <v>1</v>
      </c>
      <c r="B287" s="8">
        <v>332</v>
      </c>
      <c r="C287" s="8" t="s">
        <v>466</v>
      </c>
      <c r="D287" s="8" t="s">
        <v>410</v>
      </c>
      <c r="E287" s="8" t="s">
        <v>455</v>
      </c>
      <c r="F287" s="8" t="s">
        <v>467</v>
      </c>
      <c r="G287" s="8" t="s">
        <v>12</v>
      </c>
      <c r="H287" s="8">
        <v>8.083418</v>
      </c>
      <c r="I287" s="8">
        <v>-80.889971000000003</v>
      </c>
      <c r="J287" s="21" t="s">
        <v>24</v>
      </c>
    </row>
    <row r="288" spans="1:10" x14ac:dyDescent="0.3">
      <c r="A288" s="20">
        <v>1</v>
      </c>
      <c r="B288" s="8">
        <v>333</v>
      </c>
      <c r="C288" s="8" t="s">
        <v>468</v>
      </c>
      <c r="D288" s="8" t="s">
        <v>410</v>
      </c>
      <c r="E288" s="8" t="s">
        <v>455</v>
      </c>
      <c r="F288" s="8" t="s">
        <v>467</v>
      </c>
      <c r="G288" s="8" t="s">
        <v>12</v>
      </c>
      <c r="H288" s="8">
        <v>8.0945289999999996</v>
      </c>
      <c r="I288" s="8">
        <v>-80.818582000000006</v>
      </c>
      <c r="J288" s="21" t="s">
        <v>18</v>
      </c>
    </row>
    <row r="289" spans="1:10" x14ac:dyDescent="0.3">
      <c r="A289" s="20">
        <v>1</v>
      </c>
      <c r="B289" s="8">
        <v>334</v>
      </c>
      <c r="C289" s="8" t="s">
        <v>469</v>
      </c>
      <c r="D289" s="8" t="s">
        <v>410</v>
      </c>
      <c r="E289" s="8" t="s">
        <v>455</v>
      </c>
      <c r="F289" s="8" t="s">
        <v>467</v>
      </c>
      <c r="G289" s="8" t="s">
        <v>12</v>
      </c>
      <c r="H289" s="8">
        <v>8.0814730000000008</v>
      </c>
      <c r="I289" s="8">
        <v>-80.852749000000003</v>
      </c>
      <c r="J289" s="21" t="s">
        <v>18</v>
      </c>
    </row>
    <row r="290" spans="1:10" x14ac:dyDescent="0.3">
      <c r="A290" s="20">
        <v>1</v>
      </c>
      <c r="B290" s="8">
        <v>335</v>
      </c>
      <c r="C290" s="8" t="s">
        <v>470</v>
      </c>
      <c r="D290" s="8" t="s">
        <v>410</v>
      </c>
      <c r="E290" s="8" t="s">
        <v>455</v>
      </c>
      <c r="F290" s="8" t="s">
        <v>467</v>
      </c>
      <c r="G290" s="8" t="s">
        <v>99</v>
      </c>
      <c r="H290" s="8">
        <v>8.1270290000000003</v>
      </c>
      <c r="I290" s="8">
        <v>-80.857748999999998</v>
      </c>
      <c r="J290" s="21" t="s">
        <v>282</v>
      </c>
    </row>
    <row r="291" spans="1:10" x14ac:dyDescent="0.3">
      <c r="A291" s="20">
        <v>1</v>
      </c>
      <c r="B291" s="8">
        <v>336</v>
      </c>
      <c r="C291" s="8" t="s">
        <v>471</v>
      </c>
      <c r="D291" s="8" t="s">
        <v>410</v>
      </c>
      <c r="E291" s="8" t="s">
        <v>455</v>
      </c>
      <c r="F291" s="8" t="s">
        <v>472</v>
      </c>
      <c r="G291" s="8" t="s">
        <v>12</v>
      </c>
      <c r="H291" s="8">
        <v>8.0706399999999991</v>
      </c>
      <c r="I291" s="8">
        <v>-81.005249000000006</v>
      </c>
      <c r="J291" s="21" t="s">
        <v>395</v>
      </c>
    </row>
    <row r="292" spans="1:10" x14ac:dyDescent="0.3">
      <c r="A292" s="20">
        <v>1</v>
      </c>
      <c r="B292" s="8">
        <v>337</v>
      </c>
      <c r="C292" s="8" t="s">
        <v>473</v>
      </c>
      <c r="D292" s="8" t="s">
        <v>410</v>
      </c>
      <c r="E292" s="8" t="s">
        <v>455</v>
      </c>
      <c r="F292" s="8" t="s">
        <v>472</v>
      </c>
      <c r="G292" s="8" t="s">
        <v>12</v>
      </c>
      <c r="H292" s="8">
        <v>8.0614740000000005</v>
      </c>
      <c r="I292" s="8">
        <v>-81.031081999999998</v>
      </c>
      <c r="J292" s="21" t="s">
        <v>395</v>
      </c>
    </row>
    <row r="293" spans="1:10" x14ac:dyDescent="0.3">
      <c r="A293" s="20">
        <v>1</v>
      </c>
      <c r="B293" s="8">
        <v>338</v>
      </c>
      <c r="C293" s="8" t="s">
        <v>474</v>
      </c>
      <c r="D293" s="8" t="s">
        <v>410</v>
      </c>
      <c r="E293" s="8" t="s">
        <v>455</v>
      </c>
      <c r="F293" s="8" t="s">
        <v>475</v>
      </c>
      <c r="G293" s="8" t="s">
        <v>33</v>
      </c>
      <c r="H293" s="8">
        <v>8.0399779999999996</v>
      </c>
      <c r="I293" s="8">
        <v>-80.978326999999993</v>
      </c>
      <c r="J293" s="21" t="s">
        <v>350</v>
      </c>
    </row>
    <row r="294" spans="1:10" x14ac:dyDescent="0.3">
      <c r="A294" s="20">
        <v>1</v>
      </c>
      <c r="B294" s="8">
        <v>339</v>
      </c>
      <c r="C294" s="8" t="s">
        <v>476</v>
      </c>
      <c r="D294" s="8" t="s">
        <v>410</v>
      </c>
      <c r="E294" s="8" t="s">
        <v>455</v>
      </c>
      <c r="F294" s="8" t="s">
        <v>477</v>
      </c>
      <c r="G294" s="8" t="s">
        <v>12</v>
      </c>
      <c r="H294" s="8">
        <v>8.1255089999999992</v>
      </c>
      <c r="I294" s="8">
        <v>-81.020139</v>
      </c>
      <c r="J294" s="21" t="s">
        <v>30</v>
      </c>
    </row>
    <row r="295" spans="1:10" x14ac:dyDescent="0.3">
      <c r="A295" s="20">
        <v>1</v>
      </c>
      <c r="B295" s="8">
        <v>340</v>
      </c>
      <c r="C295" s="8" t="s">
        <v>478</v>
      </c>
      <c r="D295" s="8" t="s">
        <v>410</v>
      </c>
      <c r="E295" s="8" t="s">
        <v>455</v>
      </c>
      <c r="F295" s="8" t="s">
        <v>477</v>
      </c>
      <c r="G295" s="8" t="s">
        <v>12</v>
      </c>
      <c r="H295" s="8">
        <v>8.1311090000000004</v>
      </c>
      <c r="I295" s="8">
        <v>-81.027553999999995</v>
      </c>
      <c r="J295" s="21" t="s">
        <v>479</v>
      </c>
    </row>
    <row r="296" spans="1:10" x14ac:dyDescent="0.3">
      <c r="A296" s="20">
        <v>1</v>
      </c>
      <c r="B296" s="8">
        <v>341</v>
      </c>
      <c r="C296" s="8" t="s">
        <v>480</v>
      </c>
      <c r="D296" s="8" t="s">
        <v>410</v>
      </c>
      <c r="E296" s="8" t="s">
        <v>455</v>
      </c>
      <c r="F296" s="8" t="s">
        <v>477</v>
      </c>
      <c r="G296" s="8" t="s">
        <v>12</v>
      </c>
      <c r="H296" s="8">
        <v>8.1731400000000001</v>
      </c>
      <c r="I296" s="8">
        <v>-81.025803999999994</v>
      </c>
      <c r="J296" s="21" t="s">
        <v>65</v>
      </c>
    </row>
    <row r="297" spans="1:10" x14ac:dyDescent="0.3">
      <c r="A297" s="20">
        <v>1</v>
      </c>
      <c r="B297" s="8">
        <v>342</v>
      </c>
      <c r="C297" s="8" t="s">
        <v>481</v>
      </c>
      <c r="D297" s="8" t="s">
        <v>410</v>
      </c>
      <c r="E297" s="8" t="s">
        <v>455</v>
      </c>
      <c r="F297" s="8" t="s">
        <v>477</v>
      </c>
      <c r="G297" s="8" t="s">
        <v>12</v>
      </c>
      <c r="H297" s="8">
        <v>8</v>
      </c>
      <c r="I297" s="8">
        <v>-81</v>
      </c>
      <c r="J297" s="21" t="s">
        <v>30</v>
      </c>
    </row>
    <row r="298" spans="1:10" x14ac:dyDescent="0.3">
      <c r="A298" s="20">
        <v>1</v>
      </c>
      <c r="B298" s="8">
        <v>344</v>
      </c>
      <c r="C298" s="8" t="s">
        <v>482</v>
      </c>
      <c r="D298" s="8" t="s">
        <v>410</v>
      </c>
      <c r="E298" s="8" t="s">
        <v>455</v>
      </c>
      <c r="F298" s="8" t="s">
        <v>483</v>
      </c>
      <c r="G298" s="8" t="s">
        <v>12</v>
      </c>
      <c r="H298" s="8">
        <v>8.1420290000000008</v>
      </c>
      <c r="I298" s="8">
        <v>-80.712470999999994</v>
      </c>
      <c r="J298" s="21" t="s">
        <v>484</v>
      </c>
    </row>
    <row r="299" spans="1:10" x14ac:dyDescent="0.3">
      <c r="A299" s="20">
        <v>1</v>
      </c>
      <c r="B299" s="8">
        <v>346</v>
      </c>
      <c r="C299" s="8" t="s">
        <v>485</v>
      </c>
      <c r="D299" s="8" t="s">
        <v>410</v>
      </c>
      <c r="E299" s="8" t="s">
        <v>455</v>
      </c>
      <c r="F299" s="8" t="s">
        <v>483</v>
      </c>
      <c r="G299" s="8" t="s">
        <v>12</v>
      </c>
      <c r="H299" s="8">
        <v>8.1692509999999992</v>
      </c>
      <c r="I299" s="8">
        <v>-80.816637999999998</v>
      </c>
      <c r="J299" s="21" t="s">
        <v>37</v>
      </c>
    </row>
    <row r="300" spans="1:10" x14ac:dyDescent="0.3">
      <c r="A300" s="20">
        <v>1</v>
      </c>
      <c r="B300" s="8">
        <v>347</v>
      </c>
      <c r="C300" s="8" t="s">
        <v>486</v>
      </c>
      <c r="D300" s="8" t="s">
        <v>410</v>
      </c>
      <c r="E300" s="8" t="s">
        <v>455</v>
      </c>
      <c r="F300" s="8" t="s">
        <v>287</v>
      </c>
      <c r="G300" s="8" t="s">
        <v>12</v>
      </c>
      <c r="H300" s="8">
        <v>8.138973</v>
      </c>
      <c r="I300" s="8">
        <v>-81.083582000000007</v>
      </c>
      <c r="J300" s="21" t="s">
        <v>65</v>
      </c>
    </row>
    <row r="301" spans="1:10" x14ac:dyDescent="0.3">
      <c r="A301" s="20">
        <v>1</v>
      </c>
      <c r="B301" s="8">
        <v>348</v>
      </c>
      <c r="C301" s="8" t="s">
        <v>487</v>
      </c>
      <c r="D301" s="8" t="s">
        <v>410</v>
      </c>
      <c r="E301" s="8" t="s">
        <v>455</v>
      </c>
      <c r="F301" s="8" t="s">
        <v>287</v>
      </c>
      <c r="G301" s="8" t="s">
        <v>33</v>
      </c>
      <c r="H301" s="8">
        <v>8.1023069999999997</v>
      </c>
      <c r="I301" s="8">
        <v>-81.051360000000003</v>
      </c>
      <c r="J301" s="21" t="s">
        <v>297</v>
      </c>
    </row>
    <row r="302" spans="1:10" x14ac:dyDescent="0.3">
      <c r="A302" s="20">
        <v>1</v>
      </c>
      <c r="B302" s="8">
        <v>349</v>
      </c>
      <c r="C302" s="8" t="s">
        <v>488</v>
      </c>
      <c r="D302" s="8" t="s">
        <v>410</v>
      </c>
      <c r="E302" s="8" t="s">
        <v>455</v>
      </c>
      <c r="F302" s="8" t="s">
        <v>287</v>
      </c>
      <c r="G302" s="8" t="s">
        <v>12</v>
      </c>
      <c r="H302" s="8">
        <v>8.0700850000000006</v>
      </c>
      <c r="I302" s="8">
        <v>-81.076359999999994</v>
      </c>
      <c r="J302" s="21" t="s">
        <v>20</v>
      </c>
    </row>
    <row r="303" spans="1:10" x14ac:dyDescent="0.3">
      <c r="A303" s="20">
        <v>1</v>
      </c>
      <c r="B303" s="8">
        <v>350</v>
      </c>
      <c r="C303" s="8" t="s">
        <v>489</v>
      </c>
      <c r="D303" s="8" t="s">
        <v>410</v>
      </c>
      <c r="E303" s="8" t="s">
        <v>455</v>
      </c>
      <c r="F303" s="8" t="s">
        <v>287</v>
      </c>
      <c r="G303" s="8" t="s">
        <v>12</v>
      </c>
      <c r="H303" s="8">
        <v>8.076473</v>
      </c>
      <c r="I303" s="8">
        <v>-81.046360000000007</v>
      </c>
      <c r="J303" s="21" t="s">
        <v>65</v>
      </c>
    </row>
    <row r="304" spans="1:10" x14ac:dyDescent="0.3">
      <c r="A304" s="20">
        <v>1</v>
      </c>
      <c r="B304" s="8">
        <v>351</v>
      </c>
      <c r="C304" s="8" t="s">
        <v>490</v>
      </c>
      <c r="D304" s="8" t="s">
        <v>410</v>
      </c>
      <c r="E304" s="8" t="s">
        <v>455</v>
      </c>
      <c r="F304" s="8" t="s">
        <v>287</v>
      </c>
      <c r="G304" s="8" t="s">
        <v>12</v>
      </c>
      <c r="H304" s="8">
        <v>8.1020289999999999</v>
      </c>
      <c r="I304" s="8">
        <v>-81.079414999999997</v>
      </c>
      <c r="J304" s="21" t="s">
        <v>479</v>
      </c>
    </row>
    <row r="305" spans="1:10" x14ac:dyDescent="0.3">
      <c r="A305" s="20">
        <v>1</v>
      </c>
      <c r="B305" s="8">
        <v>352</v>
      </c>
      <c r="C305" s="8" t="s">
        <v>491</v>
      </c>
      <c r="D305" s="8" t="s">
        <v>410</v>
      </c>
      <c r="E305" s="8" t="s">
        <v>455</v>
      </c>
      <c r="F305" s="8" t="s">
        <v>492</v>
      </c>
      <c r="G305" s="8" t="s">
        <v>33</v>
      </c>
      <c r="H305" s="8">
        <v>8.1089730000000007</v>
      </c>
      <c r="I305" s="8">
        <v>-80.923025999999993</v>
      </c>
      <c r="J305" s="21" t="s">
        <v>282</v>
      </c>
    </row>
    <row r="306" spans="1:10" x14ac:dyDescent="0.3">
      <c r="A306" s="20">
        <v>1</v>
      </c>
      <c r="B306" s="8">
        <v>353</v>
      </c>
      <c r="C306" s="8" t="s">
        <v>493</v>
      </c>
      <c r="D306" s="8" t="s">
        <v>410</v>
      </c>
      <c r="E306" s="8" t="s">
        <v>455</v>
      </c>
      <c r="F306" s="8" t="s">
        <v>492</v>
      </c>
      <c r="G306" s="8" t="s">
        <v>12</v>
      </c>
      <c r="H306" s="8">
        <v>8.1095290000000002</v>
      </c>
      <c r="I306" s="8">
        <v>-80.943026000000003</v>
      </c>
      <c r="J306" s="21" t="s">
        <v>494</v>
      </c>
    </row>
    <row r="307" spans="1:10" x14ac:dyDescent="0.3">
      <c r="A307" s="20">
        <v>1</v>
      </c>
      <c r="B307" s="8">
        <v>354</v>
      </c>
      <c r="C307" s="8" t="s">
        <v>495</v>
      </c>
      <c r="D307" s="8" t="s">
        <v>410</v>
      </c>
      <c r="E307" s="8" t="s">
        <v>455</v>
      </c>
      <c r="F307" s="8" t="s">
        <v>492</v>
      </c>
      <c r="G307" s="8" t="s">
        <v>12</v>
      </c>
      <c r="H307" s="8">
        <v>8.1173070000000003</v>
      </c>
      <c r="I307" s="8">
        <v>-80.957193000000004</v>
      </c>
      <c r="J307" s="21" t="s">
        <v>479</v>
      </c>
    </row>
    <row r="308" spans="1:10" x14ac:dyDescent="0.3">
      <c r="A308" s="20">
        <v>1</v>
      </c>
      <c r="B308" s="8">
        <v>355</v>
      </c>
      <c r="C308" s="8" t="s">
        <v>496</v>
      </c>
      <c r="D308" s="8" t="s">
        <v>410</v>
      </c>
      <c r="E308" s="8" t="s">
        <v>455</v>
      </c>
      <c r="F308" s="8" t="s">
        <v>492</v>
      </c>
      <c r="G308" s="8" t="s">
        <v>12</v>
      </c>
      <c r="H308" s="8">
        <v>8.1128619999999998</v>
      </c>
      <c r="I308" s="8">
        <v>-80.963859999999997</v>
      </c>
      <c r="J308" s="21" t="s">
        <v>138</v>
      </c>
    </row>
    <row r="309" spans="1:10" x14ac:dyDescent="0.3">
      <c r="A309" s="20">
        <v>1</v>
      </c>
      <c r="B309" s="8">
        <v>356</v>
      </c>
      <c r="C309" s="8" t="s">
        <v>497</v>
      </c>
      <c r="D309" s="8" t="s">
        <v>410</v>
      </c>
      <c r="E309" s="8" t="s">
        <v>455</v>
      </c>
      <c r="F309" s="8" t="s">
        <v>492</v>
      </c>
      <c r="G309" s="8" t="s">
        <v>12</v>
      </c>
      <c r="H309" s="8">
        <v>8.1131399999999996</v>
      </c>
      <c r="I309" s="8">
        <v>-80.966915</v>
      </c>
      <c r="J309" s="21" t="s">
        <v>138</v>
      </c>
    </row>
    <row r="310" spans="1:10" x14ac:dyDescent="0.3">
      <c r="A310" s="20">
        <v>1</v>
      </c>
      <c r="B310" s="8">
        <v>357</v>
      </c>
      <c r="C310" s="8" t="s">
        <v>498</v>
      </c>
      <c r="D310" s="8" t="s">
        <v>410</v>
      </c>
      <c r="E310" s="8" t="s">
        <v>455</v>
      </c>
      <c r="F310" s="8" t="s">
        <v>499</v>
      </c>
      <c r="G310" s="8" t="s">
        <v>12</v>
      </c>
      <c r="H310" s="8">
        <v>8.1058970000000006</v>
      </c>
      <c r="I310" s="8">
        <v>-80.977592000000001</v>
      </c>
      <c r="J310" s="21" t="s">
        <v>282</v>
      </c>
    </row>
    <row r="311" spans="1:10" x14ac:dyDescent="0.3">
      <c r="A311" s="20">
        <v>1</v>
      </c>
      <c r="B311" s="8">
        <v>362</v>
      </c>
      <c r="C311" s="8" t="s">
        <v>500</v>
      </c>
      <c r="D311" s="8" t="s">
        <v>410</v>
      </c>
      <c r="E311" s="8" t="s">
        <v>455</v>
      </c>
      <c r="F311" s="8" t="s">
        <v>499</v>
      </c>
      <c r="G311" s="8" t="s">
        <v>12</v>
      </c>
      <c r="H311" s="8">
        <v>8.1012579999999996</v>
      </c>
      <c r="I311" s="8">
        <v>-80.983497</v>
      </c>
      <c r="J311" s="21" t="s">
        <v>140</v>
      </c>
    </row>
    <row r="312" spans="1:10" x14ac:dyDescent="0.3">
      <c r="A312" s="20">
        <v>1</v>
      </c>
      <c r="B312" s="8">
        <v>363</v>
      </c>
      <c r="C312" s="8" t="s">
        <v>501</v>
      </c>
      <c r="D312" s="8" t="s">
        <v>410</v>
      </c>
      <c r="E312" s="8" t="s">
        <v>455</v>
      </c>
      <c r="F312" s="8" t="s">
        <v>499</v>
      </c>
      <c r="G312" s="8" t="s">
        <v>12</v>
      </c>
      <c r="H312" s="8">
        <v>8.0985969999999998</v>
      </c>
      <c r="I312" s="8">
        <v>-80.982541999999995</v>
      </c>
      <c r="J312" s="21" t="s">
        <v>140</v>
      </c>
    </row>
    <row r="313" spans="1:10" x14ac:dyDescent="0.3">
      <c r="A313" s="20">
        <v>1</v>
      </c>
      <c r="B313" s="8">
        <v>364</v>
      </c>
      <c r="C313" s="8" t="s">
        <v>502</v>
      </c>
      <c r="D313" s="8" t="s">
        <v>410</v>
      </c>
      <c r="E313" s="8" t="s">
        <v>455</v>
      </c>
      <c r="F313" s="8" t="s">
        <v>499</v>
      </c>
      <c r="G313" s="8" t="s">
        <v>12</v>
      </c>
      <c r="H313" s="8">
        <v>8.0988830000000007</v>
      </c>
      <c r="I313" s="8">
        <v>-80.972267000000002</v>
      </c>
      <c r="J313" s="21" t="s">
        <v>138</v>
      </c>
    </row>
    <row r="314" spans="1:10" x14ac:dyDescent="0.3">
      <c r="A314" s="20">
        <v>1</v>
      </c>
      <c r="B314" s="8">
        <v>365</v>
      </c>
      <c r="C314" s="8" t="s">
        <v>503</v>
      </c>
      <c r="D314" s="8" t="s">
        <v>410</v>
      </c>
      <c r="E314" s="8" t="s">
        <v>455</v>
      </c>
      <c r="F314" s="8" t="s">
        <v>499</v>
      </c>
      <c r="G314" s="8" t="s">
        <v>12</v>
      </c>
      <c r="H314" s="8">
        <v>8.1020939999999992</v>
      </c>
      <c r="I314" s="8">
        <v>-80.978607999999994</v>
      </c>
      <c r="J314" s="21" t="s">
        <v>140</v>
      </c>
    </row>
    <row r="315" spans="1:10" x14ac:dyDescent="0.3">
      <c r="A315" s="20">
        <v>1</v>
      </c>
      <c r="B315" s="8">
        <v>366</v>
      </c>
      <c r="C315" s="8" t="s">
        <v>504</v>
      </c>
      <c r="D315" s="8" t="s">
        <v>410</v>
      </c>
      <c r="E315" s="8" t="s">
        <v>455</v>
      </c>
      <c r="F315" s="8" t="s">
        <v>499</v>
      </c>
      <c r="G315" s="8" t="s">
        <v>12</v>
      </c>
      <c r="H315" s="8">
        <v>8.1020939999999992</v>
      </c>
      <c r="I315" s="8">
        <v>-80.978607999999994</v>
      </c>
      <c r="J315" s="21" t="s">
        <v>82</v>
      </c>
    </row>
    <row r="316" spans="1:10" x14ac:dyDescent="0.3">
      <c r="A316" s="20">
        <v>1</v>
      </c>
      <c r="B316" s="8">
        <v>367</v>
      </c>
      <c r="C316" s="8" t="s">
        <v>505</v>
      </c>
      <c r="D316" s="8" t="s">
        <v>410</v>
      </c>
      <c r="E316" s="8" t="s">
        <v>455</v>
      </c>
      <c r="F316" s="8" t="s">
        <v>499</v>
      </c>
      <c r="G316" s="8" t="s">
        <v>12</v>
      </c>
      <c r="H316" s="8">
        <v>8.0919059999999998</v>
      </c>
      <c r="I316" s="8">
        <v>-80.979906</v>
      </c>
      <c r="J316" s="21" t="s">
        <v>297</v>
      </c>
    </row>
    <row r="317" spans="1:10" x14ac:dyDescent="0.3">
      <c r="A317" s="20">
        <v>1</v>
      </c>
      <c r="B317" s="8">
        <v>368</v>
      </c>
      <c r="C317" s="8" t="s">
        <v>506</v>
      </c>
      <c r="D317" s="8" t="s">
        <v>410</v>
      </c>
      <c r="E317" s="8" t="s">
        <v>455</v>
      </c>
      <c r="F317" s="8" t="s">
        <v>499</v>
      </c>
      <c r="G317" s="8" t="s">
        <v>12</v>
      </c>
      <c r="H317" s="8">
        <v>8.1010500000000008</v>
      </c>
      <c r="I317" s="8">
        <v>-80.974061000000006</v>
      </c>
      <c r="J317" s="21" t="s">
        <v>494</v>
      </c>
    </row>
    <row r="318" spans="1:10" x14ac:dyDescent="0.3">
      <c r="A318" s="20">
        <v>1</v>
      </c>
      <c r="B318" s="8">
        <v>369</v>
      </c>
      <c r="C318" s="8" t="s">
        <v>507</v>
      </c>
      <c r="D318" s="8" t="s">
        <v>410</v>
      </c>
      <c r="E318" s="8" t="s">
        <v>455</v>
      </c>
      <c r="F318" s="8" t="s">
        <v>499</v>
      </c>
      <c r="G318" s="8" t="s">
        <v>12</v>
      </c>
      <c r="H318" s="8">
        <v>8.1064720000000001</v>
      </c>
      <c r="I318" s="8">
        <v>-80.972999999999999</v>
      </c>
      <c r="J318" s="21" t="s">
        <v>494</v>
      </c>
    </row>
    <row r="319" spans="1:10" x14ac:dyDescent="0.3">
      <c r="A319" s="20">
        <v>1</v>
      </c>
      <c r="B319" s="8">
        <v>370</v>
      </c>
      <c r="C319" s="8" t="s">
        <v>508</v>
      </c>
      <c r="D319" s="8" t="s">
        <v>410</v>
      </c>
      <c r="E319" s="8" t="s">
        <v>455</v>
      </c>
      <c r="F319" s="8" t="s">
        <v>499</v>
      </c>
      <c r="G319" s="8" t="s">
        <v>12</v>
      </c>
      <c r="H319" s="8">
        <v>8.1018080000000001</v>
      </c>
      <c r="I319" s="8">
        <v>-80.969311000000005</v>
      </c>
      <c r="J319" s="21" t="s">
        <v>138</v>
      </c>
    </row>
    <row r="320" spans="1:10" x14ac:dyDescent="0.3">
      <c r="A320" s="20">
        <v>1</v>
      </c>
      <c r="B320" s="8">
        <v>371</v>
      </c>
      <c r="C320" s="8" t="s">
        <v>509</v>
      </c>
      <c r="D320" s="8" t="s">
        <v>410</v>
      </c>
      <c r="E320" s="8" t="s">
        <v>455</v>
      </c>
      <c r="F320" s="8" t="s">
        <v>499</v>
      </c>
      <c r="G320" s="8" t="s">
        <v>12</v>
      </c>
      <c r="H320" s="8">
        <v>8.1076940000000004</v>
      </c>
      <c r="I320" s="8">
        <v>-80.977277999999998</v>
      </c>
      <c r="J320" s="21" t="s">
        <v>282</v>
      </c>
    </row>
    <row r="321" spans="1:10" x14ac:dyDescent="0.3">
      <c r="A321" s="20">
        <v>1</v>
      </c>
      <c r="B321" s="8">
        <v>374</v>
      </c>
      <c r="C321" s="8" t="s">
        <v>510</v>
      </c>
      <c r="D321" s="8" t="s">
        <v>410</v>
      </c>
      <c r="E321" s="8" t="s">
        <v>455</v>
      </c>
      <c r="F321" s="8" t="s">
        <v>499</v>
      </c>
      <c r="G321" s="8" t="s">
        <v>12</v>
      </c>
      <c r="H321" s="8">
        <v>8.0974889999999995</v>
      </c>
      <c r="I321" s="8">
        <v>-80.983322000000001</v>
      </c>
      <c r="J321" s="21" t="s">
        <v>138</v>
      </c>
    </row>
    <row r="322" spans="1:10" x14ac:dyDescent="0.3">
      <c r="A322" s="20">
        <v>1</v>
      </c>
      <c r="B322" s="8">
        <v>375</v>
      </c>
      <c r="C322" s="8" t="s">
        <v>511</v>
      </c>
      <c r="D322" s="8" t="s">
        <v>410</v>
      </c>
      <c r="E322" s="8" t="s">
        <v>455</v>
      </c>
      <c r="F322" s="8" t="s">
        <v>499</v>
      </c>
      <c r="G322" s="8" t="s">
        <v>12</v>
      </c>
      <c r="H322" s="8">
        <v>8.1080220000000001</v>
      </c>
      <c r="I322" s="8">
        <v>-80.980571999999995</v>
      </c>
      <c r="J322" s="21" t="s">
        <v>282</v>
      </c>
    </row>
    <row r="323" spans="1:10" x14ac:dyDescent="0.3">
      <c r="A323" s="20">
        <v>1</v>
      </c>
      <c r="B323" s="8">
        <v>376</v>
      </c>
      <c r="C323" s="8" t="s">
        <v>512</v>
      </c>
      <c r="D323" s="8" t="s">
        <v>410</v>
      </c>
      <c r="E323" s="8" t="s">
        <v>455</v>
      </c>
      <c r="F323" s="8" t="s">
        <v>499</v>
      </c>
      <c r="G323" s="8" t="s">
        <v>12</v>
      </c>
      <c r="H323" s="8">
        <v>8.1035559999999993</v>
      </c>
      <c r="I323" s="8">
        <v>-80.974000000000004</v>
      </c>
      <c r="J323" s="21" t="s">
        <v>350</v>
      </c>
    </row>
    <row r="324" spans="1:10" x14ac:dyDescent="0.3">
      <c r="A324" s="20">
        <v>1</v>
      </c>
      <c r="B324" s="8">
        <v>377</v>
      </c>
      <c r="C324" s="8" t="s">
        <v>513</v>
      </c>
      <c r="D324" s="8" t="s">
        <v>410</v>
      </c>
      <c r="E324" s="8" t="s">
        <v>455</v>
      </c>
      <c r="F324" s="8" t="s">
        <v>499</v>
      </c>
      <c r="G324" s="8" t="s">
        <v>12</v>
      </c>
      <c r="H324" s="8">
        <v>8.0932659999999998</v>
      </c>
      <c r="I324" s="8">
        <v>-80.980316999999999</v>
      </c>
      <c r="J324" s="21" t="s">
        <v>22</v>
      </c>
    </row>
    <row r="325" spans="1:10" x14ac:dyDescent="0.3">
      <c r="A325" s="20">
        <v>1</v>
      </c>
      <c r="B325" s="8">
        <v>378</v>
      </c>
      <c r="C325" s="8" t="s">
        <v>514</v>
      </c>
      <c r="D325" s="8" t="s">
        <v>410</v>
      </c>
      <c r="E325" s="8" t="s">
        <v>515</v>
      </c>
      <c r="F325" s="8" t="s">
        <v>516</v>
      </c>
      <c r="G325" s="8" t="s">
        <v>12</v>
      </c>
      <c r="H325" s="8">
        <v>8.0267579999999992</v>
      </c>
      <c r="I325" s="8">
        <v>-81.233812</v>
      </c>
      <c r="J325" s="21" t="s">
        <v>352</v>
      </c>
    </row>
    <row r="326" spans="1:10" x14ac:dyDescent="0.3">
      <c r="A326" s="20">
        <v>1</v>
      </c>
      <c r="B326" s="8">
        <v>379</v>
      </c>
      <c r="C326" s="8" t="s">
        <v>517</v>
      </c>
      <c r="D326" s="8" t="s">
        <v>410</v>
      </c>
      <c r="E326" s="8" t="s">
        <v>515</v>
      </c>
      <c r="F326" s="8" t="s">
        <v>516</v>
      </c>
      <c r="G326" s="8" t="s">
        <v>53</v>
      </c>
      <c r="H326" s="8">
        <v>8.0561779999999992</v>
      </c>
      <c r="I326" s="8">
        <v>-81.252418000000006</v>
      </c>
      <c r="J326" s="21" t="s">
        <v>518</v>
      </c>
    </row>
    <row r="327" spans="1:10" x14ac:dyDescent="0.3">
      <c r="A327" s="20">
        <v>1</v>
      </c>
      <c r="B327" s="8">
        <v>380</v>
      </c>
      <c r="C327" s="8" t="s">
        <v>519</v>
      </c>
      <c r="D327" s="8" t="s">
        <v>410</v>
      </c>
      <c r="E327" s="8" t="s">
        <v>515</v>
      </c>
      <c r="F327" s="8" t="s">
        <v>516</v>
      </c>
      <c r="G327" s="8" t="s">
        <v>12</v>
      </c>
      <c r="H327" s="8">
        <v>8.0057220000000004</v>
      </c>
      <c r="I327" s="8">
        <v>-81.280641000000003</v>
      </c>
      <c r="J327" s="21" t="s">
        <v>520</v>
      </c>
    </row>
    <row r="328" spans="1:10" x14ac:dyDescent="0.3">
      <c r="A328" s="20">
        <v>1</v>
      </c>
      <c r="B328" s="8">
        <v>381</v>
      </c>
      <c r="C328" s="8" t="s">
        <v>521</v>
      </c>
      <c r="D328" s="8" t="s">
        <v>410</v>
      </c>
      <c r="E328" s="8" t="s">
        <v>515</v>
      </c>
      <c r="F328" s="8" t="s">
        <v>90</v>
      </c>
      <c r="G328" s="8" t="s">
        <v>12</v>
      </c>
      <c r="H328" s="8">
        <v>8.0123470000000001</v>
      </c>
      <c r="I328" s="8">
        <v>-81.318107999999995</v>
      </c>
      <c r="J328" s="21" t="s">
        <v>288</v>
      </c>
    </row>
    <row r="329" spans="1:10" x14ac:dyDescent="0.3">
      <c r="A329" s="20">
        <v>1</v>
      </c>
      <c r="B329" s="8">
        <v>382</v>
      </c>
      <c r="C329" s="8" t="s">
        <v>522</v>
      </c>
      <c r="D329" s="8" t="s">
        <v>410</v>
      </c>
      <c r="E329" s="8" t="s">
        <v>515</v>
      </c>
      <c r="F329" s="8" t="s">
        <v>90</v>
      </c>
      <c r="G329" s="8" t="s">
        <v>12</v>
      </c>
      <c r="H329" s="8">
        <v>7.7986969999999998</v>
      </c>
      <c r="I329" s="8">
        <v>-81.276359999999997</v>
      </c>
      <c r="J329" s="21" t="s">
        <v>288</v>
      </c>
    </row>
    <row r="330" spans="1:10" x14ac:dyDescent="0.3">
      <c r="A330" s="20">
        <v>1</v>
      </c>
      <c r="B330" s="8">
        <v>383</v>
      </c>
      <c r="C330" s="8" t="s">
        <v>523</v>
      </c>
      <c r="D330" s="8" t="s">
        <v>410</v>
      </c>
      <c r="E330" s="8" t="s">
        <v>515</v>
      </c>
      <c r="F330" s="8" t="s">
        <v>524</v>
      </c>
      <c r="G330" s="8" t="s">
        <v>53</v>
      </c>
      <c r="H330" s="8">
        <v>7.6540569999999999</v>
      </c>
      <c r="I330" s="8">
        <v>-81.204126000000002</v>
      </c>
      <c r="J330" s="21" t="s">
        <v>357</v>
      </c>
    </row>
    <row r="331" spans="1:10" x14ac:dyDescent="0.3">
      <c r="A331" s="20">
        <v>1</v>
      </c>
      <c r="B331" s="8">
        <v>384</v>
      </c>
      <c r="C331" s="8" t="s">
        <v>525</v>
      </c>
      <c r="D331" s="8" t="s">
        <v>410</v>
      </c>
      <c r="E331" s="8" t="s">
        <v>515</v>
      </c>
      <c r="F331" s="8" t="s">
        <v>524</v>
      </c>
      <c r="G331" s="8" t="s">
        <v>53</v>
      </c>
      <c r="H331" s="8">
        <v>7.7296110000000002</v>
      </c>
      <c r="I331" s="8">
        <v>-81.281049999999993</v>
      </c>
      <c r="J331" s="21" t="s">
        <v>526</v>
      </c>
    </row>
    <row r="332" spans="1:10" x14ac:dyDescent="0.3">
      <c r="A332" s="20">
        <v>1</v>
      </c>
      <c r="B332" s="8">
        <v>385</v>
      </c>
      <c r="C332" s="8" t="s">
        <v>527</v>
      </c>
      <c r="D332" s="8" t="s">
        <v>410</v>
      </c>
      <c r="E332" s="8" t="s">
        <v>515</v>
      </c>
      <c r="F332" s="8" t="s">
        <v>524</v>
      </c>
      <c r="G332" s="8" t="s">
        <v>53</v>
      </c>
      <c r="H332" s="8">
        <v>7.6349910000000003</v>
      </c>
      <c r="I332" s="8">
        <v>-81.258898000000002</v>
      </c>
      <c r="J332" s="21" t="s">
        <v>518</v>
      </c>
    </row>
    <row r="333" spans="1:10" x14ac:dyDescent="0.3">
      <c r="A333" s="20">
        <v>1</v>
      </c>
      <c r="B333" s="8">
        <v>386</v>
      </c>
      <c r="C333" s="8" t="s">
        <v>528</v>
      </c>
      <c r="D333" s="8" t="s">
        <v>410</v>
      </c>
      <c r="E333" s="8" t="s">
        <v>515</v>
      </c>
      <c r="F333" s="8" t="s">
        <v>524</v>
      </c>
      <c r="G333" s="8" t="s">
        <v>53</v>
      </c>
      <c r="H333" s="8">
        <v>7.7024679999999996</v>
      </c>
      <c r="I333" s="8">
        <v>-81.301218000000006</v>
      </c>
      <c r="J333" s="21" t="s">
        <v>357</v>
      </c>
    </row>
    <row r="334" spans="1:10" x14ac:dyDescent="0.3">
      <c r="A334" s="20">
        <v>1</v>
      </c>
      <c r="B334" s="8">
        <v>387</v>
      </c>
      <c r="C334" s="8" t="s">
        <v>529</v>
      </c>
      <c r="D334" s="8" t="s">
        <v>410</v>
      </c>
      <c r="E334" s="8" t="s">
        <v>515</v>
      </c>
      <c r="F334" s="8" t="s">
        <v>524</v>
      </c>
      <c r="G334" s="8" t="s">
        <v>53</v>
      </c>
      <c r="H334" s="8">
        <v>7.675719</v>
      </c>
      <c r="I334" s="8">
        <v>-81.331612000000007</v>
      </c>
      <c r="J334" s="21" t="s">
        <v>357</v>
      </c>
    </row>
    <row r="335" spans="1:10" x14ac:dyDescent="0.3">
      <c r="A335" s="20">
        <v>1</v>
      </c>
      <c r="B335" s="8">
        <v>390</v>
      </c>
      <c r="C335" s="8" t="s">
        <v>530</v>
      </c>
      <c r="D335" s="8" t="s">
        <v>410</v>
      </c>
      <c r="E335" s="8" t="s">
        <v>515</v>
      </c>
      <c r="F335" s="8" t="s">
        <v>515</v>
      </c>
      <c r="G335" s="8" t="s">
        <v>12</v>
      </c>
      <c r="H335" s="8">
        <v>8.0082260000000005</v>
      </c>
      <c r="I335" s="8">
        <v>-81.313890999999998</v>
      </c>
      <c r="J335" s="21" t="s">
        <v>332</v>
      </c>
    </row>
    <row r="336" spans="1:10" x14ac:dyDescent="0.3">
      <c r="A336" s="20">
        <v>1</v>
      </c>
      <c r="B336" s="8">
        <v>392</v>
      </c>
      <c r="C336" s="8" t="s">
        <v>531</v>
      </c>
      <c r="D336" s="8" t="s">
        <v>410</v>
      </c>
      <c r="E336" s="8" t="s">
        <v>515</v>
      </c>
      <c r="F336" s="8" t="s">
        <v>515</v>
      </c>
      <c r="G336" s="8" t="s">
        <v>12</v>
      </c>
      <c r="H336" s="8">
        <v>8.0105000000000004</v>
      </c>
      <c r="I336" s="8">
        <v>-81.313796999999994</v>
      </c>
      <c r="J336" s="21" t="s">
        <v>352</v>
      </c>
    </row>
    <row r="337" spans="1:10" x14ac:dyDescent="0.3">
      <c r="A337" s="20">
        <v>1</v>
      </c>
      <c r="B337" s="8">
        <v>393</v>
      </c>
      <c r="C337" s="8" t="s">
        <v>532</v>
      </c>
      <c r="D337" s="8" t="s">
        <v>410</v>
      </c>
      <c r="E337" s="8" t="s">
        <v>515</v>
      </c>
      <c r="F337" s="8" t="s">
        <v>515</v>
      </c>
      <c r="G337" s="8" t="s">
        <v>12</v>
      </c>
      <c r="H337" s="8">
        <v>8.0083669999999998</v>
      </c>
      <c r="I337" s="8">
        <v>-81.313796999999994</v>
      </c>
      <c r="J337" s="21" t="s">
        <v>352</v>
      </c>
    </row>
    <row r="338" spans="1:10" x14ac:dyDescent="0.3">
      <c r="A338" s="20">
        <v>1</v>
      </c>
      <c r="B338" s="8">
        <v>395</v>
      </c>
      <c r="C338" s="8" t="s">
        <v>533</v>
      </c>
      <c r="D338" s="8" t="s">
        <v>410</v>
      </c>
      <c r="E338" s="8" t="s">
        <v>515</v>
      </c>
      <c r="F338" s="8" t="s">
        <v>515</v>
      </c>
      <c r="G338" s="8" t="s">
        <v>12</v>
      </c>
      <c r="H338" s="8">
        <v>8.0053579999999993</v>
      </c>
      <c r="I338" s="8">
        <v>-81.327820000000003</v>
      </c>
      <c r="J338" s="21" t="s">
        <v>332</v>
      </c>
    </row>
    <row r="339" spans="1:10" x14ac:dyDescent="0.3">
      <c r="A339" s="20">
        <v>1</v>
      </c>
      <c r="B339" s="8">
        <v>396</v>
      </c>
      <c r="C339" s="8" t="s">
        <v>534</v>
      </c>
      <c r="D339" s="8" t="s">
        <v>410</v>
      </c>
      <c r="E339" s="8" t="s">
        <v>515</v>
      </c>
      <c r="F339" s="8" t="s">
        <v>515</v>
      </c>
      <c r="G339" s="8" t="s">
        <v>12</v>
      </c>
      <c r="H339" s="8">
        <v>8.0255620000000008</v>
      </c>
      <c r="I339" s="8">
        <v>-81.241040999999996</v>
      </c>
      <c r="J339" s="21" t="s">
        <v>30</v>
      </c>
    </row>
    <row r="340" spans="1:10" x14ac:dyDescent="0.3">
      <c r="A340" s="20">
        <v>1</v>
      </c>
      <c r="B340" s="8">
        <v>397</v>
      </c>
      <c r="C340" s="8" t="s">
        <v>535</v>
      </c>
      <c r="D340" s="8" t="s">
        <v>410</v>
      </c>
      <c r="E340" s="8" t="s">
        <v>515</v>
      </c>
      <c r="F340" s="8" t="s">
        <v>515</v>
      </c>
      <c r="G340" s="8" t="s">
        <v>12</v>
      </c>
      <c r="H340" s="8">
        <v>8.0082830000000005</v>
      </c>
      <c r="I340" s="8">
        <v>-81.313796999999994</v>
      </c>
      <c r="J340" s="21" t="s">
        <v>332</v>
      </c>
    </row>
    <row r="341" spans="1:10" x14ac:dyDescent="0.3">
      <c r="A341" s="20">
        <v>1</v>
      </c>
      <c r="B341" s="8">
        <v>400</v>
      </c>
      <c r="C341" s="8" t="s">
        <v>536</v>
      </c>
      <c r="D341" s="8" t="s">
        <v>410</v>
      </c>
      <c r="E341" s="8" t="s">
        <v>515</v>
      </c>
      <c r="F341" s="8" t="s">
        <v>515</v>
      </c>
      <c r="G341" s="8" t="s">
        <v>12</v>
      </c>
      <c r="H341" s="8">
        <v>8.0057500000000008</v>
      </c>
      <c r="I341" s="8">
        <v>-81.313796999999994</v>
      </c>
      <c r="J341" s="21" t="s">
        <v>332</v>
      </c>
    </row>
    <row r="342" spans="1:10" x14ac:dyDescent="0.3">
      <c r="A342" s="20">
        <v>1</v>
      </c>
      <c r="B342" s="8">
        <v>402</v>
      </c>
      <c r="C342" s="8" t="s">
        <v>537</v>
      </c>
      <c r="D342" s="8" t="s">
        <v>410</v>
      </c>
      <c r="E342" s="8" t="s">
        <v>515</v>
      </c>
      <c r="F342" s="8" t="s">
        <v>515</v>
      </c>
      <c r="G342" s="8" t="s">
        <v>12</v>
      </c>
      <c r="H342" s="8">
        <v>8.0104500000000005</v>
      </c>
      <c r="I342" s="8">
        <v>-81.313796999999994</v>
      </c>
      <c r="J342" s="21" t="s">
        <v>30</v>
      </c>
    </row>
    <row r="343" spans="1:10" x14ac:dyDescent="0.3">
      <c r="A343" s="20">
        <v>1</v>
      </c>
      <c r="B343" s="8">
        <v>403</v>
      </c>
      <c r="C343" s="8" t="s">
        <v>538</v>
      </c>
      <c r="D343" s="8" t="s">
        <v>410</v>
      </c>
      <c r="E343" s="8" t="s">
        <v>515</v>
      </c>
      <c r="F343" s="8" t="s">
        <v>515</v>
      </c>
      <c r="G343" s="8" t="s">
        <v>12</v>
      </c>
      <c r="H343" s="8">
        <v>8.0088830000000009</v>
      </c>
      <c r="I343" s="8">
        <v>-81.313811000000001</v>
      </c>
      <c r="J343" s="21" t="s">
        <v>30</v>
      </c>
    </row>
    <row r="344" spans="1:10" x14ac:dyDescent="0.3">
      <c r="A344" s="20">
        <v>1</v>
      </c>
      <c r="B344" s="8">
        <v>407</v>
      </c>
      <c r="C344" s="8" t="s">
        <v>539</v>
      </c>
      <c r="D344" s="8" t="s">
        <v>410</v>
      </c>
      <c r="E344" s="8" t="s">
        <v>515</v>
      </c>
      <c r="F344" s="8" t="s">
        <v>515</v>
      </c>
      <c r="G344" s="8" t="s">
        <v>12</v>
      </c>
      <c r="H344" s="8">
        <v>8.0068169999999999</v>
      </c>
      <c r="I344" s="8">
        <v>-81.313796999999994</v>
      </c>
      <c r="J344" s="21" t="s">
        <v>352</v>
      </c>
    </row>
    <row r="345" spans="1:10" x14ac:dyDescent="0.3">
      <c r="A345" s="20">
        <v>1</v>
      </c>
      <c r="B345" s="8">
        <v>408</v>
      </c>
      <c r="C345" s="8" t="s">
        <v>540</v>
      </c>
      <c r="D345" s="8" t="s">
        <v>410</v>
      </c>
      <c r="E345" s="8" t="s">
        <v>515</v>
      </c>
      <c r="F345" s="8" t="s">
        <v>515</v>
      </c>
      <c r="G345" s="8" t="s">
        <v>12</v>
      </c>
      <c r="H345" s="8">
        <v>8.0105000000000004</v>
      </c>
      <c r="I345" s="8">
        <v>-81.313796999999994</v>
      </c>
      <c r="J345" s="21" t="s">
        <v>435</v>
      </c>
    </row>
    <row r="346" spans="1:10" x14ac:dyDescent="0.3">
      <c r="A346" s="20">
        <v>2</v>
      </c>
      <c r="B346" s="8">
        <v>411</v>
      </c>
      <c r="C346" s="8" t="s">
        <v>541</v>
      </c>
      <c r="D346" s="8" t="s">
        <v>542</v>
      </c>
      <c r="E346" s="8" t="s">
        <v>542</v>
      </c>
      <c r="F346" s="8" t="s">
        <v>543</v>
      </c>
      <c r="G346" s="8" t="s">
        <v>230</v>
      </c>
      <c r="H346" s="8">
        <v>9.3649920000000009</v>
      </c>
      <c r="I346" s="8">
        <v>-79.903208000000006</v>
      </c>
      <c r="J346" s="21" t="s">
        <v>237</v>
      </c>
    </row>
    <row r="347" spans="1:10" x14ac:dyDescent="0.3">
      <c r="A347" s="20">
        <v>2</v>
      </c>
      <c r="B347" s="8">
        <v>413</v>
      </c>
      <c r="C347" s="8" t="s">
        <v>544</v>
      </c>
      <c r="D347" s="8" t="s">
        <v>542</v>
      </c>
      <c r="E347" s="8" t="s">
        <v>542</v>
      </c>
      <c r="F347" s="8" t="s">
        <v>543</v>
      </c>
      <c r="G347" s="8" t="s">
        <v>230</v>
      </c>
      <c r="H347" s="8">
        <v>9.3609919999999995</v>
      </c>
      <c r="I347" s="8">
        <v>-79.900615000000002</v>
      </c>
      <c r="J347" s="21" t="s">
        <v>234</v>
      </c>
    </row>
    <row r="348" spans="1:10" x14ac:dyDescent="0.3">
      <c r="A348" s="20">
        <v>2</v>
      </c>
      <c r="B348" s="8">
        <v>414</v>
      </c>
      <c r="C348" s="8" t="s">
        <v>545</v>
      </c>
      <c r="D348" s="8" t="s">
        <v>542</v>
      </c>
      <c r="E348" s="8" t="s">
        <v>542</v>
      </c>
      <c r="F348" s="8" t="s">
        <v>543</v>
      </c>
      <c r="G348" s="8" t="s">
        <v>230</v>
      </c>
      <c r="H348" s="8">
        <v>9.3641710000000007</v>
      </c>
      <c r="I348" s="8">
        <v>-79.898955000000001</v>
      </c>
      <c r="J348" s="21" t="s">
        <v>237</v>
      </c>
    </row>
    <row r="349" spans="1:10" x14ac:dyDescent="0.3">
      <c r="A349" s="20">
        <v>2</v>
      </c>
      <c r="B349" s="8">
        <v>417</v>
      </c>
      <c r="C349" s="8" t="s">
        <v>546</v>
      </c>
      <c r="D349" s="8" t="s">
        <v>542</v>
      </c>
      <c r="E349" s="8" t="s">
        <v>542</v>
      </c>
      <c r="F349" s="8" t="s">
        <v>543</v>
      </c>
      <c r="G349" s="8" t="s">
        <v>230</v>
      </c>
      <c r="H349" s="8">
        <v>9.3657489999999992</v>
      </c>
      <c r="I349" s="8">
        <v>-79.901123999999996</v>
      </c>
      <c r="J349" s="21" t="s">
        <v>237</v>
      </c>
    </row>
    <row r="350" spans="1:10" x14ac:dyDescent="0.3">
      <c r="A350" s="20">
        <v>2</v>
      </c>
      <c r="B350" s="8">
        <v>419</v>
      </c>
      <c r="C350" s="8" t="s">
        <v>547</v>
      </c>
      <c r="D350" s="8" t="s">
        <v>542</v>
      </c>
      <c r="E350" s="8" t="s">
        <v>542</v>
      </c>
      <c r="F350" s="8" t="s">
        <v>543</v>
      </c>
      <c r="G350" s="8" t="s">
        <v>230</v>
      </c>
      <c r="H350" s="8">
        <v>9.3640270000000001</v>
      </c>
      <c r="I350" s="8">
        <v>-79.896092999999993</v>
      </c>
      <c r="J350" s="21" t="s">
        <v>265</v>
      </c>
    </row>
    <row r="351" spans="1:10" x14ac:dyDescent="0.3">
      <c r="A351" s="20">
        <v>2</v>
      </c>
      <c r="B351" s="8">
        <v>420</v>
      </c>
      <c r="C351" s="8" t="s">
        <v>548</v>
      </c>
      <c r="D351" s="8" t="s">
        <v>542</v>
      </c>
      <c r="E351" s="8" t="s">
        <v>542</v>
      </c>
      <c r="F351" s="8" t="s">
        <v>543</v>
      </c>
      <c r="G351" s="8" t="s">
        <v>12</v>
      </c>
      <c r="H351" s="8">
        <v>9.3636540000000004</v>
      </c>
      <c r="I351" s="8">
        <v>-79.896342000000004</v>
      </c>
      <c r="J351" s="21" t="s">
        <v>232</v>
      </c>
    </row>
    <row r="352" spans="1:10" x14ac:dyDescent="0.3">
      <c r="A352" s="20">
        <v>2</v>
      </c>
      <c r="B352" s="8">
        <v>421</v>
      </c>
      <c r="C352" s="8" t="s">
        <v>549</v>
      </c>
      <c r="D352" s="8" t="s">
        <v>542</v>
      </c>
      <c r="E352" s="8" t="s">
        <v>542</v>
      </c>
      <c r="F352" s="8" t="s">
        <v>543</v>
      </c>
      <c r="G352" s="8" t="s">
        <v>230</v>
      </c>
      <c r="H352" s="8">
        <v>9.365907</v>
      </c>
      <c r="I352" s="8">
        <v>-79.902629000000005</v>
      </c>
      <c r="J352" s="21" t="s">
        <v>237</v>
      </c>
    </row>
    <row r="353" spans="1:10" x14ac:dyDescent="0.3">
      <c r="A353" s="20">
        <v>2</v>
      </c>
      <c r="B353" s="8">
        <v>428</v>
      </c>
      <c r="C353" s="8" t="s">
        <v>550</v>
      </c>
      <c r="D353" s="8" t="s">
        <v>542</v>
      </c>
      <c r="E353" s="8" t="s">
        <v>542</v>
      </c>
      <c r="F353" s="8" t="s">
        <v>551</v>
      </c>
      <c r="G353" s="8" t="s">
        <v>230</v>
      </c>
      <c r="H353" s="8">
        <v>9.3581470000000007</v>
      </c>
      <c r="I353" s="8">
        <v>-79.893992999999995</v>
      </c>
      <c r="J353" s="21" t="s">
        <v>232</v>
      </c>
    </row>
    <row r="354" spans="1:10" x14ac:dyDescent="0.3">
      <c r="A354" s="20">
        <v>2</v>
      </c>
      <c r="B354" s="8">
        <v>429</v>
      </c>
      <c r="C354" s="8" t="s">
        <v>552</v>
      </c>
      <c r="D354" s="8" t="s">
        <v>542</v>
      </c>
      <c r="E354" s="8" t="s">
        <v>542</v>
      </c>
      <c r="F354" s="8" t="s">
        <v>551</v>
      </c>
      <c r="G354" s="8" t="s">
        <v>230</v>
      </c>
      <c r="H354" s="8">
        <v>9.3571229999999996</v>
      </c>
      <c r="I354" s="8">
        <v>-79.901560000000003</v>
      </c>
      <c r="J354" s="21" t="s">
        <v>234</v>
      </c>
    </row>
    <row r="355" spans="1:10" x14ac:dyDescent="0.3">
      <c r="A355" s="20">
        <v>2</v>
      </c>
      <c r="B355" s="8">
        <v>433</v>
      </c>
      <c r="C355" s="8" t="s">
        <v>553</v>
      </c>
      <c r="D355" s="8" t="s">
        <v>542</v>
      </c>
      <c r="E355" s="8" t="s">
        <v>542</v>
      </c>
      <c r="F355" s="8" t="s">
        <v>551</v>
      </c>
      <c r="G355" s="8" t="s">
        <v>12</v>
      </c>
      <c r="H355" s="8">
        <v>9.3529409999999995</v>
      </c>
      <c r="I355" s="8">
        <v>-79.902777</v>
      </c>
      <c r="J355" s="21" t="s">
        <v>265</v>
      </c>
    </row>
    <row r="356" spans="1:10" x14ac:dyDescent="0.3">
      <c r="A356" s="20">
        <v>2</v>
      </c>
      <c r="B356" s="8">
        <v>434</v>
      </c>
      <c r="C356" s="8" t="s">
        <v>554</v>
      </c>
      <c r="D356" s="8" t="s">
        <v>542</v>
      </c>
      <c r="E356" s="8" t="s">
        <v>542</v>
      </c>
      <c r="F356" s="8" t="s">
        <v>555</v>
      </c>
      <c r="G356" s="8" t="s">
        <v>12</v>
      </c>
      <c r="H356" s="8">
        <v>9.2731770000000004</v>
      </c>
      <c r="I356" s="8">
        <v>-79.695605999999998</v>
      </c>
      <c r="J356" s="21" t="s">
        <v>18</v>
      </c>
    </row>
    <row r="357" spans="1:10" x14ac:dyDescent="0.3">
      <c r="A357" s="20">
        <v>2</v>
      </c>
      <c r="B357" s="8">
        <v>435</v>
      </c>
      <c r="C357" s="8" t="s">
        <v>556</v>
      </c>
      <c r="D357" s="8" t="s">
        <v>542</v>
      </c>
      <c r="E357" s="8" t="s">
        <v>542</v>
      </c>
      <c r="F357" s="8" t="s">
        <v>555</v>
      </c>
      <c r="G357" s="8" t="s">
        <v>12</v>
      </c>
      <c r="H357" s="8">
        <v>9.2540800000000001</v>
      </c>
      <c r="I357" s="8">
        <v>-79.711681999999996</v>
      </c>
      <c r="J357" s="21" t="s">
        <v>18</v>
      </c>
    </row>
    <row r="358" spans="1:10" x14ac:dyDescent="0.3">
      <c r="A358" s="20">
        <v>2</v>
      </c>
      <c r="B358" s="8">
        <v>436</v>
      </c>
      <c r="C358" s="8" t="s">
        <v>557</v>
      </c>
      <c r="D358" s="8" t="s">
        <v>542</v>
      </c>
      <c r="E358" s="8" t="s">
        <v>542</v>
      </c>
      <c r="F358" s="8" t="s">
        <v>555</v>
      </c>
      <c r="G358" s="8" t="s">
        <v>99</v>
      </c>
      <c r="H358" s="8">
        <v>9.2754960000000004</v>
      </c>
      <c r="I358" s="8">
        <v>-79.671512000000007</v>
      </c>
      <c r="J358" s="21" t="s">
        <v>37</v>
      </c>
    </row>
    <row r="359" spans="1:10" x14ac:dyDescent="0.3">
      <c r="A359" s="20">
        <v>2</v>
      </c>
      <c r="B359" s="8">
        <v>438</v>
      </c>
      <c r="C359" s="8" t="s">
        <v>558</v>
      </c>
      <c r="D359" s="8" t="s">
        <v>542</v>
      </c>
      <c r="E359" s="8" t="s">
        <v>542</v>
      </c>
      <c r="F359" s="8" t="s">
        <v>555</v>
      </c>
      <c r="G359" s="8" t="s">
        <v>99</v>
      </c>
      <c r="H359" s="8">
        <v>9.2979299999999991</v>
      </c>
      <c r="I359" s="8">
        <v>-79.705430000000007</v>
      </c>
      <c r="J359" s="21" t="s">
        <v>18</v>
      </c>
    </row>
    <row r="360" spans="1:10" x14ac:dyDescent="0.3">
      <c r="A360" s="20">
        <v>2</v>
      </c>
      <c r="B360" s="8">
        <v>439</v>
      </c>
      <c r="C360" s="8" t="s">
        <v>559</v>
      </c>
      <c r="D360" s="8" t="s">
        <v>542</v>
      </c>
      <c r="E360" s="8" t="s">
        <v>542</v>
      </c>
      <c r="F360" s="8" t="s">
        <v>555</v>
      </c>
      <c r="G360" s="8" t="s">
        <v>12</v>
      </c>
      <c r="H360" s="8">
        <v>9.3036779999999997</v>
      </c>
      <c r="I360" s="8">
        <v>-79.681306000000006</v>
      </c>
      <c r="J360" s="21" t="s">
        <v>560</v>
      </c>
    </row>
    <row r="361" spans="1:10" x14ac:dyDescent="0.3">
      <c r="A361" s="20">
        <v>2</v>
      </c>
      <c r="B361" s="8">
        <v>440</v>
      </c>
      <c r="C361" s="8" t="s">
        <v>561</v>
      </c>
      <c r="D361" s="8" t="s">
        <v>542</v>
      </c>
      <c r="E361" s="8" t="s">
        <v>542</v>
      </c>
      <c r="F361" s="8" t="s">
        <v>555</v>
      </c>
      <c r="G361" s="8" t="s">
        <v>12</v>
      </c>
      <c r="H361" s="8">
        <v>9.2737960000000008</v>
      </c>
      <c r="I361" s="8">
        <v>-79.696387999999999</v>
      </c>
      <c r="J361" s="21" t="s">
        <v>562</v>
      </c>
    </row>
    <row r="362" spans="1:10" x14ac:dyDescent="0.3">
      <c r="A362" s="20">
        <v>2</v>
      </c>
      <c r="B362" s="8">
        <v>441</v>
      </c>
      <c r="C362" s="8" t="s">
        <v>563</v>
      </c>
      <c r="D362" s="8" t="s">
        <v>542</v>
      </c>
      <c r="E362" s="8" t="s">
        <v>542</v>
      </c>
      <c r="F362" s="8" t="s">
        <v>564</v>
      </c>
      <c r="G362" s="8" t="s">
        <v>12</v>
      </c>
      <c r="H362" s="8">
        <v>9.3620819999999991</v>
      </c>
      <c r="I362" s="8">
        <v>-79.838734000000002</v>
      </c>
      <c r="J362" s="21" t="s">
        <v>232</v>
      </c>
    </row>
    <row r="363" spans="1:10" x14ac:dyDescent="0.3">
      <c r="A363" s="20">
        <v>2</v>
      </c>
      <c r="B363" s="8">
        <v>442</v>
      </c>
      <c r="C363" s="8" t="s">
        <v>565</v>
      </c>
      <c r="D363" s="8" t="s">
        <v>542</v>
      </c>
      <c r="E363" s="8" t="s">
        <v>542</v>
      </c>
      <c r="F363" s="8" t="s">
        <v>564</v>
      </c>
      <c r="G363" s="8" t="s">
        <v>12</v>
      </c>
      <c r="H363" s="8">
        <v>9.3367459999999998</v>
      </c>
      <c r="I363" s="8">
        <v>-79.839971000000006</v>
      </c>
      <c r="J363" s="21" t="s">
        <v>560</v>
      </c>
    </row>
    <row r="364" spans="1:10" x14ac:dyDescent="0.3">
      <c r="A364" s="20">
        <v>2</v>
      </c>
      <c r="B364" s="8">
        <v>443</v>
      </c>
      <c r="C364" s="8" t="s">
        <v>566</v>
      </c>
      <c r="D364" s="8" t="s">
        <v>542</v>
      </c>
      <c r="E364" s="8" t="s">
        <v>542</v>
      </c>
      <c r="F364" s="8" t="s">
        <v>564</v>
      </c>
      <c r="G364" s="8" t="s">
        <v>12</v>
      </c>
      <c r="H364" s="8">
        <v>9.3599759999999996</v>
      </c>
      <c r="I364" s="8">
        <v>-79.825941</v>
      </c>
      <c r="J364" s="21" t="s">
        <v>232</v>
      </c>
    </row>
    <row r="365" spans="1:10" x14ac:dyDescent="0.3">
      <c r="A365" s="20">
        <v>2</v>
      </c>
      <c r="B365" s="8">
        <v>444</v>
      </c>
      <c r="C365" s="8" t="s">
        <v>567</v>
      </c>
      <c r="D365" s="8" t="s">
        <v>542</v>
      </c>
      <c r="E365" s="8" t="s">
        <v>542</v>
      </c>
      <c r="F365" s="8" t="s">
        <v>568</v>
      </c>
      <c r="G365" s="8" t="s">
        <v>12</v>
      </c>
      <c r="H365" s="8">
        <v>9.3239009999999993</v>
      </c>
      <c r="I365" s="8">
        <v>-79.885412000000002</v>
      </c>
      <c r="J365" s="21" t="s">
        <v>569</v>
      </c>
    </row>
    <row r="366" spans="1:10" x14ac:dyDescent="0.3">
      <c r="A366" s="20">
        <v>2</v>
      </c>
      <c r="B366" s="8">
        <v>445</v>
      </c>
      <c r="C366" s="8" t="s">
        <v>570</v>
      </c>
      <c r="D366" s="8" t="s">
        <v>542</v>
      </c>
      <c r="E366" s="8" t="s">
        <v>542</v>
      </c>
      <c r="F366" s="8" t="s">
        <v>571</v>
      </c>
      <c r="G366" s="8" t="s">
        <v>230</v>
      </c>
      <c r="H366" s="8">
        <v>9.3600239999999992</v>
      </c>
      <c r="I366" s="8">
        <v>-79.791104000000004</v>
      </c>
      <c r="J366" s="21" t="s">
        <v>572</v>
      </c>
    </row>
    <row r="367" spans="1:10" x14ac:dyDescent="0.3">
      <c r="A367" s="20">
        <v>2</v>
      </c>
      <c r="B367" s="8">
        <v>446</v>
      </c>
      <c r="C367" s="8" t="s">
        <v>573</v>
      </c>
      <c r="D367" s="8" t="s">
        <v>542</v>
      </c>
      <c r="E367" s="8" t="s">
        <v>542</v>
      </c>
      <c r="F367" s="8" t="s">
        <v>571</v>
      </c>
      <c r="G367" s="8" t="s">
        <v>12</v>
      </c>
      <c r="H367" s="8">
        <v>9.3879629999999992</v>
      </c>
      <c r="I367" s="8">
        <v>-79.781234999999995</v>
      </c>
      <c r="J367" s="21" t="s">
        <v>265</v>
      </c>
    </row>
    <row r="368" spans="1:10" x14ac:dyDescent="0.3">
      <c r="A368" s="20">
        <v>2</v>
      </c>
      <c r="B368" s="8">
        <v>447</v>
      </c>
      <c r="C368" s="8" t="s">
        <v>574</v>
      </c>
      <c r="D368" s="8" t="s">
        <v>542</v>
      </c>
      <c r="E368" s="8" t="s">
        <v>542</v>
      </c>
      <c r="F368" s="8" t="s">
        <v>571</v>
      </c>
      <c r="G368" s="8" t="s">
        <v>230</v>
      </c>
      <c r="H368" s="8">
        <v>9.3646609999999999</v>
      </c>
      <c r="I368" s="8">
        <v>-79.794606999999999</v>
      </c>
      <c r="J368" s="21" t="s">
        <v>572</v>
      </c>
    </row>
    <row r="369" spans="1:10" x14ac:dyDescent="0.3">
      <c r="A369" s="20">
        <v>2</v>
      </c>
      <c r="B369" s="8">
        <v>450</v>
      </c>
      <c r="C369" s="8" t="s">
        <v>575</v>
      </c>
      <c r="D369" s="8" t="s">
        <v>542</v>
      </c>
      <c r="E369" s="8" t="s">
        <v>542</v>
      </c>
      <c r="F369" s="8" t="s">
        <v>576</v>
      </c>
      <c r="G369" s="8" t="s">
        <v>12</v>
      </c>
      <c r="H369" s="8">
        <v>9.3732880000000005</v>
      </c>
      <c r="I369" s="8">
        <v>-79.788371999999995</v>
      </c>
      <c r="J369" s="21" t="s">
        <v>265</v>
      </c>
    </row>
    <row r="370" spans="1:10" x14ac:dyDescent="0.3">
      <c r="A370" s="20">
        <v>2</v>
      </c>
      <c r="B370" s="8">
        <v>451</v>
      </c>
      <c r="C370" s="8" t="s">
        <v>577</v>
      </c>
      <c r="D370" s="8" t="s">
        <v>542</v>
      </c>
      <c r="E370" s="8" t="s">
        <v>542</v>
      </c>
      <c r="F370" s="8" t="s">
        <v>576</v>
      </c>
      <c r="G370" s="8" t="s">
        <v>230</v>
      </c>
      <c r="H370" s="8">
        <v>9.354635</v>
      </c>
      <c r="I370" s="8">
        <v>-79.806526000000005</v>
      </c>
      <c r="J370" s="21" t="s">
        <v>562</v>
      </c>
    </row>
    <row r="371" spans="1:10" x14ac:dyDescent="0.3">
      <c r="A371" s="20">
        <v>2</v>
      </c>
      <c r="B371" s="8">
        <v>452</v>
      </c>
      <c r="C371" s="8" t="s">
        <v>578</v>
      </c>
      <c r="D371" s="8" t="s">
        <v>542</v>
      </c>
      <c r="E371" s="8" t="s">
        <v>542</v>
      </c>
      <c r="F371" s="8" t="s">
        <v>576</v>
      </c>
      <c r="G371" s="8" t="s">
        <v>230</v>
      </c>
      <c r="H371" s="8">
        <v>9.3548139999999993</v>
      </c>
      <c r="I371" s="8">
        <v>-79.806611000000004</v>
      </c>
      <c r="J371" s="21" t="s">
        <v>572</v>
      </c>
    </row>
    <row r="372" spans="1:10" x14ac:dyDescent="0.3">
      <c r="A372" s="20">
        <v>2</v>
      </c>
      <c r="B372" s="8">
        <v>453</v>
      </c>
      <c r="C372" s="8" t="s">
        <v>579</v>
      </c>
      <c r="D372" s="8" t="s">
        <v>542</v>
      </c>
      <c r="E372" s="8" t="s">
        <v>542</v>
      </c>
      <c r="F372" s="8" t="s">
        <v>576</v>
      </c>
      <c r="G372" s="8" t="s">
        <v>33</v>
      </c>
      <c r="H372" s="8">
        <v>9.3427100000000003</v>
      </c>
      <c r="I372" s="8">
        <v>-79.807491999999996</v>
      </c>
      <c r="J372" s="21" t="s">
        <v>580</v>
      </c>
    </row>
    <row r="373" spans="1:10" x14ac:dyDescent="0.3">
      <c r="A373" s="20">
        <v>2</v>
      </c>
      <c r="B373" s="8">
        <v>454</v>
      </c>
      <c r="C373" s="8" t="s">
        <v>581</v>
      </c>
      <c r="D373" s="8" t="s">
        <v>542</v>
      </c>
      <c r="E373" s="8" t="s">
        <v>542</v>
      </c>
      <c r="F373" s="8" t="s">
        <v>576</v>
      </c>
      <c r="G373" s="8" t="s">
        <v>230</v>
      </c>
      <c r="H373" s="8">
        <v>9.3521160000000005</v>
      </c>
      <c r="I373" s="8">
        <v>-79.801700999999994</v>
      </c>
      <c r="J373" s="21" t="s">
        <v>572</v>
      </c>
    </row>
    <row r="374" spans="1:10" x14ac:dyDescent="0.3">
      <c r="A374" s="20">
        <v>2</v>
      </c>
      <c r="B374" s="8">
        <v>455</v>
      </c>
      <c r="C374" s="8" t="s">
        <v>582</v>
      </c>
      <c r="D374" s="8" t="s">
        <v>542</v>
      </c>
      <c r="E374" s="8" t="s">
        <v>542</v>
      </c>
      <c r="F374" s="8" t="s">
        <v>576</v>
      </c>
      <c r="G374" s="8" t="s">
        <v>230</v>
      </c>
      <c r="H374" s="8">
        <v>9.3476780000000002</v>
      </c>
      <c r="I374" s="8">
        <v>-79.808004999999994</v>
      </c>
      <c r="J374" s="21" t="s">
        <v>572</v>
      </c>
    </row>
    <row r="375" spans="1:10" x14ac:dyDescent="0.3">
      <c r="A375" s="20">
        <v>2</v>
      </c>
      <c r="B375" s="8">
        <v>456</v>
      </c>
      <c r="C375" s="8" t="s">
        <v>583</v>
      </c>
      <c r="D375" s="8" t="s">
        <v>542</v>
      </c>
      <c r="E375" s="8" t="s">
        <v>542</v>
      </c>
      <c r="F375" s="8" t="s">
        <v>576</v>
      </c>
      <c r="G375" s="8" t="s">
        <v>230</v>
      </c>
      <c r="H375" s="8">
        <v>9.3463469999999997</v>
      </c>
      <c r="I375" s="8">
        <v>-79.806342000000001</v>
      </c>
      <c r="J375" s="21" t="s">
        <v>562</v>
      </c>
    </row>
    <row r="376" spans="1:10" x14ac:dyDescent="0.3">
      <c r="A376" s="20">
        <v>2</v>
      </c>
      <c r="B376" s="8">
        <v>457</v>
      </c>
      <c r="C376" s="8" t="s">
        <v>584</v>
      </c>
      <c r="D376" s="8" t="s">
        <v>542</v>
      </c>
      <c r="E376" s="8" t="s">
        <v>542</v>
      </c>
      <c r="F376" s="8" t="s">
        <v>585</v>
      </c>
      <c r="G376" s="8" t="s">
        <v>12</v>
      </c>
      <c r="H376" s="8">
        <v>9.2506939999999993</v>
      </c>
      <c r="I376" s="8">
        <v>-79.643018999999995</v>
      </c>
      <c r="J376" s="21" t="s">
        <v>586</v>
      </c>
    </row>
    <row r="377" spans="1:10" x14ac:dyDescent="0.3">
      <c r="A377" s="20">
        <v>2</v>
      </c>
      <c r="B377" s="8">
        <v>458</v>
      </c>
      <c r="C377" s="8" t="s">
        <v>587</v>
      </c>
      <c r="D377" s="8" t="s">
        <v>542</v>
      </c>
      <c r="E377" s="8" t="s">
        <v>542</v>
      </c>
      <c r="F377" s="8" t="s">
        <v>585</v>
      </c>
      <c r="G377" s="8" t="s">
        <v>12</v>
      </c>
      <c r="H377" s="8">
        <v>9.2473840000000003</v>
      </c>
      <c r="I377" s="8">
        <v>-79.650246999999993</v>
      </c>
      <c r="J377" s="21" t="s">
        <v>588</v>
      </c>
    </row>
    <row r="378" spans="1:10" x14ac:dyDescent="0.3">
      <c r="A378" s="20">
        <v>2</v>
      </c>
      <c r="B378" s="8">
        <v>459</v>
      </c>
      <c r="C378" s="8" t="s">
        <v>589</v>
      </c>
      <c r="D378" s="8" t="s">
        <v>542</v>
      </c>
      <c r="E378" s="8" t="s">
        <v>542</v>
      </c>
      <c r="F378" s="8" t="s">
        <v>585</v>
      </c>
      <c r="G378" s="8" t="s">
        <v>12</v>
      </c>
      <c r="H378" s="8">
        <v>9.253857</v>
      </c>
      <c r="I378" s="8">
        <v>-79.648280999999997</v>
      </c>
      <c r="J378" s="21" t="s">
        <v>562</v>
      </c>
    </row>
    <row r="379" spans="1:10" x14ac:dyDescent="0.3">
      <c r="A379" s="20">
        <v>2</v>
      </c>
      <c r="B379" s="8">
        <v>460</v>
      </c>
      <c r="C379" s="8" t="s">
        <v>590</v>
      </c>
      <c r="D379" s="8" t="s">
        <v>542</v>
      </c>
      <c r="E379" s="8" t="s">
        <v>542</v>
      </c>
      <c r="F379" s="8" t="s">
        <v>585</v>
      </c>
      <c r="G379" s="8" t="s">
        <v>12</v>
      </c>
      <c r="H379" s="8">
        <v>9.2446549999999998</v>
      </c>
      <c r="I379" s="8">
        <v>-79.607782999999998</v>
      </c>
      <c r="J379" s="21" t="s">
        <v>586</v>
      </c>
    </row>
    <row r="380" spans="1:10" x14ac:dyDescent="0.3">
      <c r="A380" s="20">
        <v>2</v>
      </c>
      <c r="B380" s="8">
        <v>463</v>
      </c>
      <c r="C380" s="8" t="s">
        <v>591</v>
      </c>
      <c r="D380" s="8" t="s">
        <v>542</v>
      </c>
      <c r="E380" s="8" t="s">
        <v>592</v>
      </c>
      <c r="F380" s="8" t="s">
        <v>593</v>
      </c>
      <c r="G380" s="8" t="s">
        <v>12</v>
      </c>
      <c r="H380" s="8">
        <v>9.5351549999999996</v>
      </c>
      <c r="I380" s="8">
        <v>-79.669681999999995</v>
      </c>
      <c r="J380" s="21" t="s">
        <v>164</v>
      </c>
    </row>
    <row r="381" spans="1:10" x14ac:dyDescent="0.3">
      <c r="A381" s="20">
        <v>2</v>
      </c>
      <c r="B381" s="8">
        <v>464</v>
      </c>
      <c r="C381" s="8" t="s">
        <v>594</v>
      </c>
      <c r="D381" s="8" t="s">
        <v>542</v>
      </c>
      <c r="E381" s="8" t="s">
        <v>592</v>
      </c>
      <c r="F381" s="8" t="s">
        <v>593</v>
      </c>
      <c r="G381" s="8" t="s">
        <v>12</v>
      </c>
      <c r="H381" s="8">
        <v>9.5535940000000004</v>
      </c>
      <c r="I381" s="8">
        <v>-79.656806000000003</v>
      </c>
      <c r="J381" s="21" t="s">
        <v>164</v>
      </c>
    </row>
    <row r="382" spans="1:10" x14ac:dyDescent="0.3">
      <c r="A382" s="20">
        <v>2</v>
      </c>
      <c r="B382" s="8">
        <v>467</v>
      </c>
      <c r="C382" s="8" t="s">
        <v>595</v>
      </c>
      <c r="D382" s="8" t="s">
        <v>596</v>
      </c>
      <c r="E382" s="8" t="s">
        <v>597</v>
      </c>
      <c r="F382" s="8" t="s">
        <v>598</v>
      </c>
      <c r="G382" s="8" t="s">
        <v>53</v>
      </c>
      <c r="H382" s="8">
        <v>8.5367499999999996</v>
      </c>
      <c r="I382" s="8">
        <v>-77.882749000000004</v>
      </c>
      <c r="J382" s="21" t="s">
        <v>599</v>
      </c>
    </row>
    <row r="383" spans="1:10" x14ac:dyDescent="0.3">
      <c r="A383" s="20">
        <v>2</v>
      </c>
      <c r="B383" s="8">
        <v>470</v>
      </c>
      <c r="C383" s="8" t="s">
        <v>600</v>
      </c>
      <c r="D383" s="8" t="s">
        <v>601</v>
      </c>
      <c r="E383" s="8" t="s">
        <v>601</v>
      </c>
      <c r="F383" s="8" t="s">
        <v>602</v>
      </c>
      <c r="G383" s="8" t="s">
        <v>53</v>
      </c>
      <c r="H383" s="8">
        <v>8.9217600000000008</v>
      </c>
      <c r="I383" s="8">
        <v>-77.724348000000006</v>
      </c>
      <c r="J383" s="21" t="s">
        <v>599</v>
      </c>
    </row>
    <row r="384" spans="1:10" x14ac:dyDescent="0.3">
      <c r="A384" s="20">
        <v>2</v>
      </c>
      <c r="B384" s="8">
        <v>473</v>
      </c>
      <c r="C384" s="8" t="s">
        <v>603</v>
      </c>
      <c r="D384" s="8" t="s">
        <v>601</v>
      </c>
      <c r="E384" s="8" t="s">
        <v>601</v>
      </c>
      <c r="F384" s="8" t="s">
        <v>602</v>
      </c>
      <c r="G384" s="8" t="s">
        <v>53</v>
      </c>
      <c r="H384" s="8">
        <v>8.946453</v>
      </c>
      <c r="I384" s="8">
        <v>-77.751649999999998</v>
      </c>
      <c r="J384" s="21" t="s">
        <v>599</v>
      </c>
    </row>
    <row r="385" spans="1:10" x14ac:dyDescent="0.3">
      <c r="A385" s="20">
        <v>2</v>
      </c>
      <c r="B385" s="8">
        <v>474</v>
      </c>
      <c r="C385" s="8" t="s">
        <v>604</v>
      </c>
      <c r="D385" s="8" t="s">
        <v>605</v>
      </c>
      <c r="E385" s="8" t="s">
        <v>606</v>
      </c>
      <c r="F385" s="8" t="s">
        <v>607</v>
      </c>
      <c r="G385" s="8" t="s">
        <v>12</v>
      </c>
      <c r="H385" s="8">
        <v>8.8609150000000003</v>
      </c>
      <c r="I385" s="8">
        <v>-78.196082000000004</v>
      </c>
      <c r="J385" s="21" t="s">
        <v>138</v>
      </c>
    </row>
    <row r="386" spans="1:10" x14ac:dyDescent="0.3">
      <c r="A386" s="20">
        <v>2</v>
      </c>
      <c r="B386" s="8">
        <v>475</v>
      </c>
      <c r="C386" s="8" t="s">
        <v>608</v>
      </c>
      <c r="D386" s="8" t="s">
        <v>605</v>
      </c>
      <c r="E386" s="8" t="s">
        <v>606</v>
      </c>
      <c r="F386" s="8" t="s">
        <v>607</v>
      </c>
      <c r="G386" s="8" t="s">
        <v>12</v>
      </c>
      <c r="H386" s="8">
        <v>8.8264709999999997</v>
      </c>
      <c r="I386" s="8">
        <v>-78.190248999999994</v>
      </c>
      <c r="J386" s="21" t="s">
        <v>138</v>
      </c>
    </row>
    <row r="387" spans="1:10" x14ac:dyDescent="0.3">
      <c r="A387" s="20">
        <v>2</v>
      </c>
      <c r="B387" s="8">
        <v>476</v>
      </c>
      <c r="C387" s="8" t="s">
        <v>609</v>
      </c>
      <c r="D387" s="8" t="s">
        <v>605</v>
      </c>
      <c r="E387" s="8" t="s">
        <v>606</v>
      </c>
      <c r="F387" s="8" t="s">
        <v>607</v>
      </c>
      <c r="G387" s="8" t="s">
        <v>12</v>
      </c>
      <c r="H387" s="8">
        <v>8.7665670000000002</v>
      </c>
      <c r="I387" s="8">
        <v>-78.173499000000007</v>
      </c>
      <c r="J387" s="21" t="s">
        <v>494</v>
      </c>
    </row>
    <row r="388" spans="1:10" x14ac:dyDescent="0.3">
      <c r="A388" s="20">
        <v>2</v>
      </c>
      <c r="B388" s="8">
        <v>477</v>
      </c>
      <c r="C388" s="8" t="s">
        <v>610</v>
      </c>
      <c r="D388" s="8" t="s">
        <v>605</v>
      </c>
      <c r="E388" s="8" t="s">
        <v>606</v>
      </c>
      <c r="F388" s="8" t="s">
        <v>611</v>
      </c>
      <c r="G388" s="8" t="s">
        <v>53</v>
      </c>
      <c r="H388" s="8">
        <v>8.0666670000000007</v>
      </c>
      <c r="I388" s="8">
        <v>-78.365278000000004</v>
      </c>
      <c r="J388" s="21" t="s">
        <v>612</v>
      </c>
    </row>
    <row r="389" spans="1:10" x14ac:dyDescent="0.3">
      <c r="A389" s="20">
        <v>2</v>
      </c>
      <c r="B389" s="8">
        <v>478</v>
      </c>
      <c r="C389" s="8" t="s">
        <v>613</v>
      </c>
      <c r="D389" s="8" t="s">
        <v>605</v>
      </c>
      <c r="E389" s="8" t="s">
        <v>606</v>
      </c>
      <c r="F389" s="8" t="s">
        <v>614</v>
      </c>
      <c r="G389" s="8" t="s">
        <v>53</v>
      </c>
      <c r="H389" s="8">
        <v>7.5184280000000001</v>
      </c>
      <c r="I389" s="8">
        <v>-78.162023000000005</v>
      </c>
      <c r="J389" s="21" t="s">
        <v>599</v>
      </c>
    </row>
    <row r="390" spans="1:10" x14ac:dyDescent="0.3">
      <c r="A390" s="20">
        <v>2</v>
      </c>
      <c r="B390" s="8">
        <v>482</v>
      </c>
      <c r="C390" s="8" t="s">
        <v>615</v>
      </c>
      <c r="D390" s="8" t="s">
        <v>605</v>
      </c>
      <c r="E390" s="8" t="s">
        <v>606</v>
      </c>
      <c r="F390" s="8" t="s">
        <v>616</v>
      </c>
      <c r="G390" s="8" t="s">
        <v>230</v>
      </c>
      <c r="H390" s="8">
        <v>8.4024999999999999</v>
      </c>
      <c r="I390" s="8">
        <v>-78.141389000000004</v>
      </c>
      <c r="J390" s="21" t="s">
        <v>350</v>
      </c>
    </row>
    <row r="391" spans="1:10" x14ac:dyDescent="0.3">
      <c r="A391" s="20">
        <v>2</v>
      </c>
      <c r="B391" s="8">
        <v>483</v>
      </c>
      <c r="C391" s="8" t="s">
        <v>617</v>
      </c>
      <c r="D391" s="8" t="s">
        <v>605</v>
      </c>
      <c r="E391" s="8" t="s">
        <v>606</v>
      </c>
      <c r="F391" s="8" t="s">
        <v>616</v>
      </c>
      <c r="G391" s="8" t="s">
        <v>230</v>
      </c>
      <c r="H391" s="8">
        <v>8.4014109999999995</v>
      </c>
      <c r="I391" s="8">
        <v>-78.138339000000002</v>
      </c>
      <c r="J391" s="21" t="s">
        <v>332</v>
      </c>
    </row>
    <row r="392" spans="1:10" x14ac:dyDescent="0.3">
      <c r="A392" s="20">
        <v>2</v>
      </c>
      <c r="B392" s="8">
        <v>484</v>
      </c>
      <c r="C392" s="8" t="s">
        <v>618</v>
      </c>
      <c r="D392" s="8" t="s">
        <v>605</v>
      </c>
      <c r="E392" s="8" t="s">
        <v>606</v>
      </c>
      <c r="F392" s="8" t="s">
        <v>616</v>
      </c>
      <c r="G392" s="8" t="s">
        <v>230</v>
      </c>
      <c r="H392" s="8">
        <v>8.402317</v>
      </c>
      <c r="I392" s="8">
        <v>-78.141530000000003</v>
      </c>
      <c r="J392" s="21" t="s">
        <v>350</v>
      </c>
    </row>
    <row r="393" spans="1:10" x14ac:dyDescent="0.3">
      <c r="A393" s="20">
        <v>2</v>
      </c>
      <c r="B393" s="8">
        <v>485</v>
      </c>
      <c r="C393" s="8" t="s">
        <v>619</v>
      </c>
      <c r="D393" s="8" t="s">
        <v>605</v>
      </c>
      <c r="E393" s="8" t="s">
        <v>606</v>
      </c>
      <c r="F393" s="8" t="s">
        <v>616</v>
      </c>
      <c r="G393" s="8" t="s">
        <v>230</v>
      </c>
      <c r="H393" s="8">
        <v>8.407959</v>
      </c>
      <c r="I393" s="8">
        <v>-78.141176999999999</v>
      </c>
      <c r="J393" s="21" t="s">
        <v>350</v>
      </c>
    </row>
    <row r="394" spans="1:10" x14ac:dyDescent="0.3">
      <c r="A394" s="20">
        <v>2</v>
      </c>
      <c r="B394" s="8">
        <v>489</v>
      </c>
      <c r="C394" s="8" t="s">
        <v>620</v>
      </c>
      <c r="D394" s="8" t="s">
        <v>605</v>
      </c>
      <c r="E394" s="8" t="s">
        <v>606</v>
      </c>
      <c r="F394" s="8" t="s">
        <v>616</v>
      </c>
      <c r="G394" s="8" t="s">
        <v>230</v>
      </c>
      <c r="H394" s="8">
        <v>8.4081550000000007</v>
      </c>
      <c r="I394" s="8">
        <v>-78.139613999999995</v>
      </c>
      <c r="J394" s="21" t="s">
        <v>350</v>
      </c>
    </row>
    <row r="395" spans="1:10" x14ac:dyDescent="0.3">
      <c r="A395" s="20">
        <v>2</v>
      </c>
      <c r="B395" s="8">
        <v>490</v>
      </c>
      <c r="C395" s="8" t="s">
        <v>621</v>
      </c>
      <c r="D395" s="8" t="s">
        <v>605</v>
      </c>
      <c r="E395" s="8" t="s">
        <v>606</v>
      </c>
      <c r="F395" s="8" t="s">
        <v>616</v>
      </c>
      <c r="G395" s="8" t="s">
        <v>230</v>
      </c>
      <c r="H395" s="8">
        <v>8.403791</v>
      </c>
      <c r="I395" s="8">
        <v>-78.138604999999998</v>
      </c>
      <c r="J395" s="21" t="s">
        <v>332</v>
      </c>
    </row>
    <row r="396" spans="1:10" x14ac:dyDescent="0.3">
      <c r="A396" s="20">
        <v>2</v>
      </c>
      <c r="B396" s="8">
        <v>491</v>
      </c>
      <c r="C396" s="8" t="s">
        <v>622</v>
      </c>
      <c r="D396" s="8" t="s">
        <v>605</v>
      </c>
      <c r="E396" s="8" t="s">
        <v>606</v>
      </c>
      <c r="F396" s="8" t="s">
        <v>623</v>
      </c>
      <c r="G396" s="8" t="s">
        <v>53</v>
      </c>
      <c r="H396" s="8">
        <v>8.0255559999999999</v>
      </c>
      <c r="I396" s="8">
        <v>-78.209166999999994</v>
      </c>
      <c r="J396" s="21" t="s">
        <v>599</v>
      </c>
    </row>
    <row r="397" spans="1:10" x14ac:dyDescent="0.3">
      <c r="A397" s="20">
        <v>2</v>
      </c>
      <c r="B397" s="8">
        <v>492</v>
      </c>
      <c r="C397" s="8" t="s">
        <v>624</v>
      </c>
      <c r="D397" s="8" t="s">
        <v>605</v>
      </c>
      <c r="E397" s="8" t="s">
        <v>606</v>
      </c>
      <c r="F397" s="8" t="s">
        <v>625</v>
      </c>
      <c r="G397" s="8" t="s">
        <v>12</v>
      </c>
      <c r="H397" s="8">
        <v>8.6508380000000002</v>
      </c>
      <c r="I397" s="8">
        <v>-78.132345999999998</v>
      </c>
      <c r="J397" s="21" t="s">
        <v>494</v>
      </c>
    </row>
    <row r="398" spans="1:10" x14ac:dyDescent="0.3">
      <c r="A398" s="20">
        <v>2</v>
      </c>
      <c r="B398" s="8">
        <v>493</v>
      </c>
      <c r="C398" s="8" t="s">
        <v>626</v>
      </c>
      <c r="D398" s="8" t="s">
        <v>605</v>
      </c>
      <c r="E398" s="8" t="s">
        <v>606</v>
      </c>
      <c r="F398" s="8" t="s">
        <v>625</v>
      </c>
      <c r="G398" s="8" t="s">
        <v>12</v>
      </c>
      <c r="H398" s="8">
        <v>8.6493649999999995</v>
      </c>
      <c r="I398" s="8">
        <v>-78.127735999999999</v>
      </c>
      <c r="J398" s="21" t="s">
        <v>494</v>
      </c>
    </row>
    <row r="399" spans="1:10" x14ac:dyDescent="0.3">
      <c r="A399" s="20">
        <v>2</v>
      </c>
      <c r="B399" s="8">
        <v>494</v>
      </c>
      <c r="C399" s="8" t="s">
        <v>627</v>
      </c>
      <c r="D399" s="8" t="s">
        <v>605</v>
      </c>
      <c r="E399" s="8" t="s">
        <v>606</v>
      </c>
      <c r="F399" s="8" t="s">
        <v>625</v>
      </c>
      <c r="G399" s="8" t="s">
        <v>12</v>
      </c>
      <c r="H399" s="8">
        <v>8.6939709999999994</v>
      </c>
      <c r="I399" s="8">
        <v>-78.143304000000001</v>
      </c>
      <c r="J399" s="21" t="s">
        <v>288</v>
      </c>
    </row>
    <row r="400" spans="1:10" x14ac:dyDescent="0.3">
      <c r="A400" s="20">
        <v>2</v>
      </c>
      <c r="B400" s="8">
        <v>495</v>
      </c>
      <c r="C400" s="8" t="s">
        <v>628</v>
      </c>
      <c r="D400" s="8" t="s">
        <v>605</v>
      </c>
      <c r="E400" s="8" t="s">
        <v>606</v>
      </c>
      <c r="F400" s="8" t="s">
        <v>625</v>
      </c>
      <c r="G400" s="8" t="s">
        <v>12</v>
      </c>
      <c r="H400" s="8">
        <v>8.6421980000000005</v>
      </c>
      <c r="I400" s="8">
        <v>-78.170516000000006</v>
      </c>
      <c r="J400" s="21" t="s">
        <v>494</v>
      </c>
    </row>
    <row r="401" spans="1:10" x14ac:dyDescent="0.3">
      <c r="A401" s="20">
        <v>2</v>
      </c>
      <c r="B401" s="8">
        <v>497</v>
      </c>
      <c r="C401" s="8" t="s">
        <v>629</v>
      </c>
      <c r="D401" s="8" t="s">
        <v>605</v>
      </c>
      <c r="E401" s="8" t="s">
        <v>606</v>
      </c>
      <c r="F401" s="8" t="s">
        <v>625</v>
      </c>
      <c r="G401" s="8" t="s">
        <v>12</v>
      </c>
      <c r="H401" s="8">
        <v>8.6611930000000008</v>
      </c>
      <c r="I401" s="8">
        <v>-78.157471000000001</v>
      </c>
      <c r="J401" s="21" t="s">
        <v>288</v>
      </c>
    </row>
    <row r="402" spans="1:10" x14ac:dyDescent="0.3">
      <c r="A402" s="20">
        <v>2</v>
      </c>
      <c r="B402" s="8">
        <v>498</v>
      </c>
      <c r="C402" s="8" t="s">
        <v>630</v>
      </c>
      <c r="D402" s="8" t="s">
        <v>605</v>
      </c>
      <c r="E402" s="8" t="s">
        <v>606</v>
      </c>
      <c r="F402" s="8" t="s">
        <v>625</v>
      </c>
      <c r="G402" s="8" t="s">
        <v>12</v>
      </c>
      <c r="H402" s="8">
        <v>8.7709150000000005</v>
      </c>
      <c r="I402" s="8">
        <v>-78.221360000000004</v>
      </c>
      <c r="J402" s="21" t="s">
        <v>288</v>
      </c>
    </row>
    <row r="403" spans="1:10" x14ac:dyDescent="0.3">
      <c r="A403" s="20">
        <v>2</v>
      </c>
      <c r="B403" s="8">
        <v>499</v>
      </c>
      <c r="C403" s="8" t="s">
        <v>631</v>
      </c>
      <c r="D403" s="8" t="s">
        <v>605</v>
      </c>
      <c r="E403" s="8" t="s">
        <v>632</v>
      </c>
      <c r="F403" s="8" t="s">
        <v>633</v>
      </c>
      <c r="G403" s="8" t="s">
        <v>12</v>
      </c>
      <c r="H403" s="8">
        <v>8.5093250000000005</v>
      </c>
      <c r="I403" s="8">
        <v>-77.975702999999996</v>
      </c>
      <c r="J403" s="21" t="s">
        <v>138</v>
      </c>
    </row>
    <row r="404" spans="1:10" x14ac:dyDescent="0.3">
      <c r="A404" s="20">
        <v>2</v>
      </c>
      <c r="B404" s="8">
        <v>500</v>
      </c>
      <c r="C404" s="8" t="s">
        <v>634</v>
      </c>
      <c r="D404" s="8" t="s">
        <v>605</v>
      </c>
      <c r="E404" s="8" t="s">
        <v>632</v>
      </c>
      <c r="F404" s="8" t="s">
        <v>633</v>
      </c>
      <c r="G404" s="8" t="s">
        <v>12</v>
      </c>
      <c r="H404" s="8">
        <v>8.4971530000000008</v>
      </c>
      <c r="I404" s="8">
        <v>-77.981031000000002</v>
      </c>
      <c r="J404" s="21" t="s">
        <v>138</v>
      </c>
    </row>
    <row r="405" spans="1:10" x14ac:dyDescent="0.3">
      <c r="A405" s="20">
        <v>2</v>
      </c>
      <c r="B405" s="8">
        <v>504</v>
      </c>
      <c r="C405" s="8" t="s">
        <v>635</v>
      </c>
      <c r="D405" s="8" t="s">
        <v>605</v>
      </c>
      <c r="E405" s="8" t="s">
        <v>632</v>
      </c>
      <c r="F405" s="8" t="s">
        <v>633</v>
      </c>
      <c r="G405" s="8" t="s">
        <v>12</v>
      </c>
      <c r="H405" s="8">
        <v>8.3417499999999993</v>
      </c>
      <c r="I405" s="8">
        <v>-77.828581999999997</v>
      </c>
      <c r="J405" s="21" t="s">
        <v>636</v>
      </c>
    </row>
    <row r="406" spans="1:10" x14ac:dyDescent="0.3">
      <c r="A406" s="20">
        <v>2</v>
      </c>
      <c r="B406" s="8">
        <v>505</v>
      </c>
      <c r="C406" s="8" t="s">
        <v>637</v>
      </c>
      <c r="D406" s="8" t="s">
        <v>605</v>
      </c>
      <c r="E406" s="8" t="s">
        <v>632</v>
      </c>
      <c r="F406" s="8" t="s">
        <v>633</v>
      </c>
      <c r="G406" s="8" t="s">
        <v>12</v>
      </c>
      <c r="H406" s="8">
        <v>8.4987739999999992</v>
      </c>
      <c r="I406" s="8">
        <v>-77.980546000000004</v>
      </c>
      <c r="J406" s="21" t="s">
        <v>138</v>
      </c>
    </row>
    <row r="407" spans="1:10" x14ac:dyDescent="0.3">
      <c r="A407" s="20">
        <v>2</v>
      </c>
      <c r="B407" s="8">
        <v>506</v>
      </c>
      <c r="C407" s="8" t="s">
        <v>638</v>
      </c>
      <c r="D407" s="8" t="s">
        <v>605</v>
      </c>
      <c r="E407" s="8" t="s">
        <v>632</v>
      </c>
      <c r="F407" s="8" t="s">
        <v>633</v>
      </c>
      <c r="G407" s="8" t="s">
        <v>12</v>
      </c>
      <c r="H407" s="8">
        <v>8.5021299999999993</v>
      </c>
      <c r="I407" s="8">
        <v>-77.980717999999996</v>
      </c>
      <c r="J407" s="21" t="s">
        <v>138</v>
      </c>
    </row>
    <row r="408" spans="1:10" x14ac:dyDescent="0.3">
      <c r="A408" s="20">
        <v>2</v>
      </c>
      <c r="B408" s="8">
        <v>508</v>
      </c>
      <c r="C408" s="8" t="s">
        <v>639</v>
      </c>
      <c r="D408" s="8" t="s">
        <v>605</v>
      </c>
      <c r="E408" s="8" t="s">
        <v>632</v>
      </c>
      <c r="F408" s="8" t="s">
        <v>633</v>
      </c>
      <c r="G408" s="8" t="s">
        <v>12</v>
      </c>
      <c r="H408" s="8">
        <v>8.5019139999999993</v>
      </c>
      <c r="I408" s="8">
        <v>-77.972999999999999</v>
      </c>
      <c r="J408" s="21" t="s">
        <v>332</v>
      </c>
    </row>
    <row r="409" spans="1:10" x14ac:dyDescent="0.3">
      <c r="A409" s="20">
        <v>2</v>
      </c>
      <c r="B409" s="8">
        <v>509</v>
      </c>
      <c r="C409" s="8" t="s">
        <v>640</v>
      </c>
      <c r="D409" s="8" t="s">
        <v>605</v>
      </c>
      <c r="E409" s="8" t="s">
        <v>632</v>
      </c>
      <c r="F409" s="8" t="s">
        <v>633</v>
      </c>
      <c r="G409" s="8" t="s">
        <v>12</v>
      </c>
      <c r="H409" s="8">
        <v>8.5016499999999997</v>
      </c>
      <c r="I409" s="8">
        <v>-77.978849999999994</v>
      </c>
      <c r="J409" s="21" t="s">
        <v>138</v>
      </c>
    </row>
    <row r="410" spans="1:10" x14ac:dyDescent="0.3">
      <c r="A410" s="20">
        <v>2</v>
      </c>
      <c r="B410" s="8">
        <v>512</v>
      </c>
      <c r="C410" s="8" t="s">
        <v>641</v>
      </c>
      <c r="D410" s="8" t="s">
        <v>605</v>
      </c>
      <c r="E410" s="8" t="s">
        <v>632</v>
      </c>
      <c r="F410" s="8" t="s">
        <v>633</v>
      </c>
      <c r="G410" s="8" t="s">
        <v>12</v>
      </c>
      <c r="H410" s="8">
        <v>8.496931</v>
      </c>
      <c r="I410" s="8">
        <v>-77.971999999999994</v>
      </c>
      <c r="J410" s="21" t="s">
        <v>138</v>
      </c>
    </row>
    <row r="411" spans="1:10" x14ac:dyDescent="0.3">
      <c r="A411" s="20">
        <v>2</v>
      </c>
      <c r="B411" s="8">
        <v>513</v>
      </c>
      <c r="C411" s="8" t="s">
        <v>642</v>
      </c>
      <c r="D411" s="8" t="s">
        <v>605</v>
      </c>
      <c r="E411" s="8" t="s">
        <v>632</v>
      </c>
      <c r="F411" s="8" t="s">
        <v>633</v>
      </c>
      <c r="G411" s="8" t="s">
        <v>12</v>
      </c>
      <c r="H411" s="8">
        <v>8.4920360000000006</v>
      </c>
      <c r="I411" s="8">
        <v>-77.983801999999997</v>
      </c>
      <c r="J411" s="21" t="s">
        <v>138</v>
      </c>
    </row>
    <row r="412" spans="1:10" x14ac:dyDescent="0.3">
      <c r="A412" s="20">
        <v>2</v>
      </c>
      <c r="B412" s="8">
        <v>514</v>
      </c>
      <c r="C412" s="8" t="s">
        <v>643</v>
      </c>
      <c r="D412" s="8" t="s">
        <v>644</v>
      </c>
      <c r="E412" s="8" t="s">
        <v>645</v>
      </c>
      <c r="F412" s="8" t="s">
        <v>646</v>
      </c>
      <c r="G412" s="8" t="s">
        <v>12</v>
      </c>
      <c r="H412" s="8">
        <v>9.1741840000000003</v>
      </c>
      <c r="I412" s="8">
        <v>-79.090802999999994</v>
      </c>
      <c r="J412" s="21" t="s">
        <v>159</v>
      </c>
    </row>
    <row r="413" spans="1:10" x14ac:dyDescent="0.3">
      <c r="A413" s="20">
        <v>2</v>
      </c>
      <c r="B413" s="8">
        <v>515</v>
      </c>
      <c r="C413" s="8" t="s">
        <v>647</v>
      </c>
      <c r="D413" s="8" t="s">
        <v>644</v>
      </c>
      <c r="E413" s="8" t="s">
        <v>645</v>
      </c>
      <c r="F413" s="8" t="s">
        <v>648</v>
      </c>
      <c r="G413" s="8" t="s">
        <v>12</v>
      </c>
      <c r="H413" s="8">
        <v>9.2256470000000004</v>
      </c>
      <c r="I413" s="8">
        <v>-78.893608</v>
      </c>
      <c r="J413" s="21" t="s">
        <v>159</v>
      </c>
    </row>
    <row r="414" spans="1:10" x14ac:dyDescent="0.3">
      <c r="A414" s="20">
        <v>2</v>
      </c>
      <c r="B414" s="8">
        <v>516</v>
      </c>
      <c r="C414" s="8" t="s">
        <v>649</v>
      </c>
      <c r="D414" s="8" t="s">
        <v>644</v>
      </c>
      <c r="E414" s="8" t="s">
        <v>645</v>
      </c>
      <c r="F414" s="8" t="s">
        <v>646</v>
      </c>
      <c r="G414" s="8" t="s">
        <v>12</v>
      </c>
      <c r="H414" s="8">
        <v>9.1613279999999992</v>
      </c>
      <c r="I414" s="8">
        <v>-79.096714000000006</v>
      </c>
      <c r="J414" s="21" t="s">
        <v>159</v>
      </c>
    </row>
    <row r="415" spans="1:10" x14ac:dyDescent="0.3">
      <c r="A415" s="20">
        <v>2</v>
      </c>
      <c r="B415" s="8">
        <v>517</v>
      </c>
      <c r="C415" s="8" t="s">
        <v>650</v>
      </c>
      <c r="D415" s="8" t="s">
        <v>644</v>
      </c>
      <c r="E415" s="8" t="s">
        <v>645</v>
      </c>
      <c r="F415" s="8" t="s">
        <v>646</v>
      </c>
      <c r="G415" s="8" t="s">
        <v>12</v>
      </c>
      <c r="H415" s="8">
        <v>9.1784140000000001</v>
      </c>
      <c r="I415" s="8">
        <v>-79.091082</v>
      </c>
      <c r="J415" s="21" t="s">
        <v>159</v>
      </c>
    </row>
    <row r="416" spans="1:10" x14ac:dyDescent="0.3">
      <c r="A416" s="20">
        <v>2</v>
      </c>
      <c r="B416" s="8">
        <v>518</v>
      </c>
      <c r="C416" s="8" t="s">
        <v>651</v>
      </c>
      <c r="D416" s="8" t="s">
        <v>644</v>
      </c>
      <c r="E416" s="8" t="s">
        <v>645</v>
      </c>
      <c r="F416" s="8" t="s">
        <v>646</v>
      </c>
      <c r="G416" s="8" t="s">
        <v>12</v>
      </c>
      <c r="H416" s="8">
        <v>9.1781830000000006</v>
      </c>
      <c r="I416" s="8">
        <v>-79.091016999999994</v>
      </c>
      <c r="J416" s="21" t="s">
        <v>159</v>
      </c>
    </row>
    <row r="417" spans="1:10" x14ac:dyDescent="0.3">
      <c r="A417" s="20">
        <v>2</v>
      </c>
      <c r="B417" s="8">
        <v>521</v>
      </c>
      <c r="C417" s="8" t="s">
        <v>652</v>
      </c>
      <c r="D417" s="8" t="s">
        <v>644</v>
      </c>
      <c r="E417" s="8" t="s">
        <v>645</v>
      </c>
      <c r="F417" s="8" t="s">
        <v>646</v>
      </c>
      <c r="G417" s="8" t="s">
        <v>12</v>
      </c>
      <c r="H417" s="8">
        <v>9.1724969999999999</v>
      </c>
      <c r="I417" s="8">
        <v>-79.088744000000005</v>
      </c>
      <c r="J417" s="21" t="s">
        <v>159</v>
      </c>
    </row>
    <row r="418" spans="1:10" x14ac:dyDescent="0.3">
      <c r="A418" s="20">
        <v>2</v>
      </c>
      <c r="B418" s="8">
        <v>522</v>
      </c>
      <c r="C418" s="8" t="s">
        <v>653</v>
      </c>
      <c r="D418" s="8" t="s">
        <v>644</v>
      </c>
      <c r="E418" s="8" t="s">
        <v>645</v>
      </c>
      <c r="F418" s="8" t="s">
        <v>646</v>
      </c>
      <c r="G418" s="8" t="s">
        <v>33</v>
      </c>
      <c r="H418" s="8">
        <v>9.1506360000000004</v>
      </c>
      <c r="I418" s="8">
        <v>-79.210249000000005</v>
      </c>
      <c r="J418" s="21" t="s">
        <v>435</v>
      </c>
    </row>
    <row r="419" spans="1:10" x14ac:dyDescent="0.3">
      <c r="A419" s="20">
        <v>2</v>
      </c>
      <c r="B419" s="8">
        <v>523</v>
      </c>
      <c r="C419" s="8" t="s">
        <v>654</v>
      </c>
      <c r="D419" s="8" t="s">
        <v>644</v>
      </c>
      <c r="E419" s="8" t="s">
        <v>645</v>
      </c>
      <c r="F419" s="8" t="s">
        <v>646</v>
      </c>
      <c r="G419" s="8" t="s">
        <v>12</v>
      </c>
      <c r="H419" s="8">
        <v>9.1578579999999992</v>
      </c>
      <c r="I419" s="8">
        <v>-79.168859999999995</v>
      </c>
      <c r="J419" s="21" t="s">
        <v>45</v>
      </c>
    </row>
    <row r="420" spans="1:10" x14ac:dyDescent="0.3">
      <c r="A420" s="20">
        <v>2</v>
      </c>
      <c r="B420" s="8">
        <v>524</v>
      </c>
      <c r="C420" s="8" t="s">
        <v>655</v>
      </c>
      <c r="D420" s="8" t="s">
        <v>644</v>
      </c>
      <c r="E420" s="8" t="s">
        <v>645</v>
      </c>
      <c r="F420" s="8" t="s">
        <v>646</v>
      </c>
      <c r="G420" s="8" t="s">
        <v>12</v>
      </c>
      <c r="H420" s="8">
        <v>9.1615000000000002</v>
      </c>
      <c r="I420" s="8">
        <v>-79.096383000000003</v>
      </c>
      <c r="J420" s="21" t="s">
        <v>159</v>
      </c>
    </row>
    <row r="421" spans="1:10" x14ac:dyDescent="0.3">
      <c r="A421" s="20">
        <v>2</v>
      </c>
      <c r="B421" s="8">
        <v>525</v>
      </c>
      <c r="C421" s="8" t="s">
        <v>656</v>
      </c>
      <c r="D421" s="8" t="s">
        <v>644</v>
      </c>
      <c r="E421" s="8" t="s">
        <v>645</v>
      </c>
      <c r="F421" s="8" t="s">
        <v>646</v>
      </c>
      <c r="G421" s="8" t="s">
        <v>12</v>
      </c>
      <c r="H421" s="8">
        <v>9.1356359999999999</v>
      </c>
      <c r="I421" s="8">
        <v>-79.227749000000003</v>
      </c>
      <c r="J421" s="21" t="s">
        <v>435</v>
      </c>
    </row>
    <row r="422" spans="1:10" x14ac:dyDescent="0.3">
      <c r="A422" s="20">
        <v>2</v>
      </c>
      <c r="B422" s="8">
        <v>526</v>
      </c>
      <c r="C422" s="8" t="s">
        <v>657</v>
      </c>
      <c r="D422" s="8" t="s">
        <v>644</v>
      </c>
      <c r="E422" s="8" t="s">
        <v>645</v>
      </c>
      <c r="F422" s="8" t="s">
        <v>646</v>
      </c>
      <c r="G422" s="8" t="s">
        <v>12</v>
      </c>
      <c r="H422" s="8">
        <v>9.1792499999999997</v>
      </c>
      <c r="I422" s="8">
        <v>-79.091549999999998</v>
      </c>
      <c r="J422" s="21" t="s">
        <v>159</v>
      </c>
    </row>
    <row r="423" spans="1:10" x14ac:dyDescent="0.3">
      <c r="A423" s="20">
        <v>2</v>
      </c>
      <c r="B423" s="8">
        <v>527</v>
      </c>
      <c r="C423" s="8" t="s">
        <v>658</v>
      </c>
      <c r="D423" s="8" t="s">
        <v>644</v>
      </c>
      <c r="E423" s="8" t="s">
        <v>645</v>
      </c>
      <c r="F423" s="8" t="s">
        <v>646</v>
      </c>
      <c r="G423" s="8" t="s">
        <v>12</v>
      </c>
      <c r="H423" s="8">
        <v>9.1731490000000004</v>
      </c>
      <c r="I423" s="8">
        <v>-79.090011000000004</v>
      </c>
      <c r="J423" s="21" t="s">
        <v>159</v>
      </c>
    </row>
    <row r="424" spans="1:10" x14ac:dyDescent="0.3">
      <c r="A424" s="20">
        <v>2</v>
      </c>
      <c r="B424" s="8">
        <v>529</v>
      </c>
      <c r="C424" s="8" t="s">
        <v>659</v>
      </c>
      <c r="D424" s="8" t="s">
        <v>644</v>
      </c>
      <c r="E424" s="8" t="s">
        <v>645</v>
      </c>
      <c r="F424" s="8" t="s">
        <v>646</v>
      </c>
      <c r="G424" s="8" t="s">
        <v>12</v>
      </c>
      <c r="H424" s="8">
        <v>9.1679329999999997</v>
      </c>
      <c r="I424" s="8">
        <v>-79.094335999999998</v>
      </c>
      <c r="J424" s="21" t="s">
        <v>159</v>
      </c>
    </row>
    <row r="425" spans="1:10" x14ac:dyDescent="0.3">
      <c r="A425" s="20">
        <v>2</v>
      </c>
      <c r="B425" s="8">
        <v>530</v>
      </c>
      <c r="C425" s="8" t="s">
        <v>660</v>
      </c>
      <c r="D425" s="8" t="s">
        <v>644</v>
      </c>
      <c r="E425" s="8" t="s">
        <v>645</v>
      </c>
      <c r="F425" s="8" t="s">
        <v>646</v>
      </c>
      <c r="G425" s="8" t="s">
        <v>12</v>
      </c>
      <c r="H425" s="8">
        <v>9.1725530000000006</v>
      </c>
      <c r="I425" s="8">
        <v>-79.101473999999996</v>
      </c>
      <c r="J425" s="21" t="s">
        <v>159</v>
      </c>
    </row>
    <row r="426" spans="1:10" x14ac:dyDescent="0.3">
      <c r="A426" s="20">
        <v>2</v>
      </c>
      <c r="B426" s="8">
        <v>532</v>
      </c>
      <c r="C426" s="8" t="s">
        <v>661</v>
      </c>
      <c r="D426" s="8" t="s">
        <v>644</v>
      </c>
      <c r="E426" s="8" t="s">
        <v>645</v>
      </c>
      <c r="F426" s="8" t="s">
        <v>662</v>
      </c>
      <c r="G426" s="8" t="s">
        <v>12</v>
      </c>
      <c r="H426" s="8">
        <v>8.9165609999999997</v>
      </c>
      <c r="I426" s="8">
        <v>-78.388936000000001</v>
      </c>
      <c r="J426" s="21" t="s">
        <v>569</v>
      </c>
    </row>
    <row r="427" spans="1:10" x14ac:dyDescent="0.3">
      <c r="A427" s="20">
        <v>2</v>
      </c>
      <c r="B427" s="8">
        <v>533</v>
      </c>
      <c r="C427" s="8" t="s">
        <v>663</v>
      </c>
      <c r="D427" s="8" t="s">
        <v>644</v>
      </c>
      <c r="E427" s="8" t="s">
        <v>645</v>
      </c>
      <c r="F427" s="8" t="s">
        <v>662</v>
      </c>
      <c r="G427" s="8" t="s">
        <v>12</v>
      </c>
      <c r="H427" s="8">
        <v>8.9195259999999994</v>
      </c>
      <c r="I427" s="8">
        <v>-78.397193000000001</v>
      </c>
      <c r="J427" s="21" t="s">
        <v>569</v>
      </c>
    </row>
    <row r="428" spans="1:10" x14ac:dyDescent="0.3">
      <c r="A428" s="20">
        <v>2</v>
      </c>
      <c r="B428" s="8">
        <v>534</v>
      </c>
      <c r="C428" s="8" t="s">
        <v>664</v>
      </c>
      <c r="D428" s="8" t="s">
        <v>644</v>
      </c>
      <c r="E428" s="8" t="s">
        <v>645</v>
      </c>
      <c r="F428" s="8" t="s">
        <v>662</v>
      </c>
      <c r="G428" s="8" t="s">
        <v>12</v>
      </c>
      <c r="H428" s="8">
        <v>9.0045260000000003</v>
      </c>
      <c r="I428" s="8">
        <v>-78.53886</v>
      </c>
      <c r="J428" s="21" t="s">
        <v>569</v>
      </c>
    </row>
    <row r="429" spans="1:10" x14ac:dyDescent="0.3">
      <c r="A429" s="20">
        <v>2</v>
      </c>
      <c r="B429" s="8">
        <v>535</v>
      </c>
      <c r="C429" s="8" t="s">
        <v>665</v>
      </c>
      <c r="D429" s="8" t="s">
        <v>644</v>
      </c>
      <c r="E429" s="8" t="s">
        <v>645</v>
      </c>
      <c r="F429" s="8" t="s">
        <v>662</v>
      </c>
      <c r="G429" s="8" t="s">
        <v>12</v>
      </c>
      <c r="H429" s="8">
        <v>8.9690139999999996</v>
      </c>
      <c r="I429" s="8">
        <v>-78.514925000000005</v>
      </c>
      <c r="J429" s="21" t="s">
        <v>569</v>
      </c>
    </row>
    <row r="430" spans="1:10" x14ac:dyDescent="0.3">
      <c r="A430" s="20">
        <v>2</v>
      </c>
      <c r="B430" s="8">
        <v>536</v>
      </c>
      <c r="C430" s="8" t="s">
        <v>666</v>
      </c>
      <c r="D430" s="8" t="s">
        <v>644</v>
      </c>
      <c r="E430" s="8" t="s">
        <v>645</v>
      </c>
      <c r="F430" s="8" t="s">
        <v>662</v>
      </c>
      <c r="G430" s="8" t="s">
        <v>12</v>
      </c>
      <c r="H430" s="8">
        <v>9.0184850000000001</v>
      </c>
      <c r="I430" s="8">
        <v>-78.560349000000002</v>
      </c>
      <c r="J430" s="21" t="s">
        <v>569</v>
      </c>
    </row>
    <row r="431" spans="1:10" x14ac:dyDescent="0.3">
      <c r="A431" s="20">
        <v>2</v>
      </c>
      <c r="B431" s="8">
        <v>537</v>
      </c>
      <c r="C431" s="8" t="s">
        <v>667</v>
      </c>
      <c r="D431" s="8" t="s">
        <v>644</v>
      </c>
      <c r="E431" s="8" t="s">
        <v>645</v>
      </c>
      <c r="F431" s="8" t="s">
        <v>662</v>
      </c>
      <c r="G431" s="8" t="s">
        <v>12</v>
      </c>
      <c r="H431" s="8">
        <v>8.9670260000000006</v>
      </c>
      <c r="I431" s="8">
        <v>-78.466638000000003</v>
      </c>
      <c r="J431" s="21" t="s">
        <v>569</v>
      </c>
    </row>
    <row r="432" spans="1:10" x14ac:dyDescent="0.3">
      <c r="A432" s="20">
        <v>2</v>
      </c>
      <c r="B432" s="8">
        <v>538</v>
      </c>
      <c r="C432" s="8" t="s">
        <v>668</v>
      </c>
      <c r="D432" s="8" t="s">
        <v>644</v>
      </c>
      <c r="E432" s="8" t="s">
        <v>645</v>
      </c>
      <c r="F432" s="8" t="s">
        <v>662</v>
      </c>
      <c r="G432" s="8" t="s">
        <v>12</v>
      </c>
      <c r="H432" s="8">
        <v>8.8934149999999992</v>
      </c>
      <c r="I432" s="8">
        <v>-78.326359999999994</v>
      </c>
      <c r="J432" s="21" t="s">
        <v>569</v>
      </c>
    </row>
    <row r="433" spans="1:10" x14ac:dyDescent="0.3">
      <c r="A433" s="20">
        <v>2</v>
      </c>
      <c r="B433" s="8">
        <v>539</v>
      </c>
      <c r="C433" s="8" t="s">
        <v>669</v>
      </c>
      <c r="D433" s="8" t="s">
        <v>644</v>
      </c>
      <c r="E433" s="8" t="s">
        <v>645</v>
      </c>
      <c r="F433" s="8" t="s">
        <v>662</v>
      </c>
      <c r="G433" s="8" t="s">
        <v>12</v>
      </c>
      <c r="H433" s="8">
        <v>8.8781370000000006</v>
      </c>
      <c r="I433" s="8">
        <v>-78.292192999999997</v>
      </c>
      <c r="J433" s="21" t="s">
        <v>569</v>
      </c>
    </row>
    <row r="434" spans="1:10" x14ac:dyDescent="0.3">
      <c r="A434" s="20">
        <v>2</v>
      </c>
      <c r="B434" s="8">
        <v>540</v>
      </c>
      <c r="C434" s="8" t="s">
        <v>670</v>
      </c>
      <c r="D434" s="8" t="s">
        <v>644</v>
      </c>
      <c r="E434" s="8" t="s">
        <v>645</v>
      </c>
      <c r="F434" s="8" t="s">
        <v>662</v>
      </c>
      <c r="G434" s="8" t="s">
        <v>12</v>
      </c>
      <c r="H434" s="8">
        <v>8.9408329999999996</v>
      </c>
      <c r="I434" s="8">
        <v>-78.303055999999998</v>
      </c>
      <c r="J434" s="21" t="s">
        <v>569</v>
      </c>
    </row>
    <row r="435" spans="1:10" x14ac:dyDescent="0.3">
      <c r="A435" s="20">
        <v>2</v>
      </c>
      <c r="B435" s="8">
        <v>541</v>
      </c>
      <c r="C435" s="8" t="s">
        <v>671</v>
      </c>
      <c r="D435" s="8" t="s">
        <v>644</v>
      </c>
      <c r="E435" s="8" t="s">
        <v>645</v>
      </c>
      <c r="F435" s="8" t="s">
        <v>662</v>
      </c>
      <c r="G435" s="8" t="s">
        <v>12</v>
      </c>
      <c r="H435" s="8">
        <v>9.081747</v>
      </c>
      <c r="I435" s="8">
        <v>-78.686359999999993</v>
      </c>
      <c r="J435" s="21" t="s">
        <v>569</v>
      </c>
    </row>
    <row r="436" spans="1:10" x14ac:dyDescent="0.3">
      <c r="A436" s="20">
        <v>2</v>
      </c>
      <c r="B436" s="8">
        <v>542</v>
      </c>
      <c r="C436" s="8" t="s">
        <v>672</v>
      </c>
      <c r="D436" s="8" t="s">
        <v>644</v>
      </c>
      <c r="E436" s="8" t="s">
        <v>645</v>
      </c>
      <c r="F436" s="8" t="s">
        <v>662</v>
      </c>
      <c r="G436" s="8" t="s">
        <v>12</v>
      </c>
      <c r="H436" s="8">
        <v>9.0514700000000001</v>
      </c>
      <c r="I436" s="8">
        <v>-78.624414999999999</v>
      </c>
      <c r="J436" s="21" t="s">
        <v>569</v>
      </c>
    </row>
    <row r="437" spans="1:10" x14ac:dyDescent="0.3">
      <c r="A437" s="20">
        <v>2</v>
      </c>
      <c r="B437" s="8">
        <v>543</v>
      </c>
      <c r="C437" s="8" t="s">
        <v>673</v>
      </c>
      <c r="D437" s="8" t="s">
        <v>644</v>
      </c>
      <c r="E437" s="8" t="s">
        <v>645</v>
      </c>
      <c r="F437" s="8" t="s">
        <v>662</v>
      </c>
      <c r="G437" s="8" t="s">
        <v>12</v>
      </c>
      <c r="H437" s="8">
        <v>8.9170040000000004</v>
      </c>
      <c r="I437" s="8">
        <v>-78.243272000000005</v>
      </c>
      <c r="J437" s="21" t="s">
        <v>569</v>
      </c>
    </row>
    <row r="438" spans="1:10" x14ac:dyDescent="0.3">
      <c r="A438" s="20">
        <v>2</v>
      </c>
      <c r="B438" s="8">
        <v>544</v>
      </c>
      <c r="C438" s="8" t="s">
        <v>674</v>
      </c>
      <c r="D438" s="8" t="s">
        <v>644</v>
      </c>
      <c r="E438" s="8" t="s">
        <v>645</v>
      </c>
      <c r="F438" s="8" t="s">
        <v>662</v>
      </c>
      <c r="G438" s="8" t="s">
        <v>12</v>
      </c>
      <c r="H438" s="8">
        <v>8.9797360000000008</v>
      </c>
      <c r="I438" s="8">
        <v>-78.502408000000003</v>
      </c>
      <c r="J438" s="21" t="s">
        <v>569</v>
      </c>
    </row>
    <row r="439" spans="1:10" x14ac:dyDescent="0.3">
      <c r="A439" s="20">
        <v>2</v>
      </c>
      <c r="B439" s="8">
        <v>547</v>
      </c>
      <c r="C439" s="8" t="s">
        <v>675</v>
      </c>
      <c r="D439" s="8" t="s">
        <v>644</v>
      </c>
      <c r="E439" s="8" t="s">
        <v>644</v>
      </c>
      <c r="F439" s="8" t="s">
        <v>676</v>
      </c>
      <c r="G439" s="8" t="s">
        <v>12</v>
      </c>
      <c r="H439" s="8">
        <v>9.1047360000000008</v>
      </c>
      <c r="I439" s="8">
        <v>-79.370502000000002</v>
      </c>
      <c r="J439" s="21" t="s">
        <v>435</v>
      </c>
    </row>
    <row r="440" spans="1:10" x14ac:dyDescent="0.3">
      <c r="A440" s="20">
        <v>2</v>
      </c>
      <c r="B440" s="8">
        <v>548</v>
      </c>
      <c r="C440" s="8" t="s">
        <v>677</v>
      </c>
      <c r="D440" s="8" t="s">
        <v>644</v>
      </c>
      <c r="E440" s="8" t="s">
        <v>644</v>
      </c>
      <c r="F440" s="8" t="s">
        <v>676</v>
      </c>
      <c r="G440" s="8" t="s">
        <v>33</v>
      </c>
      <c r="H440" s="8">
        <v>9.0781089999999995</v>
      </c>
      <c r="I440" s="8">
        <v>-79.370260999999999</v>
      </c>
      <c r="J440" s="21" t="s">
        <v>678</v>
      </c>
    </row>
    <row r="441" spans="1:10" x14ac:dyDescent="0.3">
      <c r="A441" s="20">
        <v>2</v>
      </c>
      <c r="B441" s="8">
        <v>549</v>
      </c>
      <c r="C441" s="8" t="s">
        <v>679</v>
      </c>
      <c r="D441" s="8" t="s">
        <v>644</v>
      </c>
      <c r="E441" s="8" t="s">
        <v>644</v>
      </c>
      <c r="F441" s="8" t="s">
        <v>676</v>
      </c>
      <c r="G441" s="8" t="s">
        <v>33</v>
      </c>
      <c r="H441" s="8">
        <v>9.0791749999999993</v>
      </c>
      <c r="I441" s="8">
        <v>-79.356808000000001</v>
      </c>
      <c r="J441" s="21" t="s">
        <v>86</v>
      </c>
    </row>
    <row r="442" spans="1:10" x14ac:dyDescent="0.3">
      <c r="A442" s="20">
        <v>2</v>
      </c>
      <c r="B442" s="8">
        <v>550</v>
      </c>
      <c r="C442" s="8" t="s">
        <v>680</v>
      </c>
      <c r="D442" s="8" t="s">
        <v>644</v>
      </c>
      <c r="E442" s="8" t="s">
        <v>644</v>
      </c>
      <c r="F442" s="8" t="s">
        <v>676</v>
      </c>
      <c r="G442" s="8" t="s">
        <v>33</v>
      </c>
      <c r="H442" s="8">
        <v>9.1177189999999992</v>
      </c>
      <c r="I442" s="8">
        <v>-79.358215999999999</v>
      </c>
      <c r="J442" s="21" t="s">
        <v>297</v>
      </c>
    </row>
    <row r="443" spans="1:10" x14ac:dyDescent="0.3">
      <c r="A443" s="20">
        <v>2</v>
      </c>
      <c r="B443" s="8">
        <v>551</v>
      </c>
      <c r="C443" s="8" t="s">
        <v>681</v>
      </c>
      <c r="D443" s="8" t="s">
        <v>644</v>
      </c>
      <c r="E443" s="8" t="s">
        <v>644</v>
      </c>
      <c r="F443" s="8" t="s">
        <v>676</v>
      </c>
      <c r="G443" s="8" t="s">
        <v>33</v>
      </c>
      <c r="H443" s="8">
        <v>9.1062049999999992</v>
      </c>
      <c r="I443" s="8">
        <v>-79.362132000000003</v>
      </c>
      <c r="J443" s="21" t="s">
        <v>148</v>
      </c>
    </row>
    <row r="444" spans="1:10" x14ac:dyDescent="0.3">
      <c r="A444" s="20">
        <v>2</v>
      </c>
      <c r="B444" s="8">
        <v>553</v>
      </c>
      <c r="C444" s="8" t="s">
        <v>682</v>
      </c>
      <c r="D444" s="8" t="s">
        <v>644</v>
      </c>
      <c r="E444" s="8" t="s">
        <v>644</v>
      </c>
      <c r="F444" s="8" t="s">
        <v>676</v>
      </c>
      <c r="G444" s="8" t="s">
        <v>12</v>
      </c>
      <c r="H444" s="8">
        <v>9.1883330000000001</v>
      </c>
      <c r="I444" s="8">
        <v>-79.406110999999996</v>
      </c>
      <c r="J444" s="21" t="s">
        <v>636</v>
      </c>
    </row>
    <row r="445" spans="1:10" x14ac:dyDescent="0.3">
      <c r="A445" s="20">
        <v>2</v>
      </c>
      <c r="B445" s="8">
        <v>554</v>
      </c>
      <c r="C445" s="8" t="s">
        <v>683</v>
      </c>
      <c r="D445" s="8" t="s">
        <v>644</v>
      </c>
      <c r="E445" s="8" t="s">
        <v>644</v>
      </c>
      <c r="F445" s="8" t="s">
        <v>676</v>
      </c>
      <c r="G445" s="8" t="s">
        <v>33</v>
      </c>
      <c r="H445" s="8">
        <v>9.0982509999999994</v>
      </c>
      <c r="I445" s="8">
        <v>-79.356719999999996</v>
      </c>
      <c r="J445" s="21" t="s">
        <v>148</v>
      </c>
    </row>
    <row r="446" spans="1:10" x14ac:dyDescent="0.3">
      <c r="A446" s="20">
        <v>2</v>
      </c>
      <c r="B446" s="8">
        <v>555</v>
      </c>
      <c r="C446" s="8" t="s">
        <v>684</v>
      </c>
      <c r="D446" s="8" t="s">
        <v>644</v>
      </c>
      <c r="E446" s="8" t="s">
        <v>644</v>
      </c>
      <c r="F446" s="8" t="s">
        <v>676</v>
      </c>
      <c r="G446" s="8" t="s">
        <v>12</v>
      </c>
      <c r="H446" s="8">
        <v>9.1201369999999997</v>
      </c>
      <c r="I446" s="8">
        <v>-79.552396999999999</v>
      </c>
      <c r="J446" s="21" t="s">
        <v>13</v>
      </c>
    </row>
    <row r="447" spans="1:10" x14ac:dyDescent="0.3">
      <c r="A447" s="20">
        <v>2</v>
      </c>
      <c r="B447" s="8">
        <v>556</v>
      </c>
      <c r="C447" s="8" t="s">
        <v>685</v>
      </c>
      <c r="D447" s="8" t="s">
        <v>644</v>
      </c>
      <c r="E447" s="8" t="s">
        <v>644</v>
      </c>
      <c r="F447" s="8" t="s">
        <v>676</v>
      </c>
      <c r="G447" s="8" t="s">
        <v>33</v>
      </c>
      <c r="H447" s="8">
        <v>9.0983160000000005</v>
      </c>
      <c r="I447" s="8">
        <v>-79.364727999999999</v>
      </c>
      <c r="J447" s="21" t="s">
        <v>686</v>
      </c>
    </row>
    <row r="448" spans="1:10" x14ac:dyDescent="0.3">
      <c r="A448" s="20">
        <v>2</v>
      </c>
      <c r="B448" s="8">
        <v>558</v>
      </c>
      <c r="C448" s="8" t="s">
        <v>687</v>
      </c>
      <c r="D448" s="8" t="s">
        <v>644</v>
      </c>
      <c r="E448" s="8" t="s">
        <v>644</v>
      </c>
      <c r="F448" s="8" t="s">
        <v>676</v>
      </c>
      <c r="G448" s="8" t="s">
        <v>12</v>
      </c>
      <c r="H448" s="8">
        <v>9.1909139999999994</v>
      </c>
      <c r="I448" s="8">
        <v>-79.405804000000003</v>
      </c>
      <c r="J448" s="21" t="s">
        <v>636</v>
      </c>
    </row>
    <row r="449" spans="1:10" x14ac:dyDescent="0.3">
      <c r="A449" s="20">
        <v>2</v>
      </c>
      <c r="B449" s="8">
        <v>559</v>
      </c>
      <c r="C449" s="8" t="s">
        <v>688</v>
      </c>
      <c r="D449" s="8" t="s">
        <v>644</v>
      </c>
      <c r="E449" s="8" t="s">
        <v>644</v>
      </c>
      <c r="F449" s="8" t="s">
        <v>676</v>
      </c>
      <c r="G449" s="8" t="s">
        <v>12</v>
      </c>
      <c r="H449" s="8">
        <v>9.0974409999999999</v>
      </c>
      <c r="I449" s="8">
        <v>-79.362166000000002</v>
      </c>
      <c r="J449" s="21" t="s">
        <v>689</v>
      </c>
    </row>
    <row r="450" spans="1:10" x14ac:dyDescent="0.3">
      <c r="A450" s="20">
        <v>2</v>
      </c>
      <c r="B450" s="8">
        <v>560</v>
      </c>
      <c r="C450" s="8" t="s">
        <v>690</v>
      </c>
      <c r="D450" s="8" t="s">
        <v>644</v>
      </c>
      <c r="E450" s="8" t="s">
        <v>644</v>
      </c>
      <c r="F450" s="8" t="s">
        <v>676</v>
      </c>
      <c r="G450" s="8" t="s">
        <v>12</v>
      </c>
      <c r="H450" s="8">
        <v>9.102703</v>
      </c>
      <c r="I450" s="8">
        <v>-79.365626000000006</v>
      </c>
      <c r="J450" s="21" t="s">
        <v>435</v>
      </c>
    </row>
    <row r="451" spans="1:10" x14ac:dyDescent="0.3">
      <c r="A451" s="20">
        <v>2</v>
      </c>
      <c r="B451" s="8">
        <v>562</v>
      </c>
      <c r="C451" s="8" t="s">
        <v>691</v>
      </c>
      <c r="D451" s="8" t="s">
        <v>644</v>
      </c>
      <c r="E451" s="8" t="s">
        <v>644</v>
      </c>
      <c r="F451" s="8" t="s">
        <v>692</v>
      </c>
      <c r="G451" s="8" t="s">
        <v>12</v>
      </c>
      <c r="H451" s="8">
        <v>9.1164210000000008</v>
      </c>
      <c r="I451" s="8">
        <v>-79.544758000000002</v>
      </c>
      <c r="J451" s="21" t="s">
        <v>693</v>
      </c>
    </row>
    <row r="452" spans="1:10" x14ac:dyDescent="0.3">
      <c r="A452" s="20">
        <v>2</v>
      </c>
      <c r="B452" s="8">
        <v>563</v>
      </c>
      <c r="C452" s="8" t="s">
        <v>694</v>
      </c>
      <c r="D452" s="8" t="s">
        <v>644</v>
      </c>
      <c r="E452" s="8" t="s">
        <v>644</v>
      </c>
      <c r="F452" s="8" t="s">
        <v>692</v>
      </c>
      <c r="G452" s="8" t="s">
        <v>12</v>
      </c>
      <c r="H452" s="8">
        <v>9.1141729999999992</v>
      </c>
      <c r="I452" s="8">
        <v>-79.537732000000005</v>
      </c>
      <c r="J452" s="21" t="s">
        <v>695</v>
      </c>
    </row>
    <row r="453" spans="1:10" x14ac:dyDescent="0.3">
      <c r="A453" s="20">
        <v>2</v>
      </c>
      <c r="B453" s="8">
        <v>564</v>
      </c>
      <c r="C453" s="8" t="s">
        <v>696</v>
      </c>
      <c r="D453" s="8" t="s">
        <v>644</v>
      </c>
      <c r="E453" s="8" t="s">
        <v>644</v>
      </c>
      <c r="F453" s="8" t="s">
        <v>692</v>
      </c>
      <c r="G453" s="8" t="s">
        <v>12</v>
      </c>
      <c r="H453" s="8">
        <v>9.1108399999999996</v>
      </c>
      <c r="I453" s="8">
        <v>-79.528597000000005</v>
      </c>
      <c r="J453" s="21" t="s">
        <v>693</v>
      </c>
    </row>
    <row r="454" spans="1:10" x14ac:dyDescent="0.3">
      <c r="A454" s="20">
        <v>2</v>
      </c>
      <c r="B454" s="8">
        <v>565</v>
      </c>
      <c r="C454" s="8" t="s">
        <v>697</v>
      </c>
      <c r="D454" s="8" t="s">
        <v>644</v>
      </c>
      <c r="E454" s="8" t="s">
        <v>644</v>
      </c>
      <c r="F454" s="8" t="s">
        <v>692</v>
      </c>
      <c r="G454" s="8" t="s">
        <v>12</v>
      </c>
      <c r="H454" s="8">
        <v>9.1260630000000003</v>
      </c>
      <c r="I454" s="8">
        <v>-79.571625999999995</v>
      </c>
      <c r="J454" s="21" t="s">
        <v>588</v>
      </c>
    </row>
    <row r="455" spans="1:10" x14ac:dyDescent="0.3">
      <c r="A455" s="20">
        <v>2</v>
      </c>
      <c r="B455" s="8">
        <v>566</v>
      </c>
      <c r="C455" s="8" t="s">
        <v>698</v>
      </c>
      <c r="D455" s="8" t="s">
        <v>644</v>
      </c>
      <c r="E455" s="8" t="s">
        <v>644</v>
      </c>
      <c r="F455" s="8" t="s">
        <v>692</v>
      </c>
      <c r="G455" s="8" t="s">
        <v>12</v>
      </c>
      <c r="H455" s="8">
        <v>9.1205999999999996</v>
      </c>
      <c r="I455" s="8">
        <v>-79.552177999999998</v>
      </c>
      <c r="J455" s="21" t="s">
        <v>695</v>
      </c>
    </row>
    <row r="456" spans="1:10" x14ac:dyDescent="0.3">
      <c r="A456" s="20">
        <v>2</v>
      </c>
      <c r="B456" s="8">
        <v>567</v>
      </c>
      <c r="C456" s="8" t="s">
        <v>699</v>
      </c>
      <c r="D456" s="8" t="s">
        <v>644</v>
      </c>
      <c r="E456" s="8" t="s">
        <v>644</v>
      </c>
      <c r="F456" s="8" t="s">
        <v>692</v>
      </c>
      <c r="G456" s="8" t="s">
        <v>12</v>
      </c>
      <c r="H456" s="8">
        <v>9.1158339999999995</v>
      </c>
      <c r="I456" s="8">
        <v>-79.544415000000001</v>
      </c>
      <c r="J456" s="21" t="s">
        <v>693</v>
      </c>
    </row>
    <row r="457" spans="1:10" x14ac:dyDescent="0.3">
      <c r="A457" s="20">
        <v>2</v>
      </c>
      <c r="B457" s="8">
        <v>568</v>
      </c>
      <c r="C457" s="8" t="s">
        <v>700</v>
      </c>
      <c r="D457" s="8" t="s">
        <v>644</v>
      </c>
      <c r="E457" s="8" t="s">
        <v>644</v>
      </c>
      <c r="F457" s="8" t="s">
        <v>701</v>
      </c>
      <c r="G457" s="8" t="s">
        <v>99</v>
      </c>
      <c r="H457" s="8">
        <v>9.0591779999999993</v>
      </c>
      <c r="I457" s="8">
        <v>-79.558975000000004</v>
      </c>
      <c r="J457" s="21" t="s">
        <v>702</v>
      </c>
    </row>
    <row r="458" spans="1:10" x14ac:dyDescent="0.3">
      <c r="A458" s="20">
        <v>2</v>
      </c>
      <c r="B458" s="8">
        <v>569</v>
      </c>
      <c r="C458" s="8" t="s">
        <v>703</v>
      </c>
      <c r="D458" s="8" t="s">
        <v>644</v>
      </c>
      <c r="E458" s="8" t="s">
        <v>644</v>
      </c>
      <c r="F458" s="8" t="s">
        <v>704</v>
      </c>
      <c r="G458" s="8" t="s">
        <v>33</v>
      </c>
      <c r="H458" s="8">
        <v>8.9643750000000004</v>
      </c>
      <c r="I458" s="8">
        <v>-79.554198</v>
      </c>
      <c r="J458" s="21" t="s">
        <v>705</v>
      </c>
    </row>
    <row r="459" spans="1:10" x14ac:dyDescent="0.3">
      <c r="A459" s="20">
        <v>2</v>
      </c>
      <c r="B459" s="8">
        <v>571</v>
      </c>
      <c r="C459" s="8" t="s">
        <v>706</v>
      </c>
      <c r="D459" s="8" t="s">
        <v>644</v>
      </c>
      <c r="E459" s="8" t="s">
        <v>644</v>
      </c>
      <c r="F459" s="8" t="s">
        <v>707</v>
      </c>
      <c r="G459" s="8" t="s">
        <v>230</v>
      </c>
      <c r="H459" s="8">
        <v>8.9687479999999997</v>
      </c>
      <c r="I459" s="8">
        <v>-79.532900999999995</v>
      </c>
      <c r="J459" s="21" t="s">
        <v>580</v>
      </c>
    </row>
    <row r="460" spans="1:10" x14ac:dyDescent="0.3">
      <c r="A460" s="20">
        <v>2</v>
      </c>
      <c r="B460" s="8">
        <v>572</v>
      </c>
      <c r="C460" s="8" t="s">
        <v>708</v>
      </c>
      <c r="D460" s="8" t="s">
        <v>644</v>
      </c>
      <c r="E460" s="8" t="s">
        <v>644</v>
      </c>
      <c r="F460" s="8" t="s">
        <v>707</v>
      </c>
      <c r="G460" s="8" t="s">
        <v>230</v>
      </c>
      <c r="H460" s="8">
        <v>8.9752430000000007</v>
      </c>
      <c r="I460" s="8">
        <v>-79.533527000000007</v>
      </c>
      <c r="J460" s="21" t="s">
        <v>689</v>
      </c>
    </row>
    <row r="461" spans="1:10" x14ac:dyDescent="0.3">
      <c r="A461" s="20">
        <v>2</v>
      </c>
      <c r="B461" s="8">
        <v>573</v>
      </c>
      <c r="C461" s="8" t="s">
        <v>709</v>
      </c>
      <c r="D461" s="8" t="s">
        <v>644</v>
      </c>
      <c r="E461" s="8" t="s">
        <v>644</v>
      </c>
      <c r="F461" s="8" t="s">
        <v>710</v>
      </c>
      <c r="G461" s="8" t="s">
        <v>230</v>
      </c>
      <c r="H461" s="8">
        <v>9.0049539999999997</v>
      </c>
      <c r="I461" s="8">
        <v>-79.522351</v>
      </c>
      <c r="J461" s="21" t="s">
        <v>711</v>
      </c>
    </row>
    <row r="462" spans="1:10" x14ac:dyDescent="0.3">
      <c r="A462" s="20">
        <v>2</v>
      </c>
      <c r="B462" s="8">
        <v>574</v>
      </c>
      <c r="C462" s="8" t="s">
        <v>712</v>
      </c>
      <c r="D462" s="8" t="s">
        <v>644</v>
      </c>
      <c r="E462" s="8" t="s">
        <v>644</v>
      </c>
      <c r="F462" s="8" t="s">
        <v>710</v>
      </c>
      <c r="G462" s="8" t="s">
        <v>12</v>
      </c>
      <c r="H462" s="8">
        <v>8.9931249999999991</v>
      </c>
      <c r="I462" s="8">
        <v>-79.537293000000005</v>
      </c>
      <c r="J462" s="21" t="s">
        <v>713</v>
      </c>
    </row>
    <row r="463" spans="1:10" x14ac:dyDescent="0.3">
      <c r="A463" s="20">
        <v>2</v>
      </c>
      <c r="B463" s="8">
        <v>575</v>
      </c>
      <c r="C463" s="8" t="s">
        <v>714</v>
      </c>
      <c r="D463" s="8" t="s">
        <v>644</v>
      </c>
      <c r="E463" s="8" t="s">
        <v>644</v>
      </c>
      <c r="F463" s="8" t="s">
        <v>710</v>
      </c>
      <c r="G463" s="8" t="s">
        <v>230</v>
      </c>
      <c r="H463" s="8">
        <v>9.0058319999999998</v>
      </c>
      <c r="I463" s="8">
        <v>-79.528222999999997</v>
      </c>
      <c r="J463" s="21" t="s">
        <v>713</v>
      </c>
    </row>
    <row r="464" spans="1:10" x14ac:dyDescent="0.3">
      <c r="A464" s="20">
        <v>2</v>
      </c>
      <c r="B464" s="8">
        <v>576</v>
      </c>
      <c r="C464" s="8" t="s">
        <v>715</v>
      </c>
      <c r="D464" s="8" t="s">
        <v>644</v>
      </c>
      <c r="E464" s="8" t="s">
        <v>644</v>
      </c>
      <c r="F464" s="8" t="s">
        <v>710</v>
      </c>
      <c r="G464" s="8" t="s">
        <v>12</v>
      </c>
      <c r="H464" s="8">
        <v>9.0184639999999998</v>
      </c>
      <c r="I464" s="8">
        <v>-79.531289000000001</v>
      </c>
      <c r="J464" s="21" t="s">
        <v>716</v>
      </c>
    </row>
    <row r="465" spans="1:10" x14ac:dyDescent="0.3">
      <c r="A465" s="20">
        <v>2</v>
      </c>
      <c r="B465" s="8">
        <v>577</v>
      </c>
      <c r="C465" s="8" t="s">
        <v>717</v>
      </c>
      <c r="D465" s="8" t="s">
        <v>644</v>
      </c>
      <c r="E465" s="8" t="s">
        <v>644</v>
      </c>
      <c r="F465" s="8" t="s">
        <v>710</v>
      </c>
      <c r="G465" s="8" t="s">
        <v>12</v>
      </c>
      <c r="H465" s="8">
        <v>9.0056829999999994</v>
      </c>
      <c r="I465" s="8">
        <v>-79.525006000000005</v>
      </c>
      <c r="J465" s="21" t="s">
        <v>713</v>
      </c>
    </row>
    <row r="466" spans="1:10" x14ac:dyDescent="0.3">
      <c r="A466" s="20">
        <v>2</v>
      </c>
      <c r="B466" s="8">
        <v>578</v>
      </c>
      <c r="C466" s="8" t="s">
        <v>718</v>
      </c>
      <c r="D466" s="8" t="s">
        <v>644</v>
      </c>
      <c r="E466" s="8" t="s">
        <v>644</v>
      </c>
      <c r="F466" s="8" t="s">
        <v>710</v>
      </c>
      <c r="G466" s="8" t="s">
        <v>12</v>
      </c>
      <c r="H466" s="8">
        <v>9.0203209999999991</v>
      </c>
      <c r="I466" s="8">
        <v>-79.528728999999998</v>
      </c>
      <c r="J466" s="21" t="s">
        <v>711</v>
      </c>
    </row>
    <row r="467" spans="1:10" x14ac:dyDescent="0.3">
      <c r="A467" s="20">
        <v>2</v>
      </c>
      <c r="B467" s="8">
        <v>580</v>
      </c>
      <c r="C467" s="8" t="s">
        <v>719</v>
      </c>
      <c r="D467" s="8" t="s">
        <v>644</v>
      </c>
      <c r="E467" s="8" t="s">
        <v>644</v>
      </c>
      <c r="F467" s="8" t="s">
        <v>710</v>
      </c>
      <c r="G467" s="8" t="s">
        <v>12</v>
      </c>
      <c r="H467" s="8">
        <v>9.0101399999999998</v>
      </c>
      <c r="I467" s="8">
        <v>-79.519110999999995</v>
      </c>
      <c r="J467" s="21" t="s">
        <v>107</v>
      </c>
    </row>
    <row r="468" spans="1:10" x14ac:dyDescent="0.3">
      <c r="A468" s="20">
        <v>2</v>
      </c>
      <c r="B468" s="8">
        <v>581</v>
      </c>
      <c r="C468" s="8" t="s">
        <v>720</v>
      </c>
      <c r="D468" s="8" t="s">
        <v>644</v>
      </c>
      <c r="E468" s="8" t="s">
        <v>644</v>
      </c>
      <c r="F468" s="8" t="s">
        <v>710</v>
      </c>
      <c r="G468" s="8" t="s">
        <v>12</v>
      </c>
      <c r="H468" s="8">
        <v>9.0217310000000008</v>
      </c>
      <c r="I468" s="8">
        <v>-79.525523000000007</v>
      </c>
      <c r="J468" s="21" t="s">
        <v>713</v>
      </c>
    </row>
    <row r="469" spans="1:10" x14ac:dyDescent="0.3">
      <c r="A469" s="20">
        <v>2</v>
      </c>
      <c r="B469" s="8">
        <v>582</v>
      </c>
      <c r="C469" s="8" t="s">
        <v>721</v>
      </c>
      <c r="D469" s="8" t="s">
        <v>644</v>
      </c>
      <c r="E469" s="8" t="s">
        <v>644</v>
      </c>
      <c r="F469" s="8" t="s">
        <v>722</v>
      </c>
      <c r="G469" s="8" t="s">
        <v>12</v>
      </c>
      <c r="H469" s="8">
        <v>9.1642869999999998</v>
      </c>
      <c r="I469" s="8">
        <v>-79.618498000000002</v>
      </c>
      <c r="J469" s="21" t="s">
        <v>586</v>
      </c>
    </row>
    <row r="470" spans="1:10" x14ac:dyDescent="0.3">
      <c r="A470" s="20">
        <v>2</v>
      </c>
      <c r="B470" s="8">
        <v>583</v>
      </c>
      <c r="C470" s="8" t="s">
        <v>723</v>
      </c>
      <c r="D470" s="8" t="s">
        <v>644</v>
      </c>
      <c r="E470" s="8" t="s">
        <v>644</v>
      </c>
      <c r="F470" s="8" t="s">
        <v>722</v>
      </c>
      <c r="G470" s="8" t="s">
        <v>99</v>
      </c>
      <c r="H470" s="8">
        <v>9.1742860000000004</v>
      </c>
      <c r="I470" s="8">
        <v>-79.562273000000005</v>
      </c>
      <c r="J470" s="21" t="s">
        <v>100</v>
      </c>
    </row>
    <row r="471" spans="1:10" x14ac:dyDescent="0.3">
      <c r="A471" s="20">
        <v>2</v>
      </c>
      <c r="B471" s="8">
        <v>584</v>
      </c>
      <c r="C471" s="8" t="s">
        <v>724</v>
      </c>
      <c r="D471" s="8" t="s">
        <v>644</v>
      </c>
      <c r="E471" s="8" t="s">
        <v>644</v>
      </c>
      <c r="F471" s="8" t="s">
        <v>722</v>
      </c>
      <c r="G471" s="8" t="s">
        <v>12</v>
      </c>
      <c r="H471" s="8">
        <v>9.2037999999999993</v>
      </c>
      <c r="I471" s="8">
        <v>-79.537364999999994</v>
      </c>
      <c r="J471" s="21" t="s">
        <v>588</v>
      </c>
    </row>
    <row r="472" spans="1:10" x14ac:dyDescent="0.3">
      <c r="A472" s="20">
        <v>2</v>
      </c>
      <c r="B472" s="8">
        <v>586</v>
      </c>
      <c r="C472" s="8" t="s">
        <v>725</v>
      </c>
      <c r="D472" s="8" t="s">
        <v>644</v>
      </c>
      <c r="E472" s="8" t="s">
        <v>644</v>
      </c>
      <c r="F472" s="8" t="s">
        <v>722</v>
      </c>
      <c r="G472" s="8" t="s">
        <v>12</v>
      </c>
      <c r="H472" s="8">
        <v>9.1743790000000001</v>
      </c>
      <c r="I472" s="8">
        <v>-79.610989000000004</v>
      </c>
      <c r="J472" s="21" t="s">
        <v>572</v>
      </c>
    </row>
    <row r="473" spans="1:10" x14ac:dyDescent="0.3">
      <c r="A473" s="20">
        <v>2</v>
      </c>
      <c r="B473" s="8">
        <v>587</v>
      </c>
      <c r="C473" s="8" t="s">
        <v>726</v>
      </c>
      <c r="D473" s="8" t="s">
        <v>644</v>
      </c>
      <c r="E473" s="8" t="s">
        <v>644</v>
      </c>
      <c r="F473" s="8" t="s">
        <v>722</v>
      </c>
      <c r="G473" s="8" t="s">
        <v>99</v>
      </c>
      <c r="H473" s="8">
        <v>9.1677739999999996</v>
      </c>
      <c r="I473" s="8">
        <v>-79.531829999999999</v>
      </c>
      <c r="J473" s="21" t="s">
        <v>37</v>
      </c>
    </row>
    <row r="474" spans="1:10" x14ac:dyDescent="0.3">
      <c r="A474" s="20">
        <v>2</v>
      </c>
      <c r="B474" s="8">
        <v>588</v>
      </c>
      <c r="C474" s="8" t="s">
        <v>727</v>
      </c>
      <c r="D474" s="8" t="s">
        <v>644</v>
      </c>
      <c r="E474" s="8" t="s">
        <v>644</v>
      </c>
      <c r="F474" s="8" t="s">
        <v>722</v>
      </c>
      <c r="G474" s="8" t="s">
        <v>99</v>
      </c>
      <c r="H474" s="8">
        <v>9.1649860000000007</v>
      </c>
      <c r="I474" s="8">
        <v>-79.626942999999997</v>
      </c>
      <c r="J474" s="21" t="s">
        <v>588</v>
      </c>
    </row>
    <row r="475" spans="1:10" x14ac:dyDescent="0.3">
      <c r="A475" s="20">
        <v>2</v>
      </c>
      <c r="B475" s="8">
        <v>589</v>
      </c>
      <c r="C475" s="8" t="s">
        <v>728</v>
      </c>
      <c r="D475" s="8" t="s">
        <v>644</v>
      </c>
      <c r="E475" s="8" t="s">
        <v>644</v>
      </c>
      <c r="F475" s="8" t="s">
        <v>722</v>
      </c>
      <c r="G475" s="8" t="s">
        <v>99</v>
      </c>
      <c r="H475" s="8">
        <v>9.1333649999999995</v>
      </c>
      <c r="I475" s="8">
        <v>-79.613538000000005</v>
      </c>
      <c r="J475" s="21" t="s">
        <v>695</v>
      </c>
    </row>
    <row r="476" spans="1:10" x14ac:dyDescent="0.3">
      <c r="A476" s="20">
        <v>2</v>
      </c>
      <c r="B476" s="8">
        <v>590</v>
      </c>
      <c r="C476" s="8" t="s">
        <v>729</v>
      </c>
      <c r="D476" s="8" t="s">
        <v>644</v>
      </c>
      <c r="E476" s="8" t="s">
        <v>644</v>
      </c>
      <c r="F476" s="8" t="s">
        <v>722</v>
      </c>
      <c r="G476" s="8" t="s">
        <v>12</v>
      </c>
      <c r="H476" s="8">
        <v>9.1219629999999992</v>
      </c>
      <c r="I476" s="8">
        <v>-79.603549999999998</v>
      </c>
      <c r="J476" s="21" t="s">
        <v>695</v>
      </c>
    </row>
    <row r="477" spans="1:10" x14ac:dyDescent="0.3">
      <c r="A477" s="20">
        <v>2</v>
      </c>
      <c r="B477" s="8">
        <v>592</v>
      </c>
      <c r="C477" s="8" t="s">
        <v>730</v>
      </c>
      <c r="D477" s="8" t="s">
        <v>644</v>
      </c>
      <c r="E477" s="8" t="s">
        <v>644</v>
      </c>
      <c r="F477" s="8" t="s">
        <v>722</v>
      </c>
      <c r="G477" s="8" t="s">
        <v>12</v>
      </c>
      <c r="H477" s="8">
        <v>9.1549969999999998</v>
      </c>
      <c r="I477" s="8">
        <v>-79.619811999999996</v>
      </c>
      <c r="J477" s="21" t="s">
        <v>702</v>
      </c>
    </row>
    <row r="478" spans="1:10" x14ac:dyDescent="0.3">
      <c r="A478" s="20">
        <v>2</v>
      </c>
      <c r="B478" s="8">
        <v>593</v>
      </c>
      <c r="C478" s="8" t="s">
        <v>731</v>
      </c>
      <c r="D478" s="8" t="s">
        <v>644</v>
      </c>
      <c r="E478" s="8" t="s">
        <v>644</v>
      </c>
      <c r="F478" s="8" t="s">
        <v>722</v>
      </c>
      <c r="G478" s="8" t="s">
        <v>12</v>
      </c>
      <c r="H478" s="8">
        <v>9.174296</v>
      </c>
      <c r="I478" s="8">
        <v>-79.611647000000005</v>
      </c>
      <c r="J478" s="21" t="s">
        <v>562</v>
      </c>
    </row>
    <row r="479" spans="1:10" x14ac:dyDescent="0.3">
      <c r="A479" s="20">
        <v>2</v>
      </c>
      <c r="B479" s="8">
        <v>595</v>
      </c>
      <c r="C479" s="8" t="s">
        <v>732</v>
      </c>
      <c r="D479" s="8" t="s">
        <v>644</v>
      </c>
      <c r="E479" s="8" t="s">
        <v>644</v>
      </c>
      <c r="F479" s="8" t="s">
        <v>722</v>
      </c>
      <c r="G479" s="8" t="s">
        <v>12</v>
      </c>
      <c r="H479" s="8">
        <v>9.1869530000000008</v>
      </c>
      <c r="I479" s="8">
        <v>-79.645229999999998</v>
      </c>
      <c r="J479" s="21" t="s">
        <v>569</v>
      </c>
    </row>
    <row r="480" spans="1:10" x14ac:dyDescent="0.3">
      <c r="A480" s="20">
        <v>2</v>
      </c>
      <c r="B480" s="8">
        <v>596</v>
      </c>
      <c r="C480" s="8" t="s">
        <v>733</v>
      </c>
      <c r="D480" s="8" t="s">
        <v>644</v>
      </c>
      <c r="E480" s="8" t="s">
        <v>644</v>
      </c>
      <c r="F480" s="8" t="s">
        <v>722</v>
      </c>
      <c r="G480" s="8" t="s">
        <v>12</v>
      </c>
      <c r="H480" s="8">
        <v>9.151078</v>
      </c>
      <c r="I480" s="8">
        <v>-79.619924999999995</v>
      </c>
      <c r="J480" s="21" t="s">
        <v>562</v>
      </c>
    </row>
    <row r="481" spans="1:10" x14ac:dyDescent="0.3">
      <c r="A481" s="20">
        <v>2</v>
      </c>
      <c r="B481" s="8">
        <v>597</v>
      </c>
      <c r="C481" s="8" t="s">
        <v>734</v>
      </c>
      <c r="D481" s="8" t="s">
        <v>644</v>
      </c>
      <c r="E481" s="8" t="s">
        <v>644</v>
      </c>
      <c r="F481" s="8" t="s">
        <v>735</v>
      </c>
      <c r="G481" s="8" t="s">
        <v>230</v>
      </c>
      <c r="H481" s="8">
        <v>8.9699980000000004</v>
      </c>
      <c r="I481" s="8">
        <v>-79.543966999999995</v>
      </c>
      <c r="J481" s="21" t="s">
        <v>702</v>
      </c>
    </row>
    <row r="482" spans="1:10" x14ac:dyDescent="0.3">
      <c r="A482" s="20">
        <v>2</v>
      </c>
      <c r="B482" s="8">
        <v>598</v>
      </c>
      <c r="C482" s="8" t="s">
        <v>736</v>
      </c>
      <c r="D482" s="8" t="s">
        <v>644</v>
      </c>
      <c r="E482" s="8" t="s">
        <v>644</v>
      </c>
      <c r="F482" s="8" t="s">
        <v>735</v>
      </c>
      <c r="G482" s="8" t="s">
        <v>230</v>
      </c>
      <c r="H482" s="8">
        <v>8.970739</v>
      </c>
      <c r="I482" s="8">
        <v>-79.543088999999995</v>
      </c>
      <c r="J482" s="21" t="s">
        <v>174</v>
      </c>
    </row>
    <row r="483" spans="1:10" x14ac:dyDescent="0.3">
      <c r="A483" s="20">
        <v>2</v>
      </c>
      <c r="B483" s="8">
        <v>600</v>
      </c>
      <c r="C483" s="8" t="s">
        <v>737</v>
      </c>
      <c r="D483" s="8" t="s">
        <v>644</v>
      </c>
      <c r="E483" s="8" t="s">
        <v>644</v>
      </c>
      <c r="F483" s="8" t="s">
        <v>735</v>
      </c>
      <c r="G483" s="8" t="s">
        <v>230</v>
      </c>
      <c r="H483" s="8">
        <v>8.9702079999999995</v>
      </c>
      <c r="I483" s="8">
        <v>-79.543330999999995</v>
      </c>
      <c r="J483" s="21" t="s">
        <v>174</v>
      </c>
    </row>
    <row r="484" spans="1:10" x14ac:dyDescent="0.3">
      <c r="A484" s="20">
        <v>2</v>
      </c>
      <c r="B484" s="8">
        <v>601</v>
      </c>
      <c r="C484" s="8" t="s">
        <v>738</v>
      </c>
      <c r="D484" s="8" t="s">
        <v>644</v>
      </c>
      <c r="E484" s="8" t="s">
        <v>644</v>
      </c>
      <c r="F484" s="8" t="s">
        <v>735</v>
      </c>
      <c r="G484" s="8" t="s">
        <v>230</v>
      </c>
      <c r="H484" s="8">
        <v>8.991987</v>
      </c>
      <c r="I484" s="8">
        <v>-79.531715000000005</v>
      </c>
      <c r="J484" s="21" t="s">
        <v>37</v>
      </c>
    </row>
    <row r="485" spans="1:10" x14ac:dyDescent="0.3">
      <c r="A485" s="20">
        <v>2</v>
      </c>
      <c r="B485" s="8">
        <v>602</v>
      </c>
      <c r="C485" s="8" t="s">
        <v>739</v>
      </c>
      <c r="D485" s="8" t="s">
        <v>644</v>
      </c>
      <c r="E485" s="8" t="s">
        <v>644</v>
      </c>
      <c r="F485" s="8" t="s">
        <v>735</v>
      </c>
      <c r="G485" s="8" t="s">
        <v>230</v>
      </c>
      <c r="H485" s="8">
        <v>8.9867720000000002</v>
      </c>
      <c r="I485" s="8">
        <v>-79.535359999999997</v>
      </c>
      <c r="J485" s="21" t="s">
        <v>80</v>
      </c>
    </row>
    <row r="486" spans="1:10" x14ac:dyDescent="0.3">
      <c r="A486" s="20">
        <v>2</v>
      </c>
      <c r="B486" s="8">
        <v>603</v>
      </c>
      <c r="C486" s="8" t="s">
        <v>740</v>
      </c>
      <c r="D486" s="8" t="s">
        <v>644</v>
      </c>
      <c r="E486" s="8" t="s">
        <v>644</v>
      </c>
      <c r="F486" s="8" t="s">
        <v>735</v>
      </c>
      <c r="G486" s="8" t="s">
        <v>230</v>
      </c>
      <c r="H486" s="8">
        <v>8.9846070000000005</v>
      </c>
      <c r="I486" s="8">
        <v>-79.537029000000004</v>
      </c>
      <c r="J486" s="21" t="s">
        <v>80</v>
      </c>
    </row>
    <row r="487" spans="1:10" x14ac:dyDescent="0.3">
      <c r="A487" s="20">
        <v>2</v>
      </c>
      <c r="B487" s="8">
        <v>604</v>
      </c>
      <c r="C487" s="8" t="s">
        <v>741</v>
      </c>
      <c r="D487" s="8" t="s">
        <v>644</v>
      </c>
      <c r="E487" s="8" t="s">
        <v>644</v>
      </c>
      <c r="F487" s="8" t="s">
        <v>735</v>
      </c>
      <c r="G487" s="8" t="s">
        <v>230</v>
      </c>
      <c r="H487" s="8">
        <v>8.9702219999999997</v>
      </c>
      <c r="I487" s="8">
        <v>-79.543705000000003</v>
      </c>
      <c r="J487" s="21" t="s">
        <v>34</v>
      </c>
    </row>
    <row r="488" spans="1:10" x14ac:dyDescent="0.3">
      <c r="A488" s="20">
        <v>2</v>
      </c>
      <c r="B488" s="8">
        <v>605</v>
      </c>
      <c r="C488" s="8" t="s">
        <v>742</v>
      </c>
      <c r="D488" s="8" t="s">
        <v>644</v>
      </c>
      <c r="E488" s="8" t="s">
        <v>644</v>
      </c>
      <c r="F488" s="8" t="s">
        <v>735</v>
      </c>
      <c r="G488" s="8" t="s">
        <v>230</v>
      </c>
      <c r="H488" s="8">
        <v>8.9702219999999997</v>
      </c>
      <c r="I488" s="8">
        <v>-79.543705000000003</v>
      </c>
      <c r="J488" s="21" t="s">
        <v>34</v>
      </c>
    </row>
    <row r="489" spans="1:10" x14ac:dyDescent="0.3">
      <c r="A489" s="20">
        <v>2</v>
      </c>
      <c r="B489" s="8">
        <v>607</v>
      </c>
      <c r="C489" s="8" t="s">
        <v>743</v>
      </c>
      <c r="D489" s="8" t="s">
        <v>644</v>
      </c>
      <c r="E489" s="8" t="s">
        <v>644</v>
      </c>
      <c r="F489" s="8" t="s">
        <v>735</v>
      </c>
      <c r="G489" s="8" t="s">
        <v>230</v>
      </c>
      <c r="H489" s="8">
        <v>8.9704610000000002</v>
      </c>
      <c r="I489" s="8">
        <v>-79.545573000000005</v>
      </c>
      <c r="J489" s="21" t="s">
        <v>34</v>
      </c>
    </row>
    <row r="490" spans="1:10" x14ac:dyDescent="0.3">
      <c r="A490" s="20">
        <v>2</v>
      </c>
      <c r="B490" s="8">
        <v>608</v>
      </c>
      <c r="C490" s="8" t="s">
        <v>744</v>
      </c>
      <c r="D490" s="8" t="s">
        <v>644</v>
      </c>
      <c r="E490" s="8" t="s">
        <v>644</v>
      </c>
      <c r="F490" s="8" t="s">
        <v>735</v>
      </c>
      <c r="G490" s="8" t="s">
        <v>230</v>
      </c>
      <c r="H490" s="8">
        <v>8.9704610000000002</v>
      </c>
      <c r="I490" s="8">
        <v>-79.545573000000005</v>
      </c>
      <c r="J490" s="21" t="s">
        <v>34</v>
      </c>
    </row>
    <row r="491" spans="1:10" x14ac:dyDescent="0.3">
      <c r="A491" s="20">
        <v>2</v>
      </c>
      <c r="B491" s="8">
        <v>609</v>
      </c>
      <c r="C491" s="8" t="s">
        <v>745</v>
      </c>
      <c r="D491" s="8" t="s">
        <v>644</v>
      </c>
      <c r="E491" s="8" t="s">
        <v>644</v>
      </c>
      <c r="F491" s="8" t="s">
        <v>735</v>
      </c>
      <c r="G491" s="8" t="s">
        <v>230</v>
      </c>
      <c r="H491" s="8">
        <v>8.9704610000000002</v>
      </c>
      <c r="I491" s="8">
        <v>-79.545573000000005</v>
      </c>
      <c r="J491" s="21" t="s">
        <v>24</v>
      </c>
    </row>
    <row r="492" spans="1:10" x14ac:dyDescent="0.3">
      <c r="A492" s="20">
        <v>2</v>
      </c>
      <c r="B492" s="8">
        <v>612</v>
      </c>
      <c r="C492" s="8" t="s">
        <v>746</v>
      </c>
      <c r="D492" s="8" t="s">
        <v>644</v>
      </c>
      <c r="E492" s="8" t="s">
        <v>644</v>
      </c>
      <c r="F492" s="8" t="s">
        <v>735</v>
      </c>
      <c r="G492" s="8" t="s">
        <v>230</v>
      </c>
      <c r="H492" s="8">
        <v>8.9701079999999997</v>
      </c>
      <c r="I492" s="8">
        <v>-79.545531999999994</v>
      </c>
      <c r="J492" s="21" t="s">
        <v>34</v>
      </c>
    </row>
    <row r="493" spans="1:10" x14ac:dyDescent="0.3">
      <c r="A493" s="20">
        <v>2</v>
      </c>
      <c r="B493" s="8">
        <v>613</v>
      </c>
      <c r="C493" s="8" t="s">
        <v>747</v>
      </c>
      <c r="D493" s="8" t="s">
        <v>644</v>
      </c>
      <c r="E493" s="8" t="s">
        <v>644</v>
      </c>
      <c r="F493" s="8" t="s">
        <v>735</v>
      </c>
      <c r="G493" s="8" t="s">
        <v>230</v>
      </c>
      <c r="H493" s="8">
        <v>8.9701079999999997</v>
      </c>
      <c r="I493" s="8">
        <v>-79.545531999999994</v>
      </c>
      <c r="J493" s="21" t="s">
        <v>34</v>
      </c>
    </row>
    <row r="494" spans="1:10" x14ac:dyDescent="0.3">
      <c r="A494" s="20">
        <v>2</v>
      </c>
      <c r="B494" s="8">
        <v>615</v>
      </c>
      <c r="C494" s="8" t="s">
        <v>748</v>
      </c>
      <c r="D494" s="8" t="s">
        <v>644</v>
      </c>
      <c r="E494" s="8" t="s">
        <v>644</v>
      </c>
      <c r="F494" s="8" t="s">
        <v>735</v>
      </c>
      <c r="G494" s="8" t="s">
        <v>230</v>
      </c>
      <c r="H494" s="8">
        <v>8.9695809999999998</v>
      </c>
      <c r="I494" s="8">
        <v>-79.545777000000001</v>
      </c>
      <c r="J494" s="21" t="s">
        <v>22</v>
      </c>
    </row>
    <row r="495" spans="1:10" x14ac:dyDescent="0.3">
      <c r="A495" s="20">
        <v>2</v>
      </c>
      <c r="B495" s="8">
        <v>616</v>
      </c>
      <c r="C495" s="8" t="s">
        <v>749</v>
      </c>
      <c r="D495" s="8" t="s">
        <v>644</v>
      </c>
      <c r="E495" s="8" t="s">
        <v>644</v>
      </c>
      <c r="F495" s="8" t="s">
        <v>735</v>
      </c>
      <c r="G495" s="8" t="s">
        <v>230</v>
      </c>
      <c r="H495" s="8">
        <v>8.9695809999999998</v>
      </c>
      <c r="I495" s="8">
        <v>-79.545777000000001</v>
      </c>
      <c r="J495" s="21" t="s">
        <v>22</v>
      </c>
    </row>
    <row r="496" spans="1:10" x14ac:dyDescent="0.3">
      <c r="A496" s="20">
        <v>2</v>
      </c>
      <c r="B496" s="8">
        <v>623</v>
      </c>
      <c r="C496" s="8" t="s">
        <v>750</v>
      </c>
      <c r="D496" s="8" t="s">
        <v>644</v>
      </c>
      <c r="E496" s="8" t="s">
        <v>644</v>
      </c>
      <c r="F496" s="8" t="s">
        <v>735</v>
      </c>
      <c r="G496" s="8" t="s">
        <v>230</v>
      </c>
      <c r="H496" s="8">
        <v>8.968788</v>
      </c>
      <c r="I496" s="8">
        <v>-79.545164</v>
      </c>
      <c r="J496" s="21" t="s">
        <v>34</v>
      </c>
    </row>
    <row r="497" spans="1:10" x14ac:dyDescent="0.3">
      <c r="A497" s="20">
        <v>2</v>
      </c>
      <c r="B497" s="8">
        <v>624</v>
      </c>
      <c r="C497" s="8" t="s">
        <v>751</v>
      </c>
      <c r="D497" s="8" t="s">
        <v>644</v>
      </c>
      <c r="E497" s="8" t="s">
        <v>644</v>
      </c>
      <c r="F497" s="8" t="s">
        <v>735</v>
      </c>
      <c r="G497" s="8" t="s">
        <v>230</v>
      </c>
      <c r="H497" s="8">
        <v>8.9694070000000004</v>
      </c>
      <c r="I497" s="8">
        <v>-79.545997999999997</v>
      </c>
      <c r="J497" s="21" t="s">
        <v>34</v>
      </c>
    </row>
    <row r="498" spans="1:10" x14ac:dyDescent="0.3">
      <c r="A498" s="20">
        <v>2</v>
      </c>
      <c r="B498" s="8">
        <v>625</v>
      </c>
      <c r="C498" s="8" t="s">
        <v>752</v>
      </c>
      <c r="D498" s="8" t="s">
        <v>644</v>
      </c>
      <c r="E498" s="8" t="s">
        <v>644</v>
      </c>
      <c r="F498" s="8" t="s">
        <v>735</v>
      </c>
      <c r="G498" s="8" t="s">
        <v>230</v>
      </c>
      <c r="H498" s="8">
        <v>8.9685100000000002</v>
      </c>
      <c r="I498" s="8">
        <v>-79.544559000000007</v>
      </c>
      <c r="J498" s="21" t="s">
        <v>34</v>
      </c>
    </row>
    <row r="499" spans="1:10" x14ac:dyDescent="0.3">
      <c r="A499" s="20">
        <v>2</v>
      </c>
      <c r="B499" s="8">
        <v>626</v>
      </c>
      <c r="C499" s="8" t="s">
        <v>753</v>
      </c>
      <c r="D499" s="8" t="s">
        <v>644</v>
      </c>
      <c r="E499" s="8" t="s">
        <v>644</v>
      </c>
      <c r="F499" s="8" t="s">
        <v>735</v>
      </c>
      <c r="G499" s="8" t="s">
        <v>230</v>
      </c>
      <c r="H499" s="8">
        <v>8.9685100000000002</v>
      </c>
      <c r="I499" s="8">
        <v>-79.544559000000007</v>
      </c>
      <c r="J499" s="21" t="s">
        <v>34</v>
      </c>
    </row>
    <row r="500" spans="1:10" x14ac:dyDescent="0.3">
      <c r="A500" s="20">
        <v>2</v>
      </c>
      <c r="B500" s="8">
        <v>627</v>
      </c>
      <c r="C500" s="8" t="s">
        <v>754</v>
      </c>
      <c r="D500" s="8" t="s">
        <v>644</v>
      </c>
      <c r="E500" s="8" t="s">
        <v>644</v>
      </c>
      <c r="F500" s="8" t="s">
        <v>735</v>
      </c>
      <c r="G500" s="8" t="s">
        <v>230</v>
      </c>
      <c r="H500" s="8">
        <v>8.9685100000000002</v>
      </c>
      <c r="I500" s="8">
        <v>-79.544559000000007</v>
      </c>
      <c r="J500" s="21" t="s">
        <v>34</v>
      </c>
    </row>
    <row r="501" spans="1:10" x14ac:dyDescent="0.3">
      <c r="A501" s="20">
        <v>2</v>
      </c>
      <c r="B501" s="8">
        <v>628</v>
      </c>
      <c r="C501" s="8" t="s">
        <v>755</v>
      </c>
      <c r="D501" s="8" t="s">
        <v>644</v>
      </c>
      <c r="E501" s="8" t="s">
        <v>644</v>
      </c>
      <c r="F501" s="8" t="s">
        <v>735</v>
      </c>
      <c r="G501" s="8" t="s">
        <v>230</v>
      </c>
      <c r="H501" s="8">
        <v>8.9680520000000001</v>
      </c>
      <c r="I501" s="8">
        <v>-79.544708</v>
      </c>
      <c r="J501" s="21" t="s">
        <v>34</v>
      </c>
    </row>
    <row r="502" spans="1:10" x14ac:dyDescent="0.3">
      <c r="A502" s="20">
        <v>2</v>
      </c>
      <c r="B502" s="8">
        <v>629</v>
      </c>
      <c r="C502" s="8" t="s">
        <v>756</v>
      </c>
      <c r="D502" s="8" t="s">
        <v>644</v>
      </c>
      <c r="E502" s="8" t="s">
        <v>644</v>
      </c>
      <c r="F502" s="8" t="s">
        <v>735</v>
      </c>
      <c r="G502" s="8" t="s">
        <v>230</v>
      </c>
      <c r="H502" s="8">
        <v>8.9680520000000001</v>
      </c>
      <c r="I502" s="8">
        <v>-79.544708</v>
      </c>
      <c r="J502" s="21" t="s">
        <v>34</v>
      </c>
    </row>
    <row r="503" spans="1:10" x14ac:dyDescent="0.3">
      <c r="A503" s="20">
        <v>2</v>
      </c>
      <c r="B503" s="8">
        <v>630</v>
      </c>
      <c r="C503" s="8" t="s">
        <v>757</v>
      </c>
      <c r="D503" s="8" t="s">
        <v>644</v>
      </c>
      <c r="E503" s="8" t="s">
        <v>644</v>
      </c>
      <c r="F503" s="8" t="s">
        <v>735</v>
      </c>
      <c r="G503" s="8" t="s">
        <v>230</v>
      </c>
      <c r="H503" s="8">
        <v>8.9680520000000001</v>
      </c>
      <c r="I503" s="8">
        <v>-79.544708</v>
      </c>
      <c r="J503" s="21" t="s">
        <v>34</v>
      </c>
    </row>
    <row r="504" spans="1:10" x14ac:dyDescent="0.3">
      <c r="A504" s="20">
        <v>2</v>
      </c>
      <c r="B504" s="8">
        <v>631</v>
      </c>
      <c r="C504" s="8" t="s">
        <v>758</v>
      </c>
      <c r="D504" s="8" t="s">
        <v>644</v>
      </c>
      <c r="E504" s="8" t="s">
        <v>644</v>
      </c>
      <c r="F504" s="8" t="s">
        <v>735</v>
      </c>
      <c r="G504" s="8" t="s">
        <v>230</v>
      </c>
      <c r="H504" s="8">
        <v>8.9704580000000007</v>
      </c>
      <c r="I504" s="8">
        <v>-79.543994999999995</v>
      </c>
      <c r="J504" s="21" t="s">
        <v>24</v>
      </c>
    </row>
    <row r="505" spans="1:10" x14ac:dyDescent="0.3">
      <c r="A505" s="20">
        <v>2</v>
      </c>
      <c r="B505" s="8">
        <v>632</v>
      </c>
      <c r="C505" s="8" t="s">
        <v>759</v>
      </c>
      <c r="D505" s="8" t="s">
        <v>644</v>
      </c>
      <c r="E505" s="8" t="s">
        <v>644</v>
      </c>
      <c r="F505" s="8" t="s">
        <v>735</v>
      </c>
      <c r="G505" s="8" t="s">
        <v>230</v>
      </c>
      <c r="H505" s="8">
        <v>8.9704580000000007</v>
      </c>
      <c r="I505" s="8">
        <v>-79.543994999999995</v>
      </c>
      <c r="J505" s="21" t="s">
        <v>24</v>
      </c>
    </row>
    <row r="506" spans="1:10" x14ac:dyDescent="0.3">
      <c r="A506" s="20">
        <v>2</v>
      </c>
      <c r="B506" s="8">
        <v>633</v>
      </c>
      <c r="C506" s="8" t="s">
        <v>760</v>
      </c>
      <c r="D506" s="8" t="s">
        <v>644</v>
      </c>
      <c r="E506" s="8" t="s">
        <v>644</v>
      </c>
      <c r="F506" s="8" t="s">
        <v>735</v>
      </c>
      <c r="G506" s="8" t="s">
        <v>230</v>
      </c>
      <c r="H506" s="8">
        <v>8.9704580000000007</v>
      </c>
      <c r="I506" s="8">
        <v>-79.543994999999995</v>
      </c>
      <c r="J506" s="21" t="s">
        <v>24</v>
      </c>
    </row>
    <row r="507" spans="1:10" x14ac:dyDescent="0.3">
      <c r="A507" s="20">
        <v>2</v>
      </c>
      <c r="B507" s="8">
        <v>634</v>
      </c>
      <c r="C507" s="8" t="s">
        <v>761</v>
      </c>
      <c r="D507" s="8" t="s">
        <v>644</v>
      </c>
      <c r="E507" s="8" t="s">
        <v>644</v>
      </c>
      <c r="F507" s="8" t="s">
        <v>735</v>
      </c>
      <c r="G507" s="8" t="s">
        <v>230</v>
      </c>
      <c r="H507" s="8">
        <v>8.968019</v>
      </c>
      <c r="I507" s="8">
        <v>-79.545192</v>
      </c>
      <c r="J507" s="21" t="s">
        <v>22</v>
      </c>
    </row>
    <row r="508" spans="1:10" x14ac:dyDescent="0.3">
      <c r="A508" s="20">
        <v>2</v>
      </c>
      <c r="B508" s="8">
        <v>635</v>
      </c>
      <c r="C508" s="8" t="s">
        <v>762</v>
      </c>
      <c r="D508" s="8" t="s">
        <v>644</v>
      </c>
      <c r="E508" s="8" t="s">
        <v>644</v>
      </c>
      <c r="F508" s="8" t="s">
        <v>735</v>
      </c>
      <c r="G508" s="8" t="s">
        <v>230</v>
      </c>
      <c r="H508" s="8">
        <v>8.968019</v>
      </c>
      <c r="I508" s="8">
        <v>-79.545192</v>
      </c>
      <c r="J508" s="21" t="s">
        <v>702</v>
      </c>
    </row>
    <row r="509" spans="1:10" x14ac:dyDescent="0.3">
      <c r="A509" s="20">
        <v>2</v>
      </c>
      <c r="B509" s="8">
        <v>636</v>
      </c>
      <c r="C509" s="8" t="s">
        <v>763</v>
      </c>
      <c r="D509" s="8" t="s">
        <v>644</v>
      </c>
      <c r="E509" s="8" t="s">
        <v>644</v>
      </c>
      <c r="F509" s="8" t="s">
        <v>735</v>
      </c>
      <c r="G509" s="8" t="s">
        <v>230</v>
      </c>
      <c r="H509" s="8">
        <v>8.9684889999999999</v>
      </c>
      <c r="I509" s="8">
        <v>-79.545715999999999</v>
      </c>
      <c r="J509" s="21" t="s">
        <v>22</v>
      </c>
    </row>
    <row r="510" spans="1:10" x14ac:dyDescent="0.3">
      <c r="A510" s="20">
        <v>2</v>
      </c>
      <c r="B510" s="8">
        <v>637</v>
      </c>
      <c r="C510" s="8" t="s">
        <v>764</v>
      </c>
      <c r="D510" s="8" t="s">
        <v>644</v>
      </c>
      <c r="E510" s="8" t="s">
        <v>644</v>
      </c>
      <c r="F510" s="8" t="s">
        <v>735</v>
      </c>
      <c r="G510" s="8" t="s">
        <v>230</v>
      </c>
      <c r="H510" s="8">
        <v>8.9684889999999999</v>
      </c>
      <c r="I510" s="8">
        <v>-79.545715999999999</v>
      </c>
      <c r="J510" s="21" t="s">
        <v>765</v>
      </c>
    </row>
    <row r="511" spans="1:10" x14ac:dyDescent="0.3">
      <c r="A511" s="20">
        <v>2</v>
      </c>
      <c r="B511" s="8">
        <v>638</v>
      </c>
      <c r="C511" s="8" t="s">
        <v>766</v>
      </c>
      <c r="D511" s="8" t="s">
        <v>644</v>
      </c>
      <c r="E511" s="8" t="s">
        <v>644</v>
      </c>
      <c r="F511" s="8" t="s">
        <v>735</v>
      </c>
      <c r="G511" s="8" t="s">
        <v>230</v>
      </c>
      <c r="H511" s="8">
        <v>8.9684889999999999</v>
      </c>
      <c r="I511" s="8">
        <v>-79.545715999999999</v>
      </c>
      <c r="J511" s="21" t="s">
        <v>765</v>
      </c>
    </row>
    <row r="512" spans="1:10" x14ac:dyDescent="0.3">
      <c r="A512" s="20">
        <v>2</v>
      </c>
      <c r="B512" s="8">
        <v>647</v>
      </c>
      <c r="C512" s="8" t="s">
        <v>767</v>
      </c>
      <c r="D512" s="8" t="s">
        <v>644</v>
      </c>
      <c r="E512" s="8" t="s">
        <v>644</v>
      </c>
      <c r="F512" s="8" t="s">
        <v>735</v>
      </c>
      <c r="G512" s="8" t="s">
        <v>230</v>
      </c>
      <c r="H512" s="8">
        <v>8.9679260000000003</v>
      </c>
      <c r="I512" s="8">
        <v>-79.546099999999996</v>
      </c>
      <c r="J512" s="21" t="s">
        <v>702</v>
      </c>
    </row>
    <row r="513" spans="1:10" x14ac:dyDescent="0.3">
      <c r="A513" s="20">
        <v>2</v>
      </c>
      <c r="B513" s="8">
        <v>648</v>
      </c>
      <c r="C513" s="8" t="s">
        <v>768</v>
      </c>
      <c r="D513" s="8" t="s">
        <v>644</v>
      </c>
      <c r="E513" s="8" t="s">
        <v>644</v>
      </c>
      <c r="F513" s="8" t="s">
        <v>735</v>
      </c>
      <c r="G513" s="8" t="s">
        <v>230</v>
      </c>
      <c r="H513" s="8">
        <v>8.9679260000000003</v>
      </c>
      <c r="I513" s="8">
        <v>-79.546099999999996</v>
      </c>
      <c r="J513" s="21" t="s">
        <v>30</v>
      </c>
    </row>
    <row r="514" spans="1:10" x14ac:dyDescent="0.3">
      <c r="A514" s="20">
        <v>2</v>
      </c>
      <c r="B514" s="8">
        <v>649</v>
      </c>
      <c r="C514" s="8" t="s">
        <v>769</v>
      </c>
      <c r="D514" s="8" t="s">
        <v>644</v>
      </c>
      <c r="E514" s="8" t="s">
        <v>644</v>
      </c>
      <c r="F514" s="8" t="s">
        <v>735</v>
      </c>
      <c r="G514" s="8" t="s">
        <v>230</v>
      </c>
      <c r="H514" s="8">
        <v>8.9685469999999992</v>
      </c>
      <c r="I514" s="8">
        <v>-79.546845000000005</v>
      </c>
      <c r="J514" s="21" t="s">
        <v>765</v>
      </c>
    </row>
    <row r="515" spans="1:10" x14ac:dyDescent="0.3">
      <c r="A515" s="20">
        <v>2</v>
      </c>
      <c r="B515" s="8">
        <v>650</v>
      </c>
      <c r="C515" s="8" t="s">
        <v>770</v>
      </c>
      <c r="D515" s="8" t="s">
        <v>644</v>
      </c>
      <c r="E515" s="8" t="s">
        <v>644</v>
      </c>
      <c r="F515" s="8" t="s">
        <v>735</v>
      </c>
      <c r="G515" s="8" t="s">
        <v>230</v>
      </c>
      <c r="H515" s="8">
        <v>8.9685469999999992</v>
      </c>
      <c r="I515" s="8">
        <v>-79.546845000000005</v>
      </c>
      <c r="J515" s="21" t="s">
        <v>765</v>
      </c>
    </row>
    <row r="516" spans="1:10" x14ac:dyDescent="0.3">
      <c r="A516" s="20">
        <v>2</v>
      </c>
      <c r="B516" s="8">
        <v>651</v>
      </c>
      <c r="C516" s="8" t="s">
        <v>771</v>
      </c>
      <c r="D516" s="8" t="s">
        <v>644</v>
      </c>
      <c r="E516" s="8" t="s">
        <v>644</v>
      </c>
      <c r="F516" s="8" t="s">
        <v>735</v>
      </c>
      <c r="G516" s="8" t="s">
        <v>230</v>
      </c>
      <c r="H516" s="8">
        <v>8.9685469999999992</v>
      </c>
      <c r="I516" s="8">
        <v>-79.546845000000005</v>
      </c>
      <c r="J516" s="21" t="s">
        <v>765</v>
      </c>
    </row>
    <row r="517" spans="1:10" x14ac:dyDescent="0.3">
      <c r="A517" s="20">
        <v>2</v>
      </c>
      <c r="B517" s="8">
        <v>652</v>
      </c>
      <c r="C517" s="8" t="s">
        <v>772</v>
      </c>
      <c r="D517" s="8" t="s">
        <v>644</v>
      </c>
      <c r="E517" s="8" t="s">
        <v>644</v>
      </c>
      <c r="F517" s="8" t="s">
        <v>735</v>
      </c>
      <c r="G517" s="8" t="s">
        <v>230</v>
      </c>
      <c r="H517" s="8">
        <v>8.9706849999999996</v>
      </c>
      <c r="I517" s="8">
        <v>-79.544270999999995</v>
      </c>
      <c r="J517" s="21" t="s">
        <v>34</v>
      </c>
    </row>
    <row r="518" spans="1:10" x14ac:dyDescent="0.3">
      <c r="A518" s="20">
        <v>2</v>
      </c>
      <c r="B518" s="8">
        <v>655</v>
      </c>
      <c r="C518" s="8" t="s">
        <v>773</v>
      </c>
      <c r="D518" s="8" t="s">
        <v>644</v>
      </c>
      <c r="E518" s="8" t="s">
        <v>644</v>
      </c>
      <c r="F518" s="8" t="s">
        <v>735</v>
      </c>
      <c r="G518" s="8" t="s">
        <v>230</v>
      </c>
      <c r="H518" s="8">
        <v>8.9705910000000006</v>
      </c>
      <c r="I518" s="8">
        <v>-79.544307000000003</v>
      </c>
      <c r="J518" s="21" t="s">
        <v>24</v>
      </c>
    </row>
    <row r="519" spans="1:10" x14ac:dyDescent="0.3">
      <c r="A519" s="20">
        <v>2</v>
      </c>
      <c r="B519" s="8">
        <v>656</v>
      </c>
      <c r="C519" s="8" t="s">
        <v>774</v>
      </c>
      <c r="D519" s="8" t="s">
        <v>644</v>
      </c>
      <c r="E519" s="8" t="s">
        <v>644</v>
      </c>
      <c r="F519" s="8" t="s">
        <v>735</v>
      </c>
      <c r="G519" s="8" t="s">
        <v>230</v>
      </c>
      <c r="H519" s="8">
        <v>8.9705910000000006</v>
      </c>
      <c r="I519" s="8">
        <v>-79.544307000000003</v>
      </c>
      <c r="J519" s="21" t="s">
        <v>24</v>
      </c>
    </row>
    <row r="520" spans="1:10" x14ac:dyDescent="0.3">
      <c r="A520" s="20">
        <v>2</v>
      </c>
      <c r="B520" s="8">
        <v>659</v>
      </c>
      <c r="C520" s="8" t="s">
        <v>775</v>
      </c>
      <c r="D520" s="8" t="s">
        <v>644</v>
      </c>
      <c r="E520" s="8" t="s">
        <v>644</v>
      </c>
      <c r="F520" s="8" t="s">
        <v>735</v>
      </c>
      <c r="G520" s="8" t="s">
        <v>230</v>
      </c>
      <c r="H520" s="8">
        <v>8.9701749999999993</v>
      </c>
      <c r="I520" s="8">
        <v>-79.543837999999994</v>
      </c>
      <c r="J520" s="21" t="s">
        <v>20</v>
      </c>
    </row>
    <row r="521" spans="1:10" x14ac:dyDescent="0.3">
      <c r="A521" s="20">
        <v>2</v>
      </c>
      <c r="B521" s="8">
        <v>660</v>
      </c>
      <c r="C521" s="8" t="s">
        <v>776</v>
      </c>
      <c r="D521" s="8" t="s">
        <v>644</v>
      </c>
      <c r="E521" s="8" t="s">
        <v>644</v>
      </c>
      <c r="F521" s="8" t="s">
        <v>735</v>
      </c>
      <c r="G521" s="8" t="s">
        <v>230</v>
      </c>
      <c r="H521" s="8">
        <v>8.9701749999999993</v>
      </c>
      <c r="I521" s="8">
        <v>-79.543837999999994</v>
      </c>
      <c r="J521" s="21" t="s">
        <v>20</v>
      </c>
    </row>
    <row r="522" spans="1:10" x14ac:dyDescent="0.3">
      <c r="A522" s="20">
        <v>2</v>
      </c>
      <c r="B522" s="8">
        <v>661</v>
      </c>
      <c r="C522" s="8" t="s">
        <v>777</v>
      </c>
      <c r="D522" s="8" t="s">
        <v>644</v>
      </c>
      <c r="E522" s="8" t="s">
        <v>644</v>
      </c>
      <c r="F522" s="8" t="s">
        <v>735</v>
      </c>
      <c r="G522" s="8" t="s">
        <v>230</v>
      </c>
      <c r="H522" s="8">
        <v>8.9704029999999992</v>
      </c>
      <c r="I522" s="8">
        <v>-79.543886999999998</v>
      </c>
      <c r="J522" s="21" t="s">
        <v>20</v>
      </c>
    </row>
    <row r="523" spans="1:10" x14ac:dyDescent="0.3">
      <c r="A523" s="20">
        <v>2</v>
      </c>
      <c r="B523" s="8">
        <v>662</v>
      </c>
      <c r="C523" s="8" t="s">
        <v>778</v>
      </c>
      <c r="D523" s="8" t="s">
        <v>644</v>
      </c>
      <c r="E523" s="8" t="s">
        <v>644</v>
      </c>
      <c r="F523" s="8" t="s">
        <v>735</v>
      </c>
      <c r="G523" s="8" t="s">
        <v>230</v>
      </c>
      <c r="H523" s="8">
        <v>8.9704029999999992</v>
      </c>
      <c r="I523" s="8">
        <v>-79.543886999999998</v>
      </c>
      <c r="J523" s="21" t="s">
        <v>20</v>
      </c>
    </row>
    <row r="524" spans="1:10" x14ac:dyDescent="0.3">
      <c r="A524" s="20">
        <v>2</v>
      </c>
      <c r="B524" s="8">
        <v>663</v>
      </c>
      <c r="C524" s="8" t="s">
        <v>779</v>
      </c>
      <c r="D524" s="8" t="s">
        <v>644</v>
      </c>
      <c r="E524" s="8" t="s">
        <v>644</v>
      </c>
      <c r="F524" s="8" t="s">
        <v>735</v>
      </c>
      <c r="G524" s="8" t="s">
        <v>230</v>
      </c>
      <c r="H524" s="8">
        <v>8.9705659999999998</v>
      </c>
      <c r="I524" s="8">
        <v>-79.545125999999996</v>
      </c>
      <c r="J524" s="21" t="s">
        <v>20</v>
      </c>
    </row>
    <row r="525" spans="1:10" x14ac:dyDescent="0.3">
      <c r="A525" s="20">
        <v>2</v>
      </c>
      <c r="B525" s="8">
        <v>664</v>
      </c>
      <c r="C525" s="8" t="s">
        <v>780</v>
      </c>
      <c r="D525" s="8" t="s">
        <v>644</v>
      </c>
      <c r="E525" s="8" t="s">
        <v>644</v>
      </c>
      <c r="F525" s="8" t="s">
        <v>735</v>
      </c>
      <c r="G525" s="8" t="s">
        <v>230</v>
      </c>
      <c r="H525" s="8">
        <v>8.9705659999999998</v>
      </c>
      <c r="I525" s="8">
        <v>-79.545125999999996</v>
      </c>
      <c r="J525" s="21" t="s">
        <v>20</v>
      </c>
    </row>
    <row r="526" spans="1:10" x14ac:dyDescent="0.3">
      <c r="A526" s="20">
        <v>2</v>
      </c>
      <c r="B526" s="8">
        <v>665</v>
      </c>
      <c r="C526" s="8" t="s">
        <v>781</v>
      </c>
      <c r="D526" s="8" t="s">
        <v>644</v>
      </c>
      <c r="E526" s="8" t="s">
        <v>644</v>
      </c>
      <c r="F526" s="8" t="s">
        <v>735</v>
      </c>
      <c r="G526" s="8" t="s">
        <v>230</v>
      </c>
      <c r="H526" s="8">
        <v>8.9707779999999993</v>
      </c>
      <c r="I526" s="8">
        <v>-79.545640000000006</v>
      </c>
      <c r="J526" s="21" t="s">
        <v>765</v>
      </c>
    </row>
    <row r="527" spans="1:10" x14ac:dyDescent="0.3">
      <c r="A527" s="20">
        <v>2</v>
      </c>
      <c r="B527" s="8">
        <v>667</v>
      </c>
      <c r="C527" s="8" t="s">
        <v>782</v>
      </c>
      <c r="D527" s="8" t="s">
        <v>644</v>
      </c>
      <c r="E527" s="8" t="s">
        <v>644</v>
      </c>
      <c r="F527" s="8" t="s">
        <v>783</v>
      </c>
      <c r="G527" s="8" t="s">
        <v>12</v>
      </c>
      <c r="H527" s="8">
        <v>8.9506669999999993</v>
      </c>
      <c r="I527" s="8">
        <v>-79.547787</v>
      </c>
      <c r="J527" s="21" t="s">
        <v>140</v>
      </c>
    </row>
    <row r="528" spans="1:10" x14ac:dyDescent="0.3">
      <c r="A528" s="20">
        <v>2</v>
      </c>
      <c r="B528" s="8">
        <v>673</v>
      </c>
      <c r="C528" s="8" t="s">
        <v>784</v>
      </c>
      <c r="D528" s="8" t="s">
        <v>644</v>
      </c>
      <c r="E528" s="8" t="s">
        <v>644</v>
      </c>
      <c r="F528" s="8" t="s">
        <v>785</v>
      </c>
      <c r="G528" s="8" t="s">
        <v>12</v>
      </c>
      <c r="H528" s="8">
        <v>9.0936179999999993</v>
      </c>
      <c r="I528" s="8">
        <v>-79.496543000000003</v>
      </c>
      <c r="J528" s="21" t="s">
        <v>786</v>
      </c>
    </row>
    <row r="529" spans="1:10" x14ac:dyDescent="0.3">
      <c r="A529" s="20">
        <v>2</v>
      </c>
      <c r="B529" s="8">
        <v>674</v>
      </c>
      <c r="C529" s="8" t="s">
        <v>787</v>
      </c>
      <c r="D529" s="8" t="s">
        <v>644</v>
      </c>
      <c r="E529" s="8" t="s">
        <v>644</v>
      </c>
      <c r="F529" s="8" t="s">
        <v>785</v>
      </c>
      <c r="G529" s="8" t="s">
        <v>12</v>
      </c>
      <c r="H529" s="8">
        <v>9.0982409999999998</v>
      </c>
      <c r="I529" s="8">
        <v>-79.514859999999999</v>
      </c>
      <c r="J529" s="21" t="s">
        <v>560</v>
      </c>
    </row>
    <row r="530" spans="1:10" x14ac:dyDescent="0.3">
      <c r="A530" s="20">
        <v>2</v>
      </c>
      <c r="B530" s="8">
        <v>675</v>
      </c>
      <c r="C530" s="8" t="s">
        <v>788</v>
      </c>
      <c r="D530" s="8" t="s">
        <v>644</v>
      </c>
      <c r="E530" s="8" t="s">
        <v>644</v>
      </c>
      <c r="F530" s="8" t="s">
        <v>785</v>
      </c>
      <c r="G530" s="8" t="s">
        <v>12</v>
      </c>
      <c r="H530" s="8">
        <v>9.0773689999999991</v>
      </c>
      <c r="I530" s="8">
        <v>-79.502683000000005</v>
      </c>
      <c r="J530" s="21" t="s">
        <v>95</v>
      </c>
    </row>
    <row r="531" spans="1:10" x14ac:dyDescent="0.3">
      <c r="A531" s="20">
        <v>2</v>
      </c>
      <c r="B531" s="8">
        <v>677</v>
      </c>
      <c r="C531" s="8" t="s">
        <v>789</v>
      </c>
      <c r="D531" s="8" t="s">
        <v>644</v>
      </c>
      <c r="E531" s="8" t="s">
        <v>644</v>
      </c>
      <c r="F531" s="8" t="s">
        <v>785</v>
      </c>
      <c r="G531" s="8" t="s">
        <v>12</v>
      </c>
      <c r="H531" s="8">
        <v>9.0912249999999997</v>
      </c>
      <c r="I531" s="8">
        <v>-79.504271000000003</v>
      </c>
      <c r="J531" s="21" t="s">
        <v>790</v>
      </c>
    </row>
    <row r="532" spans="1:10" x14ac:dyDescent="0.3">
      <c r="A532" s="20">
        <v>2</v>
      </c>
      <c r="B532" s="8">
        <v>681</v>
      </c>
      <c r="C532" s="8" t="s">
        <v>791</v>
      </c>
      <c r="D532" s="8" t="s">
        <v>644</v>
      </c>
      <c r="E532" s="8" t="s">
        <v>644</v>
      </c>
      <c r="F532" s="8" t="s">
        <v>792</v>
      </c>
      <c r="G532" s="8" t="s">
        <v>230</v>
      </c>
      <c r="H532" s="8">
        <v>9.0472000000000001</v>
      </c>
      <c r="I532" s="8">
        <v>-79.464817999999994</v>
      </c>
      <c r="J532" s="21" t="s">
        <v>689</v>
      </c>
    </row>
    <row r="533" spans="1:10" x14ac:dyDescent="0.3">
      <c r="A533" s="20">
        <v>2</v>
      </c>
      <c r="B533" s="8">
        <v>682</v>
      </c>
      <c r="C533" s="8" t="s">
        <v>793</v>
      </c>
      <c r="D533" s="8" t="s">
        <v>644</v>
      </c>
      <c r="E533" s="8" t="s">
        <v>644</v>
      </c>
      <c r="F533" s="8" t="s">
        <v>792</v>
      </c>
      <c r="G533" s="8" t="s">
        <v>230</v>
      </c>
      <c r="H533" s="8">
        <v>9.0396549999999998</v>
      </c>
      <c r="I533" s="8">
        <v>-79.444237000000001</v>
      </c>
      <c r="J533" s="21" t="s">
        <v>297</v>
      </c>
    </row>
    <row r="534" spans="1:10" x14ac:dyDescent="0.3">
      <c r="A534" s="20">
        <v>2</v>
      </c>
      <c r="B534" s="8">
        <v>683</v>
      </c>
      <c r="C534" s="8" t="s">
        <v>794</v>
      </c>
      <c r="D534" s="8" t="s">
        <v>644</v>
      </c>
      <c r="E534" s="8" t="s">
        <v>644</v>
      </c>
      <c r="F534" s="8" t="s">
        <v>792</v>
      </c>
      <c r="G534" s="8" t="s">
        <v>230</v>
      </c>
      <c r="H534" s="8">
        <v>9.0391720000000007</v>
      </c>
      <c r="I534" s="8">
        <v>-79.445205000000001</v>
      </c>
      <c r="J534" s="21" t="s">
        <v>795</v>
      </c>
    </row>
    <row r="535" spans="1:10" x14ac:dyDescent="0.3">
      <c r="A535" s="20">
        <v>2</v>
      </c>
      <c r="B535" s="8">
        <v>684</v>
      </c>
      <c r="C535" s="8" t="s">
        <v>796</v>
      </c>
      <c r="D535" s="8" t="s">
        <v>644</v>
      </c>
      <c r="E535" s="8" t="s">
        <v>644</v>
      </c>
      <c r="F535" s="8" t="s">
        <v>792</v>
      </c>
      <c r="G535" s="8" t="s">
        <v>230</v>
      </c>
      <c r="H535" s="8">
        <v>9.0417020000000008</v>
      </c>
      <c r="I535" s="8">
        <v>-79.467939000000001</v>
      </c>
      <c r="J535" s="21" t="s">
        <v>797</v>
      </c>
    </row>
    <row r="536" spans="1:10" x14ac:dyDescent="0.3">
      <c r="A536" s="20">
        <v>2</v>
      </c>
      <c r="B536" s="8">
        <v>685</v>
      </c>
      <c r="C536" s="8" t="s">
        <v>798</v>
      </c>
      <c r="D536" s="8" t="s">
        <v>644</v>
      </c>
      <c r="E536" s="8" t="s">
        <v>644</v>
      </c>
      <c r="F536" s="8" t="s">
        <v>792</v>
      </c>
      <c r="G536" s="8" t="s">
        <v>230</v>
      </c>
      <c r="H536" s="8">
        <v>9.0436789999999991</v>
      </c>
      <c r="I536" s="8">
        <v>-79.427356000000003</v>
      </c>
      <c r="J536" s="21" t="s">
        <v>107</v>
      </c>
    </row>
    <row r="537" spans="1:10" x14ac:dyDescent="0.3">
      <c r="A537" s="20">
        <v>2</v>
      </c>
      <c r="B537" s="8">
        <v>687</v>
      </c>
      <c r="C537" s="8" t="s">
        <v>799</v>
      </c>
      <c r="D537" s="8" t="s">
        <v>644</v>
      </c>
      <c r="E537" s="8" t="s">
        <v>644</v>
      </c>
      <c r="F537" s="8" t="s">
        <v>792</v>
      </c>
      <c r="G537" s="8" t="s">
        <v>33</v>
      </c>
      <c r="H537" s="8">
        <v>9.0502920000000007</v>
      </c>
      <c r="I537" s="8">
        <v>-79.419875000000005</v>
      </c>
      <c r="J537" s="21" t="s">
        <v>100</v>
      </c>
    </row>
    <row r="538" spans="1:10" x14ac:dyDescent="0.3">
      <c r="A538" s="20">
        <v>2</v>
      </c>
      <c r="B538" s="8">
        <v>688</v>
      </c>
      <c r="C538" s="8" t="s">
        <v>800</v>
      </c>
      <c r="D538" s="8" t="s">
        <v>644</v>
      </c>
      <c r="E538" s="8" t="s">
        <v>644</v>
      </c>
      <c r="F538" s="8" t="s">
        <v>792</v>
      </c>
      <c r="G538" s="8" t="s">
        <v>230</v>
      </c>
      <c r="H538" s="8">
        <v>9.0495260000000002</v>
      </c>
      <c r="I538" s="8">
        <v>-79.432280000000006</v>
      </c>
      <c r="J538" s="21" t="s">
        <v>801</v>
      </c>
    </row>
    <row r="539" spans="1:10" x14ac:dyDescent="0.3">
      <c r="A539" s="20">
        <v>2</v>
      </c>
      <c r="B539" s="8">
        <v>689</v>
      </c>
      <c r="C539" s="8" t="s">
        <v>802</v>
      </c>
      <c r="D539" s="8" t="s">
        <v>644</v>
      </c>
      <c r="E539" s="8" t="s">
        <v>644</v>
      </c>
      <c r="F539" s="8" t="s">
        <v>792</v>
      </c>
      <c r="G539" s="8" t="s">
        <v>230</v>
      </c>
      <c r="H539" s="8">
        <v>9.0401950000000006</v>
      </c>
      <c r="I539" s="8">
        <v>-79.442302999999995</v>
      </c>
      <c r="J539" s="21" t="s">
        <v>107</v>
      </c>
    </row>
    <row r="540" spans="1:10" x14ac:dyDescent="0.3">
      <c r="A540" s="20">
        <v>2</v>
      </c>
      <c r="B540" s="8">
        <v>690</v>
      </c>
      <c r="C540" s="8" t="s">
        <v>803</v>
      </c>
      <c r="D540" s="8" t="s">
        <v>644</v>
      </c>
      <c r="E540" s="8" t="s">
        <v>644</v>
      </c>
      <c r="F540" s="8" t="s">
        <v>792</v>
      </c>
      <c r="G540" s="8" t="s">
        <v>12</v>
      </c>
      <c r="H540" s="8">
        <v>9.0610940000000006</v>
      </c>
      <c r="I540" s="8">
        <v>-79.414991000000001</v>
      </c>
      <c r="J540" s="21" t="s">
        <v>246</v>
      </c>
    </row>
    <row r="541" spans="1:10" x14ac:dyDescent="0.3">
      <c r="A541" s="20">
        <v>2</v>
      </c>
      <c r="B541" s="8">
        <v>691</v>
      </c>
      <c r="C541" s="8" t="s">
        <v>804</v>
      </c>
      <c r="D541" s="8" t="s">
        <v>644</v>
      </c>
      <c r="E541" s="8" t="s">
        <v>644</v>
      </c>
      <c r="F541" s="8" t="s">
        <v>792</v>
      </c>
      <c r="G541" s="8" t="s">
        <v>12</v>
      </c>
      <c r="H541" s="8">
        <v>9.049925</v>
      </c>
      <c r="I541" s="8">
        <v>-79.413938999999999</v>
      </c>
      <c r="J541" s="21" t="s">
        <v>100</v>
      </c>
    </row>
    <row r="542" spans="1:10" x14ac:dyDescent="0.3">
      <c r="A542" s="20">
        <v>2</v>
      </c>
      <c r="B542" s="8">
        <v>692</v>
      </c>
      <c r="C542" s="8" t="s">
        <v>805</v>
      </c>
      <c r="D542" s="8" t="s">
        <v>644</v>
      </c>
      <c r="E542" s="8" t="s">
        <v>644</v>
      </c>
      <c r="F542" s="8" t="s">
        <v>792</v>
      </c>
      <c r="G542" s="8" t="s">
        <v>230</v>
      </c>
      <c r="H542" s="8">
        <v>9.037191</v>
      </c>
      <c r="I542" s="8">
        <v>-79.443352000000004</v>
      </c>
      <c r="J542" s="21" t="s">
        <v>246</v>
      </c>
    </row>
    <row r="543" spans="1:10" x14ac:dyDescent="0.3">
      <c r="A543" s="20">
        <v>2</v>
      </c>
      <c r="B543" s="8">
        <v>695</v>
      </c>
      <c r="C543" s="8" t="s">
        <v>806</v>
      </c>
      <c r="D543" s="8" t="s">
        <v>644</v>
      </c>
      <c r="E543" s="8" t="s">
        <v>644</v>
      </c>
      <c r="F543" s="8" t="s">
        <v>792</v>
      </c>
      <c r="G543" s="8" t="s">
        <v>230</v>
      </c>
      <c r="H543" s="8">
        <v>9.0452999999999992</v>
      </c>
      <c r="I543" s="8">
        <v>-79.445116999999996</v>
      </c>
      <c r="J543" s="21" t="s">
        <v>246</v>
      </c>
    </row>
    <row r="544" spans="1:10" x14ac:dyDescent="0.3">
      <c r="A544" s="20">
        <v>2</v>
      </c>
      <c r="B544" s="8">
        <v>696</v>
      </c>
      <c r="C544" s="8" t="s">
        <v>807</v>
      </c>
      <c r="D544" s="8" t="s">
        <v>644</v>
      </c>
      <c r="E544" s="8" t="s">
        <v>644</v>
      </c>
      <c r="F544" s="8" t="s">
        <v>792</v>
      </c>
      <c r="G544" s="8" t="s">
        <v>12</v>
      </c>
      <c r="H544" s="8">
        <v>9.0554930000000002</v>
      </c>
      <c r="I544" s="8">
        <v>-79.434590999999998</v>
      </c>
      <c r="J544" s="21" t="s">
        <v>107</v>
      </c>
    </row>
    <row r="545" spans="1:10" x14ac:dyDescent="0.3">
      <c r="A545" s="20">
        <v>2</v>
      </c>
      <c r="B545" s="8">
        <v>698</v>
      </c>
      <c r="C545" s="8" t="s">
        <v>808</v>
      </c>
      <c r="D545" s="8" t="s">
        <v>644</v>
      </c>
      <c r="E545" s="8" t="s">
        <v>644</v>
      </c>
      <c r="F545" s="8" t="s">
        <v>809</v>
      </c>
      <c r="G545" s="8" t="s">
        <v>230</v>
      </c>
      <c r="H545" s="8">
        <v>8.9610109999999992</v>
      </c>
      <c r="I545" s="8">
        <v>-79.542434999999998</v>
      </c>
      <c r="J545" s="21" t="s">
        <v>580</v>
      </c>
    </row>
    <row r="546" spans="1:10" x14ac:dyDescent="0.3">
      <c r="A546" s="20">
        <v>2</v>
      </c>
      <c r="B546" s="8">
        <v>700</v>
      </c>
      <c r="C546" s="8" t="s">
        <v>810</v>
      </c>
      <c r="D546" s="8" t="s">
        <v>644</v>
      </c>
      <c r="E546" s="8" t="s">
        <v>644</v>
      </c>
      <c r="F546" s="8" t="s">
        <v>811</v>
      </c>
      <c r="G546" s="8" t="s">
        <v>230</v>
      </c>
      <c r="H546" s="8">
        <v>8.9702470000000005</v>
      </c>
      <c r="I546" s="8">
        <v>-79.538805999999994</v>
      </c>
      <c r="J546" s="21" t="s">
        <v>140</v>
      </c>
    </row>
    <row r="547" spans="1:10" x14ac:dyDescent="0.3">
      <c r="A547" s="20">
        <v>2</v>
      </c>
      <c r="B547" s="8">
        <v>701</v>
      </c>
      <c r="C547" s="8" t="s">
        <v>812</v>
      </c>
      <c r="D547" s="8" t="s">
        <v>644</v>
      </c>
      <c r="E547" s="8" t="s">
        <v>644</v>
      </c>
      <c r="F547" s="8" t="s">
        <v>811</v>
      </c>
      <c r="G547" s="8" t="s">
        <v>230</v>
      </c>
      <c r="H547" s="8">
        <v>8.9689479999999993</v>
      </c>
      <c r="I547" s="8">
        <v>-79.536940999999999</v>
      </c>
      <c r="J547" s="21" t="s">
        <v>37</v>
      </c>
    </row>
    <row r="548" spans="1:10" x14ac:dyDescent="0.3">
      <c r="A548" s="20">
        <v>2</v>
      </c>
      <c r="B548" s="8">
        <v>706</v>
      </c>
      <c r="C548" s="8" t="s">
        <v>813</v>
      </c>
      <c r="D548" s="8" t="s">
        <v>644</v>
      </c>
      <c r="E548" s="8" t="s">
        <v>644</v>
      </c>
      <c r="F548" s="8" t="s">
        <v>811</v>
      </c>
      <c r="G548" s="8" t="s">
        <v>12</v>
      </c>
      <c r="H548" s="8">
        <v>8.9698530000000005</v>
      </c>
      <c r="I548" s="8">
        <v>-79.536242000000001</v>
      </c>
      <c r="J548" s="21" t="s">
        <v>45</v>
      </c>
    </row>
    <row r="549" spans="1:10" x14ac:dyDescent="0.3">
      <c r="A549" s="20">
        <v>2</v>
      </c>
      <c r="B549" s="8">
        <v>707</v>
      </c>
      <c r="C549" s="8" t="s">
        <v>814</v>
      </c>
      <c r="D549" s="8" t="s">
        <v>644</v>
      </c>
      <c r="E549" s="8" t="s">
        <v>644</v>
      </c>
      <c r="F549" s="8" t="s">
        <v>811</v>
      </c>
      <c r="G549" s="8" t="s">
        <v>230</v>
      </c>
      <c r="H549" s="8">
        <v>8.9683019999999996</v>
      </c>
      <c r="I549" s="8">
        <v>-79.537786999999994</v>
      </c>
      <c r="J549" s="21" t="s">
        <v>282</v>
      </c>
    </row>
    <row r="550" spans="1:10" x14ac:dyDescent="0.3">
      <c r="A550" s="20">
        <v>2</v>
      </c>
      <c r="B550" s="8">
        <v>708</v>
      </c>
      <c r="C550" s="8" t="s">
        <v>815</v>
      </c>
      <c r="D550" s="8" t="s">
        <v>644</v>
      </c>
      <c r="E550" s="8" t="s">
        <v>644</v>
      </c>
      <c r="F550" s="8" t="s">
        <v>811</v>
      </c>
      <c r="G550" s="8" t="s">
        <v>230</v>
      </c>
      <c r="H550" s="8">
        <v>9.0090540000000008</v>
      </c>
      <c r="I550" s="8">
        <v>-79.507890000000003</v>
      </c>
      <c r="J550" s="21" t="s">
        <v>174</v>
      </c>
    </row>
    <row r="551" spans="1:10" x14ac:dyDescent="0.3">
      <c r="A551" s="20">
        <v>2</v>
      </c>
      <c r="B551" s="8">
        <v>709</v>
      </c>
      <c r="C551" s="8" t="s">
        <v>816</v>
      </c>
      <c r="D551" s="8" t="s">
        <v>644</v>
      </c>
      <c r="E551" s="8" t="s">
        <v>644</v>
      </c>
      <c r="F551" s="8" t="s">
        <v>817</v>
      </c>
      <c r="G551" s="8" t="s">
        <v>99</v>
      </c>
      <c r="H551" s="8">
        <v>9.0723280000000006</v>
      </c>
      <c r="I551" s="8">
        <v>-79.534809999999993</v>
      </c>
      <c r="J551" s="21" t="s">
        <v>88</v>
      </c>
    </row>
    <row r="552" spans="1:10" x14ac:dyDescent="0.3">
      <c r="A552" s="20">
        <v>2</v>
      </c>
      <c r="B552" s="8">
        <v>710</v>
      </c>
      <c r="C552" s="8" t="s">
        <v>818</v>
      </c>
      <c r="D552" s="8" t="s">
        <v>644</v>
      </c>
      <c r="E552" s="8" t="s">
        <v>644</v>
      </c>
      <c r="F552" s="8" t="s">
        <v>817</v>
      </c>
      <c r="G552" s="8" t="s">
        <v>12</v>
      </c>
      <c r="H552" s="8">
        <v>9.1052219999999995</v>
      </c>
      <c r="I552" s="8">
        <v>-79.562464000000006</v>
      </c>
      <c r="J552" s="21" t="s">
        <v>18</v>
      </c>
    </row>
    <row r="553" spans="1:10" x14ac:dyDescent="0.3">
      <c r="A553" s="20">
        <v>2</v>
      </c>
      <c r="B553" s="8">
        <v>711</v>
      </c>
      <c r="C553" s="8" t="s">
        <v>819</v>
      </c>
      <c r="D553" s="8" t="s">
        <v>644</v>
      </c>
      <c r="E553" s="8" t="s">
        <v>644</v>
      </c>
      <c r="F553" s="8" t="s">
        <v>817</v>
      </c>
      <c r="G553" s="8" t="s">
        <v>12</v>
      </c>
      <c r="H553" s="8">
        <v>9.0790170000000003</v>
      </c>
      <c r="I553" s="8">
        <v>-79.569046999999998</v>
      </c>
      <c r="J553" s="21" t="s">
        <v>820</v>
      </c>
    </row>
    <row r="554" spans="1:10" x14ac:dyDescent="0.3">
      <c r="A554" s="20">
        <v>2</v>
      </c>
      <c r="B554" s="8">
        <v>712</v>
      </c>
      <c r="C554" s="8" t="s">
        <v>821</v>
      </c>
      <c r="D554" s="8" t="s">
        <v>644</v>
      </c>
      <c r="E554" s="8" t="s">
        <v>644</v>
      </c>
      <c r="F554" s="8" t="s">
        <v>817</v>
      </c>
      <c r="G554" s="8" t="s">
        <v>12</v>
      </c>
      <c r="H554" s="8">
        <v>9.0879639999999995</v>
      </c>
      <c r="I554" s="8">
        <v>-79.533253000000002</v>
      </c>
      <c r="J554" s="21" t="s">
        <v>693</v>
      </c>
    </row>
    <row r="555" spans="1:10" x14ac:dyDescent="0.3">
      <c r="A555" s="20">
        <v>2</v>
      </c>
      <c r="B555" s="8">
        <v>713</v>
      </c>
      <c r="C555" s="8" t="s">
        <v>822</v>
      </c>
      <c r="D555" s="8" t="s">
        <v>644</v>
      </c>
      <c r="E555" s="8" t="s">
        <v>644</v>
      </c>
      <c r="F555" s="8" t="s">
        <v>817</v>
      </c>
      <c r="G555" s="8" t="s">
        <v>33</v>
      </c>
      <c r="H555" s="8">
        <v>9.0974559999999993</v>
      </c>
      <c r="I555" s="8">
        <v>-79.515202000000002</v>
      </c>
      <c r="J555" s="21" t="s">
        <v>695</v>
      </c>
    </row>
    <row r="556" spans="1:10" x14ac:dyDescent="0.3">
      <c r="A556" s="20">
        <v>2</v>
      </c>
      <c r="B556" s="8">
        <v>714</v>
      </c>
      <c r="C556" s="8" t="s">
        <v>823</v>
      </c>
      <c r="D556" s="8" t="s">
        <v>644</v>
      </c>
      <c r="E556" s="8" t="s">
        <v>644</v>
      </c>
      <c r="F556" s="8" t="s">
        <v>817</v>
      </c>
      <c r="G556" s="8" t="s">
        <v>12</v>
      </c>
      <c r="H556" s="8">
        <v>9.0761059999999993</v>
      </c>
      <c r="I556" s="8">
        <v>-79.526841000000005</v>
      </c>
      <c r="J556" s="21" t="s">
        <v>693</v>
      </c>
    </row>
    <row r="557" spans="1:10" x14ac:dyDescent="0.3">
      <c r="A557" s="20">
        <v>2</v>
      </c>
      <c r="B557" s="8">
        <v>715</v>
      </c>
      <c r="C557" s="8" t="s">
        <v>824</v>
      </c>
      <c r="D557" s="8" t="s">
        <v>644</v>
      </c>
      <c r="E557" s="8" t="s">
        <v>644</v>
      </c>
      <c r="F557" s="8" t="s">
        <v>817</v>
      </c>
      <c r="G557" s="8" t="s">
        <v>12</v>
      </c>
      <c r="H557" s="8">
        <v>9.1186419999999995</v>
      </c>
      <c r="I557" s="8">
        <v>-79.585617999999997</v>
      </c>
      <c r="J557" s="21" t="s">
        <v>586</v>
      </c>
    </row>
    <row r="558" spans="1:10" x14ac:dyDescent="0.3">
      <c r="A558" s="20">
        <v>2</v>
      </c>
      <c r="B558" s="8">
        <v>716</v>
      </c>
      <c r="C558" s="8" t="s">
        <v>825</v>
      </c>
      <c r="D558" s="8" t="s">
        <v>644</v>
      </c>
      <c r="E558" s="8" t="s">
        <v>644</v>
      </c>
      <c r="F558" s="8" t="s">
        <v>817</v>
      </c>
      <c r="G558" s="8" t="s">
        <v>99</v>
      </c>
      <c r="H558" s="8">
        <v>9.0618040000000004</v>
      </c>
      <c r="I558" s="8">
        <v>-79.548963999999998</v>
      </c>
      <c r="J558" s="21" t="s">
        <v>88</v>
      </c>
    </row>
    <row r="559" spans="1:10" x14ac:dyDescent="0.3">
      <c r="A559" s="20">
        <v>2</v>
      </c>
      <c r="B559" s="8">
        <v>717</v>
      </c>
      <c r="C559" s="8" t="s">
        <v>826</v>
      </c>
      <c r="D559" s="8" t="s">
        <v>644</v>
      </c>
      <c r="E559" s="8" t="s">
        <v>644</v>
      </c>
      <c r="F559" s="8" t="s">
        <v>817</v>
      </c>
      <c r="G559" s="8" t="s">
        <v>33</v>
      </c>
      <c r="H559" s="8">
        <v>9.1000840000000007</v>
      </c>
      <c r="I559" s="8">
        <v>-79.530968999999999</v>
      </c>
      <c r="J559" s="21" t="s">
        <v>695</v>
      </c>
    </row>
    <row r="560" spans="1:10" x14ac:dyDescent="0.3">
      <c r="A560" s="20">
        <v>2</v>
      </c>
      <c r="B560" s="8">
        <v>720</v>
      </c>
      <c r="C560" s="8" t="s">
        <v>827</v>
      </c>
      <c r="D560" s="8" t="s">
        <v>644</v>
      </c>
      <c r="E560" s="8" t="s">
        <v>644</v>
      </c>
      <c r="F560" s="8" t="s">
        <v>828</v>
      </c>
      <c r="G560" s="8" t="s">
        <v>12</v>
      </c>
      <c r="H560" s="8">
        <v>9.0812600000000003</v>
      </c>
      <c r="I560" s="8">
        <v>-79.404317000000006</v>
      </c>
      <c r="J560" s="21" t="s">
        <v>148</v>
      </c>
    </row>
    <row r="561" spans="1:10" x14ac:dyDescent="0.3">
      <c r="A561" s="20">
        <v>2</v>
      </c>
      <c r="B561" s="8">
        <v>721</v>
      </c>
      <c r="C561" s="8" t="s">
        <v>829</v>
      </c>
      <c r="D561" s="8" t="s">
        <v>644</v>
      </c>
      <c r="E561" s="8" t="s">
        <v>644</v>
      </c>
      <c r="F561" s="8" t="s">
        <v>828</v>
      </c>
      <c r="G561" s="8" t="s">
        <v>12</v>
      </c>
      <c r="H561" s="8">
        <v>9.0807160000000007</v>
      </c>
      <c r="I561" s="8">
        <v>-79.403700000000001</v>
      </c>
      <c r="J561" s="21" t="s">
        <v>801</v>
      </c>
    </row>
    <row r="562" spans="1:10" x14ac:dyDescent="0.3">
      <c r="A562" s="20">
        <v>2</v>
      </c>
      <c r="B562" s="8">
        <v>722</v>
      </c>
      <c r="C562" s="8" t="s">
        <v>830</v>
      </c>
      <c r="D562" s="8" t="s">
        <v>644</v>
      </c>
      <c r="E562" s="8" t="s">
        <v>644</v>
      </c>
      <c r="F562" s="8" t="s">
        <v>828</v>
      </c>
      <c r="G562" s="8" t="s">
        <v>12</v>
      </c>
      <c r="H562" s="8">
        <v>9.081353</v>
      </c>
      <c r="I562" s="8">
        <v>-79.406558000000004</v>
      </c>
      <c r="J562" s="21" t="s">
        <v>119</v>
      </c>
    </row>
    <row r="563" spans="1:10" x14ac:dyDescent="0.3">
      <c r="A563" s="20">
        <v>2</v>
      </c>
      <c r="B563" s="8">
        <v>723</v>
      </c>
      <c r="C563" s="8" t="s">
        <v>831</v>
      </c>
      <c r="D563" s="8" t="s">
        <v>644</v>
      </c>
      <c r="E563" s="8" t="s">
        <v>644</v>
      </c>
      <c r="F563" s="8" t="s">
        <v>828</v>
      </c>
      <c r="G563" s="8" t="s">
        <v>33</v>
      </c>
      <c r="H563" s="8">
        <v>9.1016919999999999</v>
      </c>
      <c r="I563" s="8">
        <v>-79.407306000000005</v>
      </c>
      <c r="J563" s="21" t="s">
        <v>119</v>
      </c>
    </row>
    <row r="564" spans="1:10" x14ac:dyDescent="0.3">
      <c r="A564" s="20">
        <v>2</v>
      </c>
      <c r="B564" s="8">
        <v>724</v>
      </c>
      <c r="C564" s="8" t="s">
        <v>832</v>
      </c>
      <c r="D564" s="8" t="s">
        <v>644</v>
      </c>
      <c r="E564" s="8" t="s">
        <v>644</v>
      </c>
      <c r="F564" s="8" t="s">
        <v>828</v>
      </c>
      <c r="G564" s="8" t="s">
        <v>33</v>
      </c>
      <c r="H564" s="8">
        <v>9.1092840000000006</v>
      </c>
      <c r="I564" s="8">
        <v>-79.395959000000005</v>
      </c>
      <c r="J564" s="21" t="s">
        <v>119</v>
      </c>
    </row>
    <row r="565" spans="1:10" x14ac:dyDescent="0.3">
      <c r="A565" s="20">
        <v>2</v>
      </c>
      <c r="B565" s="8">
        <v>725</v>
      </c>
      <c r="C565" s="8" t="s">
        <v>833</v>
      </c>
      <c r="D565" s="8" t="s">
        <v>644</v>
      </c>
      <c r="E565" s="8" t="s">
        <v>644</v>
      </c>
      <c r="F565" s="8" t="s">
        <v>828</v>
      </c>
      <c r="G565" s="8" t="s">
        <v>33</v>
      </c>
      <c r="H565" s="8">
        <v>9.0943909999999999</v>
      </c>
      <c r="I565" s="8">
        <v>-79.407096999999993</v>
      </c>
      <c r="J565" s="21" t="s">
        <v>820</v>
      </c>
    </row>
    <row r="566" spans="1:10" x14ac:dyDescent="0.3">
      <c r="A566" s="20">
        <v>2</v>
      </c>
      <c r="B566" s="8">
        <v>726</v>
      </c>
      <c r="C566" s="8" t="s">
        <v>834</v>
      </c>
      <c r="D566" s="8" t="s">
        <v>644</v>
      </c>
      <c r="E566" s="8" t="s">
        <v>644</v>
      </c>
      <c r="F566" s="8" t="s">
        <v>828</v>
      </c>
      <c r="G566" s="8" t="s">
        <v>12</v>
      </c>
      <c r="H566" s="8">
        <v>9.0508150000000001</v>
      </c>
      <c r="I566" s="8">
        <v>-79.414430999999993</v>
      </c>
      <c r="J566" s="21" t="s">
        <v>168</v>
      </c>
    </row>
    <row r="567" spans="1:10" x14ac:dyDescent="0.3">
      <c r="A567" s="20">
        <v>2</v>
      </c>
      <c r="B567" s="8">
        <v>727</v>
      </c>
      <c r="C567" s="8" t="s">
        <v>835</v>
      </c>
      <c r="D567" s="8" t="s">
        <v>644</v>
      </c>
      <c r="E567" s="8" t="s">
        <v>644</v>
      </c>
      <c r="F567" s="8" t="s">
        <v>828</v>
      </c>
      <c r="G567" s="8" t="s">
        <v>33</v>
      </c>
      <c r="H567" s="8">
        <v>9.0957240000000006</v>
      </c>
      <c r="I567" s="8">
        <v>-79.405682999999996</v>
      </c>
      <c r="J567" s="21" t="s">
        <v>686</v>
      </c>
    </row>
    <row r="568" spans="1:10" x14ac:dyDescent="0.3">
      <c r="A568" s="20">
        <v>2</v>
      </c>
      <c r="B568" s="8">
        <v>728</v>
      </c>
      <c r="C568" s="8" t="s">
        <v>836</v>
      </c>
      <c r="D568" s="8" t="s">
        <v>644</v>
      </c>
      <c r="E568" s="8" t="s">
        <v>644</v>
      </c>
      <c r="F568" s="8" t="s">
        <v>828</v>
      </c>
      <c r="G568" s="8" t="s">
        <v>33</v>
      </c>
      <c r="H568" s="8">
        <v>9.0949380000000009</v>
      </c>
      <c r="I568" s="8">
        <v>-79.406514000000001</v>
      </c>
      <c r="J568" s="21" t="s">
        <v>678</v>
      </c>
    </row>
    <row r="569" spans="1:10" x14ac:dyDescent="0.3">
      <c r="A569" s="20">
        <v>2</v>
      </c>
      <c r="B569" s="8">
        <v>732</v>
      </c>
      <c r="C569" s="8" t="s">
        <v>837</v>
      </c>
      <c r="D569" s="8" t="s">
        <v>644</v>
      </c>
      <c r="E569" s="8" t="s">
        <v>644</v>
      </c>
      <c r="F569" s="8" t="s">
        <v>828</v>
      </c>
      <c r="G569" s="8" t="s">
        <v>33</v>
      </c>
      <c r="H569" s="8">
        <v>9.0965439999999997</v>
      </c>
      <c r="I569" s="8">
        <v>-79.408976999999993</v>
      </c>
      <c r="J569" s="21" t="s">
        <v>686</v>
      </c>
    </row>
    <row r="570" spans="1:10" x14ac:dyDescent="0.3">
      <c r="A570" s="20">
        <v>2</v>
      </c>
      <c r="B570" s="8">
        <v>733</v>
      </c>
      <c r="C570" s="8" t="s">
        <v>838</v>
      </c>
      <c r="D570" s="8" t="s">
        <v>644</v>
      </c>
      <c r="E570" s="8" t="s">
        <v>644</v>
      </c>
      <c r="F570" s="8" t="s">
        <v>839</v>
      </c>
      <c r="G570" s="8" t="s">
        <v>12</v>
      </c>
      <c r="H570" s="8">
        <v>9.0868509999999993</v>
      </c>
      <c r="I570" s="8">
        <v>-79.289839000000001</v>
      </c>
      <c r="J570" s="21" t="s">
        <v>13</v>
      </c>
    </row>
    <row r="571" spans="1:10" x14ac:dyDescent="0.3">
      <c r="A571" s="20">
        <v>2</v>
      </c>
      <c r="B571" s="8">
        <v>734</v>
      </c>
      <c r="C571" s="8" t="s">
        <v>840</v>
      </c>
      <c r="D571" s="8" t="s">
        <v>644</v>
      </c>
      <c r="E571" s="8" t="s">
        <v>644</v>
      </c>
      <c r="F571" s="8" t="s">
        <v>839</v>
      </c>
      <c r="G571" s="8" t="s">
        <v>33</v>
      </c>
      <c r="H571" s="8">
        <v>9.1311110000000006</v>
      </c>
      <c r="I571" s="8">
        <v>-79.296666999999999</v>
      </c>
      <c r="J571" s="21" t="s">
        <v>13</v>
      </c>
    </row>
    <row r="572" spans="1:10" x14ac:dyDescent="0.3">
      <c r="A572" s="20">
        <v>2</v>
      </c>
      <c r="B572" s="8">
        <v>735</v>
      </c>
      <c r="C572" s="8" t="s">
        <v>841</v>
      </c>
      <c r="D572" s="8" t="s">
        <v>605</v>
      </c>
      <c r="E572" s="8" t="s">
        <v>606</v>
      </c>
      <c r="F572" s="8" t="s">
        <v>625</v>
      </c>
      <c r="G572" s="8" t="s">
        <v>12</v>
      </c>
      <c r="H572" s="8">
        <v>8.6587809999999994</v>
      </c>
      <c r="I572" s="8">
        <v>-78.159147000000004</v>
      </c>
      <c r="J572" s="21" t="s">
        <v>13</v>
      </c>
    </row>
    <row r="573" spans="1:10" x14ac:dyDescent="0.3">
      <c r="A573" s="20">
        <v>2</v>
      </c>
      <c r="B573" s="8">
        <v>736</v>
      </c>
      <c r="C573" s="8" t="s">
        <v>842</v>
      </c>
      <c r="D573" s="8" t="s">
        <v>644</v>
      </c>
      <c r="E573" s="8" t="s">
        <v>644</v>
      </c>
      <c r="F573" s="8" t="s">
        <v>839</v>
      </c>
      <c r="G573" s="8" t="s">
        <v>12</v>
      </c>
      <c r="H573" s="8">
        <v>9.1147860000000005</v>
      </c>
      <c r="I573" s="8">
        <v>-79.270419000000004</v>
      </c>
      <c r="J573" s="21" t="s">
        <v>13</v>
      </c>
    </row>
    <row r="574" spans="1:10" x14ac:dyDescent="0.3">
      <c r="A574" s="20">
        <v>2</v>
      </c>
      <c r="B574" s="8">
        <v>737</v>
      </c>
      <c r="C574" s="8" t="s">
        <v>843</v>
      </c>
      <c r="D574" s="8" t="s">
        <v>644</v>
      </c>
      <c r="E574" s="8" t="s">
        <v>644</v>
      </c>
      <c r="F574" s="8" t="s">
        <v>839</v>
      </c>
      <c r="G574" s="8" t="s">
        <v>12</v>
      </c>
      <c r="H574" s="8">
        <v>9.1273359999999997</v>
      </c>
      <c r="I574" s="8">
        <v>-79.254655</v>
      </c>
      <c r="J574" s="21" t="s">
        <v>13</v>
      </c>
    </row>
    <row r="575" spans="1:10" x14ac:dyDescent="0.3">
      <c r="A575" s="20">
        <v>2</v>
      </c>
      <c r="B575" s="8">
        <v>738</v>
      </c>
      <c r="C575" s="8" t="s">
        <v>844</v>
      </c>
      <c r="D575" s="8" t="s">
        <v>644</v>
      </c>
      <c r="E575" s="8" t="s">
        <v>644</v>
      </c>
      <c r="F575" s="8" t="s">
        <v>839</v>
      </c>
      <c r="G575" s="8" t="s">
        <v>12</v>
      </c>
      <c r="H575" s="8">
        <v>9.0816970000000001</v>
      </c>
      <c r="I575" s="8">
        <v>-79.296398999999994</v>
      </c>
      <c r="J575" s="21" t="s">
        <v>13</v>
      </c>
    </row>
    <row r="576" spans="1:10" x14ac:dyDescent="0.3">
      <c r="A576" s="20">
        <v>2</v>
      </c>
      <c r="B576" s="8">
        <v>739</v>
      </c>
      <c r="C576" s="8" t="s">
        <v>845</v>
      </c>
      <c r="D576" s="8" t="s">
        <v>644</v>
      </c>
      <c r="E576" s="8" t="s">
        <v>644</v>
      </c>
      <c r="F576" s="8" t="s">
        <v>839</v>
      </c>
      <c r="G576" s="8" t="s">
        <v>12</v>
      </c>
      <c r="H576" s="8">
        <v>9.1131360000000008</v>
      </c>
      <c r="I576" s="8">
        <v>-79.337192999999999</v>
      </c>
      <c r="J576" s="21" t="s">
        <v>13</v>
      </c>
    </row>
    <row r="577" spans="1:10" x14ac:dyDescent="0.3">
      <c r="A577" s="20">
        <v>2</v>
      </c>
      <c r="B577" s="8">
        <v>740</v>
      </c>
      <c r="C577" s="8" t="s">
        <v>846</v>
      </c>
      <c r="D577" s="8" t="s">
        <v>644</v>
      </c>
      <c r="E577" s="8" t="s">
        <v>644</v>
      </c>
      <c r="F577" s="8" t="s">
        <v>839</v>
      </c>
      <c r="G577" s="8" t="s">
        <v>12</v>
      </c>
      <c r="H577" s="8">
        <v>9.1289689999999997</v>
      </c>
      <c r="I577" s="8">
        <v>-79.246359999999996</v>
      </c>
      <c r="J577" s="21" t="s">
        <v>13</v>
      </c>
    </row>
    <row r="578" spans="1:10" x14ac:dyDescent="0.3">
      <c r="A578" s="20">
        <v>2</v>
      </c>
      <c r="B578" s="8">
        <v>741</v>
      </c>
      <c r="C578" s="8" t="s">
        <v>847</v>
      </c>
      <c r="D578" s="8" t="s">
        <v>644</v>
      </c>
      <c r="E578" s="8" t="s">
        <v>644</v>
      </c>
      <c r="F578" s="8" t="s">
        <v>839</v>
      </c>
      <c r="G578" s="8" t="s">
        <v>99</v>
      </c>
      <c r="H578" s="8">
        <v>9.1262749999999997</v>
      </c>
      <c r="I578" s="8">
        <v>-79.308002999999999</v>
      </c>
      <c r="J578" s="21" t="s">
        <v>13</v>
      </c>
    </row>
    <row r="579" spans="1:10" x14ac:dyDescent="0.3">
      <c r="A579" s="20">
        <v>2</v>
      </c>
      <c r="B579" s="8">
        <v>742</v>
      </c>
      <c r="C579" s="8" t="s">
        <v>848</v>
      </c>
      <c r="D579" s="8" t="s">
        <v>644</v>
      </c>
      <c r="E579" s="8" t="s">
        <v>644</v>
      </c>
      <c r="F579" s="8" t="s">
        <v>839</v>
      </c>
      <c r="G579" s="8" t="s">
        <v>12</v>
      </c>
      <c r="H579" s="8">
        <v>9.0854739999999996</v>
      </c>
      <c r="I579" s="8">
        <v>-79.291281999999995</v>
      </c>
      <c r="J579" s="21" t="s">
        <v>13</v>
      </c>
    </row>
    <row r="580" spans="1:10" x14ac:dyDescent="0.3">
      <c r="A580" s="20">
        <v>2</v>
      </c>
      <c r="B580" s="8">
        <v>743</v>
      </c>
      <c r="C580" s="8" t="s">
        <v>849</v>
      </c>
      <c r="D580" s="8" t="s">
        <v>644</v>
      </c>
      <c r="E580" s="8" t="s">
        <v>644</v>
      </c>
      <c r="F580" s="8" t="s">
        <v>839</v>
      </c>
      <c r="G580" s="8" t="s">
        <v>12</v>
      </c>
      <c r="H580" s="8">
        <v>9.0991949999999999</v>
      </c>
      <c r="I580" s="8">
        <v>-79.251428000000004</v>
      </c>
      <c r="J580" s="21" t="s">
        <v>435</v>
      </c>
    </row>
    <row r="581" spans="1:10" x14ac:dyDescent="0.3">
      <c r="A581" s="20">
        <v>2</v>
      </c>
      <c r="B581" s="8">
        <v>744</v>
      </c>
      <c r="C581" s="8" t="s">
        <v>850</v>
      </c>
      <c r="D581" s="8" t="s">
        <v>644</v>
      </c>
      <c r="E581" s="8" t="s">
        <v>644</v>
      </c>
      <c r="F581" s="8" t="s">
        <v>839</v>
      </c>
      <c r="G581" s="8" t="s">
        <v>99</v>
      </c>
      <c r="H581" s="8">
        <v>9.1550799999999999</v>
      </c>
      <c r="I581" s="8">
        <v>-79.323582000000002</v>
      </c>
      <c r="J581" s="21" t="s">
        <v>786</v>
      </c>
    </row>
    <row r="582" spans="1:10" x14ac:dyDescent="0.3">
      <c r="A582" s="20">
        <v>2</v>
      </c>
      <c r="B582" s="8">
        <v>745</v>
      </c>
      <c r="C582" s="8" t="s">
        <v>851</v>
      </c>
      <c r="D582" s="8" t="s">
        <v>644</v>
      </c>
      <c r="E582" s="8" t="s">
        <v>644</v>
      </c>
      <c r="F582" s="8" t="s">
        <v>839</v>
      </c>
      <c r="G582" s="8" t="s">
        <v>12</v>
      </c>
      <c r="H582" s="8">
        <v>9.0821199999999997</v>
      </c>
      <c r="I582" s="8">
        <v>-79.289299999999997</v>
      </c>
      <c r="J582" s="21" t="s">
        <v>13</v>
      </c>
    </row>
    <row r="583" spans="1:10" x14ac:dyDescent="0.3">
      <c r="A583" s="20">
        <v>2</v>
      </c>
      <c r="B583" s="8">
        <v>746</v>
      </c>
      <c r="C583" s="8" t="s">
        <v>852</v>
      </c>
      <c r="D583" s="8" t="s">
        <v>644</v>
      </c>
      <c r="E583" s="8" t="s">
        <v>644</v>
      </c>
      <c r="F583" s="8" t="s">
        <v>839</v>
      </c>
      <c r="G583" s="8" t="s">
        <v>12</v>
      </c>
      <c r="H583" s="8">
        <v>9.0825510000000005</v>
      </c>
      <c r="I583" s="8">
        <v>-79.286206000000007</v>
      </c>
      <c r="J583" s="21" t="s">
        <v>13</v>
      </c>
    </row>
    <row r="584" spans="1:10" x14ac:dyDescent="0.3">
      <c r="A584" s="20">
        <v>2</v>
      </c>
      <c r="B584" s="8">
        <v>747</v>
      </c>
      <c r="C584" s="8" t="s">
        <v>853</v>
      </c>
      <c r="D584" s="8" t="s">
        <v>644</v>
      </c>
      <c r="E584" s="8" t="s">
        <v>644</v>
      </c>
      <c r="F584" s="8" t="s">
        <v>839</v>
      </c>
      <c r="G584" s="8" t="s">
        <v>12</v>
      </c>
      <c r="H584" s="8">
        <v>9.0883029999999998</v>
      </c>
      <c r="I584" s="8">
        <v>-79.291093000000004</v>
      </c>
      <c r="J584" s="21" t="s">
        <v>13</v>
      </c>
    </row>
    <row r="585" spans="1:10" x14ac:dyDescent="0.3">
      <c r="A585" s="20">
        <v>2</v>
      </c>
      <c r="B585" s="8">
        <v>748</v>
      </c>
      <c r="C585" s="8" t="s">
        <v>854</v>
      </c>
      <c r="D585" s="8" t="s">
        <v>644</v>
      </c>
      <c r="E585" s="8" t="s">
        <v>644</v>
      </c>
      <c r="F585" s="8" t="s">
        <v>839</v>
      </c>
      <c r="G585" s="8" t="s">
        <v>12</v>
      </c>
      <c r="H585" s="8">
        <v>9.0844869999999993</v>
      </c>
      <c r="I585" s="8">
        <v>-79.287251999999995</v>
      </c>
      <c r="J585" s="21" t="s">
        <v>13</v>
      </c>
    </row>
    <row r="586" spans="1:10" x14ac:dyDescent="0.3">
      <c r="A586" s="20">
        <v>2</v>
      </c>
      <c r="B586" s="8">
        <v>749</v>
      </c>
      <c r="C586" s="8" t="s">
        <v>855</v>
      </c>
      <c r="D586" s="8" t="s">
        <v>644</v>
      </c>
      <c r="E586" s="8" t="s">
        <v>644</v>
      </c>
      <c r="F586" s="8" t="s">
        <v>839</v>
      </c>
      <c r="G586" s="8" t="s">
        <v>12</v>
      </c>
      <c r="H586" s="8">
        <v>9.087256</v>
      </c>
      <c r="I586" s="8">
        <v>-79.287580000000005</v>
      </c>
      <c r="J586" s="21" t="s">
        <v>13</v>
      </c>
    </row>
    <row r="587" spans="1:10" x14ac:dyDescent="0.3">
      <c r="A587" s="20">
        <v>2</v>
      </c>
      <c r="B587" s="8">
        <v>751</v>
      </c>
      <c r="C587" s="8" t="s">
        <v>856</v>
      </c>
      <c r="D587" s="8" t="s">
        <v>644</v>
      </c>
      <c r="E587" s="8" t="s">
        <v>644</v>
      </c>
      <c r="F587" s="8" t="s">
        <v>857</v>
      </c>
      <c r="G587" s="8" t="s">
        <v>230</v>
      </c>
      <c r="H587" s="8">
        <v>9</v>
      </c>
      <c r="I587" s="8">
        <v>-79.498728</v>
      </c>
      <c r="J587" s="21" t="s">
        <v>797</v>
      </c>
    </row>
    <row r="588" spans="1:10" x14ac:dyDescent="0.3">
      <c r="A588" s="20">
        <v>2</v>
      </c>
      <c r="B588" s="8">
        <v>752</v>
      </c>
      <c r="C588" s="8" t="s">
        <v>858</v>
      </c>
      <c r="D588" s="8" t="s">
        <v>644</v>
      </c>
      <c r="E588" s="8" t="s">
        <v>644</v>
      </c>
      <c r="F588" s="8" t="s">
        <v>857</v>
      </c>
      <c r="G588" s="8" t="s">
        <v>230</v>
      </c>
      <c r="H588" s="8">
        <v>9.0035760000000007</v>
      </c>
      <c r="I588" s="8">
        <v>-79.493885000000006</v>
      </c>
      <c r="J588" s="21" t="s">
        <v>689</v>
      </c>
    </row>
    <row r="589" spans="1:10" x14ac:dyDescent="0.3">
      <c r="A589" s="20">
        <v>2</v>
      </c>
      <c r="B589" s="8">
        <v>753</v>
      </c>
      <c r="C589" s="8" t="s">
        <v>859</v>
      </c>
      <c r="D589" s="8" t="s">
        <v>644</v>
      </c>
      <c r="E589" s="8" t="s">
        <v>644</v>
      </c>
      <c r="F589" s="8" t="s">
        <v>857</v>
      </c>
      <c r="G589" s="8" t="s">
        <v>230</v>
      </c>
      <c r="H589" s="8">
        <v>9.0076889999999992</v>
      </c>
      <c r="I589" s="8">
        <v>-79.493189999999998</v>
      </c>
      <c r="J589" s="21" t="s">
        <v>713</v>
      </c>
    </row>
    <row r="590" spans="1:10" x14ac:dyDescent="0.3">
      <c r="A590" s="20">
        <v>2</v>
      </c>
      <c r="B590" s="8">
        <v>754</v>
      </c>
      <c r="C590" s="8" t="s">
        <v>860</v>
      </c>
      <c r="D590" s="8" t="s">
        <v>644</v>
      </c>
      <c r="E590" s="8" t="s">
        <v>644</v>
      </c>
      <c r="F590" s="8" t="s">
        <v>857</v>
      </c>
      <c r="G590" s="8" t="s">
        <v>230</v>
      </c>
      <c r="H590" s="8">
        <v>9</v>
      </c>
      <c r="I590" s="8">
        <v>-79.504069000000001</v>
      </c>
      <c r="J590" s="21" t="s">
        <v>797</v>
      </c>
    </row>
    <row r="591" spans="1:10" x14ac:dyDescent="0.3">
      <c r="A591" s="20">
        <v>2</v>
      </c>
      <c r="B591" s="8">
        <v>755</v>
      </c>
      <c r="C591" s="8" t="s">
        <v>861</v>
      </c>
      <c r="D591" s="8" t="s">
        <v>644</v>
      </c>
      <c r="E591" s="8" t="s">
        <v>644</v>
      </c>
      <c r="F591" s="8" t="s">
        <v>857</v>
      </c>
      <c r="G591" s="8" t="s">
        <v>230</v>
      </c>
      <c r="H591" s="8">
        <v>9.0111279999999994</v>
      </c>
      <c r="I591" s="8">
        <v>-79.500536999999994</v>
      </c>
      <c r="J591" s="21" t="s">
        <v>713</v>
      </c>
    </row>
    <row r="592" spans="1:10" x14ac:dyDescent="0.3">
      <c r="A592" s="20">
        <v>2</v>
      </c>
      <c r="B592" s="8">
        <v>756</v>
      </c>
      <c r="C592" s="8" t="s">
        <v>862</v>
      </c>
      <c r="D592" s="8" t="s">
        <v>644</v>
      </c>
      <c r="E592" s="8" t="s">
        <v>644</v>
      </c>
      <c r="F592" s="8" t="s">
        <v>857</v>
      </c>
      <c r="G592" s="8" t="s">
        <v>230</v>
      </c>
      <c r="H592" s="8">
        <v>9.019012</v>
      </c>
      <c r="I592" s="8">
        <v>-79.491990000000001</v>
      </c>
      <c r="J592" s="21" t="s">
        <v>107</v>
      </c>
    </row>
    <row r="593" spans="1:10" x14ac:dyDescent="0.3">
      <c r="A593" s="20">
        <v>2</v>
      </c>
      <c r="B593" s="8">
        <v>757</v>
      </c>
      <c r="C593" s="8" t="s">
        <v>863</v>
      </c>
      <c r="D593" s="8" t="s">
        <v>644</v>
      </c>
      <c r="E593" s="8" t="s">
        <v>644</v>
      </c>
      <c r="F593" s="8" t="s">
        <v>857</v>
      </c>
      <c r="G593" s="8" t="s">
        <v>230</v>
      </c>
      <c r="H593" s="8">
        <v>9.0125580000000003</v>
      </c>
      <c r="I593" s="8">
        <v>-79.485377</v>
      </c>
      <c r="J593" s="21" t="s">
        <v>713</v>
      </c>
    </row>
    <row r="594" spans="1:10" x14ac:dyDescent="0.3">
      <c r="A594" s="20">
        <v>2</v>
      </c>
      <c r="B594" s="8">
        <v>758</v>
      </c>
      <c r="C594" s="8" t="s">
        <v>864</v>
      </c>
      <c r="D594" s="8" t="s">
        <v>644</v>
      </c>
      <c r="E594" s="8" t="s">
        <v>644</v>
      </c>
      <c r="F594" s="8" t="s">
        <v>857</v>
      </c>
      <c r="G594" s="8" t="s">
        <v>230</v>
      </c>
      <c r="H594" s="8">
        <v>9.0200200000000006</v>
      </c>
      <c r="I594" s="8">
        <v>-79.488140999999999</v>
      </c>
      <c r="J594" s="21" t="s">
        <v>107</v>
      </c>
    </row>
    <row r="595" spans="1:10" x14ac:dyDescent="0.3">
      <c r="A595" s="20">
        <v>2</v>
      </c>
      <c r="B595" s="8">
        <v>759</v>
      </c>
      <c r="C595" s="8" t="s">
        <v>865</v>
      </c>
      <c r="D595" s="8" t="s">
        <v>644</v>
      </c>
      <c r="E595" s="8" t="s">
        <v>644</v>
      </c>
      <c r="F595" s="8" t="s">
        <v>142</v>
      </c>
      <c r="G595" s="8" t="s">
        <v>12</v>
      </c>
      <c r="H595" s="8">
        <v>9.0705050000000007</v>
      </c>
      <c r="I595" s="8">
        <v>-79.424273999999997</v>
      </c>
      <c r="J595" s="21" t="s">
        <v>795</v>
      </c>
    </row>
    <row r="596" spans="1:10" x14ac:dyDescent="0.3">
      <c r="A596" s="20">
        <v>2</v>
      </c>
      <c r="B596" s="8">
        <v>761</v>
      </c>
      <c r="C596" s="8" t="s">
        <v>866</v>
      </c>
      <c r="D596" s="8" t="s">
        <v>644</v>
      </c>
      <c r="E596" s="8" t="s">
        <v>644</v>
      </c>
      <c r="F596" s="8" t="s">
        <v>142</v>
      </c>
      <c r="G596" s="8" t="s">
        <v>12</v>
      </c>
      <c r="H596" s="8">
        <v>9.0772019999999998</v>
      </c>
      <c r="I596" s="8">
        <v>-79.420496999999997</v>
      </c>
      <c r="J596" s="21" t="s">
        <v>168</v>
      </c>
    </row>
    <row r="597" spans="1:10" x14ac:dyDescent="0.3">
      <c r="A597" s="20">
        <v>2</v>
      </c>
      <c r="B597" s="8">
        <v>762</v>
      </c>
      <c r="C597" s="8" t="s">
        <v>867</v>
      </c>
      <c r="D597" s="8" t="s">
        <v>644</v>
      </c>
      <c r="E597" s="8" t="s">
        <v>644</v>
      </c>
      <c r="F597" s="8" t="s">
        <v>142</v>
      </c>
      <c r="G597" s="8" t="s">
        <v>33</v>
      </c>
      <c r="H597" s="8">
        <v>9.1103579999999997</v>
      </c>
      <c r="I597" s="8">
        <v>-79.454414999999997</v>
      </c>
      <c r="J597" s="21" t="s">
        <v>88</v>
      </c>
    </row>
    <row r="598" spans="1:10" x14ac:dyDescent="0.3">
      <c r="A598" s="20">
        <v>2</v>
      </c>
      <c r="B598" s="8">
        <v>763</v>
      </c>
      <c r="C598" s="8" t="s">
        <v>868</v>
      </c>
      <c r="D598" s="8" t="s">
        <v>644</v>
      </c>
      <c r="E598" s="8" t="s">
        <v>644</v>
      </c>
      <c r="F598" s="8" t="s">
        <v>142</v>
      </c>
      <c r="G598" s="8" t="s">
        <v>12</v>
      </c>
      <c r="H598" s="8">
        <v>9.1004269999999998</v>
      </c>
      <c r="I598" s="8">
        <v>-79.424502000000004</v>
      </c>
      <c r="J598" s="21" t="s">
        <v>678</v>
      </c>
    </row>
    <row r="599" spans="1:10" x14ac:dyDescent="0.3">
      <c r="A599" s="20">
        <v>2</v>
      </c>
      <c r="B599" s="8">
        <v>764</v>
      </c>
      <c r="C599" s="8" t="s">
        <v>869</v>
      </c>
      <c r="D599" s="8" t="s">
        <v>644</v>
      </c>
      <c r="E599" s="8" t="s">
        <v>644</v>
      </c>
      <c r="F599" s="8" t="s">
        <v>142</v>
      </c>
      <c r="G599" s="8" t="s">
        <v>12</v>
      </c>
      <c r="H599" s="8">
        <v>9.076746</v>
      </c>
      <c r="I599" s="8">
        <v>-79.436295999999999</v>
      </c>
      <c r="J599" s="21" t="s">
        <v>168</v>
      </c>
    </row>
    <row r="600" spans="1:10" x14ac:dyDescent="0.3">
      <c r="A600" s="20">
        <v>2</v>
      </c>
      <c r="B600" s="8">
        <v>765</v>
      </c>
      <c r="C600" s="8" t="s">
        <v>870</v>
      </c>
      <c r="D600" s="8" t="s">
        <v>644</v>
      </c>
      <c r="E600" s="8" t="s">
        <v>644</v>
      </c>
      <c r="F600" s="8" t="s">
        <v>142</v>
      </c>
      <c r="G600" s="8" t="s">
        <v>99</v>
      </c>
      <c r="H600" s="8">
        <v>9.1099899999999998</v>
      </c>
      <c r="I600" s="8">
        <v>-79.442244000000002</v>
      </c>
      <c r="J600" s="21" t="s">
        <v>801</v>
      </c>
    </row>
    <row r="601" spans="1:10" x14ac:dyDescent="0.3">
      <c r="A601" s="20">
        <v>2</v>
      </c>
      <c r="B601" s="8">
        <v>766</v>
      </c>
      <c r="C601" s="8" t="s">
        <v>871</v>
      </c>
      <c r="D601" s="8" t="s">
        <v>644</v>
      </c>
      <c r="E601" s="8" t="s">
        <v>644</v>
      </c>
      <c r="F601" s="8" t="s">
        <v>142</v>
      </c>
      <c r="G601" s="8" t="s">
        <v>12</v>
      </c>
      <c r="H601" s="8">
        <v>9.07151</v>
      </c>
      <c r="I601" s="8">
        <v>-79.424923000000007</v>
      </c>
      <c r="J601" s="21" t="s">
        <v>168</v>
      </c>
    </row>
    <row r="602" spans="1:10" x14ac:dyDescent="0.3">
      <c r="A602" s="20">
        <v>2</v>
      </c>
      <c r="B602" s="8">
        <v>767</v>
      </c>
      <c r="C602" s="8" t="s">
        <v>872</v>
      </c>
      <c r="D602" s="8" t="s">
        <v>644</v>
      </c>
      <c r="E602" s="8" t="s">
        <v>644</v>
      </c>
      <c r="F602" s="8" t="s">
        <v>142</v>
      </c>
      <c r="G602" s="8" t="s">
        <v>12</v>
      </c>
      <c r="H602" s="8">
        <v>9.07151</v>
      </c>
      <c r="I602" s="8">
        <v>-79.424923000000007</v>
      </c>
      <c r="J602" s="21" t="s">
        <v>795</v>
      </c>
    </row>
    <row r="603" spans="1:10" x14ac:dyDescent="0.3">
      <c r="A603" s="20">
        <v>2</v>
      </c>
      <c r="B603" s="8">
        <v>770</v>
      </c>
      <c r="C603" s="8" t="s">
        <v>873</v>
      </c>
      <c r="D603" s="8" t="s">
        <v>644</v>
      </c>
      <c r="E603" s="8" t="s">
        <v>644</v>
      </c>
      <c r="F603" s="8" t="s">
        <v>874</v>
      </c>
      <c r="G603" s="8" t="s">
        <v>12</v>
      </c>
      <c r="H603" s="8">
        <v>9.0166839999999997</v>
      </c>
      <c r="I603" s="8">
        <v>-79.515772999999996</v>
      </c>
      <c r="J603" s="21" t="s">
        <v>797</v>
      </c>
    </row>
    <row r="604" spans="1:10" x14ac:dyDescent="0.3">
      <c r="A604" s="20">
        <v>2</v>
      </c>
      <c r="B604" s="8">
        <v>772</v>
      </c>
      <c r="C604" s="8" t="s">
        <v>875</v>
      </c>
      <c r="D604" s="8" t="s">
        <v>644</v>
      </c>
      <c r="E604" s="8" t="s">
        <v>644</v>
      </c>
      <c r="F604" s="8" t="s">
        <v>874</v>
      </c>
      <c r="G604" s="8" t="s">
        <v>12</v>
      </c>
      <c r="H604" s="8">
        <v>9.0120710000000006</v>
      </c>
      <c r="I604" s="8">
        <v>-79.515851999999995</v>
      </c>
      <c r="J604" s="21" t="s">
        <v>713</v>
      </c>
    </row>
    <row r="605" spans="1:10" x14ac:dyDescent="0.3">
      <c r="A605" s="20">
        <v>2</v>
      </c>
      <c r="B605" s="8">
        <v>773</v>
      </c>
      <c r="C605" s="8" t="s">
        <v>876</v>
      </c>
      <c r="D605" s="8" t="s">
        <v>644</v>
      </c>
      <c r="E605" s="8" t="s">
        <v>644</v>
      </c>
      <c r="F605" s="8" t="s">
        <v>874</v>
      </c>
      <c r="G605" s="8" t="s">
        <v>230</v>
      </c>
      <c r="H605" s="8">
        <v>8.9988200000000003</v>
      </c>
      <c r="I605" s="8">
        <v>-79.523345000000006</v>
      </c>
      <c r="J605" s="21" t="s">
        <v>877</v>
      </c>
    </row>
    <row r="606" spans="1:10" x14ac:dyDescent="0.3">
      <c r="A606" s="20">
        <v>2</v>
      </c>
      <c r="B606" s="8">
        <v>774</v>
      </c>
      <c r="C606" s="8" t="s">
        <v>878</v>
      </c>
      <c r="D606" s="8" t="s">
        <v>644</v>
      </c>
      <c r="E606" s="8" t="s">
        <v>644</v>
      </c>
      <c r="F606" s="8" t="s">
        <v>874</v>
      </c>
      <c r="G606" s="8" t="s">
        <v>230</v>
      </c>
      <c r="H606" s="8">
        <v>9.0171550000000007</v>
      </c>
      <c r="I606" s="8">
        <v>-79.511377999999993</v>
      </c>
      <c r="J606" s="21" t="s">
        <v>877</v>
      </c>
    </row>
    <row r="607" spans="1:10" x14ac:dyDescent="0.3">
      <c r="A607" s="20">
        <v>2</v>
      </c>
      <c r="B607" s="8">
        <v>775</v>
      </c>
      <c r="C607" s="8" t="s">
        <v>879</v>
      </c>
      <c r="D607" s="8" t="s">
        <v>644</v>
      </c>
      <c r="E607" s="8" t="s">
        <v>644</v>
      </c>
      <c r="F607" s="8" t="s">
        <v>874</v>
      </c>
      <c r="G607" s="8" t="s">
        <v>12</v>
      </c>
      <c r="H607" s="8">
        <v>9.0161909999999992</v>
      </c>
      <c r="I607" s="8">
        <v>-79.516388000000006</v>
      </c>
      <c r="J607" s="21" t="s">
        <v>877</v>
      </c>
    </row>
    <row r="608" spans="1:10" x14ac:dyDescent="0.3">
      <c r="A608" s="20">
        <v>2</v>
      </c>
      <c r="B608" s="8">
        <v>776</v>
      </c>
      <c r="C608" s="8" t="s">
        <v>880</v>
      </c>
      <c r="D608" s="8" t="s">
        <v>644</v>
      </c>
      <c r="E608" s="8" t="s">
        <v>644</v>
      </c>
      <c r="F608" s="8" t="s">
        <v>874</v>
      </c>
      <c r="G608" s="8" t="s">
        <v>230</v>
      </c>
      <c r="H608" s="8">
        <v>9.0171559999999999</v>
      </c>
      <c r="I608" s="8">
        <v>-79.511377999999993</v>
      </c>
      <c r="J608" s="21" t="s">
        <v>877</v>
      </c>
    </row>
    <row r="609" spans="1:10" x14ac:dyDescent="0.3">
      <c r="A609" s="20">
        <v>2</v>
      </c>
      <c r="B609" s="8">
        <v>777</v>
      </c>
      <c r="C609" s="8" t="s">
        <v>881</v>
      </c>
      <c r="D609" s="8" t="s">
        <v>644</v>
      </c>
      <c r="E609" s="8" t="s">
        <v>644</v>
      </c>
      <c r="F609" s="8" t="s">
        <v>882</v>
      </c>
      <c r="G609" s="8" t="s">
        <v>230</v>
      </c>
      <c r="H609" s="8">
        <v>9.014939</v>
      </c>
      <c r="I609" s="8">
        <v>-79.501571999999996</v>
      </c>
      <c r="J609" s="21" t="s">
        <v>795</v>
      </c>
    </row>
    <row r="610" spans="1:10" x14ac:dyDescent="0.3">
      <c r="A610" s="20">
        <v>2</v>
      </c>
      <c r="B610" s="8">
        <v>778</v>
      </c>
      <c r="C610" s="8" t="s">
        <v>883</v>
      </c>
      <c r="D610" s="8" t="s">
        <v>644</v>
      </c>
      <c r="E610" s="8" t="s">
        <v>644</v>
      </c>
      <c r="F610" s="8" t="s">
        <v>882</v>
      </c>
      <c r="G610" s="8" t="s">
        <v>230</v>
      </c>
      <c r="H610" s="8">
        <v>9.0241430000000005</v>
      </c>
      <c r="I610" s="8">
        <v>-79.499319</v>
      </c>
      <c r="J610" s="21" t="s">
        <v>107</v>
      </c>
    </row>
    <row r="611" spans="1:10" x14ac:dyDescent="0.3">
      <c r="A611" s="20">
        <v>2</v>
      </c>
      <c r="B611" s="8">
        <v>779</v>
      </c>
      <c r="C611" s="8" t="s">
        <v>884</v>
      </c>
      <c r="D611" s="8" t="s">
        <v>644</v>
      </c>
      <c r="E611" s="8" t="s">
        <v>644</v>
      </c>
      <c r="F611" s="8" t="s">
        <v>882</v>
      </c>
      <c r="G611" s="8" t="s">
        <v>230</v>
      </c>
      <c r="H611" s="8">
        <v>9.0260789999999993</v>
      </c>
      <c r="I611" s="8">
        <v>-79.492898999999994</v>
      </c>
      <c r="J611" s="21" t="s">
        <v>168</v>
      </c>
    </row>
    <row r="612" spans="1:10" x14ac:dyDescent="0.3">
      <c r="A612" s="20">
        <v>2</v>
      </c>
      <c r="B612" s="8">
        <v>780</v>
      </c>
      <c r="C612" s="8" t="s">
        <v>885</v>
      </c>
      <c r="D612" s="8" t="s">
        <v>644</v>
      </c>
      <c r="E612" s="8" t="s">
        <v>644</v>
      </c>
      <c r="F612" s="8" t="s">
        <v>882</v>
      </c>
      <c r="G612" s="8" t="s">
        <v>230</v>
      </c>
      <c r="H612" s="8">
        <v>9.0254829999999995</v>
      </c>
      <c r="I612" s="8">
        <v>-79.494035999999994</v>
      </c>
      <c r="J612" s="21" t="s">
        <v>716</v>
      </c>
    </row>
    <row r="613" spans="1:10" x14ac:dyDescent="0.3">
      <c r="A613" s="20">
        <v>2</v>
      </c>
      <c r="B613" s="8">
        <v>782</v>
      </c>
      <c r="C613" s="8" t="s">
        <v>886</v>
      </c>
      <c r="D613" s="8" t="s">
        <v>644</v>
      </c>
      <c r="E613" s="8" t="s">
        <v>644</v>
      </c>
      <c r="F613" s="8" t="s">
        <v>882</v>
      </c>
      <c r="G613" s="8" t="s">
        <v>230</v>
      </c>
      <c r="H613" s="8">
        <v>9.0292469999999998</v>
      </c>
      <c r="I613" s="8">
        <v>-79.493757000000002</v>
      </c>
      <c r="J613" s="21" t="s">
        <v>107</v>
      </c>
    </row>
    <row r="614" spans="1:10" x14ac:dyDescent="0.3">
      <c r="A614" s="20">
        <v>2</v>
      </c>
      <c r="B614" s="8">
        <v>783</v>
      </c>
      <c r="C614" s="8" t="s">
        <v>887</v>
      </c>
      <c r="D614" s="8" t="s">
        <v>644</v>
      </c>
      <c r="E614" s="8" t="s">
        <v>644</v>
      </c>
      <c r="F614" s="8" t="s">
        <v>704</v>
      </c>
      <c r="G614" s="8" t="s">
        <v>230</v>
      </c>
      <c r="H614" s="8">
        <v>8.9515860000000007</v>
      </c>
      <c r="I614" s="8">
        <v>-79.533529000000001</v>
      </c>
      <c r="J614" s="21" t="s">
        <v>37</v>
      </c>
    </row>
    <row r="615" spans="1:10" x14ac:dyDescent="0.3">
      <c r="A615" s="20">
        <v>2</v>
      </c>
      <c r="B615" s="8">
        <v>785</v>
      </c>
      <c r="C615" s="8" t="s">
        <v>888</v>
      </c>
      <c r="D615" s="8" t="s">
        <v>644</v>
      </c>
      <c r="E615" s="8" t="s">
        <v>644</v>
      </c>
      <c r="F615" s="8" t="s">
        <v>704</v>
      </c>
      <c r="G615" s="8" t="s">
        <v>230</v>
      </c>
      <c r="H615" s="8">
        <v>8.9533780000000007</v>
      </c>
      <c r="I615" s="8">
        <v>-79.536002999999994</v>
      </c>
      <c r="J615" s="21" t="s">
        <v>80</v>
      </c>
    </row>
    <row r="616" spans="1:10" x14ac:dyDescent="0.3">
      <c r="A616" s="20">
        <v>2</v>
      </c>
      <c r="B616" s="8">
        <v>787</v>
      </c>
      <c r="C616" s="8" t="s">
        <v>889</v>
      </c>
      <c r="D616" s="8" t="s">
        <v>644</v>
      </c>
      <c r="E616" s="8" t="s">
        <v>644</v>
      </c>
      <c r="F616" s="8" t="s">
        <v>704</v>
      </c>
      <c r="G616" s="8" t="s">
        <v>230</v>
      </c>
      <c r="H616" s="8">
        <v>8.9517699999999998</v>
      </c>
      <c r="I616" s="8">
        <v>-79.533544000000006</v>
      </c>
      <c r="J616" s="21" t="s">
        <v>37</v>
      </c>
    </row>
    <row r="617" spans="1:10" x14ac:dyDescent="0.3">
      <c r="A617" s="20">
        <v>2</v>
      </c>
      <c r="B617" s="8">
        <v>788</v>
      </c>
      <c r="C617" s="8" t="s">
        <v>890</v>
      </c>
      <c r="D617" s="8" t="s">
        <v>644</v>
      </c>
      <c r="E617" s="8" t="s">
        <v>644</v>
      </c>
      <c r="F617" s="8" t="s">
        <v>704</v>
      </c>
      <c r="G617" s="8" t="s">
        <v>230</v>
      </c>
      <c r="H617" s="8">
        <v>8.9527610000000006</v>
      </c>
      <c r="I617" s="8">
        <v>-79.535020000000003</v>
      </c>
      <c r="J617" s="21" t="s">
        <v>705</v>
      </c>
    </row>
    <row r="618" spans="1:10" x14ac:dyDescent="0.3">
      <c r="A618" s="20">
        <v>2</v>
      </c>
      <c r="B618" s="8">
        <v>789</v>
      </c>
      <c r="C618" s="8" t="s">
        <v>891</v>
      </c>
      <c r="D618" s="8" t="s">
        <v>644</v>
      </c>
      <c r="E618" s="8" t="s">
        <v>644</v>
      </c>
      <c r="F618" s="8" t="s">
        <v>704</v>
      </c>
      <c r="G618" s="8" t="s">
        <v>230</v>
      </c>
      <c r="H618" s="8">
        <v>8.9519470000000005</v>
      </c>
      <c r="I618" s="8">
        <v>-79.536912000000001</v>
      </c>
      <c r="J618" s="21" t="s">
        <v>580</v>
      </c>
    </row>
    <row r="619" spans="1:10" x14ac:dyDescent="0.3">
      <c r="A619" s="20">
        <v>2</v>
      </c>
      <c r="B619" s="8">
        <v>790</v>
      </c>
      <c r="C619" s="8" t="s">
        <v>892</v>
      </c>
      <c r="D619" s="8" t="s">
        <v>644</v>
      </c>
      <c r="E619" s="8" t="s">
        <v>644</v>
      </c>
      <c r="F619" s="8" t="s">
        <v>704</v>
      </c>
      <c r="G619" s="8" t="s">
        <v>230</v>
      </c>
      <c r="H619" s="8">
        <v>8.951333</v>
      </c>
      <c r="I619" s="8">
        <v>-79.537918000000005</v>
      </c>
      <c r="J619" s="21" t="s">
        <v>37</v>
      </c>
    </row>
    <row r="620" spans="1:10" x14ac:dyDescent="0.3">
      <c r="A620" s="20">
        <v>2</v>
      </c>
      <c r="B620" s="8">
        <v>793</v>
      </c>
      <c r="C620" s="8" t="s">
        <v>893</v>
      </c>
      <c r="D620" s="8" t="s">
        <v>644</v>
      </c>
      <c r="E620" s="8" t="s">
        <v>644</v>
      </c>
      <c r="F620" s="8" t="s">
        <v>447</v>
      </c>
      <c r="G620" s="8" t="s">
        <v>230</v>
      </c>
      <c r="H620" s="8">
        <v>8.9937780000000007</v>
      </c>
      <c r="I620" s="8">
        <v>-79.501346999999996</v>
      </c>
      <c r="J620" s="21" t="s">
        <v>877</v>
      </c>
    </row>
    <row r="621" spans="1:10" x14ac:dyDescent="0.3">
      <c r="A621" s="20">
        <v>2</v>
      </c>
      <c r="B621" s="8">
        <v>794</v>
      </c>
      <c r="C621" s="8" t="s">
        <v>894</v>
      </c>
      <c r="D621" s="8" t="s">
        <v>644</v>
      </c>
      <c r="E621" s="8" t="s">
        <v>644</v>
      </c>
      <c r="F621" s="8" t="s">
        <v>447</v>
      </c>
      <c r="G621" s="8" t="s">
        <v>230</v>
      </c>
      <c r="H621" s="8">
        <v>8.9887049999999995</v>
      </c>
      <c r="I621" s="8">
        <v>-79.504703000000006</v>
      </c>
      <c r="J621" s="21" t="s">
        <v>790</v>
      </c>
    </row>
    <row r="622" spans="1:10" x14ac:dyDescent="0.3">
      <c r="A622" s="20">
        <v>2</v>
      </c>
      <c r="B622" s="8">
        <v>795</v>
      </c>
      <c r="C622" s="8" t="s">
        <v>895</v>
      </c>
      <c r="D622" s="8" t="s">
        <v>644</v>
      </c>
      <c r="E622" s="8" t="s">
        <v>644</v>
      </c>
      <c r="F622" s="8" t="s">
        <v>447</v>
      </c>
      <c r="G622" s="8" t="s">
        <v>230</v>
      </c>
      <c r="H622" s="8">
        <v>8.9834440000000004</v>
      </c>
      <c r="I622" s="8">
        <v>-79.505892000000003</v>
      </c>
      <c r="J622" s="21" t="s">
        <v>713</v>
      </c>
    </row>
    <row r="623" spans="1:10" x14ac:dyDescent="0.3">
      <c r="A623" s="20">
        <v>2</v>
      </c>
      <c r="B623" s="8">
        <v>796</v>
      </c>
      <c r="C623" s="8" t="s">
        <v>896</v>
      </c>
      <c r="D623" s="8" t="s">
        <v>644</v>
      </c>
      <c r="E623" s="8" t="s">
        <v>644</v>
      </c>
      <c r="F623" s="8" t="s">
        <v>447</v>
      </c>
      <c r="G623" s="8" t="s">
        <v>12</v>
      </c>
      <c r="H623" s="8">
        <v>8.9830520000000007</v>
      </c>
      <c r="I623" s="8">
        <v>-79.512933000000004</v>
      </c>
      <c r="J623" s="21" t="s">
        <v>168</v>
      </c>
    </row>
    <row r="624" spans="1:10" x14ac:dyDescent="0.3">
      <c r="A624" s="20">
        <v>2</v>
      </c>
      <c r="B624" s="8">
        <v>797</v>
      </c>
      <c r="C624" s="8" t="s">
        <v>897</v>
      </c>
      <c r="D624" s="8" t="s">
        <v>644</v>
      </c>
      <c r="E624" s="8" t="s">
        <v>644</v>
      </c>
      <c r="F624" s="8" t="s">
        <v>447</v>
      </c>
      <c r="G624" s="8" t="s">
        <v>12</v>
      </c>
      <c r="H624" s="8">
        <v>8.9830520000000007</v>
      </c>
      <c r="I624" s="8">
        <v>-79.512933000000004</v>
      </c>
      <c r="J624" s="21" t="s">
        <v>168</v>
      </c>
    </row>
    <row r="625" spans="1:10" x14ac:dyDescent="0.3">
      <c r="A625" s="20">
        <v>2</v>
      </c>
      <c r="B625" s="8">
        <v>798</v>
      </c>
      <c r="C625" s="8" t="s">
        <v>898</v>
      </c>
      <c r="D625" s="8" t="s">
        <v>644</v>
      </c>
      <c r="E625" s="8" t="s">
        <v>644</v>
      </c>
      <c r="F625" s="8" t="s">
        <v>447</v>
      </c>
      <c r="G625" s="8" t="s">
        <v>230</v>
      </c>
      <c r="H625" s="8">
        <v>8.9821950000000008</v>
      </c>
      <c r="I625" s="8">
        <v>-79.513793000000007</v>
      </c>
      <c r="J625" s="21" t="s">
        <v>711</v>
      </c>
    </row>
    <row r="626" spans="1:10" x14ac:dyDescent="0.3">
      <c r="A626" s="20">
        <v>2</v>
      </c>
      <c r="B626" s="8">
        <v>799</v>
      </c>
      <c r="C626" s="8" t="s">
        <v>899</v>
      </c>
      <c r="D626" s="8" t="s">
        <v>644</v>
      </c>
      <c r="E626" s="8" t="s">
        <v>644</v>
      </c>
      <c r="F626" s="8" t="s">
        <v>447</v>
      </c>
      <c r="G626" s="8" t="s">
        <v>12</v>
      </c>
      <c r="H626" s="8">
        <v>8.9985520000000001</v>
      </c>
      <c r="I626" s="8">
        <v>-79.514234999999999</v>
      </c>
      <c r="J626" s="21" t="s">
        <v>148</v>
      </c>
    </row>
    <row r="627" spans="1:10" x14ac:dyDescent="0.3">
      <c r="A627" s="20">
        <v>2</v>
      </c>
      <c r="B627" s="8">
        <v>800</v>
      </c>
      <c r="C627" s="8" t="s">
        <v>900</v>
      </c>
      <c r="D627" s="8" t="s">
        <v>644</v>
      </c>
      <c r="E627" s="8" t="s">
        <v>644</v>
      </c>
      <c r="F627" s="8" t="s">
        <v>447</v>
      </c>
      <c r="G627" s="8" t="s">
        <v>230</v>
      </c>
      <c r="H627" s="8">
        <v>8.9796379999999996</v>
      </c>
      <c r="I627" s="8">
        <v>-79.511994999999999</v>
      </c>
      <c r="J627" s="21" t="s">
        <v>689</v>
      </c>
    </row>
    <row r="628" spans="1:10" x14ac:dyDescent="0.3">
      <c r="A628" s="20">
        <v>2</v>
      </c>
      <c r="B628" s="8">
        <v>801</v>
      </c>
      <c r="C628" s="8" t="s">
        <v>901</v>
      </c>
      <c r="D628" s="8" t="s">
        <v>644</v>
      </c>
      <c r="E628" s="8" t="s">
        <v>644</v>
      </c>
      <c r="F628" s="8" t="s">
        <v>447</v>
      </c>
      <c r="G628" s="8" t="s">
        <v>230</v>
      </c>
      <c r="H628" s="8">
        <v>8.9813690000000008</v>
      </c>
      <c r="I628" s="8">
        <v>-79.514144000000002</v>
      </c>
      <c r="J628" s="21" t="s">
        <v>711</v>
      </c>
    </row>
    <row r="629" spans="1:10" x14ac:dyDescent="0.3">
      <c r="A629" s="20">
        <v>2</v>
      </c>
      <c r="B629" s="8">
        <v>802</v>
      </c>
      <c r="C629" s="8" t="s">
        <v>902</v>
      </c>
      <c r="D629" s="8" t="s">
        <v>644</v>
      </c>
      <c r="E629" s="8" t="s">
        <v>644</v>
      </c>
      <c r="F629" s="8" t="s">
        <v>447</v>
      </c>
      <c r="G629" s="8" t="s">
        <v>12</v>
      </c>
      <c r="H629" s="8">
        <v>9.0012220000000003</v>
      </c>
      <c r="I629" s="8">
        <v>-79.516827000000006</v>
      </c>
      <c r="J629" s="21" t="s">
        <v>168</v>
      </c>
    </row>
    <row r="630" spans="1:10" x14ac:dyDescent="0.3">
      <c r="A630" s="20">
        <v>2</v>
      </c>
      <c r="B630" s="8">
        <v>803</v>
      </c>
      <c r="C630" s="8" t="s">
        <v>903</v>
      </c>
      <c r="D630" s="8" t="s">
        <v>644</v>
      </c>
      <c r="E630" s="8" t="s">
        <v>644</v>
      </c>
      <c r="F630" s="8" t="s">
        <v>447</v>
      </c>
      <c r="G630" s="8" t="s">
        <v>12</v>
      </c>
      <c r="H630" s="8">
        <v>8.9971499999999995</v>
      </c>
      <c r="I630" s="8">
        <v>-79.508127000000002</v>
      </c>
      <c r="J630" s="21" t="s">
        <v>711</v>
      </c>
    </row>
    <row r="631" spans="1:10" x14ac:dyDescent="0.3">
      <c r="A631" s="20">
        <v>2</v>
      </c>
      <c r="B631" s="8">
        <v>805</v>
      </c>
      <c r="C631" s="8" t="s">
        <v>904</v>
      </c>
      <c r="D631" s="8" t="s">
        <v>644</v>
      </c>
      <c r="E631" s="8" t="s">
        <v>644</v>
      </c>
      <c r="F631" s="8" t="s">
        <v>447</v>
      </c>
      <c r="G631" s="8" t="s">
        <v>230</v>
      </c>
      <c r="H631" s="8">
        <v>9.0001119999999997</v>
      </c>
      <c r="I631" s="8">
        <v>-79.508251000000001</v>
      </c>
      <c r="J631" s="21" t="s">
        <v>711</v>
      </c>
    </row>
    <row r="632" spans="1:10" x14ac:dyDescent="0.3">
      <c r="A632" s="20">
        <v>2</v>
      </c>
      <c r="B632" s="8">
        <v>806</v>
      </c>
      <c r="C632" s="8" t="s">
        <v>905</v>
      </c>
      <c r="D632" s="8" t="s">
        <v>644</v>
      </c>
      <c r="E632" s="8" t="s">
        <v>644</v>
      </c>
      <c r="F632" s="8" t="s">
        <v>906</v>
      </c>
      <c r="G632" s="8" t="s">
        <v>99</v>
      </c>
      <c r="H632" s="8">
        <v>9.1784140000000001</v>
      </c>
      <c r="I632" s="8">
        <v>-79.271637999999996</v>
      </c>
      <c r="J632" s="21" t="s">
        <v>716</v>
      </c>
    </row>
    <row r="633" spans="1:10" x14ac:dyDescent="0.3">
      <c r="A633" s="20">
        <v>2</v>
      </c>
      <c r="B633" s="8">
        <v>807</v>
      </c>
      <c r="C633" s="8" t="s">
        <v>907</v>
      </c>
      <c r="D633" s="8" t="s">
        <v>644</v>
      </c>
      <c r="E633" s="8" t="s">
        <v>644</v>
      </c>
      <c r="F633" s="8" t="s">
        <v>906</v>
      </c>
      <c r="G633" s="8" t="s">
        <v>53</v>
      </c>
      <c r="H633" s="8">
        <v>9.2219440000000006</v>
      </c>
      <c r="I633" s="8">
        <v>-79.253611000000006</v>
      </c>
      <c r="J633" s="21" t="s">
        <v>599</v>
      </c>
    </row>
    <row r="634" spans="1:10" x14ac:dyDescent="0.3">
      <c r="A634" s="20">
        <v>2</v>
      </c>
      <c r="B634" s="8">
        <v>810</v>
      </c>
      <c r="C634" s="8" t="s">
        <v>908</v>
      </c>
      <c r="D634" s="8" t="s">
        <v>644</v>
      </c>
      <c r="E634" s="8" t="s">
        <v>644</v>
      </c>
      <c r="F634" s="8" t="s">
        <v>809</v>
      </c>
      <c r="G634" s="8" t="s">
        <v>230</v>
      </c>
      <c r="H634" s="8">
        <v>8.9526880000000002</v>
      </c>
      <c r="I634" s="8">
        <v>-79.539575999999997</v>
      </c>
      <c r="J634" s="21" t="s">
        <v>140</v>
      </c>
    </row>
    <row r="635" spans="1:10" x14ac:dyDescent="0.3">
      <c r="A635" s="20">
        <v>2</v>
      </c>
      <c r="B635" s="8">
        <v>812</v>
      </c>
      <c r="C635" s="8" t="s">
        <v>909</v>
      </c>
      <c r="D635" s="8" t="s">
        <v>644</v>
      </c>
      <c r="E635" s="8" t="s">
        <v>644</v>
      </c>
      <c r="F635" s="8" t="s">
        <v>809</v>
      </c>
      <c r="G635" s="8" t="s">
        <v>230</v>
      </c>
      <c r="H635" s="8">
        <v>8.9577639999999992</v>
      </c>
      <c r="I635" s="8">
        <v>-79.542834999999997</v>
      </c>
      <c r="J635" s="21" t="s">
        <v>705</v>
      </c>
    </row>
    <row r="636" spans="1:10" x14ac:dyDescent="0.3">
      <c r="A636" s="20">
        <v>2</v>
      </c>
      <c r="B636" s="8">
        <v>813</v>
      </c>
      <c r="C636" s="8" t="s">
        <v>910</v>
      </c>
      <c r="D636" s="8" t="s">
        <v>644</v>
      </c>
      <c r="E636" s="8" t="s">
        <v>644</v>
      </c>
      <c r="F636" s="8" t="s">
        <v>809</v>
      </c>
      <c r="G636" s="8" t="s">
        <v>230</v>
      </c>
      <c r="H636" s="8">
        <v>8.9596319999999992</v>
      </c>
      <c r="I636" s="8">
        <v>-79.542957000000001</v>
      </c>
      <c r="J636" s="21" t="s">
        <v>705</v>
      </c>
    </row>
    <row r="637" spans="1:10" x14ac:dyDescent="0.3">
      <c r="A637" s="20">
        <v>2</v>
      </c>
      <c r="B637" s="8">
        <v>814</v>
      </c>
      <c r="C637" s="8" t="s">
        <v>911</v>
      </c>
      <c r="D637" s="8" t="s">
        <v>644</v>
      </c>
      <c r="E637" s="8" t="s">
        <v>644</v>
      </c>
      <c r="F637" s="8" t="s">
        <v>809</v>
      </c>
      <c r="G637" s="8" t="s">
        <v>230</v>
      </c>
      <c r="H637" s="8">
        <v>8.9574580000000008</v>
      </c>
      <c r="I637" s="8">
        <v>-79.538664999999995</v>
      </c>
      <c r="J637" s="21" t="s">
        <v>705</v>
      </c>
    </row>
    <row r="638" spans="1:10" x14ac:dyDescent="0.3">
      <c r="A638" s="20">
        <v>2</v>
      </c>
      <c r="B638" s="8">
        <v>816</v>
      </c>
      <c r="C638" s="8" t="s">
        <v>912</v>
      </c>
      <c r="D638" s="8" t="s">
        <v>644</v>
      </c>
      <c r="E638" s="8" t="s">
        <v>644</v>
      </c>
      <c r="F638" s="8" t="s">
        <v>809</v>
      </c>
      <c r="G638" s="8" t="s">
        <v>230</v>
      </c>
      <c r="H638" s="8">
        <v>8.9549769999999995</v>
      </c>
      <c r="I638" s="8">
        <v>-79.542299</v>
      </c>
      <c r="J638" s="21" t="s">
        <v>702</v>
      </c>
    </row>
    <row r="639" spans="1:10" x14ac:dyDescent="0.3">
      <c r="A639" s="20">
        <v>2</v>
      </c>
      <c r="B639" s="8">
        <v>818</v>
      </c>
      <c r="C639" s="8" t="s">
        <v>913</v>
      </c>
      <c r="D639" s="8" t="s">
        <v>644</v>
      </c>
      <c r="E639" s="8" t="s">
        <v>644</v>
      </c>
      <c r="F639" s="8" t="s">
        <v>914</v>
      </c>
      <c r="G639" s="8" t="s">
        <v>12</v>
      </c>
      <c r="H639" s="8">
        <v>9.0714769999999998</v>
      </c>
      <c r="I639" s="8">
        <v>-79.399056000000002</v>
      </c>
      <c r="J639" s="21" t="s">
        <v>801</v>
      </c>
    </row>
    <row r="640" spans="1:10" x14ac:dyDescent="0.3">
      <c r="A640" s="20">
        <v>2</v>
      </c>
      <c r="B640" s="8">
        <v>820</v>
      </c>
      <c r="C640" s="8" t="s">
        <v>915</v>
      </c>
      <c r="D640" s="8" t="s">
        <v>644</v>
      </c>
      <c r="E640" s="8" t="s">
        <v>644</v>
      </c>
      <c r="F640" s="8" t="s">
        <v>914</v>
      </c>
      <c r="G640" s="8" t="s">
        <v>12</v>
      </c>
      <c r="H640" s="8">
        <v>9.0921179999999993</v>
      </c>
      <c r="I640" s="8">
        <v>-79.379360000000005</v>
      </c>
      <c r="J640" s="21" t="s">
        <v>820</v>
      </c>
    </row>
    <row r="641" spans="1:10" x14ac:dyDescent="0.3">
      <c r="A641" s="20">
        <v>2</v>
      </c>
      <c r="B641" s="8">
        <v>821</v>
      </c>
      <c r="C641" s="8" t="s">
        <v>916</v>
      </c>
      <c r="D641" s="8" t="s">
        <v>644</v>
      </c>
      <c r="E641" s="8" t="s">
        <v>644</v>
      </c>
      <c r="F641" s="8" t="s">
        <v>914</v>
      </c>
      <c r="G641" s="8" t="s">
        <v>12</v>
      </c>
      <c r="H641" s="8">
        <v>9.0899560000000008</v>
      </c>
      <c r="I641" s="8">
        <v>-79.394029000000003</v>
      </c>
      <c r="J641" s="21" t="s">
        <v>119</v>
      </c>
    </row>
    <row r="642" spans="1:10" x14ac:dyDescent="0.3">
      <c r="A642" s="20">
        <v>2</v>
      </c>
      <c r="B642" s="8">
        <v>822</v>
      </c>
      <c r="C642" s="8" t="s">
        <v>917</v>
      </c>
      <c r="D642" s="8" t="s">
        <v>644</v>
      </c>
      <c r="E642" s="8" t="s">
        <v>644</v>
      </c>
      <c r="F642" s="8" t="s">
        <v>914</v>
      </c>
      <c r="G642" s="8" t="s">
        <v>33</v>
      </c>
      <c r="H642" s="8">
        <v>9.0822800000000008</v>
      </c>
      <c r="I642" s="8">
        <v>-79.363935999999995</v>
      </c>
      <c r="J642" s="21" t="s">
        <v>297</v>
      </c>
    </row>
    <row r="643" spans="1:10" x14ac:dyDescent="0.3">
      <c r="A643" s="20">
        <v>2</v>
      </c>
      <c r="B643" s="8">
        <v>823</v>
      </c>
      <c r="C643" s="8" t="s">
        <v>918</v>
      </c>
      <c r="D643" s="8" t="s">
        <v>644</v>
      </c>
      <c r="E643" s="8" t="s">
        <v>644</v>
      </c>
      <c r="F643" s="8" t="s">
        <v>914</v>
      </c>
      <c r="G643" s="8" t="s">
        <v>12</v>
      </c>
      <c r="H643" s="8">
        <v>9.0922009999999993</v>
      </c>
      <c r="I643" s="8">
        <v>-79.378891999999993</v>
      </c>
      <c r="J643" s="21" t="s">
        <v>82</v>
      </c>
    </row>
    <row r="644" spans="1:10" x14ac:dyDescent="0.3">
      <c r="A644" s="20">
        <v>2</v>
      </c>
      <c r="B644" s="8">
        <v>824</v>
      </c>
      <c r="C644" s="8" t="s">
        <v>919</v>
      </c>
      <c r="D644" s="8" t="s">
        <v>644</v>
      </c>
      <c r="E644" s="8" t="s">
        <v>644</v>
      </c>
      <c r="F644" s="8" t="s">
        <v>914</v>
      </c>
      <c r="G644" s="8" t="s">
        <v>12</v>
      </c>
      <c r="H644" s="8">
        <v>9.0810259999999996</v>
      </c>
      <c r="I644" s="8">
        <v>-79.388041999999999</v>
      </c>
      <c r="J644" s="21" t="s">
        <v>820</v>
      </c>
    </row>
    <row r="645" spans="1:10" x14ac:dyDescent="0.3">
      <c r="A645" s="20">
        <v>2</v>
      </c>
      <c r="B645" s="8">
        <v>825</v>
      </c>
      <c r="C645" s="8" t="s">
        <v>920</v>
      </c>
      <c r="D645" s="8" t="s">
        <v>644</v>
      </c>
      <c r="E645" s="8" t="s">
        <v>644</v>
      </c>
      <c r="F645" s="8" t="s">
        <v>676</v>
      </c>
      <c r="G645" s="8" t="s">
        <v>33</v>
      </c>
      <c r="H645" s="8">
        <v>9.1062569999999994</v>
      </c>
      <c r="I645" s="8">
        <v>-79.364445000000003</v>
      </c>
      <c r="J645" s="21" t="s">
        <v>786</v>
      </c>
    </row>
    <row r="646" spans="1:10" x14ac:dyDescent="0.3">
      <c r="A646" s="20">
        <v>2</v>
      </c>
      <c r="B646" s="8">
        <v>826</v>
      </c>
      <c r="C646" s="8" t="s">
        <v>921</v>
      </c>
      <c r="D646" s="8" t="s">
        <v>644</v>
      </c>
      <c r="E646" s="8" t="s">
        <v>644</v>
      </c>
      <c r="F646" s="8" t="s">
        <v>914</v>
      </c>
      <c r="G646" s="8" t="s">
        <v>33</v>
      </c>
      <c r="H646" s="8">
        <v>9.0971019999999996</v>
      </c>
      <c r="I646" s="8">
        <v>-79.375637999999995</v>
      </c>
      <c r="J646" s="21" t="s">
        <v>786</v>
      </c>
    </row>
    <row r="647" spans="1:10" x14ac:dyDescent="0.3">
      <c r="A647" s="20">
        <v>2</v>
      </c>
      <c r="B647" s="8">
        <v>827</v>
      </c>
      <c r="C647" s="8" t="s">
        <v>922</v>
      </c>
      <c r="D647" s="8" t="s">
        <v>644</v>
      </c>
      <c r="E647" s="8" t="s">
        <v>644</v>
      </c>
      <c r="F647" s="8" t="s">
        <v>914</v>
      </c>
      <c r="G647" s="8" t="s">
        <v>12</v>
      </c>
      <c r="H647" s="8">
        <v>9.0832029999999992</v>
      </c>
      <c r="I647" s="8">
        <v>-79.384763000000007</v>
      </c>
      <c r="J647" s="21" t="s">
        <v>119</v>
      </c>
    </row>
    <row r="648" spans="1:10" x14ac:dyDescent="0.3">
      <c r="A648" s="20">
        <v>2</v>
      </c>
      <c r="B648" s="8">
        <v>828</v>
      </c>
      <c r="C648" s="8" t="s">
        <v>923</v>
      </c>
      <c r="D648" s="8" t="s">
        <v>644</v>
      </c>
      <c r="E648" s="8" t="s">
        <v>644</v>
      </c>
      <c r="F648" s="8" t="s">
        <v>914</v>
      </c>
      <c r="G648" s="8" t="s">
        <v>12</v>
      </c>
      <c r="H648" s="8">
        <v>9.0733840000000008</v>
      </c>
      <c r="I648" s="8">
        <v>-79.399281999999999</v>
      </c>
      <c r="J648" s="21" t="s">
        <v>168</v>
      </c>
    </row>
    <row r="649" spans="1:10" x14ac:dyDescent="0.3">
      <c r="A649" s="20">
        <v>2</v>
      </c>
      <c r="B649" s="8">
        <v>829</v>
      </c>
      <c r="C649" s="8" t="s">
        <v>924</v>
      </c>
      <c r="D649" s="8" t="s">
        <v>644</v>
      </c>
      <c r="E649" s="8" t="s">
        <v>925</v>
      </c>
      <c r="F649" s="8" t="s">
        <v>926</v>
      </c>
      <c r="G649" s="8" t="s">
        <v>230</v>
      </c>
      <c r="H649" s="8">
        <v>9.0387160000000009</v>
      </c>
      <c r="I649" s="8">
        <v>-79.506197</v>
      </c>
      <c r="J649" s="21" t="s">
        <v>95</v>
      </c>
    </row>
    <row r="650" spans="1:10" x14ac:dyDescent="0.3">
      <c r="A650" s="20">
        <v>2</v>
      </c>
      <c r="B650" s="8">
        <v>831</v>
      </c>
      <c r="C650" s="8" t="s">
        <v>927</v>
      </c>
      <c r="D650" s="8" t="s">
        <v>644</v>
      </c>
      <c r="E650" s="8" t="s">
        <v>925</v>
      </c>
      <c r="F650" s="8" t="s">
        <v>926</v>
      </c>
      <c r="G650" s="8" t="s">
        <v>230</v>
      </c>
      <c r="H650" s="8">
        <v>9.0390669999999993</v>
      </c>
      <c r="I650" s="8">
        <v>-79.515478000000002</v>
      </c>
      <c r="J650" s="21" t="s">
        <v>877</v>
      </c>
    </row>
    <row r="651" spans="1:10" x14ac:dyDescent="0.3">
      <c r="A651" s="20">
        <v>2</v>
      </c>
      <c r="B651" s="8">
        <v>832</v>
      </c>
      <c r="C651" s="8" t="s">
        <v>928</v>
      </c>
      <c r="D651" s="8" t="s">
        <v>644</v>
      </c>
      <c r="E651" s="8" t="s">
        <v>925</v>
      </c>
      <c r="F651" s="8" t="s">
        <v>926</v>
      </c>
      <c r="G651" s="8" t="s">
        <v>230</v>
      </c>
      <c r="H651" s="8">
        <v>9.0450890000000008</v>
      </c>
      <c r="I651" s="8">
        <v>-79.504220000000004</v>
      </c>
      <c r="J651" s="21" t="s">
        <v>95</v>
      </c>
    </row>
    <row r="652" spans="1:10" x14ac:dyDescent="0.3">
      <c r="A652" s="20">
        <v>2</v>
      </c>
      <c r="B652" s="8">
        <v>833</v>
      </c>
      <c r="C652" s="8" t="s">
        <v>929</v>
      </c>
      <c r="D652" s="8" t="s">
        <v>644</v>
      </c>
      <c r="E652" s="8" t="s">
        <v>925</v>
      </c>
      <c r="F652" s="8" t="s">
        <v>926</v>
      </c>
      <c r="G652" s="8" t="s">
        <v>230</v>
      </c>
      <c r="H652" s="8">
        <v>9.0360119999999995</v>
      </c>
      <c r="I652" s="8">
        <v>-79.505009999999999</v>
      </c>
      <c r="J652" s="21" t="s">
        <v>711</v>
      </c>
    </row>
    <row r="653" spans="1:10" x14ac:dyDescent="0.3">
      <c r="A653" s="20">
        <v>2</v>
      </c>
      <c r="B653" s="8">
        <v>837</v>
      </c>
      <c r="C653" s="8" t="s">
        <v>930</v>
      </c>
      <c r="D653" s="8" t="s">
        <v>644</v>
      </c>
      <c r="E653" s="8" t="s">
        <v>925</v>
      </c>
      <c r="F653" s="8" t="s">
        <v>926</v>
      </c>
      <c r="G653" s="8" t="s">
        <v>12</v>
      </c>
      <c r="H653" s="8">
        <v>9.0405499999999996</v>
      </c>
      <c r="I653" s="8">
        <v>-79.509541999999996</v>
      </c>
      <c r="J653" s="21" t="s">
        <v>146</v>
      </c>
    </row>
    <row r="654" spans="1:10" x14ac:dyDescent="0.3">
      <c r="A654" s="20">
        <v>2</v>
      </c>
      <c r="B654" s="8">
        <v>838</v>
      </c>
      <c r="C654" s="8" t="s">
        <v>931</v>
      </c>
      <c r="D654" s="8" t="s">
        <v>644</v>
      </c>
      <c r="E654" s="8" t="s">
        <v>925</v>
      </c>
      <c r="F654" s="8" t="s">
        <v>926</v>
      </c>
      <c r="G654" s="8" t="s">
        <v>12</v>
      </c>
      <c r="H654" s="8">
        <v>9.0405499999999996</v>
      </c>
      <c r="I654" s="8">
        <v>-79.509541999999996</v>
      </c>
      <c r="J654" s="21" t="s">
        <v>295</v>
      </c>
    </row>
    <row r="655" spans="1:10" x14ac:dyDescent="0.3">
      <c r="A655" s="20">
        <v>2</v>
      </c>
      <c r="B655" s="8">
        <v>839</v>
      </c>
      <c r="C655" s="8" t="s">
        <v>932</v>
      </c>
      <c r="D655" s="8" t="s">
        <v>644</v>
      </c>
      <c r="E655" s="8" t="s">
        <v>925</v>
      </c>
      <c r="F655" s="8" t="s">
        <v>926</v>
      </c>
      <c r="G655" s="8" t="s">
        <v>12</v>
      </c>
      <c r="H655" s="8">
        <v>9.0428999999999995</v>
      </c>
      <c r="I655" s="8">
        <v>-79.500662000000005</v>
      </c>
      <c r="J655" s="21" t="s">
        <v>82</v>
      </c>
    </row>
    <row r="656" spans="1:10" x14ac:dyDescent="0.3">
      <c r="A656" s="20">
        <v>2</v>
      </c>
      <c r="B656" s="8">
        <v>841</v>
      </c>
      <c r="C656" s="8" t="s">
        <v>933</v>
      </c>
      <c r="D656" s="8" t="s">
        <v>644</v>
      </c>
      <c r="E656" s="8" t="s">
        <v>925</v>
      </c>
      <c r="F656" s="8" t="s">
        <v>934</v>
      </c>
      <c r="G656" s="8" t="s">
        <v>99</v>
      </c>
      <c r="H656" s="8">
        <v>9.0690770000000001</v>
      </c>
      <c r="I656" s="8">
        <v>-79.483869999999996</v>
      </c>
      <c r="J656" s="21" t="s">
        <v>82</v>
      </c>
    </row>
    <row r="657" spans="1:10" x14ac:dyDescent="0.3">
      <c r="A657" s="20">
        <v>2</v>
      </c>
      <c r="B657" s="8">
        <v>842</v>
      </c>
      <c r="C657" s="8" t="s">
        <v>935</v>
      </c>
      <c r="D657" s="8" t="s">
        <v>644</v>
      </c>
      <c r="E657" s="8" t="s">
        <v>925</v>
      </c>
      <c r="F657" s="8" t="s">
        <v>934</v>
      </c>
      <c r="G657" s="8" t="s">
        <v>12</v>
      </c>
      <c r="H657" s="8">
        <v>9.0675489999999996</v>
      </c>
      <c r="I657" s="8">
        <v>-79.487129999999993</v>
      </c>
      <c r="J657" s="21" t="s">
        <v>95</v>
      </c>
    </row>
    <row r="658" spans="1:10" x14ac:dyDescent="0.3">
      <c r="A658" s="20">
        <v>2</v>
      </c>
      <c r="B658" s="8">
        <v>843</v>
      </c>
      <c r="C658" s="8" t="s">
        <v>936</v>
      </c>
      <c r="D658" s="8" t="s">
        <v>644</v>
      </c>
      <c r="E658" s="8" t="s">
        <v>925</v>
      </c>
      <c r="F658" s="8" t="s">
        <v>937</v>
      </c>
      <c r="G658" s="8" t="s">
        <v>12</v>
      </c>
      <c r="H658" s="8">
        <v>9.0605460000000004</v>
      </c>
      <c r="I658" s="8">
        <v>-79.489414999999994</v>
      </c>
      <c r="J658" s="21" t="s">
        <v>790</v>
      </c>
    </row>
    <row r="659" spans="1:10" x14ac:dyDescent="0.3">
      <c r="A659" s="20">
        <v>2</v>
      </c>
      <c r="B659" s="8">
        <v>844</v>
      </c>
      <c r="C659" s="8" t="s">
        <v>938</v>
      </c>
      <c r="D659" s="8" t="s">
        <v>644</v>
      </c>
      <c r="E659" s="8" t="s">
        <v>925</v>
      </c>
      <c r="F659" s="8" t="s">
        <v>937</v>
      </c>
      <c r="G659" s="8" t="s">
        <v>12</v>
      </c>
      <c r="H659" s="8">
        <v>9.0639389999999995</v>
      </c>
      <c r="I659" s="8">
        <v>-79.485988000000006</v>
      </c>
      <c r="J659" s="21" t="s">
        <v>435</v>
      </c>
    </row>
    <row r="660" spans="1:10" x14ac:dyDescent="0.3">
      <c r="A660" s="20">
        <v>2</v>
      </c>
      <c r="B660" s="8">
        <v>845</v>
      </c>
      <c r="C660" s="8" t="s">
        <v>939</v>
      </c>
      <c r="D660" s="8" t="s">
        <v>644</v>
      </c>
      <c r="E660" s="8" t="s">
        <v>925</v>
      </c>
      <c r="F660" s="8" t="s">
        <v>934</v>
      </c>
      <c r="G660" s="8" t="s">
        <v>12</v>
      </c>
      <c r="H660" s="8">
        <v>9.0675749999999997</v>
      </c>
      <c r="I660" s="8">
        <v>-79.488009000000005</v>
      </c>
      <c r="J660" s="21" t="s">
        <v>95</v>
      </c>
    </row>
    <row r="661" spans="1:10" x14ac:dyDescent="0.3">
      <c r="A661" s="20">
        <v>2</v>
      </c>
      <c r="B661" s="8">
        <v>849</v>
      </c>
      <c r="C661" s="8" t="s">
        <v>940</v>
      </c>
      <c r="D661" s="8" t="s">
        <v>644</v>
      </c>
      <c r="E661" s="8" t="s">
        <v>925</v>
      </c>
      <c r="F661" s="8" t="s">
        <v>937</v>
      </c>
      <c r="G661" s="8" t="s">
        <v>12</v>
      </c>
      <c r="H661" s="8">
        <v>9.0311120000000003</v>
      </c>
      <c r="I661" s="8">
        <v>-79.501913000000002</v>
      </c>
      <c r="J661" s="21" t="s">
        <v>820</v>
      </c>
    </row>
    <row r="662" spans="1:10" x14ac:dyDescent="0.3">
      <c r="A662" s="20">
        <v>2</v>
      </c>
      <c r="B662" s="8">
        <v>852</v>
      </c>
      <c r="C662" s="8" t="s">
        <v>941</v>
      </c>
      <c r="D662" s="8" t="s">
        <v>644</v>
      </c>
      <c r="E662" s="8" t="s">
        <v>925</v>
      </c>
      <c r="F662" s="8" t="s">
        <v>937</v>
      </c>
      <c r="G662" s="8" t="s">
        <v>12</v>
      </c>
      <c r="H662" s="8">
        <v>9.0538270000000001</v>
      </c>
      <c r="I662" s="8">
        <v>-79.494688999999994</v>
      </c>
      <c r="J662" s="21" t="s">
        <v>295</v>
      </c>
    </row>
    <row r="663" spans="1:10" x14ac:dyDescent="0.3">
      <c r="A663" s="20">
        <v>2</v>
      </c>
      <c r="B663" s="8">
        <v>853</v>
      </c>
      <c r="C663" s="8" t="s">
        <v>942</v>
      </c>
      <c r="D663" s="8" t="s">
        <v>644</v>
      </c>
      <c r="E663" s="8" t="s">
        <v>925</v>
      </c>
      <c r="F663" s="8" t="s">
        <v>937</v>
      </c>
      <c r="G663" s="8" t="s">
        <v>33</v>
      </c>
      <c r="H663" s="8">
        <v>9.0787069999999996</v>
      </c>
      <c r="I663" s="8">
        <v>-79.495917000000006</v>
      </c>
      <c r="J663" s="21" t="s">
        <v>297</v>
      </c>
    </row>
    <row r="664" spans="1:10" x14ac:dyDescent="0.3">
      <c r="A664" s="20">
        <v>2</v>
      </c>
      <c r="B664" s="8">
        <v>855</v>
      </c>
      <c r="C664" s="8" t="s">
        <v>943</v>
      </c>
      <c r="D664" s="8" t="s">
        <v>644</v>
      </c>
      <c r="E664" s="8" t="s">
        <v>925</v>
      </c>
      <c r="F664" s="8" t="s">
        <v>937</v>
      </c>
      <c r="G664" s="8" t="s">
        <v>33</v>
      </c>
      <c r="H664" s="8">
        <v>9.0806740000000001</v>
      </c>
      <c r="I664" s="8">
        <v>-79.491743</v>
      </c>
      <c r="J664" s="21" t="s">
        <v>95</v>
      </c>
    </row>
    <row r="665" spans="1:10" x14ac:dyDescent="0.3">
      <c r="A665" s="20">
        <v>2</v>
      </c>
      <c r="B665" s="8">
        <v>857</v>
      </c>
      <c r="C665" s="8" t="s">
        <v>944</v>
      </c>
      <c r="D665" s="8" t="s">
        <v>644</v>
      </c>
      <c r="E665" s="8" t="s">
        <v>925</v>
      </c>
      <c r="F665" s="8" t="s">
        <v>937</v>
      </c>
      <c r="G665" s="8" t="s">
        <v>230</v>
      </c>
      <c r="H665" s="8">
        <v>9.0477159999999994</v>
      </c>
      <c r="I665" s="8">
        <v>-79.499343999999994</v>
      </c>
      <c r="J665" s="21" t="s">
        <v>95</v>
      </c>
    </row>
    <row r="666" spans="1:10" x14ac:dyDescent="0.3">
      <c r="A666" s="20">
        <v>2</v>
      </c>
      <c r="B666" s="8">
        <v>858</v>
      </c>
      <c r="C666" s="8" t="s">
        <v>945</v>
      </c>
      <c r="D666" s="8" t="s">
        <v>644</v>
      </c>
      <c r="E666" s="8" t="s">
        <v>925</v>
      </c>
      <c r="F666" s="8" t="s">
        <v>937</v>
      </c>
      <c r="G666" s="8" t="s">
        <v>12</v>
      </c>
      <c r="H666" s="8">
        <v>9.0726779999999998</v>
      </c>
      <c r="I666" s="8">
        <v>-79.487745000000004</v>
      </c>
      <c r="J666" s="21" t="s">
        <v>95</v>
      </c>
    </row>
    <row r="667" spans="1:10" x14ac:dyDescent="0.3">
      <c r="A667" s="20">
        <v>2</v>
      </c>
      <c r="B667" s="8">
        <v>859</v>
      </c>
      <c r="C667" s="8" t="s">
        <v>946</v>
      </c>
      <c r="D667" s="8" t="s">
        <v>644</v>
      </c>
      <c r="E667" s="8" t="s">
        <v>925</v>
      </c>
      <c r="F667" s="8" t="s">
        <v>937</v>
      </c>
      <c r="G667" s="8" t="s">
        <v>12</v>
      </c>
      <c r="H667" s="8">
        <v>9.0657530000000008</v>
      </c>
      <c r="I667" s="8">
        <v>-79.501588999999996</v>
      </c>
      <c r="J667" s="21" t="s">
        <v>80</v>
      </c>
    </row>
    <row r="668" spans="1:10" x14ac:dyDescent="0.3">
      <c r="A668" s="20">
        <v>2</v>
      </c>
      <c r="B668" s="8">
        <v>860</v>
      </c>
      <c r="C668" s="8" t="s">
        <v>947</v>
      </c>
      <c r="D668" s="8" t="s">
        <v>644</v>
      </c>
      <c r="E668" s="8" t="s">
        <v>925</v>
      </c>
      <c r="F668" s="8" t="s">
        <v>937</v>
      </c>
      <c r="G668" s="8" t="s">
        <v>230</v>
      </c>
      <c r="H668" s="8">
        <v>9.0477050000000006</v>
      </c>
      <c r="I668" s="8">
        <v>-79.499332999999993</v>
      </c>
      <c r="J668" s="21" t="s">
        <v>686</v>
      </c>
    </row>
    <row r="669" spans="1:10" x14ac:dyDescent="0.3">
      <c r="A669" s="20">
        <v>2</v>
      </c>
      <c r="B669" s="8">
        <v>861</v>
      </c>
      <c r="C669" s="8" t="s">
        <v>948</v>
      </c>
      <c r="D669" s="8" t="s">
        <v>644</v>
      </c>
      <c r="E669" s="8" t="s">
        <v>925</v>
      </c>
      <c r="F669" s="8" t="s">
        <v>937</v>
      </c>
      <c r="G669" s="8" t="s">
        <v>12</v>
      </c>
      <c r="H669" s="8">
        <v>9.0731780000000004</v>
      </c>
      <c r="I669" s="8">
        <v>-79.482928000000001</v>
      </c>
      <c r="J669" s="21" t="s">
        <v>797</v>
      </c>
    </row>
    <row r="670" spans="1:10" x14ac:dyDescent="0.3">
      <c r="A670" s="20">
        <v>2</v>
      </c>
      <c r="B670" s="8">
        <v>862</v>
      </c>
      <c r="C670" s="8" t="s">
        <v>949</v>
      </c>
      <c r="D670" s="8" t="s">
        <v>644</v>
      </c>
      <c r="E670" s="8" t="s">
        <v>925</v>
      </c>
      <c r="F670" s="8" t="s">
        <v>937</v>
      </c>
      <c r="G670" s="8" t="s">
        <v>12</v>
      </c>
      <c r="H670" s="8">
        <v>9.0493389999999998</v>
      </c>
      <c r="I670" s="8">
        <v>-79.492699999999999</v>
      </c>
      <c r="J670" s="21" t="s">
        <v>790</v>
      </c>
    </row>
    <row r="671" spans="1:10" x14ac:dyDescent="0.3">
      <c r="A671" s="20">
        <v>2</v>
      </c>
      <c r="B671" s="8">
        <v>863</v>
      </c>
      <c r="C671" s="8" t="s">
        <v>950</v>
      </c>
      <c r="D671" s="8" t="s">
        <v>644</v>
      </c>
      <c r="E671" s="8" t="s">
        <v>925</v>
      </c>
      <c r="F671" s="8" t="s">
        <v>937</v>
      </c>
      <c r="G671" s="8" t="s">
        <v>12</v>
      </c>
      <c r="H671" s="8">
        <v>9.062837</v>
      </c>
      <c r="I671" s="8">
        <v>-79.495037999999994</v>
      </c>
      <c r="J671" s="21" t="s">
        <v>95</v>
      </c>
    </row>
    <row r="672" spans="1:10" x14ac:dyDescent="0.3">
      <c r="A672" s="20">
        <v>2</v>
      </c>
      <c r="B672" s="8">
        <v>864</v>
      </c>
      <c r="C672" s="8" t="s">
        <v>951</v>
      </c>
      <c r="D672" s="8" t="s">
        <v>644</v>
      </c>
      <c r="E672" s="8" t="s">
        <v>925</v>
      </c>
      <c r="F672" s="8" t="s">
        <v>937</v>
      </c>
      <c r="G672" s="8" t="s">
        <v>12</v>
      </c>
      <c r="H672" s="8">
        <v>9.0476829999999993</v>
      </c>
      <c r="I672" s="8">
        <v>-79.500010000000003</v>
      </c>
      <c r="J672" s="21" t="s">
        <v>146</v>
      </c>
    </row>
    <row r="673" spans="1:10" x14ac:dyDescent="0.3">
      <c r="A673" s="20">
        <v>2</v>
      </c>
      <c r="B673" s="8">
        <v>865</v>
      </c>
      <c r="C673" s="8" t="s">
        <v>952</v>
      </c>
      <c r="D673" s="8" t="s">
        <v>644</v>
      </c>
      <c r="E673" s="8" t="s">
        <v>925</v>
      </c>
      <c r="F673" s="8" t="s">
        <v>937</v>
      </c>
      <c r="G673" s="8" t="s">
        <v>33</v>
      </c>
      <c r="H673" s="8">
        <v>9.0796639999999993</v>
      </c>
      <c r="I673" s="8">
        <v>-79.487745000000004</v>
      </c>
      <c r="J673" s="21" t="s">
        <v>18</v>
      </c>
    </row>
    <row r="674" spans="1:10" x14ac:dyDescent="0.3">
      <c r="A674" s="20">
        <v>2</v>
      </c>
      <c r="B674" s="8">
        <v>866</v>
      </c>
      <c r="C674" s="8" t="s">
        <v>204</v>
      </c>
      <c r="D674" s="8" t="s">
        <v>644</v>
      </c>
      <c r="E674" s="8" t="s">
        <v>925</v>
      </c>
      <c r="F674" s="8" t="s">
        <v>937</v>
      </c>
      <c r="G674" s="8" t="s">
        <v>12</v>
      </c>
      <c r="H674" s="8">
        <v>9.0796309999999991</v>
      </c>
      <c r="I674" s="8">
        <v>-79.495214000000004</v>
      </c>
      <c r="J674" s="21" t="s">
        <v>146</v>
      </c>
    </row>
    <row r="675" spans="1:10" x14ac:dyDescent="0.3">
      <c r="A675" s="20">
        <v>2</v>
      </c>
      <c r="B675" s="8">
        <v>867</v>
      </c>
      <c r="C675" s="8" t="s">
        <v>953</v>
      </c>
      <c r="D675" s="8" t="s">
        <v>644</v>
      </c>
      <c r="E675" s="8" t="s">
        <v>925</v>
      </c>
      <c r="F675" s="8" t="s">
        <v>937</v>
      </c>
      <c r="G675" s="8" t="s">
        <v>12</v>
      </c>
      <c r="H675" s="8">
        <v>9.0695160000000001</v>
      </c>
      <c r="I675" s="8">
        <v>-79.493280999999996</v>
      </c>
      <c r="J675" s="21" t="s">
        <v>82</v>
      </c>
    </row>
    <row r="676" spans="1:10" x14ac:dyDescent="0.3">
      <c r="A676" s="20">
        <v>2</v>
      </c>
      <c r="B676" s="8">
        <v>868</v>
      </c>
      <c r="C676" s="8" t="s">
        <v>954</v>
      </c>
      <c r="D676" s="8" t="s">
        <v>644</v>
      </c>
      <c r="E676" s="8" t="s">
        <v>925</v>
      </c>
      <c r="F676" s="8" t="s">
        <v>937</v>
      </c>
      <c r="G676" s="8" t="s">
        <v>33</v>
      </c>
      <c r="H676" s="8">
        <v>9.0791269999999997</v>
      </c>
      <c r="I676" s="8">
        <v>-79.492754000000005</v>
      </c>
      <c r="J676" s="21" t="s">
        <v>80</v>
      </c>
    </row>
    <row r="677" spans="1:10" x14ac:dyDescent="0.3">
      <c r="A677" s="20">
        <v>2</v>
      </c>
      <c r="B677" s="8">
        <v>869</v>
      </c>
      <c r="C677" s="8" t="s">
        <v>955</v>
      </c>
      <c r="D677" s="8" t="s">
        <v>644</v>
      </c>
      <c r="E677" s="8" t="s">
        <v>925</v>
      </c>
      <c r="F677" s="8" t="s">
        <v>956</v>
      </c>
      <c r="G677" s="8" t="s">
        <v>230</v>
      </c>
      <c r="H677" s="8">
        <v>9.059882</v>
      </c>
      <c r="I677" s="8">
        <v>-79.457901000000007</v>
      </c>
      <c r="J677" s="21" t="s">
        <v>797</v>
      </c>
    </row>
    <row r="678" spans="1:10" x14ac:dyDescent="0.3">
      <c r="A678" s="20">
        <v>2</v>
      </c>
      <c r="B678" s="8">
        <v>870</v>
      </c>
      <c r="C678" s="8" t="s">
        <v>957</v>
      </c>
      <c r="D678" s="8" t="s">
        <v>644</v>
      </c>
      <c r="E678" s="8" t="s">
        <v>925</v>
      </c>
      <c r="F678" s="8" t="s">
        <v>958</v>
      </c>
      <c r="G678" s="8" t="s">
        <v>12</v>
      </c>
      <c r="H678" s="8">
        <v>9.0560860000000005</v>
      </c>
      <c r="I678" s="8">
        <v>-79.503122000000005</v>
      </c>
      <c r="J678" s="21" t="s">
        <v>174</v>
      </c>
    </row>
    <row r="679" spans="1:10" x14ac:dyDescent="0.3">
      <c r="A679" s="20">
        <v>2</v>
      </c>
      <c r="B679" s="8">
        <v>871</v>
      </c>
      <c r="C679" s="8" t="s">
        <v>959</v>
      </c>
      <c r="D679" s="8" t="s">
        <v>644</v>
      </c>
      <c r="E679" s="8" t="s">
        <v>925</v>
      </c>
      <c r="F679" s="8" t="s">
        <v>960</v>
      </c>
      <c r="G679" s="8" t="s">
        <v>12</v>
      </c>
      <c r="H679" s="8">
        <v>9.0383320000000005</v>
      </c>
      <c r="I679" s="8">
        <v>-79.492841999999996</v>
      </c>
      <c r="J679" s="21" t="s">
        <v>80</v>
      </c>
    </row>
    <row r="680" spans="1:10" x14ac:dyDescent="0.3">
      <c r="A680" s="20">
        <v>2</v>
      </c>
      <c r="B680" s="8">
        <v>872</v>
      </c>
      <c r="C680" s="8" t="s">
        <v>961</v>
      </c>
      <c r="D680" s="8" t="s">
        <v>644</v>
      </c>
      <c r="E680" s="8" t="s">
        <v>925</v>
      </c>
      <c r="F680" s="8" t="s">
        <v>960</v>
      </c>
      <c r="G680" s="8" t="s">
        <v>12</v>
      </c>
      <c r="H680" s="8">
        <v>9.0383320000000005</v>
      </c>
      <c r="I680" s="8">
        <v>-79.492841999999996</v>
      </c>
      <c r="J680" s="21" t="s">
        <v>80</v>
      </c>
    </row>
    <row r="681" spans="1:10" x14ac:dyDescent="0.3">
      <c r="A681" s="20">
        <v>2</v>
      </c>
      <c r="B681" s="8">
        <v>873</v>
      </c>
      <c r="C681" s="8" t="s">
        <v>962</v>
      </c>
      <c r="D681" s="8" t="s">
        <v>644</v>
      </c>
      <c r="E681" s="8" t="s">
        <v>925</v>
      </c>
      <c r="F681" s="8" t="s">
        <v>960</v>
      </c>
      <c r="G681" s="8" t="s">
        <v>230</v>
      </c>
      <c r="H681" s="8">
        <v>9.0451029999999992</v>
      </c>
      <c r="I681" s="8">
        <v>-79.473684000000006</v>
      </c>
      <c r="J681" s="21" t="s">
        <v>689</v>
      </c>
    </row>
    <row r="682" spans="1:10" x14ac:dyDescent="0.3">
      <c r="A682" s="20">
        <v>2</v>
      </c>
      <c r="B682" s="8">
        <v>874</v>
      </c>
      <c r="C682" s="8" t="s">
        <v>963</v>
      </c>
      <c r="D682" s="8" t="s">
        <v>644</v>
      </c>
      <c r="E682" s="8" t="s">
        <v>925</v>
      </c>
      <c r="F682" s="8" t="s">
        <v>960</v>
      </c>
      <c r="G682" s="8" t="s">
        <v>230</v>
      </c>
      <c r="H682" s="8">
        <v>9.0526549999999997</v>
      </c>
      <c r="I682" s="8">
        <v>-79.463672000000003</v>
      </c>
      <c r="J682" s="21" t="s">
        <v>790</v>
      </c>
    </row>
    <row r="683" spans="1:10" x14ac:dyDescent="0.3">
      <c r="A683" s="20">
        <v>2</v>
      </c>
      <c r="B683" s="8">
        <v>875</v>
      </c>
      <c r="C683" s="8" t="s">
        <v>964</v>
      </c>
      <c r="D683" s="8" t="s">
        <v>644</v>
      </c>
      <c r="E683" s="8" t="s">
        <v>925</v>
      </c>
      <c r="F683" s="8" t="s">
        <v>960</v>
      </c>
      <c r="G683" s="8" t="s">
        <v>12</v>
      </c>
      <c r="H683" s="8">
        <v>9.0341900000000006</v>
      </c>
      <c r="I683" s="8">
        <v>-79.490909000000002</v>
      </c>
      <c r="J683" s="21" t="s">
        <v>146</v>
      </c>
    </row>
    <row r="684" spans="1:10" x14ac:dyDescent="0.3">
      <c r="A684" s="20">
        <v>2</v>
      </c>
      <c r="B684" s="8">
        <v>876</v>
      </c>
      <c r="C684" s="8" t="s">
        <v>965</v>
      </c>
      <c r="D684" s="8" t="s">
        <v>644</v>
      </c>
      <c r="E684" s="8" t="s">
        <v>925</v>
      </c>
      <c r="F684" s="8" t="s">
        <v>960</v>
      </c>
      <c r="G684" s="8" t="s">
        <v>230</v>
      </c>
      <c r="H684" s="8">
        <v>9.0376650000000005</v>
      </c>
      <c r="I684" s="8">
        <v>-79.483281000000005</v>
      </c>
      <c r="J684" s="21" t="s">
        <v>711</v>
      </c>
    </row>
    <row r="685" spans="1:10" x14ac:dyDescent="0.3">
      <c r="A685" s="20">
        <v>2</v>
      </c>
      <c r="B685" s="8">
        <v>877</v>
      </c>
      <c r="C685" s="8" t="s">
        <v>966</v>
      </c>
      <c r="D685" s="8" t="s">
        <v>644</v>
      </c>
      <c r="E685" s="8" t="s">
        <v>925</v>
      </c>
      <c r="F685" s="8" t="s">
        <v>967</v>
      </c>
      <c r="G685" s="8" t="s">
        <v>12</v>
      </c>
      <c r="H685" s="8">
        <v>9.0364699999999996</v>
      </c>
      <c r="I685" s="8">
        <v>-79.499167999999997</v>
      </c>
      <c r="J685" s="21" t="s">
        <v>140</v>
      </c>
    </row>
    <row r="686" spans="1:10" x14ac:dyDescent="0.3">
      <c r="A686" s="20">
        <v>2</v>
      </c>
      <c r="B686" s="8">
        <v>878</v>
      </c>
      <c r="C686" s="8" t="s">
        <v>968</v>
      </c>
      <c r="D686" s="8" t="s">
        <v>644</v>
      </c>
      <c r="E686" s="8" t="s">
        <v>925</v>
      </c>
      <c r="F686" s="8" t="s">
        <v>967</v>
      </c>
      <c r="G686" s="8" t="s">
        <v>230</v>
      </c>
      <c r="H686" s="8">
        <v>9.0298239999999996</v>
      </c>
      <c r="I686" s="8">
        <v>-79.495795000000001</v>
      </c>
      <c r="J686" s="21" t="s">
        <v>686</v>
      </c>
    </row>
    <row r="687" spans="1:10" x14ac:dyDescent="0.3">
      <c r="A687" s="20">
        <v>2</v>
      </c>
      <c r="B687" s="8">
        <v>881</v>
      </c>
      <c r="C687" s="8" t="s">
        <v>969</v>
      </c>
      <c r="D687" s="8" t="s">
        <v>644</v>
      </c>
      <c r="E687" s="8" t="s">
        <v>925</v>
      </c>
      <c r="F687" s="8" t="s">
        <v>967</v>
      </c>
      <c r="G687" s="8" t="s">
        <v>12</v>
      </c>
      <c r="H687" s="8">
        <v>9.0084339999999994</v>
      </c>
      <c r="I687" s="8">
        <v>-79.487789000000006</v>
      </c>
      <c r="J687" s="21" t="s">
        <v>146</v>
      </c>
    </row>
    <row r="688" spans="1:10" x14ac:dyDescent="0.3">
      <c r="A688" s="20">
        <v>2</v>
      </c>
      <c r="B688" s="8">
        <v>882</v>
      </c>
      <c r="C688" s="8" t="s">
        <v>970</v>
      </c>
      <c r="D688" s="8" t="s">
        <v>644</v>
      </c>
      <c r="E688" s="8" t="s">
        <v>925</v>
      </c>
      <c r="F688" s="8" t="s">
        <v>971</v>
      </c>
      <c r="G688" s="8" t="s">
        <v>12</v>
      </c>
      <c r="H688" s="8">
        <v>9.0416070000000008</v>
      </c>
      <c r="I688" s="8">
        <v>-79.492710000000002</v>
      </c>
      <c r="J688" s="21" t="s">
        <v>95</v>
      </c>
    </row>
    <row r="689" spans="1:10" x14ac:dyDescent="0.3">
      <c r="A689" s="20">
        <v>2</v>
      </c>
      <c r="B689" s="8">
        <v>883</v>
      </c>
      <c r="C689" s="8" t="s">
        <v>972</v>
      </c>
      <c r="D689" s="8" t="s">
        <v>644</v>
      </c>
      <c r="E689" s="8" t="s">
        <v>925</v>
      </c>
      <c r="F689" s="8" t="s">
        <v>971</v>
      </c>
      <c r="G689" s="8" t="s">
        <v>33</v>
      </c>
      <c r="H689" s="8">
        <v>9.0643100000000008</v>
      </c>
      <c r="I689" s="8">
        <v>-79.508574999999993</v>
      </c>
      <c r="J689" s="21" t="s">
        <v>18</v>
      </c>
    </row>
    <row r="690" spans="1:10" x14ac:dyDescent="0.3">
      <c r="A690" s="20">
        <v>2</v>
      </c>
      <c r="B690" s="8">
        <v>884</v>
      </c>
      <c r="C690" s="8" t="s">
        <v>973</v>
      </c>
      <c r="D690" s="8" t="s">
        <v>644</v>
      </c>
      <c r="E690" s="8" t="s">
        <v>925</v>
      </c>
      <c r="F690" s="8" t="s">
        <v>971</v>
      </c>
      <c r="G690" s="8" t="s">
        <v>12</v>
      </c>
      <c r="H690" s="8">
        <v>9.0651700000000002</v>
      </c>
      <c r="I690" s="8">
        <v>-79.52216</v>
      </c>
      <c r="J690" s="21" t="s">
        <v>295</v>
      </c>
    </row>
    <row r="691" spans="1:10" x14ac:dyDescent="0.3">
      <c r="A691" s="20">
        <v>2</v>
      </c>
      <c r="B691" s="8">
        <v>885</v>
      </c>
      <c r="C691" s="8" t="s">
        <v>974</v>
      </c>
      <c r="D691" s="8" t="s">
        <v>644</v>
      </c>
      <c r="E691" s="8" t="s">
        <v>925</v>
      </c>
      <c r="F691" s="8" t="s">
        <v>971</v>
      </c>
      <c r="G691" s="8" t="s">
        <v>230</v>
      </c>
      <c r="H691" s="8">
        <v>9.0498670000000008</v>
      </c>
      <c r="I691" s="8">
        <v>-79.511955999999998</v>
      </c>
      <c r="J691" s="21" t="s">
        <v>140</v>
      </c>
    </row>
    <row r="692" spans="1:10" x14ac:dyDescent="0.3">
      <c r="A692" s="20">
        <v>2</v>
      </c>
      <c r="B692" s="8">
        <v>886</v>
      </c>
      <c r="C692" s="8" t="s">
        <v>975</v>
      </c>
      <c r="D692" s="8" t="s">
        <v>644</v>
      </c>
      <c r="E692" s="8" t="s">
        <v>925</v>
      </c>
      <c r="F692" s="8" t="s">
        <v>971</v>
      </c>
      <c r="G692" s="8" t="s">
        <v>230</v>
      </c>
      <c r="H692" s="8">
        <v>9.062284</v>
      </c>
      <c r="I692" s="8">
        <v>-79.506235000000004</v>
      </c>
      <c r="J692" s="21" t="s">
        <v>295</v>
      </c>
    </row>
    <row r="693" spans="1:10" x14ac:dyDescent="0.3">
      <c r="A693" s="20">
        <v>2</v>
      </c>
      <c r="B693" s="8">
        <v>887</v>
      </c>
      <c r="C693" s="8" t="s">
        <v>976</v>
      </c>
      <c r="D693" s="8" t="s">
        <v>644</v>
      </c>
      <c r="E693" s="8" t="s">
        <v>925</v>
      </c>
      <c r="F693" s="8" t="s">
        <v>971</v>
      </c>
      <c r="G693" s="8" t="s">
        <v>230</v>
      </c>
      <c r="H693" s="8">
        <v>9.0723450000000003</v>
      </c>
      <c r="I693" s="8">
        <v>-79.502905999999996</v>
      </c>
      <c r="J693" s="21" t="s">
        <v>174</v>
      </c>
    </row>
    <row r="694" spans="1:10" x14ac:dyDescent="0.3">
      <c r="A694" s="20">
        <v>2</v>
      </c>
      <c r="B694" s="8">
        <v>889</v>
      </c>
      <c r="C694" s="8" t="s">
        <v>977</v>
      </c>
      <c r="D694" s="8" t="s">
        <v>644</v>
      </c>
      <c r="E694" s="8" t="s">
        <v>925</v>
      </c>
      <c r="F694" s="8" t="s">
        <v>971</v>
      </c>
      <c r="G694" s="8" t="s">
        <v>12</v>
      </c>
      <c r="H694" s="8">
        <v>9.0766650000000002</v>
      </c>
      <c r="I694" s="8">
        <v>-79.515202000000002</v>
      </c>
      <c r="J694" s="21" t="s">
        <v>795</v>
      </c>
    </row>
    <row r="695" spans="1:10" x14ac:dyDescent="0.3">
      <c r="A695" s="20">
        <v>2</v>
      </c>
      <c r="B695" s="8">
        <v>890</v>
      </c>
      <c r="C695" s="8" t="s">
        <v>978</v>
      </c>
      <c r="D695" s="8" t="s">
        <v>644</v>
      </c>
      <c r="E695" s="8" t="s">
        <v>925</v>
      </c>
      <c r="F695" s="8" t="s">
        <v>971</v>
      </c>
      <c r="G695" s="8" t="s">
        <v>230</v>
      </c>
      <c r="H695" s="8">
        <v>9.0470330000000008</v>
      </c>
      <c r="I695" s="8">
        <v>-79.511116999999999</v>
      </c>
      <c r="J695" s="21" t="s">
        <v>146</v>
      </c>
    </row>
    <row r="696" spans="1:10" x14ac:dyDescent="0.3">
      <c r="A696" s="20">
        <v>2</v>
      </c>
      <c r="B696" s="8">
        <v>891</v>
      </c>
      <c r="C696" s="8" t="s">
        <v>979</v>
      </c>
      <c r="D696" s="8" t="s">
        <v>644</v>
      </c>
      <c r="E696" s="8" t="s">
        <v>925</v>
      </c>
      <c r="F696" s="8" t="s">
        <v>971</v>
      </c>
      <c r="G696" s="8" t="s">
        <v>12</v>
      </c>
      <c r="H696" s="8">
        <v>9.0766650000000002</v>
      </c>
      <c r="I696" s="8">
        <v>-79.515202000000002</v>
      </c>
      <c r="J696" s="21" t="s">
        <v>95</v>
      </c>
    </row>
    <row r="697" spans="1:10" x14ac:dyDescent="0.3">
      <c r="A697" s="20">
        <v>2</v>
      </c>
      <c r="B697" s="8">
        <v>892</v>
      </c>
      <c r="C697" s="8" t="s">
        <v>980</v>
      </c>
      <c r="D697" s="8" t="s">
        <v>644</v>
      </c>
      <c r="E697" s="8" t="s">
        <v>925</v>
      </c>
      <c r="F697" s="8" t="s">
        <v>971</v>
      </c>
      <c r="G697" s="8" t="s">
        <v>12</v>
      </c>
      <c r="H697" s="8">
        <v>9.0773980000000005</v>
      </c>
      <c r="I697" s="8">
        <v>-79.512476000000007</v>
      </c>
      <c r="J697" s="21" t="s">
        <v>95</v>
      </c>
    </row>
    <row r="698" spans="1:10" x14ac:dyDescent="0.3">
      <c r="A698" s="20">
        <v>2</v>
      </c>
      <c r="B698" s="8">
        <v>893</v>
      </c>
      <c r="C698" s="8" t="s">
        <v>981</v>
      </c>
      <c r="D698" s="8" t="s">
        <v>644</v>
      </c>
      <c r="E698" s="8" t="s">
        <v>925</v>
      </c>
      <c r="F698" s="8" t="s">
        <v>971</v>
      </c>
      <c r="G698" s="8" t="s">
        <v>230</v>
      </c>
      <c r="H698" s="8">
        <v>9.0721629999999998</v>
      </c>
      <c r="I698" s="8">
        <v>-79.505318000000003</v>
      </c>
      <c r="J698" s="21" t="s">
        <v>95</v>
      </c>
    </row>
    <row r="699" spans="1:10" x14ac:dyDescent="0.3">
      <c r="A699" s="20">
        <v>2</v>
      </c>
      <c r="B699" s="8">
        <v>894</v>
      </c>
      <c r="C699" s="8" t="s">
        <v>982</v>
      </c>
      <c r="D699" s="8" t="s">
        <v>644</v>
      </c>
      <c r="E699" s="8" t="s">
        <v>925</v>
      </c>
      <c r="F699" s="8" t="s">
        <v>971</v>
      </c>
      <c r="G699" s="8" t="s">
        <v>230</v>
      </c>
      <c r="H699" s="8">
        <v>9.0728410000000004</v>
      </c>
      <c r="I699" s="8">
        <v>-79.502243000000007</v>
      </c>
      <c r="J699" s="21" t="s">
        <v>174</v>
      </c>
    </row>
    <row r="700" spans="1:10" x14ac:dyDescent="0.3">
      <c r="A700" s="20">
        <v>2</v>
      </c>
      <c r="B700" s="8">
        <v>895</v>
      </c>
      <c r="C700" s="8" t="s">
        <v>983</v>
      </c>
      <c r="D700" s="8" t="s">
        <v>644</v>
      </c>
      <c r="E700" s="8" t="s">
        <v>925</v>
      </c>
      <c r="F700" s="8" t="s">
        <v>956</v>
      </c>
      <c r="G700" s="8" t="s">
        <v>12</v>
      </c>
      <c r="H700" s="8">
        <v>9.0760749999999994</v>
      </c>
      <c r="I700" s="8">
        <v>-79.460148000000004</v>
      </c>
      <c r="J700" s="21" t="s">
        <v>877</v>
      </c>
    </row>
    <row r="701" spans="1:10" x14ac:dyDescent="0.3">
      <c r="A701" s="20">
        <v>2</v>
      </c>
      <c r="B701" s="8">
        <v>896</v>
      </c>
      <c r="C701" s="8" t="s">
        <v>984</v>
      </c>
      <c r="D701" s="8" t="s">
        <v>644</v>
      </c>
      <c r="E701" s="8" t="s">
        <v>925</v>
      </c>
      <c r="F701" s="8" t="s">
        <v>956</v>
      </c>
      <c r="G701" s="8" t="s">
        <v>12</v>
      </c>
      <c r="H701" s="8">
        <v>9.0594610000000007</v>
      </c>
      <c r="I701" s="8">
        <v>-79.445995999999994</v>
      </c>
      <c r="J701" s="21" t="s">
        <v>107</v>
      </c>
    </row>
    <row r="702" spans="1:10" x14ac:dyDescent="0.3">
      <c r="A702" s="20">
        <v>2</v>
      </c>
      <c r="B702" s="8">
        <v>897</v>
      </c>
      <c r="C702" s="8" t="s">
        <v>985</v>
      </c>
      <c r="D702" s="8" t="s">
        <v>644</v>
      </c>
      <c r="E702" s="8" t="s">
        <v>925</v>
      </c>
      <c r="F702" s="8" t="s">
        <v>986</v>
      </c>
      <c r="G702" s="8" t="s">
        <v>230</v>
      </c>
      <c r="H702" s="8">
        <v>9.0261270000000007</v>
      </c>
      <c r="I702" s="8">
        <v>-79.503648999999996</v>
      </c>
      <c r="J702" s="21" t="s">
        <v>797</v>
      </c>
    </row>
    <row r="703" spans="1:10" x14ac:dyDescent="0.3">
      <c r="A703" s="20">
        <v>2</v>
      </c>
      <c r="B703" s="8">
        <v>898</v>
      </c>
      <c r="C703" s="8" t="s">
        <v>987</v>
      </c>
      <c r="D703" s="8" t="s">
        <v>644</v>
      </c>
      <c r="E703" s="8" t="s">
        <v>925</v>
      </c>
      <c r="F703" s="8" t="s">
        <v>986</v>
      </c>
      <c r="G703" s="8" t="s">
        <v>12</v>
      </c>
      <c r="H703" s="8">
        <v>9.0310649999999999</v>
      </c>
      <c r="I703" s="8">
        <v>-79.505242999999993</v>
      </c>
      <c r="J703" s="21" t="s">
        <v>877</v>
      </c>
    </row>
    <row r="704" spans="1:10" x14ac:dyDescent="0.3">
      <c r="A704" s="20">
        <v>2</v>
      </c>
      <c r="B704" s="8">
        <v>899</v>
      </c>
      <c r="C704" s="8" t="s">
        <v>988</v>
      </c>
      <c r="D704" s="8" t="s">
        <v>644</v>
      </c>
      <c r="E704" s="8" t="s">
        <v>925</v>
      </c>
      <c r="F704" s="8" t="s">
        <v>986</v>
      </c>
      <c r="G704" s="8" t="s">
        <v>230</v>
      </c>
      <c r="H704" s="8">
        <v>9.0360359999999993</v>
      </c>
      <c r="I704" s="8">
        <v>-79.504790999999997</v>
      </c>
      <c r="J704" s="21" t="s">
        <v>295</v>
      </c>
    </row>
    <row r="705" spans="1:10" x14ac:dyDescent="0.3">
      <c r="A705" s="20">
        <v>2</v>
      </c>
      <c r="B705" s="8">
        <v>900</v>
      </c>
      <c r="C705" s="8" t="s">
        <v>989</v>
      </c>
      <c r="D705" s="8" t="s">
        <v>644</v>
      </c>
      <c r="E705" s="8" t="s">
        <v>990</v>
      </c>
      <c r="F705" s="8" t="s">
        <v>991</v>
      </c>
      <c r="G705" s="8" t="s">
        <v>53</v>
      </c>
      <c r="H705" s="8">
        <v>8.6014900000000001</v>
      </c>
      <c r="I705" s="8">
        <v>-79.594451000000007</v>
      </c>
      <c r="J705" s="21" t="s">
        <v>599</v>
      </c>
    </row>
    <row r="706" spans="1:10" x14ac:dyDescent="0.3">
      <c r="A706" s="20">
        <v>2</v>
      </c>
      <c r="B706" s="8">
        <v>901</v>
      </c>
      <c r="C706" s="8" t="s">
        <v>992</v>
      </c>
      <c r="D706" s="8" t="s">
        <v>644</v>
      </c>
      <c r="E706" s="8" t="s">
        <v>990</v>
      </c>
      <c r="F706" s="8" t="s">
        <v>990</v>
      </c>
      <c r="G706" s="8" t="s">
        <v>99</v>
      </c>
      <c r="H706" s="8">
        <v>8.7968659999999996</v>
      </c>
      <c r="I706" s="8">
        <v>-79.555682000000004</v>
      </c>
      <c r="J706" s="21" t="s">
        <v>100</v>
      </c>
    </row>
    <row r="707" spans="1:10" x14ac:dyDescent="0.3">
      <c r="A707" s="20">
        <v>3</v>
      </c>
      <c r="B707" s="8">
        <v>902</v>
      </c>
      <c r="C707" s="8" t="s">
        <v>993</v>
      </c>
      <c r="D707" s="8" t="s">
        <v>994</v>
      </c>
      <c r="E707" s="8" t="s">
        <v>995</v>
      </c>
      <c r="F707" s="8" t="s">
        <v>996</v>
      </c>
      <c r="G707" s="8" t="s">
        <v>12</v>
      </c>
      <c r="H707" s="8">
        <v>8.2434930000000008</v>
      </c>
      <c r="I707" s="8">
        <v>-80.539530999999997</v>
      </c>
      <c r="J707" s="21" t="s">
        <v>100</v>
      </c>
    </row>
    <row r="708" spans="1:10" x14ac:dyDescent="0.3">
      <c r="A708" s="20">
        <v>3</v>
      </c>
      <c r="B708" s="8">
        <v>903</v>
      </c>
      <c r="C708" s="8" t="s">
        <v>997</v>
      </c>
      <c r="D708" s="8" t="s">
        <v>994</v>
      </c>
      <c r="E708" s="8" t="s">
        <v>995</v>
      </c>
      <c r="F708" s="8" t="s">
        <v>998</v>
      </c>
      <c r="G708" s="8" t="s">
        <v>12</v>
      </c>
      <c r="H708" s="8">
        <v>8.2417730000000002</v>
      </c>
      <c r="I708" s="8">
        <v>-80.542918</v>
      </c>
      <c r="J708" s="21" t="s">
        <v>100</v>
      </c>
    </row>
    <row r="709" spans="1:10" x14ac:dyDescent="0.3">
      <c r="A709" s="20">
        <v>3</v>
      </c>
      <c r="B709" s="8">
        <v>905</v>
      </c>
      <c r="C709" s="8" t="s">
        <v>999</v>
      </c>
      <c r="D709" s="8" t="s">
        <v>994</v>
      </c>
      <c r="E709" s="8" t="s">
        <v>995</v>
      </c>
      <c r="F709" s="8" t="s">
        <v>996</v>
      </c>
      <c r="G709" s="8" t="s">
        <v>12</v>
      </c>
      <c r="H709" s="8">
        <v>8.2422989999999992</v>
      </c>
      <c r="I709" s="8">
        <v>-80.544456999999994</v>
      </c>
      <c r="J709" s="21" t="s">
        <v>100</v>
      </c>
    </row>
    <row r="710" spans="1:10" x14ac:dyDescent="0.3">
      <c r="A710" s="20">
        <v>3</v>
      </c>
      <c r="B710" s="8">
        <v>906</v>
      </c>
      <c r="C710" s="8" t="s">
        <v>1000</v>
      </c>
      <c r="D710" s="8" t="s">
        <v>994</v>
      </c>
      <c r="E710" s="8" t="s">
        <v>995</v>
      </c>
      <c r="F710" s="8" t="s">
        <v>996</v>
      </c>
      <c r="G710" s="8" t="s">
        <v>12</v>
      </c>
      <c r="H710" s="8">
        <v>8.2374899999999993</v>
      </c>
      <c r="I710" s="8">
        <v>-80.549319999999994</v>
      </c>
      <c r="J710" s="21" t="s">
        <v>86</v>
      </c>
    </row>
    <row r="711" spans="1:10" x14ac:dyDescent="0.3">
      <c r="A711" s="20">
        <v>3</v>
      </c>
      <c r="B711" s="8">
        <v>907</v>
      </c>
      <c r="C711" s="8" t="s">
        <v>1001</v>
      </c>
      <c r="D711" s="8" t="s">
        <v>994</v>
      </c>
      <c r="E711" s="8" t="s">
        <v>995</v>
      </c>
      <c r="F711" s="8" t="s">
        <v>996</v>
      </c>
      <c r="G711" s="8" t="s">
        <v>12</v>
      </c>
      <c r="H711" s="8">
        <v>8.2467100000000002</v>
      </c>
      <c r="I711" s="8">
        <v>-80.541467999999995</v>
      </c>
      <c r="J711" s="21" t="s">
        <v>86</v>
      </c>
    </row>
    <row r="712" spans="1:10" x14ac:dyDescent="0.3">
      <c r="A712" s="20">
        <v>3</v>
      </c>
      <c r="B712" s="8">
        <v>909</v>
      </c>
      <c r="C712" s="8" t="s">
        <v>1002</v>
      </c>
      <c r="D712" s="8" t="s">
        <v>994</v>
      </c>
      <c r="E712" s="8" t="s">
        <v>995</v>
      </c>
      <c r="F712" s="8" t="s">
        <v>996</v>
      </c>
      <c r="G712" s="8" t="s">
        <v>12</v>
      </c>
      <c r="H712" s="8">
        <v>8.2491129999999995</v>
      </c>
      <c r="I712" s="8">
        <v>-80.544432999999998</v>
      </c>
      <c r="J712" s="21" t="s">
        <v>86</v>
      </c>
    </row>
    <row r="713" spans="1:10" x14ac:dyDescent="0.3">
      <c r="A713" s="20">
        <v>3</v>
      </c>
      <c r="B713" s="8">
        <v>910</v>
      </c>
      <c r="C713" s="8" t="s">
        <v>1003</v>
      </c>
      <c r="D713" s="8" t="s">
        <v>994</v>
      </c>
      <c r="E713" s="8" t="s">
        <v>995</v>
      </c>
      <c r="F713" s="8" t="s">
        <v>996</v>
      </c>
      <c r="G713" s="8" t="s">
        <v>12</v>
      </c>
      <c r="H713" s="8">
        <v>8.2450460000000003</v>
      </c>
      <c r="I713" s="8">
        <v>-80.558060999999995</v>
      </c>
      <c r="J713" s="21" t="s">
        <v>86</v>
      </c>
    </row>
    <row r="714" spans="1:10" x14ac:dyDescent="0.3">
      <c r="A714" s="20">
        <v>3</v>
      </c>
      <c r="B714" s="8">
        <v>911</v>
      </c>
      <c r="C714" s="8" t="s">
        <v>1004</v>
      </c>
      <c r="D714" s="8" t="s">
        <v>994</v>
      </c>
      <c r="E714" s="8" t="s">
        <v>995</v>
      </c>
      <c r="F714" s="8" t="s">
        <v>996</v>
      </c>
      <c r="G714" s="8" t="s">
        <v>12</v>
      </c>
      <c r="H714" s="8">
        <v>8.2446420000000007</v>
      </c>
      <c r="I714" s="8">
        <v>-80.530597999999998</v>
      </c>
      <c r="J714" s="21" t="s">
        <v>310</v>
      </c>
    </row>
    <row r="715" spans="1:10" x14ac:dyDescent="0.3">
      <c r="A715" s="20">
        <v>3</v>
      </c>
      <c r="B715" s="8">
        <v>914</v>
      </c>
      <c r="C715" s="8" t="s">
        <v>1005</v>
      </c>
      <c r="D715" s="8" t="s">
        <v>994</v>
      </c>
      <c r="E715" s="8" t="s">
        <v>995</v>
      </c>
      <c r="F715" s="8" t="s">
        <v>996</v>
      </c>
      <c r="G715" s="8" t="s">
        <v>12</v>
      </c>
      <c r="H715" s="8">
        <v>8.2414389999999997</v>
      </c>
      <c r="I715" s="8">
        <v>-80.539844000000002</v>
      </c>
      <c r="J715" s="21" t="s">
        <v>86</v>
      </c>
    </row>
    <row r="716" spans="1:10" x14ac:dyDescent="0.3">
      <c r="A716" s="20">
        <v>3</v>
      </c>
      <c r="B716" s="8">
        <v>915</v>
      </c>
      <c r="C716" s="8" t="s">
        <v>1006</v>
      </c>
      <c r="D716" s="8" t="s">
        <v>994</v>
      </c>
      <c r="E716" s="8" t="s">
        <v>995</v>
      </c>
      <c r="F716" s="8" t="s">
        <v>996</v>
      </c>
      <c r="G716" s="8" t="s">
        <v>12</v>
      </c>
      <c r="H716" s="8">
        <v>8.2413889999999999</v>
      </c>
      <c r="I716" s="8">
        <v>-80.536511000000004</v>
      </c>
      <c r="J716" s="21" t="s">
        <v>86</v>
      </c>
    </row>
    <row r="717" spans="1:10" x14ac:dyDescent="0.3">
      <c r="A717" s="20">
        <v>3</v>
      </c>
      <c r="B717" s="8">
        <v>916</v>
      </c>
      <c r="C717" s="8" t="s">
        <v>1007</v>
      </c>
      <c r="D717" s="8" t="s">
        <v>994</v>
      </c>
      <c r="E717" s="8" t="s">
        <v>995</v>
      </c>
      <c r="F717" s="8" t="s">
        <v>1008</v>
      </c>
      <c r="G717" s="8" t="s">
        <v>12</v>
      </c>
      <c r="H717" s="8">
        <v>8.2588000000000008</v>
      </c>
      <c r="I717" s="8">
        <v>-80.549386999999996</v>
      </c>
      <c r="J717" s="21" t="s">
        <v>100</v>
      </c>
    </row>
    <row r="718" spans="1:10" x14ac:dyDescent="0.3">
      <c r="A718" s="20">
        <v>3</v>
      </c>
      <c r="B718" s="8">
        <v>920</v>
      </c>
      <c r="C718" s="8" t="s">
        <v>1009</v>
      </c>
      <c r="D718" s="8" t="s">
        <v>994</v>
      </c>
      <c r="E718" s="8" t="s">
        <v>995</v>
      </c>
      <c r="F718" s="8" t="s">
        <v>996</v>
      </c>
      <c r="G718" s="8" t="s">
        <v>12</v>
      </c>
      <c r="H718" s="8">
        <v>8.2417909999999992</v>
      </c>
      <c r="I718" s="8">
        <v>-80.549287000000007</v>
      </c>
      <c r="J718" s="21" t="s">
        <v>86</v>
      </c>
    </row>
    <row r="719" spans="1:10" x14ac:dyDescent="0.3">
      <c r="A719" s="20">
        <v>3</v>
      </c>
      <c r="B719" s="8">
        <v>921</v>
      </c>
      <c r="C719" s="8" t="s">
        <v>1010</v>
      </c>
      <c r="D719" s="8" t="s">
        <v>994</v>
      </c>
      <c r="E719" s="8" t="s">
        <v>995</v>
      </c>
      <c r="F719" s="8" t="s">
        <v>998</v>
      </c>
      <c r="G719" s="8" t="s">
        <v>12</v>
      </c>
      <c r="H719" s="8">
        <v>8.2369059999999994</v>
      </c>
      <c r="I719" s="8">
        <v>-80.540443999999994</v>
      </c>
      <c r="J719" s="21" t="s">
        <v>86</v>
      </c>
    </row>
    <row r="720" spans="1:10" x14ac:dyDescent="0.3">
      <c r="A720" s="20">
        <v>3</v>
      </c>
      <c r="B720" s="8">
        <v>922</v>
      </c>
      <c r="C720" s="8" t="s">
        <v>1011</v>
      </c>
      <c r="D720" s="8" t="s">
        <v>994</v>
      </c>
      <c r="E720" s="8" t="s">
        <v>995</v>
      </c>
      <c r="F720" s="8" t="s">
        <v>1012</v>
      </c>
      <c r="G720" s="8" t="s">
        <v>53</v>
      </c>
      <c r="H720" s="8">
        <v>8.3130199999999999</v>
      </c>
      <c r="I720" s="8">
        <v>-80.685871000000006</v>
      </c>
      <c r="J720" s="21" t="s">
        <v>395</v>
      </c>
    </row>
    <row r="721" spans="1:10" x14ac:dyDescent="0.3">
      <c r="A721" s="20">
        <v>3</v>
      </c>
      <c r="B721" s="8">
        <v>923</v>
      </c>
      <c r="C721" s="8" t="s">
        <v>1013</v>
      </c>
      <c r="D721" s="8" t="s">
        <v>994</v>
      </c>
      <c r="E721" s="8" t="s">
        <v>995</v>
      </c>
      <c r="F721" s="8" t="s">
        <v>1012</v>
      </c>
      <c r="G721" s="8" t="s">
        <v>53</v>
      </c>
      <c r="H721" s="8">
        <v>8.2723580000000005</v>
      </c>
      <c r="I721" s="8">
        <v>-80.674375999999995</v>
      </c>
      <c r="J721" s="21" t="s">
        <v>357</v>
      </c>
    </row>
    <row r="722" spans="1:10" x14ac:dyDescent="0.3">
      <c r="A722" s="20">
        <v>3</v>
      </c>
      <c r="B722" s="8">
        <v>924</v>
      </c>
      <c r="C722" s="8" t="s">
        <v>1014</v>
      </c>
      <c r="D722" s="8" t="s">
        <v>994</v>
      </c>
      <c r="E722" s="8" t="s">
        <v>995</v>
      </c>
      <c r="F722" s="8" t="s">
        <v>1012</v>
      </c>
      <c r="G722" s="8" t="s">
        <v>53</v>
      </c>
      <c r="H722" s="8">
        <v>8.2717510000000001</v>
      </c>
      <c r="I722" s="8">
        <v>-80.621915000000001</v>
      </c>
      <c r="J722" s="21" t="s">
        <v>357</v>
      </c>
    </row>
    <row r="723" spans="1:10" x14ac:dyDescent="0.3">
      <c r="A723" s="20">
        <v>3</v>
      </c>
      <c r="B723" s="8">
        <v>925</v>
      </c>
      <c r="C723" s="8" t="s">
        <v>1015</v>
      </c>
      <c r="D723" s="8" t="s">
        <v>994</v>
      </c>
      <c r="E723" s="8" t="s">
        <v>995</v>
      </c>
      <c r="F723" s="8" t="s">
        <v>1016</v>
      </c>
      <c r="G723" s="8" t="s">
        <v>12</v>
      </c>
      <c r="H723" s="8">
        <v>8.1995229999999992</v>
      </c>
      <c r="I723" s="8">
        <v>-80.702838999999997</v>
      </c>
      <c r="J723" s="21" t="s">
        <v>100</v>
      </c>
    </row>
    <row r="724" spans="1:10" x14ac:dyDescent="0.3">
      <c r="A724" s="20">
        <v>3</v>
      </c>
      <c r="B724" s="8">
        <v>926</v>
      </c>
      <c r="C724" s="8" t="s">
        <v>1017</v>
      </c>
      <c r="D724" s="8" t="s">
        <v>994</v>
      </c>
      <c r="E724" s="8" t="s">
        <v>995</v>
      </c>
      <c r="F724" s="8" t="s">
        <v>1016</v>
      </c>
      <c r="G724" s="8" t="s">
        <v>33</v>
      </c>
      <c r="H724" s="8">
        <v>8.1629009999999997</v>
      </c>
      <c r="I724" s="8">
        <v>-80.656627999999998</v>
      </c>
      <c r="J724" s="21" t="s">
        <v>1018</v>
      </c>
    </row>
    <row r="725" spans="1:10" x14ac:dyDescent="0.3">
      <c r="A725" s="20">
        <v>3</v>
      </c>
      <c r="B725" s="8">
        <v>927</v>
      </c>
      <c r="C725" s="8" t="s">
        <v>1019</v>
      </c>
      <c r="D725" s="8" t="s">
        <v>994</v>
      </c>
      <c r="E725" s="8" t="s">
        <v>995</v>
      </c>
      <c r="F725" s="8" t="s">
        <v>1016</v>
      </c>
      <c r="G725" s="8" t="s">
        <v>99</v>
      </c>
      <c r="H725" s="8">
        <v>8.170064</v>
      </c>
      <c r="I725" s="8">
        <v>-80.636239000000003</v>
      </c>
      <c r="J725" s="21" t="s">
        <v>479</v>
      </c>
    </row>
    <row r="726" spans="1:10" x14ac:dyDescent="0.3">
      <c r="A726" s="20">
        <v>3</v>
      </c>
      <c r="B726" s="8">
        <v>928</v>
      </c>
      <c r="C726" s="8" t="s">
        <v>1020</v>
      </c>
      <c r="D726" s="8" t="s">
        <v>994</v>
      </c>
      <c r="E726" s="8" t="s">
        <v>995</v>
      </c>
      <c r="F726" s="8" t="s">
        <v>1016</v>
      </c>
      <c r="G726" s="8" t="s">
        <v>12</v>
      </c>
      <c r="H726" s="8">
        <v>8.1707579999999993</v>
      </c>
      <c r="I726" s="8">
        <v>-80.668931999999998</v>
      </c>
      <c r="J726" s="21" t="s">
        <v>1018</v>
      </c>
    </row>
    <row r="727" spans="1:10" x14ac:dyDescent="0.3">
      <c r="A727" s="20">
        <v>3</v>
      </c>
      <c r="B727" s="8">
        <v>929</v>
      </c>
      <c r="C727" s="8" t="s">
        <v>1021</v>
      </c>
      <c r="D727" s="8" t="s">
        <v>994</v>
      </c>
      <c r="E727" s="8" t="s">
        <v>995</v>
      </c>
      <c r="F727" s="8" t="s">
        <v>1016</v>
      </c>
      <c r="G727" s="8" t="s">
        <v>12</v>
      </c>
      <c r="H727" s="8">
        <v>8.1690869999999993</v>
      </c>
      <c r="I727" s="8">
        <v>-80.667520999999994</v>
      </c>
      <c r="J727" s="21" t="s">
        <v>100</v>
      </c>
    </row>
    <row r="728" spans="1:10" x14ac:dyDescent="0.3">
      <c r="A728" s="20">
        <v>3</v>
      </c>
      <c r="B728" s="8">
        <v>930</v>
      </c>
      <c r="C728" s="8" t="s">
        <v>1022</v>
      </c>
      <c r="D728" s="8" t="s">
        <v>994</v>
      </c>
      <c r="E728" s="8" t="s">
        <v>995</v>
      </c>
      <c r="F728" s="8" t="s">
        <v>1008</v>
      </c>
      <c r="G728" s="8" t="s">
        <v>12</v>
      </c>
      <c r="H728" s="8">
        <v>8.253698</v>
      </c>
      <c r="I728" s="8">
        <v>-80.555830999999998</v>
      </c>
      <c r="J728" s="21" t="s">
        <v>310</v>
      </c>
    </row>
    <row r="729" spans="1:10" x14ac:dyDescent="0.3">
      <c r="A729" s="20">
        <v>3</v>
      </c>
      <c r="B729" s="8">
        <v>931</v>
      </c>
      <c r="C729" s="8" t="s">
        <v>1023</v>
      </c>
      <c r="D729" s="8" t="s">
        <v>994</v>
      </c>
      <c r="E729" s="8" t="s">
        <v>995</v>
      </c>
      <c r="F729" s="8" t="s">
        <v>1008</v>
      </c>
      <c r="G729" s="8" t="s">
        <v>12</v>
      </c>
      <c r="H729" s="8">
        <v>8.2588989999999995</v>
      </c>
      <c r="I729" s="8">
        <v>-80.549342999999993</v>
      </c>
      <c r="J729" s="21" t="s">
        <v>100</v>
      </c>
    </row>
    <row r="730" spans="1:10" x14ac:dyDescent="0.3">
      <c r="A730" s="20">
        <v>3</v>
      </c>
      <c r="B730" s="8">
        <v>932</v>
      </c>
      <c r="C730" s="8" t="s">
        <v>1024</v>
      </c>
      <c r="D730" s="8" t="s">
        <v>994</v>
      </c>
      <c r="E730" s="8" t="s">
        <v>995</v>
      </c>
      <c r="F730" s="8" t="s">
        <v>1008</v>
      </c>
      <c r="G730" s="8" t="s">
        <v>12</v>
      </c>
      <c r="H730" s="8">
        <v>8.2530579999999993</v>
      </c>
      <c r="I730" s="8">
        <v>-80.545906000000002</v>
      </c>
      <c r="J730" s="21" t="s">
        <v>310</v>
      </c>
    </row>
    <row r="731" spans="1:10" x14ac:dyDescent="0.3">
      <c r="A731" s="20">
        <v>3</v>
      </c>
      <c r="B731" s="8">
        <v>933</v>
      </c>
      <c r="C731" s="8" t="s">
        <v>1025</v>
      </c>
      <c r="D731" s="8" t="s">
        <v>994</v>
      </c>
      <c r="E731" s="8" t="s">
        <v>995</v>
      </c>
      <c r="F731" s="8" t="s">
        <v>1008</v>
      </c>
      <c r="G731" s="8" t="s">
        <v>12</v>
      </c>
      <c r="H731" s="8">
        <v>8.2587980000000005</v>
      </c>
      <c r="I731" s="8">
        <v>-80.539063999999996</v>
      </c>
      <c r="J731" s="21" t="s">
        <v>310</v>
      </c>
    </row>
    <row r="732" spans="1:10" x14ac:dyDescent="0.3">
      <c r="A732" s="20">
        <v>3</v>
      </c>
      <c r="B732" s="8">
        <v>936</v>
      </c>
      <c r="C732" s="8" t="s">
        <v>1026</v>
      </c>
      <c r="D732" s="8" t="s">
        <v>994</v>
      </c>
      <c r="E732" s="8" t="s">
        <v>1027</v>
      </c>
      <c r="F732" s="8" t="s">
        <v>1027</v>
      </c>
      <c r="G732" s="8" t="s">
        <v>12</v>
      </c>
      <c r="H732" s="8">
        <v>8.3944200000000002</v>
      </c>
      <c r="I732" s="8">
        <v>-80.262666999999993</v>
      </c>
      <c r="J732" s="21" t="s">
        <v>1028</v>
      </c>
    </row>
    <row r="733" spans="1:10" x14ac:dyDescent="0.3">
      <c r="A733" s="20">
        <v>3</v>
      </c>
      <c r="B733" s="8">
        <v>937</v>
      </c>
      <c r="C733" s="8" t="s">
        <v>1029</v>
      </c>
      <c r="D733" s="8" t="s">
        <v>994</v>
      </c>
      <c r="E733" s="8" t="s">
        <v>1027</v>
      </c>
      <c r="F733" s="8" t="s">
        <v>1027</v>
      </c>
      <c r="G733" s="8" t="s">
        <v>12</v>
      </c>
      <c r="H733" s="8">
        <v>8.4006360000000004</v>
      </c>
      <c r="I733" s="8">
        <v>-80.269677000000001</v>
      </c>
      <c r="J733" s="21" t="s">
        <v>1028</v>
      </c>
    </row>
    <row r="734" spans="1:10" x14ac:dyDescent="0.3">
      <c r="A734" s="20">
        <v>3</v>
      </c>
      <c r="B734" s="8">
        <v>938</v>
      </c>
      <c r="C734" s="8" t="s">
        <v>1030</v>
      </c>
      <c r="D734" s="8" t="s">
        <v>994</v>
      </c>
      <c r="E734" s="8" t="s">
        <v>1027</v>
      </c>
      <c r="F734" s="8" t="s">
        <v>1027</v>
      </c>
      <c r="G734" s="8" t="s">
        <v>12</v>
      </c>
      <c r="H734" s="8">
        <v>8.3990299999999998</v>
      </c>
      <c r="I734" s="8">
        <v>-80.268127000000007</v>
      </c>
      <c r="J734" s="21" t="s">
        <v>1028</v>
      </c>
    </row>
    <row r="735" spans="1:10" x14ac:dyDescent="0.3">
      <c r="A735" s="20">
        <v>3</v>
      </c>
      <c r="B735" s="8">
        <v>939</v>
      </c>
      <c r="C735" s="8" t="s">
        <v>1031</v>
      </c>
      <c r="D735" s="8" t="s">
        <v>994</v>
      </c>
      <c r="E735" s="8" t="s">
        <v>1027</v>
      </c>
      <c r="F735" s="8" t="s">
        <v>1027</v>
      </c>
      <c r="G735" s="8" t="s">
        <v>12</v>
      </c>
      <c r="H735" s="8">
        <v>8.3931050000000003</v>
      </c>
      <c r="I735" s="8">
        <v>-80.266723999999996</v>
      </c>
      <c r="J735" s="21" t="s">
        <v>1018</v>
      </c>
    </row>
    <row r="736" spans="1:10" x14ac:dyDescent="0.3">
      <c r="A736" s="20">
        <v>3</v>
      </c>
      <c r="B736" s="8">
        <v>942</v>
      </c>
      <c r="C736" s="8" t="s">
        <v>1032</v>
      </c>
      <c r="D736" s="8" t="s">
        <v>994</v>
      </c>
      <c r="E736" s="8" t="s">
        <v>1027</v>
      </c>
      <c r="F736" s="8" t="s">
        <v>1027</v>
      </c>
      <c r="G736" s="8" t="s">
        <v>12</v>
      </c>
      <c r="H736" s="8">
        <v>8.39175</v>
      </c>
      <c r="I736" s="8">
        <v>-80.262388999999999</v>
      </c>
      <c r="J736" s="21" t="s">
        <v>65</v>
      </c>
    </row>
    <row r="737" spans="1:10" x14ac:dyDescent="0.3">
      <c r="A737" s="20">
        <v>3</v>
      </c>
      <c r="B737" s="8">
        <v>943</v>
      </c>
      <c r="C737" s="8" t="s">
        <v>1033</v>
      </c>
      <c r="D737" s="8" t="s">
        <v>994</v>
      </c>
      <c r="E737" s="8" t="s">
        <v>1027</v>
      </c>
      <c r="F737" s="8" t="s">
        <v>1034</v>
      </c>
      <c r="G737" s="8" t="s">
        <v>12</v>
      </c>
      <c r="H737" s="8">
        <v>8.6359159999999999</v>
      </c>
      <c r="I737" s="8">
        <v>-80.131915000000006</v>
      </c>
      <c r="J737" s="21" t="s">
        <v>520</v>
      </c>
    </row>
    <row r="738" spans="1:10" x14ac:dyDescent="0.3">
      <c r="A738" s="20">
        <v>3</v>
      </c>
      <c r="B738" s="8">
        <v>944</v>
      </c>
      <c r="C738" s="8" t="s">
        <v>1035</v>
      </c>
      <c r="D738" s="8" t="s">
        <v>994</v>
      </c>
      <c r="E738" s="8" t="s">
        <v>1027</v>
      </c>
      <c r="F738" s="8" t="s">
        <v>1034</v>
      </c>
      <c r="G738" s="8" t="s">
        <v>12</v>
      </c>
      <c r="H738" s="8">
        <v>8.6013870000000008</v>
      </c>
      <c r="I738" s="8">
        <v>-80.120132999999996</v>
      </c>
      <c r="J738" s="21" t="s">
        <v>1036</v>
      </c>
    </row>
    <row r="739" spans="1:10" x14ac:dyDescent="0.3">
      <c r="A739" s="20">
        <v>3</v>
      </c>
      <c r="B739" s="8">
        <v>945</v>
      </c>
      <c r="C739" s="8" t="s">
        <v>1037</v>
      </c>
      <c r="D739" s="8" t="s">
        <v>994</v>
      </c>
      <c r="E739" s="8" t="s">
        <v>1027</v>
      </c>
      <c r="F739" s="8" t="s">
        <v>1034</v>
      </c>
      <c r="G739" s="8" t="s">
        <v>33</v>
      </c>
      <c r="H739" s="8">
        <v>8.6128710000000002</v>
      </c>
      <c r="I739" s="8">
        <v>-80.118212999999997</v>
      </c>
      <c r="J739" s="21" t="s">
        <v>1036</v>
      </c>
    </row>
    <row r="740" spans="1:10" x14ac:dyDescent="0.3">
      <c r="A740" s="20">
        <v>3</v>
      </c>
      <c r="B740" s="8">
        <v>946</v>
      </c>
      <c r="C740" s="8" t="s">
        <v>1038</v>
      </c>
      <c r="D740" s="8" t="s">
        <v>994</v>
      </c>
      <c r="E740" s="8" t="s">
        <v>1027</v>
      </c>
      <c r="F740" s="8" t="s">
        <v>1034</v>
      </c>
      <c r="G740" s="8" t="s">
        <v>53</v>
      </c>
      <c r="H740" s="8">
        <v>8.4746179999999995</v>
      </c>
      <c r="I740" s="8">
        <v>-80.095208999999997</v>
      </c>
      <c r="J740" s="21" t="s">
        <v>357</v>
      </c>
    </row>
    <row r="741" spans="1:10" x14ac:dyDescent="0.3">
      <c r="A741" s="20">
        <v>3</v>
      </c>
      <c r="B741" s="8">
        <v>947</v>
      </c>
      <c r="C741" s="8" t="s">
        <v>1039</v>
      </c>
      <c r="D741" s="8" t="s">
        <v>994</v>
      </c>
      <c r="E741" s="8" t="s">
        <v>1027</v>
      </c>
      <c r="F741" s="8" t="s">
        <v>1040</v>
      </c>
      <c r="G741" s="8" t="s">
        <v>12</v>
      </c>
      <c r="H741" s="8">
        <v>8.4307060000000007</v>
      </c>
      <c r="I741" s="8">
        <v>-80.065191999999996</v>
      </c>
      <c r="J741" s="21" t="s">
        <v>1041</v>
      </c>
    </row>
    <row r="742" spans="1:10" x14ac:dyDescent="0.3">
      <c r="A742" s="20">
        <v>3</v>
      </c>
      <c r="B742" s="8">
        <v>948</v>
      </c>
      <c r="C742" s="8" t="s">
        <v>1042</v>
      </c>
      <c r="D742" s="8" t="s">
        <v>994</v>
      </c>
      <c r="E742" s="8" t="s">
        <v>1027</v>
      </c>
      <c r="F742" s="8" t="s">
        <v>1040</v>
      </c>
      <c r="G742" s="8" t="s">
        <v>12</v>
      </c>
      <c r="H742" s="8">
        <v>8.35656</v>
      </c>
      <c r="I742" s="8">
        <v>-80.137201000000005</v>
      </c>
      <c r="J742" s="21" t="s">
        <v>1028</v>
      </c>
    </row>
    <row r="743" spans="1:10" x14ac:dyDescent="0.3">
      <c r="A743" s="20">
        <v>3</v>
      </c>
      <c r="B743" s="8">
        <v>949</v>
      </c>
      <c r="C743" s="8" t="s">
        <v>1043</v>
      </c>
      <c r="D743" s="8" t="s">
        <v>994</v>
      </c>
      <c r="E743" s="8" t="s">
        <v>1027</v>
      </c>
      <c r="F743" s="8" t="s">
        <v>1040</v>
      </c>
      <c r="G743" s="8" t="s">
        <v>12</v>
      </c>
      <c r="H743" s="8">
        <v>8.5393290000000004</v>
      </c>
      <c r="I743" s="8">
        <v>-82.419578000000001</v>
      </c>
      <c r="J743" s="21" t="s">
        <v>1036</v>
      </c>
    </row>
    <row r="744" spans="1:10" x14ac:dyDescent="0.3">
      <c r="A744" s="20">
        <v>3</v>
      </c>
      <c r="B744" s="8">
        <v>950</v>
      </c>
      <c r="C744" s="8" t="s">
        <v>1044</v>
      </c>
      <c r="D744" s="8" t="s">
        <v>994</v>
      </c>
      <c r="E744" s="8" t="s">
        <v>1027</v>
      </c>
      <c r="F744" s="8" t="s">
        <v>1040</v>
      </c>
      <c r="G744" s="8" t="s">
        <v>12</v>
      </c>
      <c r="H744" s="8">
        <v>8.4283370000000009</v>
      </c>
      <c r="I744" s="8">
        <v>-80.070796000000001</v>
      </c>
      <c r="J744" s="21" t="s">
        <v>1028</v>
      </c>
    </row>
    <row r="745" spans="1:10" x14ac:dyDescent="0.3">
      <c r="A745" s="20">
        <v>3</v>
      </c>
      <c r="B745" s="8">
        <v>952</v>
      </c>
      <c r="C745" s="8" t="s">
        <v>1045</v>
      </c>
      <c r="D745" s="8" t="s">
        <v>994</v>
      </c>
      <c r="E745" s="8" t="s">
        <v>1027</v>
      </c>
      <c r="F745" s="8" t="s">
        <v>1040</v>
      </c>
      <c r="G745" s="8" t="s">
        <v>12</v>
      </c>
      <c r="H745" s="8">
        <v>8.4076719999999998</v>
      </c>
      <c r="I745" s="8">
        <v>-80.158034000000001</v>
      </c>
      <c r="J745" s="21" t="s">
        <v>222</v>
      </c>
    </row>
    <row r="746" spans="1:10" x14ac:dyDescent="0.3">
      <c r="A746" s="20">
        <v>3</v>
      </c>
      <c r="B746" s="8">
        <v>953</v>
      </c>
      <c r="C746" s="8" t="s">
        <v>1046</v>
      </c>
      <c r="D746" s="8" t="s">
        <v>994</v>
      </c>
      <c r="E746" s="8" t="s">
        <v>1027</v>
      </c>
      <c r="F746" s="8" t="s">
        <v>1040</v>
      </c>
      <c r="G746" s="8" t="s">
        <v>12</v>
      </c>
      <c r="H746" s="8">
        <v>8.3749859999999998</v>
      </c>
      <c r="I746" s="8">
        <v>-80.109182000000004</v>
      </c>
      <c r="J746" s="21" t="s">
        <v>1028</v>
      </c>
    </row>
    <row r="747" spans="1:10" x14ac:dyDescent="0.3">
      <c r="A747" s="20">
        <v>3</v>
      </c>
      <c r="B747" s="8">
        <v>954</v>
      </c>
      <c r="C747" s="8" t="s">
        <v>1047</v>
      </c>
      <c r="D747" s="8" t="s">
        <v>994</v>
      </c>
      <c r="E747" s="8" t="s">
        <v>1027</v>
      </c>
      <c r="F747" s="8" t="s">
        <v>1040</v>
      </c>
      <c r="G747" s="8" t="s">
        <v>12</v>
      </c>
      <c r="H747" s="8">
        <v>8.5133159999999997</v>
      </c>
      <c r="I747" s="8">
        <v>-80.352756999999997</v>
      </c>
      <c r="J747" s="21" t="s">
        <v>1028</v>
      </c>
    </row>
    <row r="748" spans="1:10" x14ac:dyDescent="0.3">
      <c r="A748" s="20">
        <v>3</v>
      </c>
      <c r="B748" s="8">
        <v>955</v>
      </c>
      <c r="C748" s="8" t="s">
        <v>1048</v>
      </c>
      <c r="D748" s="8" t="s">
        <v>994</v>
      </c>
      <c r="E748" s="8" t="s">
        <v>1027</v>
      </c>
      <c r="F748" s="8" t="s">
        <v>1049</v>
      </c>
      <c r="G748" s="8" t="s">
        <v>12</v>
      </c>
      <c r="H748" s="8">
        <v>8.4959869999999995</v>
      </c>
      <c r="I748" s="8">
        <v>-80.190742999999998</v>
      </c>
      <c r="J748" s="21" t="s">
        <v>357</v>
      </c>
    </row>
    <row r="749" spans="1:10" x14ac:dyDescent="0.3">
      <c r="A749" s="20">
        <v>3</v>
      </c>
      <c r="B749" s="8">
        <v>956</v>
      </c>
      <c r="C749" s="8" t="s">
        <v>788</v>
      </c>
      <c r="D749" s="8" t="s">
        <v>994</v>
      </c>
      <c r="E749" s="8" t="s">
        <v>1027</v>
      </c>
      <c r="F749" s="8" t="s">
        <v>1049</v>
      </c>
      <c r="G749" s="8" t="s">
        <v>12</v>
      </c>
      <c r="H749" s="8">
        <v>8.4862579999999994</v>
      </c>
      <c r="I749" s="8">
        <v>-80.203732000000002</v>
      </c>
      <c r="J749" s="21" t="s">
        <v>1036</v>
      </c>
    </row>
    <row r="750" spans="1:10" x14ac:dyDescent="0.3">
      <c r="A750" s="20">
        <v>3</v>
      </c>
      <c r="B750" s="8">
        <v>957</v>
      </c>
      <c r="C750" s="8" t="s">
        <v>1050</v>
      </c>
      <c r="D750" s="8" t="s">
        <v>994</v>
      </c>
      <c r="E750" s="8" t="s">
        <v>1027</v>
      </c>
      <c r="F750" s="8" t="s">
        <v>1049</v>
      </c>
      <c r="G750" s="8" t="s">
        <v>12</v>
      </c>
      <c r="H750" s="8">
        <v>8.4952009999999998</v>
      </c>
      <c r="I750" s="8">
        <v>-80.191865000000007</v>
      </c>
      <c r="J750" s="21" t="s">
        <v>1036</v>
      </c>
    </row>
    <row r="751" spans="1:10" x14ac:dyDescent="0.3">
      <c r="A751" s="20">
        <v>3</v>
      </c>
      <c r="B751" s="8">
        <v>959</v>
      </c>
      <c r="C751" s="8" t="s">
        <v>1051</v>
      </c>
      <c r="D751" s="8" t="s">
        <v>994</v>
      </c>
      <c r="E751" s="8" t="s">
        <v>1052</v>
      </c>
      <c r="F751" s="8" t="s">
        <v>1053</v>
      </c>
      <c r="G751" s="8" t="s">
        <v>53</v>
      </c>
      <c r="H751" s="8">
        <v>8.6546000000000003</v>
      </c>
      <c r="I751" s="8">
        <v>-80.561001000000005</v>
      </c>
      <c r="J751" s="21" t="s">
        <v>1054</v>
      </c>
    </row>
    <row r="752" spans="1:10" x14ac:dyDescent="0.3">
      <c r="A752" s="20">
        <v>3</v>
      </c>
      <c r="B752" s="8">
        <v>961</v>
      </c>
      <c r="C752" s="8" t="s">
        <v>1055</v>
      </c>
      <c r="D752" s="8" t="s">
        <v>994</v>
      </c>
      <c r="E752" s="8" t="s">
        <v>1052</v>
      </c>
      <c r="F752" s="8" t="s">
        <v>1053</v>
      </c>
      <c r="G752" s="8" t="s">
        <v>12</v>
      </c>
      <c r="H752" s="8">
        <v>8.6448049999999999</v>
      </c>
      <c r="I752" s="8">
        <v>-80.588859999999997</v>
      </c>
      <c r="J752" s="21" t="s">
        <v>1056</v>
      </c>
    </row>
    <row r="753" spans="1:10" x14ac:dyDescent="0.3">
      <c r="A753" s="20">
        <v>3</v>
      </c>
      <c r="B753" s="8">
        <v>962</v>
      </c>
      <c r="C753" s="8" t="s">
        <v>1057</v>
      </c>
      <c r="D753" s="8" t="s">
        <v>994</v>
      </c>
      <c r="E753" s="8" t="s">
        <v>1052</v>
      </c>
      <c r="F753" s="8" t="s">
        <v>1053</v>
      </c>
      <c r="G753" s="8" t="s">
        <v>12</v>
      </c>
      <c r="H753" s="8">
        <v>8.6164710000000007</v>
      </c>
      <c r="I753" s="8">
        <v>-80.560248999999999</v>
      </c>
      <c r="J753" s="21" t="s">
        <v>1056</v>
      </c>
    </row>
    <row r="754" spans="1:10" x14ac:dyDescent="0.3">
      <c r="A754" s="20">
        <v>3</v>
      </c>
      <c r="B754" s="8">
        <v>964</v>
      </c>
      <c r="C754" s="8" t="s">
        <v>1058</v>
      </c>
      <c r="D754" s="8" t="s">
        <v>994</v>
      </c>
      <c r="E754" s="8" t="s">
        <v>1052</v>
      </c>
      <c r="F754" s="8" t="s">
        <v>1053</v>
      </c>
      <c r="G754" s="8" t="s">
        <v>12</v>
      </c>
      <c r="H754" s="8">
        <v>8.4039920000000006</v>
      </c>
      <c r="I754" s="8">
        <v>-80.517277000000007</v>
      </c>
      <c r="J754" s="21" t="s">
        <v>1059</v>
      </c>
    </row>
    <row r="755" spans="1:10" x14ac:dyDescent="0.3">
      <c r="A755" s="20">
        <v>3</v>
      </c>
      <c r="B755" s="8">
        <v>965</v>
      </c>
      <c r="C755" s="8" t="s">
        <v>1060</v>
      </c>
      <c r="D755" s="8" t="s">
        <v>994</v>
      </c>
      <c r="E755" s="8" t="s">
        <v>1052</v>
      </c>
      <c r="F755" s="8" t="s">
        <v>1053</v>
      </c>
      <c r="G755" s="8" t="s">
        <v>12</v>
      </c>
      <c r="H755" s="8">
        <v>8.6214639999999996</v>
      </c>
      <c r="I755" s="8">
        <v>-80.581318999999993</v>
      </c>
      <c r="J755" s="21" t="s">
        <v>1056</v>
      </c>
    </row>
    <row r="756" spans="1:10" x14ac:dyDescent="0.3">
      <c r="A756" s="20">
        <v>3</v>
      </c>
      <c r="B756" s="8">
        <v>966</v>
      </c>
      <c r="C756" s="8" t="s">
        <v>1061</v>
      </c>
      <c r="D756" s="8" t="s">
        <v>994</v>
      </c>
      <c r="E756" s="8" t="s">
        <v>1052</v>
      </c>
      <c r="F756" s="8" t="s">
        <v>1052</v>
      </c>
      <c r="G756" s="8" t="s">
        <v>12</v>
      </c>
      <c r="H756" s="8">
        <v>8.5678610000000006</v>
      </c>
      <c r="I756" s="8">
        <v>-80.409970999999999</v>
      </c>
      <c r="J756" s="21" t="s">
        <v>1062</v>
      </c>
    </row>
    <row r="757" spans="1:10" x14ac:dyDescent="0.3">
      <c r="A757" s="20">
        <v>3</v>
      </c>
      <c r="B757" s="8">
        <v>967</v>
      </c>
      <c r="C757" s="8" t="s">
        <v>1063</v>
      </c>
      <c r="D757" s="8" t="s">
        <v>994</v>
      </c>
      <c r="E757" s="8" t="s">
        <v>1052</v>
      </c>
      <c r="F757" s="8" t="s">
        <v>1052</v>
      </c>
      <c r="G757" s="8" t="s">
        <v>12</v>
      </c>
      <c r="H757" s="8">
        <v>8.5707690000000003</v>
      </c>
      <c r="I757" s="8">
        <v>-80.451262999999997</v>
      </c>
      <c r="J757" s="21" t="s">
        <v>1064</v>
      </c>
    </row>
    <row r="758" spans="1:10" x14ac:dyDescent="0.3">
      <c r="A758" s="20">
        <v>3</v>
      </c>
      <c r="B758" s="8">
        <v>968</v>
      </c>
      <c r="C758" s="8" t="s">
        <v>1065</v>
      </c>
      <c r="D758" s="8" t="s">
        <v>994</v>
      </c>
      <c r="E758" s="8" t="s">
        <v>1052</v>
      </c>
      <c r="F758" s="8" t="s">
        <v>1052</v>
      </c>
      <c r="G758" s="8" t="s">
        <v>12</v>
      </c>
      <c r="H758" s="8">
        <v>8.592924</v>
      </c>
      <c r="I758" s="8">
        <v>-80.446081000000007</v>
      </c>
      <c r="J758" s="21" t="s">
        <v>1028</v>
      </c>
    </row>
    <row r="759" spans="1:10" x14ac:dyDescent="0.3">
      <c r="A759" s="20">
        <v>3</v>
      </c>
      <c r="B759" s="8">
        <v>969</v>
      </c>
      <c r="C759" s="8" t="s">
        <v>1066</v>
      </c>
      <c r="D759" s="8" t="s">
        <v>994</v>
      </c>
      <c r="E759" s="8" t="s">
        <v>1052</v>
      </c>
      <c r="F759" s="8" t="s">
        <v>1052</v>
      </c>
      <c r="G759" s="8" t="s">
        <v>12</v>
      </c>
      <c r="H759" s="8">
        <v>8.5960110000000007</v>
      </c>
      <c r="I759" s="8">
        <v>-80.447765000000004</v>
      </c>
      <c r="J759" s="21" t="s">
        <v>1028</v>
      </c>
    </row>
    <row r="760" spans="1:10" x14ac:dyDescent="0.3">
      <c r="A760" s="20">
        <v>3</v>
      </c>
      <c r="B760" s="8">
        <v>970</v>
      </c>
      <c r="C760" s="8" t="s">
        <v>1067</v>
      </c>
      <c r="D760" s="8" t="s">
        <v>994</v>
      </c>
      <c r="E760" s="8" t="s">
        <v>1052</v>
      </c>
      <c r="F760" s="8" t="s">
        <v>264</v>
      </c>
      <c r="G760" s="8" t="s">
        <v>12</v>
      </c>
      <c r="H760" s="8">
        <v>8.6206270000000007</v>
      </c>
      <c r="I760" s="8">
        <v>-80.569016000000005</v>
      </c>
      <c r="J760" s="21" t="s">
        <v>1059</v>
      </c>
    </row>
    <row r="761" spans="1:10" x14ac:dyDescent="0.3">
      <c r="A761" s="20">
        <v>3</v>
      </c>
      <c r="B761" s="8">
        <v>971</v>
      </c>
      <c r="C761" s="8" t="s">
        <v>1068</v>
      </c>
      <c r="D761" s="8" t="s">
        <v>994</v>
      </c>
      <c r="E761" s="8" t="s">
        <v>1052</v>
      </c>
      <c r="F761" s="8" t="s">
        <v>1069</v>
      </c>
      <c r="G761" s="8" t="s">
        <v>12</v>
      </c>
      <c r="H761" s="8">
        <v>8.5777999999999999</v>
      </c>
      <c r="I761" s="8">
        <v>-80.438067000000004</v>
      </c>
      <c r="J761" s="21" t="s">
        <v>357</v>
      </c>
    </row>
    <row r="762" spans="1:10" x14ac:dyDescent="0.3">
      <c r="A762" s="20">
        <v>3</v>
      </c>
      <c r="B762" s="8">
        <v>972</v>
      </c>
      <c r="C762" s="8" t="s">
        <v>1070</v>
      </c>
      <c r="D762" s="8" t="s">
        <v>994</v>
      </c>
      <c r="E762" s="8" t="s">
        <v>1052</v>
      </c>
      <c r="F762" s="8" t="s">
        <v>1069</v>
      </c>
      <c r="G762" s="8" t="s">
        <v>53</v>
      </c>
      <c r="H762" s="8">
        <v>8.665521</v>
      </c>
      <c r="I762" s="8">
        <v>-80.459917000000004</v>
      </c>
      <c r="J762" s="21" t="s">
        <v>54</v>
      </c>
    </row>
    <row r="763" spans="1:10" x14ac:dyDescent="0.3">
      <c r="A763" s="20">
        <v>3</v>
      </c>
      <c r="B763" s="8">
        <v>973</v>
      </c>
      <c r="C763" s="8" t="s">
        <v>1071</v>
      </c>
      <c r="D763" s="8" t="s">
        <v>994</v>
      </c>
      <c r="E763" s="8" t="s">
        <v>1052</v>
      </c>
      <c r="F763" s="8" t="s">
        <v>1069</v>
      </c>
      <c r="G763" s="8" t="s">
        <v>53</v>
      </c>
      <c r="H763" s="8">
        <v>8.6384159999999994</v>
      </c>
      <c r="I763" s="8">
        <v>-80.426360000000003</v>
      </c>
      <c r="J763" s="21" t="s">
        <v>1072</v>
      </c>
    </row>
    <row r="764" spans="1:10" x14ac:dyDescent="0.3">
      <c r="A764" s="20">
        <v>3</v>
      </c>
      <c r="B764" s="8">
        <v>975</v>
      </c>
      <c r="C764" s="8" t="s">
        <v>1073</v>
      </c>
      <c r="D764" s="8" t="s">
        <v>994</v>
      </c>
      <c r="E764" s="8" t="s">
        <v>1052</v>
      </c>
      <c r="F764" s="8" t="s">
        <v>1074</v>
      </c>
      <c r="G764" s="8" t="s">
        <v>12</v>
      </c>
      <c r="H764" s="8">
        <v>8.6397619999999993</v>
      </c>
      <c r="I764" s="8">
        <v>-80.510825999999994</v>
      </c>
      <c r="J764" s="21" t="s">
        <v>1056</v>
      </c>
    </row>
    <row r="765" spans="1:10" x14ac:dyDescent="0.3">
      <c r="A765" s="20">
        <v>3</v>
      </c>
      <c r="B765" s="8">
        <v>976</v>
      </c>
      <c r="C765" s="8" t="s">
        <v>1075</v>
      </c>
      <c r="D765" s="8" t="s">
        <v>994</v>
      </c>
      <c r="E765" s="8" t="s">
        <v>1052</v>
      </c>
      <c r="F765" s="8" t="s">
        <v>1074</v>
      </c>
      <c r="G765" s="8" t="s">
        <v>12</v>
      </c>
      <c r="H765" s="8">
        <v>8.6230399999999996</v>
      </c>
      <c r="I765" s="8">
        <v>-80.548901999999998</v>
      </c>
      <c r="J765" s="21" t="s">
        <v>1064</v>
      </c>
    </row>
    <row r="766" spans="1:10" x14ac:dyDescent="0.3">
      <c r="A766" s="20">
        <v>3</v>
      </c>
      <c r="B766" s="8">
        <v>977</v>
      </c>
      <c r="C766" s="8" t="s">
        <v>1076</v>
      </c>
      <c r="D766" s="8" t="s">
        <v>994</v>
      </c>
      <c r="E766" s="8" t="s">
        <v>1052</v>
      </c>
      <c r="F766" s="8" t="s">
        <v>1074</v>
      </c>
      <c r="G766" s="8" t="s">
        <v>12</v>
      </c>
      <c r="H766" s="8">
        <v>8.6397619999999993</v>
      </c>
      <c r="I766" s="8">
        <v>-80.510829000000001</v>
      </c>
      <c r="J766" s="21" t="s">
        <v>1056</v>
      </c>
    </row>
    <row r="767" spans="1:10" x14ac:dyDescent="0.3">
      <c r="A767" s="20">
        <v>3</v>
      </c>
      <c r="B767" s="8">
        <v>978</v>
      </c>
      <c r="C767" s="8" t="s">
        <v>1077</v>
      </c>
      <c r="D767" s="8" t="s">
        <v>994</v>
      </c>
      <c r="E767" s="8" t="s">
        <v>1052</v>
      </c>
      <c r="F767" s="8" t="s">
        <v>1074</v>
      </c>
      <c r="G767" s="8" t="s">
        <v>12</v>
      </c>
      <c r="H767" s="8">
        <v>8.6331380000000006</v>
      </c>
      <c r="I767" s="8">
        <v>-80.535526000000004</v>
      </c>
      <c r="J767" s="21" t="s">
        <v>1056</v>
      </c>
    </row>
    <row r="768" spans="1:10" x14ac:dyDescent="0.3">
      <c r="A768" s="20">
        <v>3</v>
      </c>
      <c r="B768" s="8">
        <v>979</v>
      </c>
      <c r="C768" s="8" t="s">
        <v>1078</v>
      </c>
      <c r="D768" s="8" t="s">
        <v>994</v>
      </c>
      <c r="E768" s="8" t="s">
        <v>1052</v>
      </c>
      <c r="F768" s="8" t="s">
        <v>1074</v>
      </c>
      <c r="G768" s="8" t="s">
        <v>53</v>
      </c>
      <c r="H768" s="8">
        <v>8.6447000000000003</v>
      </c>
      <c r="I768" s="8">
        <v>-80.492706999999996</v>
      </c>
      <c r="J768" s="21" t="s">
        <v>357</v>
      </c>
    </row>
    <row r="769" spans="1:10" x14ac:dyDescent="0.3">
      <c r="A769" s="20">
        <v>3</v>
      </c>
      <c r="B769" s="8">
        <v>980</v>
      </c>
      <c r="C769" s="8" t="s">
        <v>1079</v>
      </c>
      <c r="D769" s="8" t="s">
        <v>994</v>
      </c>
      <c r="E769" s="8" t="s">
        <v>1080</v>
      </c>
      <c r="F769" s="8" t="s">
        <v>1081</v>
      </c>
      <c r="G769" s="8" t="s">
        <v>12</v>
      </c>
      <c r="H769" s="8">
        <v>8.2773749999999993</v>
      </c>
      <c r="I769" s="8">
        <v>-80.621728000000004</v>
      </c>
      <c r="J769" s="21" t="s">
        <v>1018</v>
      </c>
    </row>
    <row r="770" spans="1:10" x14ac:dyDescent="0.3">
      <c r="A770" s="20">
        <v>3</v>
      </c>
      <c r="B770" s="8">
        <v>981</v>
      </c>
      <c r="C770" s="8" t="s">
        <v>1082</v>
      </c>
      <c r="D770" s="8" t="s">
        <v>994</v>
      </c>
      <c r="E770" s="8" t="s">
        <v>1080</v>
      </c>
      <c r="F770" s="8" t="s">
        <v>1081</v>
      </c>
      <c r="G770" s="8" t="s">
        <v>12</v>
      </c>
      <c r="H770" s="8">
        <v>8.2862189999999991</v>
      </c>
      <c r="I770" s="8">
        <v>-80.593553999999997</v>
      </c>
      <c r="J770" s="21" t="s">
        <v>1018</v>
      </c>
    </row>
    <row r="771" spans="1:10" x14ac:dyDescent="0.3">
      <c r="A771" s="20">
        <v>3</v>
      </c>
      <c r="B771" s="8">
        <v>982</v>
      </c>
      <c r="C771" s="8" t="s">
        <v>1083</v>
      </c>
      <c r="D771" s="8" t="s">
        <v>994</v>
      </c>
      <c r="E771" s="8" t="s">
        <v>1080</v>
      </c>
      <c r="F771" s="8" t="s">
        <v>1081</v>
      </c>
      <c r="G771" s="8" t="s">
        <v>33</v>
      </c>
      <c r="H771" s="8">
        <v>8.3004160000000002</v>
      </c>
      <c r="I771" s="8">
        <v>-80.551451999999998</v>
      </c>
      <c r="J771" s="21" t="s">
        <v>122</v>
      </c>
    </row>
    <row r="772" spans="1:10" x14ac:dyDescent="0.3">
      <c r="A772" s="20">
        <v>3</v>
      </c>
      <c r="B772" s="8">
        <v>983</v>
      </c>
      <c r="C772" s="8" t="s">
        <v>1084</v>
      </c>
      <c r="D772" s="8" t="s">
        <v>994</v>
      </c>
      <c r="E772" s="8" t="s">
        <v>1080</v>
      </c>
      <c r="F772" s="8" t="s">
        <v>1085</v>
      </c>
      <c r="G772" s="8" t="s">
        <v>12</v>
      </c>
      <c r="H772" s="8">
        <v>8.4123059999999992</v>
      </c>
      <c r="I772" s="8">
        <v>-80.531914999999998</v>
      </c>
      <c r="J772" s="21" t="s">
        <v>122</v>
      </c>
    </row>
    <row r="773" spans="1:10" x14ac:dyDescent="0.3">
      <c r="A773" s="20">
        <v>3</v>
      </c>
      <c r="B773" s="8">
        <v>984</v>
      </c>
      <c r="C773" s="8" t="s">
        <v>1086</v>
      </c>
      <c r="D773" s="8" t="s">
        <v>994</v>
      </c>
      <c r="E773" s="8" t="s">
        <v>1080</v>
      </c>
      <c r="F773" s="8" t="s">
        <v>1085</v>
      </c>
      <c r="G773" s="8" t="s">
        <v>12</v>
      </c>
      <c r="H773" s="8">
        <v>8.4064720000000008</v>
      </c>
      <c r="I773" s="8">
        <v>-80.519137000000001</v>
      </c>
      <c r="J773" s="21" t="s">
        <v>122</v>
      </c>
    </row>
    <row r="774" spans="1:10" x14ac:dyDescent="0.3">
      <c r="A774" s="20">
        <v>3</v>
      </c>
      <c r="B774" s="8">
        <v>986</v>
      </c>
      <c r="C774" s="8" t="s">
        <v>1087</v>
      </c>
      <c r="D774" s="8" t="s">
        <v>994</v>
      </c>
      <c r="E774" s="8" t="s">
        <v>1080</v>
      </c>
      <c r="F774" s="8" t="s">
        <v>1080</v>
      </c>
      <c r="G774" s="8" t="s">
        <v>33</v>
      </c>
      <c r="H774" s="8">
        <v>8.3461599999999994</v>
      </c>
      <c r="I774" s="8">
        <v>-80.52176</v>
      </c>
      <c r="J774" s="21" t="s">
        <v>65</v>
      </c>
    </row>
    <row r="775" spans="1:10" x14ac:dyDescent="0.3">
      <c r="A775" s="20">
        <v>3</v>
      </c>
      <c r="B775" s="8">
        <v>987</v>
      </c>
      <c r="C775" s="8" t="s">
        <v>1088</v>
      </c>
      <c r="D775" s="8" t="s">
        <v>994</v>
      </c>
      <c r="E775" s="8" t="s">
        <v>1080</v>
      </c>
      <c r="F775" s="8" t="s">
        <v>1080</v>
      </c>
      <c r="G775" s="8" t="s">
        <v>12</v>
      </c>
      <c r="H775" s="8">
        <v>8.3356399999999997</v>
      </c>
      <c r="I775" s="8">
        <v>-80.519900000000007</v>
      </c>
      <c r="J775" s="21" t="s">
        <v>284</v>
      </c>
    </row>
    <row r="776" spans="1:10" x14ac:dyDescent="0.3">
      <c r="A776" s="20">
        <v>3</v>
      </c>
      <c r="B776" s="8">
        <v>988</v>
      </c>
      <c r="C776" s="8" t="s">
        <v>1089</v>
      </c>
      <c r="D776" s="8" t="s">
        <v>994</v>
      </c>
      <c r="E776" s="8" t="s">
        <v>1080</v>
      </c>
      <c r="F776" s="8" t="s">
        <v>1080</v>
      </c>
      <c r="G776" s="8" t="s">
        <v>12</v>
      </c>
      <c r="H776" s="8">
        <v>8.3327899999999993</v>
      </c>
      <c r="I776" s="8">
        <v>-80.515540999999999</v>
      </c>
      <c r="J776" s="21" t="s">
        <v>284</v>
      </c>
    </row>
    <row r="777" spans="1:10" x14ac:dyDescent="0.3">
      <c r="A777" s="20">
        <v>3</v>
      </c>
      <c r="B777" s="8">
        <v>991</v>
      </c>
      <c r="C777" s="8" t="s">
        <v>1090</v>
      </c>
      <c r="D777" s="8" t="s">
        <v>994</v>
      </c>
      <c r="E777" s="8" t="s">
        <v>1091</v>
      </c>
      <c r="F777" s="8" t="s">
        <v>1092</v>
      </c>
      <c r="G777" s="8" t="s">
        <v>33</v>
      </c>
      <c r="H777" s="8">
        <v>8.5181389999999997</v>
      </c>
      <c r="I777" s="8">
        <v>-80.429693</v>
      </c>
      <c r="J777" s="21" t="s">
        <v>1028</v>
      </c>
    </row>
    <row r="778" spans="1:10" x14ac:dyDescent="0.3">
      <c r="A778" s="20">
        <v>3</v>
      </c>
      <c r="B778" s="8">
        <v>992</v>
      </c>
      <c r="C778" s="8" t="s">
        <v>1093</v>
      </c>
      <c r="D778" s="8" t="s">
        <v>994</v>
      </c>
      <c r="E778" s="8" t="s">
        <v>1091</v>
      </c>
      <c r="F778" s="8" t="s">
        <v>1092</v>
      </c>
      <c r="G778" s="8" t="s">
        <v>12</v>
      </c>
      <c r="H778" s="8">
        <v>8.5425109999999993</v>
      </c>
      <c r="I778" s="8">
        <v>-80.435378999999998</v>
      </c>
      <c r="J778" s="21" t="s">
        <v>1028</v>
      </c>
    </row>
    <row r="779" spans="1:10" x14ac:dyDescent="0.3">
      <c r="A779" s="20">
        <v>3</v>
      </c>
      <c r="B779" s="8">
        <v>993</v>
      </c>
      <c r="C779" s="8" t="s">
        <v>1094</v>
      </c>
      <c r="D779" s="8" t="s">
        <v>994</v>
      </c>
      <c r="E779" s="8" t="s">
        <v>1091</v>
      </c>
      <c r="F779" s="8" t="s">
        <v>1092</v>
      </c>
      <c r="G779" s="8" t="s">
        <v>12</v>
      </c>
      <c r="H779" s="8">
        <v>8.5332500000000007</v>
      </c>
      <c r="I779" s="8">
        <v>-80.395431000000002</v>
      </c>
      <c r="J779" s="21" t="s">
        <v>1028</v>
      </c>
    </row>
    <row r="780" spans="1:10" x14ac:dyDescent="0.3">
      <c r="A780" s="20">
        <v>3</v>
      </c>
      <c r="B780" s="8">
        <v>994</v>
      </c>
      <c r="C780" s="8" t="s">
        <v>1095</v>
      </c>
      <c r="D780" s="8" t="s">
        <v>994</v>
      </c>
      <c r="E780" s="8" t="s">
        <v>1091</v>
      </c>
      <c r="F780" s="8" t="s">
        <v>1092</v>
      </c>
      <c r="G780" s="8" t="s">
        <v>12</v>
      </c>
      <c r="H780" s="8">
        <v>8.4938479999999998</v>
      </c>
      <c r="I780" s="8">
        <v>-80.381697000000003</v>
      </c>
      <c r="J780" s="21" t="s">
        <v>368</v>
      </c>
    </row>
    <row r="781" spans="1:10" x14ac:dyDescent="0.3">
      <c r="A781" s="20">
        <v>3</v>
      </c>
      <c r="B781" s="8">
        <v>996</v>
      </c>
      <c r="C781" s="8" t="s">
        <v>1096</v>
      </c>
      <c r="D781" s="8" t="s">
        <v>994</v>
      </c>
      <c r="E781" s="8" t="s">
        <v>1091</v>
      </c>
      <c r="F781" s="8" t="s">
        <v>1097</v>
      </c>
      <c r="G781" s="8" t="s">
        <v>53</v>
      </c>
      <c r="H781" s="8">
        <v>8.7250569999999996</v>
      </c>
      <c r="I781" s="8">
        <v>-80.221954999999994</v>
      </c>
      <c r="J781" s="21" t="s">
        <v>329</v>
      </c>
    </row>
    <row r="782" spans="1:10" x14ac:dyDescent="0.3">
      <c r="A782" s="20">
        <v>3</v>
      </c>
      <c r="B782" s="8">
        <v>997</v>
      </c>
      <c r="C782" s="8" t="s">
        <v>1098</v>
      </c>
      <c r="D782" s="8" t="s">
        <v>994</v>
      </c>
      <c r="E782" s="8" t="s">
        <v>1091</v>
      </c>
      <c r="F782" s="8" t="s">
        <v>1097</v>
      </c>
      <c r="G782" s="8" t="s">
        <v>53</v>
      </c>
      <c r="H782" s="8">
        <v>8.6919889999999995</v>
      </c>
      <c r="I782" s="8">
        <v>-80.146619999999999</v>
      </c>
      <c r="J782" s="21" t="s">
        <v>357</v>
      </c>
    </row>
    <row r="783" spans="1:10" x14ac:dyDescent="0.3">
      <c r="A783" s="20">
        <v>3</v>
      </c>
      <c r="B783" s="8">
        <v>998</v>
      </c>
      <c r="C783" s="8" t="s">
        <v>1099</v>
      </c>
      <c r="D783" s="8" t="s">
        <v>994</v>
      </c>
      <c r="E783" s="8" t="s">
        <v>1091</v>
      </c>
      <c r="F783" s="8" t="s">
        <v>1097</v>
      </c>
      <c r="G783" s="8" t="s">
        <v>53</v>
      </c>
      <c r="H783" s="8">
        <v>8.6848659999999995</v>
      </c>
      <c r="I783" s="8">
        <v>-80.195879000000005</v>
      </c>
      <c r="J783" s="21" t="s">
        <v>357</v>
      </c>
    </row>
    <row r="784" spans="1:10" x14ac:dyDescent="0.3">
      <c r="A784" s="20">
        <v>3</v>
      </c>
      <c r="B784" s="8">
        <v>999</v>
      </c>
      <c r="C784" s="8" t="s">
        <v>1100</v>
      </c>
      <c r="D784" s="8" t="s">
        <v>994</v>
      </c>
      <c r="E784" s="8" t="s">
        <v>1091</v>
      </c>
      <c r="F784" s="8" t="s">
        <v>1097</v>
      </c>
      <c r="G784" s="8" t="s">
        <v>53</v>
      </c>
      <c r="H784" s="8">
        <v>8.7444319999999998</v>
      </c>
      <c r="I784" s="8">
        <v>-80.185666999999995</v>
      </c>
      <c r="J784" s="21" t="s">
        <v>357</v>
      </c>
    </row>
    <row r="785" spans="1:10" x14ac:dyDescent="0.3">
      <c r="A785" s="20">
        <v>3</v>
      </c>
      <c r="B785" s="8">
        <v>1001</v>
      </c>
      <c r="C785" s="8" t="s">
        <v>1101</v>
      </c>
      <c r="D785" s="8" t="s">
        <v>994</v>
      </c>
      <c r="E785" s="8" t="s">
        <v>1091</v>
      </c>
      <c r="F785" s="8" t="s">
        <v>1097</v>
      </c>
      <c r="G785" s="8" t="s">
        <v>53</v>
      </c>
      <c r="H785" s="8">
        <v>8.6951300000000007</v>
      </c>
      <c r="I785" s="8">
        <v>-80.222899999999996</v>
      </c>
      <c r="J785" s="21" t="s">
        <v>1102</v>
      </c>
    </row>
    <row r="786" spans="1:10" x14ac:dyDescent="0.3">
      <c r="A786" s="20">
        <v>3</v>
      </c>
      <c r="B786" s="8">
        <v>1002</v>
      </c>
      <c r="C786" s="8" t="s">
        <v>1103</v>
      </c>
      <c r="D786" s="8" t="s">
        <v>994</v>
      </c>
      <c r="E786" s="8" t="s">
        <v>1091</v>
      </c>
      <c r="F786" s="8" t="s">
        <v>1097</v>
      </c>
      <c r="G786" s="8" t="s">
        <v>12</v>
      </c>
      <c r="H786" s="8">
        <v>8.6371500000000001</v>
      </c>
      <c r="I786" s="8">
        <v>-80.206289999999996</v>
      </c>
      <c r="J786" s="21" t="s">
        <v>1104</v>
      </c>
    </row>
    <row r="787" spans="1:10" x14ac:dyDescent="0.3">
      <c r="A787" s="20">
        <v>3</v>
      </c>
      <c r="B787" s="8">
        <v>1003</v>
      </c>
      <c r="C787" s="8" t="s">
        <v>1105</v>
      </c>
      <c r="D787" s="8" t="s">
        <v>994</v>
      </c>
      <c r="E787" s="8" t="s">
        <v>1091</v>
      </c>
      <c r="F787" s="8" t="s">
        <v>1097</v>
      </c>
      <c r="G787" s="8" t="s">
        <v>53</v>
      </c>
      <c r="H787" s="8">
        <v>8.64527</v>
      </c>
      <c r="I787" s="8">
        <v>-80.206508999999997</v>
      </c>
      <c r="J787" s="21" t="s">
        <v>357</v>
      </c>
    </row>
    <row r="788" spans="1:10" x14ac:dyDescent="0.3">
      <c r="A788" s="20">
        <v>3</v>
      </c>
      <c r="B788" s="8">
        <v>1004</v>
      </c>
      <c r="C788" s="8" t="s">
        <v>1106</v>
      </c>
      <c r="D788" s="8" t="s">
        <v>994</v>
      </c>
      <c r="E788" s="8" t="s">
        <v>1091</v>
      </c>
      <c r="F788" s="8" t="s">
        <v>1107</v>
      </c>
      <c r="G788" s="8" t="s">
        <v>12</v>
      </c>
      <c r="H788" s="8">
        <v>8.4876749999999994</v>
      </c>
      <c r="I788" s="8">
        <v>-80.328001999999998</v>
      </c>
      <c r="J788" s="21" t="s">
        <v>65</v>
      </c>
    </row>
    <row r="789" spans="1:10" x14ac:dyDescent="0.3">
      <c r="A789" s="20">
        <v>3</v>
      </c>
      <c r="B789" s="8">
        <v>1006</v>
      </c>
      <c r="C789" s="8" t="s">
        <v>1108</v>
      </c>
      <c r="D789" s="8" t="s">
        <v>994</v>
      </c>
      <c r="E789" s="8" t="s">
        <v>1091</v>
      </c>
      <c r="F789" s="8" t="s">
        <v>1107</v>
      </c>
      <c r="G789" s="8" t="s">
        <v>99</v>
      </c>
      <c r="H789" s="8">
        <v>8.5050830000000008</v>
      </c>
      <c r="I789" s="8">
        <v>-80.312748999999997</v>
      </c>
      <c r="J789" s="21" t="s">
        <v>1056</v>
      </c>
    </row>
    <row r="790" spans="1:10" x14ac:dyDescent="0.3">
      <c r="A790" s="20">
        <v>3</v>
      </c>
      <c r="B790" s="8">
        <v>1007</v>
      </c>
      <c r="C790" s="8" t="s">
        <v>1109</v>
      </c>
      <c r="D790" s="8" t="s">
        <v>994</v>
      </c>
      <c r="E790" s="8" t="s">
        <v>1091</v>
      </c>
      <c r="F790" s="8" t="s">
        <v>1107</v>
      </c>
      <c r="G790" s="8" t="s">
        <v>53</v>
      </c>
      <c r="H790" s="8">
        <v>8.3989130000000003</v>
      </c>
      <c r="I790" s="8">
        <v>-80.352200999999994</v>
      </c>
      <c r="J790" s="21" t="s">
        <v>54</v>
      </c>
    </row>
    <row r="791" spans="1:10" x14ac:dyDescent="0.3">
      <c r="A791" s="20">
        <v>3</v>
      </c>
      <c r="B791" s="8">
        <v>1008</v>
      </c>
      <c r="C791" s="8" t="s">
        <v>1110</v>
      </c>
      <c r="D791" s="8" t="s">
        <v>994</v>
      </c>
      <c r="E791" s="8" t="s">
        <v>1091</v>
      </c>
      <c r="F791" s="8" t="s">
        <v>1107</v>
      </c>
      <c r="G791" s="8" t="s">
        <v>12</v>
      </c>
      <c r="H791" s="8">
        <v>8.4656389999999995</v>
      </c>
      <c r="I791" s="8">
        <v>-80.321637999999993</v>
      </c>
      <c r="J791" s="21" t="s">
        <v>65</v>
      </c>
    </row>
    <row r="792" spans="1:10" x14ac:dyDescent="0.3">
      <c r="A792" s="20">
        <v>3</v>
      </c>
      <c r="B792" s="8">
        <v>1009</v>
      </c>
      <c r="C792" s="8" t="s">
        <v>1111</v>
      </c>
      <c r="D792" s="8" t="s">
        <v>994</v>
      </c>
      <c r="E792" s="8" t="s">
        <v>1091</v>
      </c>
      <c r="F792" s="8" t="s">
        <v>1107</v>
      </c>
      <c r="G792" s="8" t="s">
        <v>12</v>
      </c>
      <c r="H792" s="8">
        <v>8.4970700000000008</v>
      </c>
      <c r="I792" s="8">
        <v>-80.334019999999995</v>
      </c>
      <c r="J792" s="21" t="s">
        <v>45</v>
      </c>
    </row>
    <row r="793" spans="1:10" x14ac:dyDescent="0.3">
      <c r="A793" s="20">
        <v>3</v>
      </c>
      <c r="B793" s="8">
        <v>1010</v>
      </c>
      <c r="C793" s="8" t="s">
        <v>1112</v>
      </c>
      <c r="D793" s="8" t="s">
        <v>994</v>
      </c>
      <c r="E793" s="8" t="s">
        <v>1091</v>
      </c>
      <c r="F793" s="8" t="s">
        <v>1107</v>
      </c>
      <c r="G793" s="8" t="s">
        <v>12</v>
      </c>
      <c r="H793" s="8">
        <v>8.4886479999999995</v>
      </c>
      <c r="I793" s="8">
        <v>-80.328817999999998</v>
      </c>
      <c r="J793" s="21" t="s">
        <v>65</v>
      </c>
    </row>
    <row r="794" spans="1:10" x14ac:dyDescent="0.3">
      <c r="A794" s="20">
        <v>3</v>
      </c>
      <c r="B794" s="8">
        <v>1011</v>
      </c>
      <c r="C794" s="8" t="s">
        <v>1113</v>
      </c>
      <c r="D794" s="8" t="s">
        <v>994</v>
      </c>
      <c r="E794" s="8" t="s">
        <v>1091</v>
      </c>
      <c r="F794" s="8" t="s">
        <v>1114</v>
      </c>
      <c r="G794" s="8" t="s">
        <v>12</v>
      </c>
      <c r="H794" s="8">
        <v>8.6180240000000001</v>
      </c>
      <c r="I794" s="8">
        <v>-80.216596999999993</v>
      </c>
      <c r="J794" s="21" t="s">
        <v>1056</v>
      </c>
    </row>
    <row r="795" spans="1:10" x14ac:dyDescent="0.3">
      <c r="A795" s="20">
        <v>3</v>
      </c>
      <c r="B795" s="8">
        <v>1012</v>
      </c>
      <c r="C795" s="8" t="s">
        <v>1115</v>
      </c>
      <c r="D795" s="8" t="s">
        <v>994</v>
      </c>
      <c r="E795" s="8" t="s">
        <v>1091</v>
      </c>
      <c r="F795" s="8" t="s">
        <v>1114</v>
      </c>
      <c r="G795" s="8" t="s">
        <v>53</v>
      </c>
      <c r="H795" s="8">
        <v>8.6263740000000002</v>
      </c>
      <c r="I795" s="8">
        <v>-80.235945000000001</v>
      </c>
      <c r="J795" s="21" t="s">
        <v>518</v>
      </c>
    </row>
    <row r="796" spans="1:10" x14ac:dyDescent="0.3">
      <c r="A796" s="20">
        <v>3</v>
      </c>
      <c r="B796" s="8">
        <v>1013</v>
      </c>
      <c r="C796" s="8" t="s">
        <v>1116</v>
      </c>
      <c r="D796" s="8" t="s">
        <v>994</v>
      </c>
      <c r="E796" s="8" t="s">
        <v>1091</v>
      </c>
      <c r="F796" s="8" t="s">
        <v>1114</v>
      </c>
      <c r="G796" s="8" t="s">
        <v>53</v>
      </c>
      <c r="H796" s="8">
        <v>8.5831750000000007</v>
      </c>
      <c r="I796" s="8">
        <v>-80.220597999999995</v>
      </c>
      <c r="J796" s="21" t="s">
        <v>518</v>
      </c>
    </row>
    <row r="797" spans="1:10" x14ac:dyDescent="0.3">
      <c r="A797" s="20">
        <v>3</v>
      </c>
      <c r="B797" s="8">
        <v>1014</v>
      </c>
      <c r="C797" s="8" t="s">
        <v>1117</v>
      </c>
      <c r="D797" s="8" t="s">
        <v>994</v>
      </c>
      <c r="E797" s="8" t="s">
        <v>1091</v>
      </c>
      <c r="F797" s="8" t="s">
        <v>1114</v>
      </c>
      <c r="G797" s="8" t="s">
        <v>12</v>
      </c>
      <c r="H797" s="8">
        <v>8.4817350000000005</v>
      </c>
      <c r="I797" s="8">
        <v>-80.330957999999995</v>
      </c>
      <c r="J797" s="21" t="s">
        <v>1064</v>
      </c>
    </row>
    <row r="798" spans="1:10" x14ac:dyDescent="0.3">
      <c r="A798" s="20">
        <v>3</v>
      </c>
      <c r="B798" s="8">
        <v>1015</v>
      </c>
      <c r="C798" s="8" t="s">
        <v>1118</v>
      </c>
      <c r="D798" s="8" t="s">
        <v>994</v>
      </c>
      <c r="E798" s="8" t="s">
        <v>1091</v>
      </c>
      <c r="F798" s="8" t="s">
        <v>1114</v>
      </c>
      <c r="G798" s="8" t="s">
        <v>12</v>
      </c>
      <c r="H798" s="8">
        <v>8.5954320000000006</v>
      </c>
      <c r="I798" s="8">
        <v>-80.275839000000005</v>
      </c>
      <c r="J798" s="21" t="s">
        <v>1056</v>
      </c>
    </row>
    <row r="799" spans="1:10" x14ac:dyDescent="0.3">
      <c r="A799" s="20">
        <v>3</v>
      </c>
      <c r="B799" s="8">
        <v>1016</v>
      </c>
      <c r="C799" s="8" t="s">
        <v>1119</v>
      </c>
      <c r="D799" s="8" t="s">
        <v>994</v>
      </c>
      <c r="E799" s="8" t="s">
        <v>1091</v>
      </c>
      <c r="F799" s="8" t="s">
        <v>1114</v>
      </c>
      <c r="G799" s="8" t="s">
        <v>12</v>
      </c>
      <c r="H799" s="8">
        <v>8.5596289999999993</v>
      </c>
      <c r="I799" s="8">
        <v>-80.308111999999994</v>
      </c>
      <c r="J799" s="21" t="s">
        <v>45</v>
      </c>
    </row>
    <row r="800" spans="1:10" x14ac:dyDescent="0.3">
      <c r="A800" s="20">
        <v>3</v>
      </c>
      <c r="B800" s="8">
        <v>1017</v>
      </c>
      <c r="C800" s="8" t="s">
        <v>1120</v>
      </c>
      <c r="D800" s="8" t="s">
        <v>994</v>
      </c>
      <c r="E800" s="8" t="s">
        <v>1091</v>
      </c>
      <c r="F800" s="8" t="s">
        <v>1114</v>
      </c>
      <c r="G800" s="8" t="s">
        <v>12</v>
      </c>
      <c r="H800" s="8">
        <v>8.5990900000000003</v>
      </c>
      <c r="I800" s="8">
        <v>-80.271673000000007</v>
      </c>
      <c r="J800" s="21" t="s">
        <v>1121</v>
      </c>
    </row>
    <row r="801" spans="1:10" x14ac:dyDescent="0.3">
      <c r="A801" s="20">
        <v>3</v>
      </c>
      <c r="B801" s="8">
        <v>1018</v>
      </c>
      <c r="C801" s="8" t="s">
        <v>1122</v>
      </c>
      <c r="D801" s="8" t="s">
        <v>994</v>
      </c>
      <c r="E801" s="8" t="s">
        <v>1091</v>
      </c>
      <c r="F801" s="8" t="s">
        <v>1114</v>
      </c>
      <c r="G801" s="8" t="s">
        <v>12</v>
      </c>
      <c r="H801" s="8">
        <v>8.6322449999999993</v>
      </c>
      <c r="I801" s="8">
        <v>-80.250085999999996</v>
      </c>
      <c r="J801" s="21" t="s">
        <v>1056</v>
      </c>
    </row>
    <row r="802" spans="1:10" x14ac:dyDescent="0.3">
      <c r="A802" s="20">
        <v>3</v>
      </c>
      <c r="B802" s="8">
        <v>1019</v>
      </c>
      <c r="C802" s="8" t="s">
        <v>1123</v>
      </c>
      <c r="D802" s="8" t="s">
        <v>994</v>
      </c>
      <c r="E802" s="8" t="s">
        <v>1091</v>
      </c>
      <c r="F802" s="8" t="s">
        <v>1114</v>
      </c>
      <c r="G802" s="8" t="s">
        <v>12</v>
      </c>
      <c r="H802" s="8">
        <v>8.5737830000000006</v>
      </c>
      <c r="I802" s="8">
        <v>-80.299609000000004</v>
      </c>
      <c r="J802" s="21" t="s">
        <v>45</v>
      </c>
    </row>
    <row r="803" spans="1:10" x14ac:dyDescent="0.3">
      <c r="A803" s="20">
        <v>3</v>
      </c>
      <c r="B803" s="8">
        <v>1020</v>
      </c>
      <c r="C803" s="8" t="s">
        <v>1124</v>
      </c>
      <c r="D803" s="8" t="s">
        <v>994</v>
      </c>
      <c r="E803" s="8" t="s">
        <v>1091</v>
      </c>
      <c r="F803" s="8" t="s">
        <v>1114</v>
      </c>
      <c r="G803" s="8" t="s">
        <v>12</v>
      </c>
      <c r="H803" s="8">
        <v>8.5732549999999996</v>
      </c>
      <c r="I803" s="8">
        <v>-80.276917999999995</v>
      </c>
      <c r="J803" s="21" t="s">
        <v>288</v>
      </c>
    </row>
    <row r="804" spans="1:10" x14ac:dyDescent="0.3">
      <c r="A804" s="20">
        <v>3</v>
      </c>
      <c r="B804" s="8">
        <v>1021</v>
      </c>
      <c r="C804" s="8" t="s">
        <v>1125</v>
      </c>
      <c r="D804" s="8" t="s">
        <v>994</v>
      </c>
      <c r="E804" s="8" t="s">
        <v>1091</v>
      </c>
      <c r="F804" s="8" t="s">
        <v>1114</v>
      </c>
      <c r="G804" s="8" t="s">
        <v>12</v>
      </c>
      <c r="H804" s="8">
        <v>8.6122730000000001</v>
      </c>
      <c r="I804" s="8">
        <v>-80.243824000000004</v>
      </c>
      <c r="J804" s="21" t="s">
        <v>1056</v>
      </c>
    </row>
    <row r="805" spans="1:10" x14ac:dyDescent="0.3">
      <c r="A805" s="20">
        <v>3</v>
      </c>
      <c r="B805" s="8">
        <v>1022</v>
      </c>
      <c r="C805" s="8" t="s">
        <v>1126</v>
      </c>
      <c r="D805" s="8" t="s">
        <v>994</v>
      </c>
      <c r="E805" s="8" t="s">
        <v>1091</v>
      </c>
      <c r="F805" s="8" t="s">
        <v>1114</v>
      </c>
      <c r="G805" s="8" t="s">
        <v>12</v>
      </c>
      <c r="H805" s="8">
        <v>8.5541850000000004</v>
      </c>
      <c r="I805" s="8">
        <v>-80.256653999999997</v>
      </c>
      <c r="J805" s="21" t="s">
        <v>288</v>
      </c>
    </row>
    <row r="806" spans="1:10" x14ac:dyDescent="0.3">
      <c r="A806" s="20">
        <v>3</v>
      </c>
      <c r="B806" s="8">
        <v>1023</v>
      </c>
      <c r="C806" s="8" t="s">
        <v>1127</v>
      </c>
      <c r="D806" s="8" t="s">
        <v>994</v>
      </c>
      <c r="E806" s="8" t="s">
        <v>1091</v>
      </c>
      <c r="F806" s="8" t="s">
        <v>1114</v>
      </c>
      <c r="G806" s="8" t="s">
        <v>12</v>
      </c>
      <c r="H806" s="8">
        <v>8.5327520000000003</v>
      </c>
      <c r="I806" s="8">
        <v>-80.411423999999997</v>
      </c>
      <c r="J806" s="21" t="s">
        <v>479</v>
      </c>
    </row>
    <row r="807" spans="1:10" x14ac:dyDescent="0.3">
      <c r="A807" s="20">
        <v>3</v>
      </c>
      <c r="B807" s="8">
        <v>1024</v>
      </c>
      <c r="C807" s="8" t="s">
        <v>1128</v>
      </c>
      <c r="D807" s="8" t="s">
        <v>994</v>
      </c>
      <c r="E807" s="8" t="s">
        <v>1091</v>
      </c>
      <c r="F807" s="8" t="s">
        <v>1114</v>
      </c>
      <c r="G807" s="8" t="s">
        <v>12</v>
      </c>
      <c r="H807" s="8">
        <v>8.6245270000000005</v>
      </c>
      <c r="I807" s="8">
        <v>-80.237470999999999</v>
      </c>
      <c r="J807" s="21" t="s">
        <v>1056</v>
      </c>
    </row>
    <row r="808" spans="1:10" x14ac:dyDescent="0.3">
      <c r="A808" s="20">
        <v>3</v>
      </c>
      <c r="B808" s="8">
        <v>1025</v>
      </c>
      <c r="C808" s="8" t="s">
        <v>1129</v>
      </c>
      <c r="D808" s="8" t="s">
        <v>994</v>
      </c>
      <c r="E808" s="8" t="s">
        <v>1091</v>
      </c>
      <c r="F808" s="8" t="s">
        <v>1114</v>
      </c>
      <c r="G808" s="8" t="s">
        <v>12</v>
      </c>
      <c r="H808" s="8">
        <v>8.5765829999999994</v>
      </c>
      <c r="I808" s="8">
        <v>-80.274103999999994</v>
      </c>
      <c r="J808" s="21" t="s">
        <v>288</v>
      </c>
    </row>
    <row r="809" spans="1:10" x14ac:dyDescent="0.3">
      <c r="A809" s="20">
        <v>3</v>
      </c>
      <c r="B809" s="8">
        <v>1027</v>
      </c>
      <c r="C809" s="8" t="s">
        <v>1130</v>
      </c>
      <c r="D809" s="8" t="s">
        <v>994</v>
      </c>
      <c r="E809" s="8" t="s">
        <v>1091</v>
      </c>
      <c r="F809" s="8" t="s">
        <v>1091</v>
      </c>
      <c r="G809" s="8" t="s">
        <v>12</v>
      </c>
      <c r="H809" s="8">
        <v>8.5110890000000001</v>
      </c>
      <c r="I809" s="8">
        <v>-80.353183000000001</v>
      </c>
      <c r="J809" s="21" t="s">
        <v>284</v>
      </c>
    </row>
    <row r="810" spans="1:10" x14ac:dyDescent="0.3">
      <c r="A810" s="20">
        <v>3</v>
      </c>
      <c r="B810" s="8">
        <v>1028</v>
      </c>
      <c r="C810" s="8" t="s">
        <v>1131</v>
      </c>
      <c r="D810" s="8" t="s">
        <v>994</v>
      </c>
      <c r="E810" s="8" t="s">
        <v>1091</v>
      </c>
      <c r="F810" s="8" t="s">
        <v>1091</v>
      </c>
      <c r="G810" s="8" t="s">
        <v>12</v>
      </c>
      <c r="H810" s="8">
        <v>8.5127439999999996</v>
      </c>
      <c r="I810" s="8">
        <v>-80.355333999999999</v>
      </c>
      <c r="J810" s="21" t="s">
        <v>1036</v>
      </c>
    </row>
    <row r="811" spans="1:10" x14ac:dyDescent="0.3">
      <c r="A811" s="20">
        <v>3</v>
      </c>
      <c r="B811" s="8">
        <v>1029</v>
      </c>
      <c r="C811" s="8" t="s">
        <v>1132</v>
      </c>
      <c r="D811" s="8" t="s">
        <v>994</v>
      </c>
      <c r="E811" s="8" t="s">
        <v>1091</v>
      </c>
      <c r="F811" s="8" t="s">
        <v>1091</v>
      </c>
      <c r="G811" s="8" t="s">
        <v>12</v>
      </c>
      <c r="H811" s="8">
        <v>8.5131960000000007</v>
      </c>
      <c r="I811" s="8">
        <v>-80.352801999999997</v>
      </c>
      <c r="J811" s="21" t="s">
        <v>88</v>
      </c>
    </row>
    <row r="812" spans="1:10" x14ac:dyDescent="0.3">
      <c r="A812" s="20">
        <v>3</v>
      </c>
      <c r="B812" s="8">
        <v>1030</v>
      </c>
      <c r="C812" s="8" t="s">
        <v>1133</v>
      </c>
      <c r="D812" s="8" t="s">
        <v>994</v>
      </c>
      <c r="E812" s="8" t="s">
        <v>1091</v>
      </c>
      <c r="F812" s="8" t="s">
        <v>1091</v>
      </c>
      <c r="G812" s="8" t="s">
        <v>12</v>
      </c>
      <c r="H812" s="8">
        <v>8.5141670000000005</v>
      </c>
      <c r="I812" s="8">
        <v>-80.349878000000004</v>
      </c>
      <c r="J812" s="21" t="s">
        <v>1036</v>
      </c>
    </row>
    <row r="813" spans="1:10" x14ac:dyDescent="0.3">
      <c r="A813" s="20">
        <v>3</v>
      </c>
      <c r="B813" s="8">
        <v>1033</v>
      </c>
      <c r="C813" s="8" t="s">
        <v>1134</v>
      </c>
      <c r="D813" s="8" t="s">
        <v>994</v>
      </c>
      <c r="E813" s="8" t="s">
        <v>1091</v>
      </c>
      <c r="F813" s="8" t="s">
        <v>1091</v>
      </c>
      <c r="G813" s="8" t="s">
        <v>12</v>
      </c>
      <c r="H813" s="8">
        <v>8.2495370000000001</v>
      </c>
      <c r="I813" s="8">
        <v>-80.544235</v>
      </c>
      <c r="J813" s="21" t="s">
        <v>88</v>
      </c>
    </row>
    <row r="814" spans="1:10" x14ac:dyDescent="0.3">
      <c r="A814" s="20">
        <v>3</v>
      </c>
      <c r="B814" s="8">
        <v>1034</v>
      </c>
      <c r="C814" s="8" t="s">
        <v>1135</v>
      </c>
      <c r="D814" s="8" t="s">
        <v>994</v>
      </c>
      <c r="E814" s="8" t="s">
        <v>1091</v>
      </c>
      <c r="F814" s="8" t="s">
        <v>1091</v>
      </c>
      <c r="G814" s="8" t="s">
        <v>12</v>
      </c>
      <c r="H814" s="8">
        <v>8.5213210000000004</v>
      </c>
      <c r="I814" s="8">
        <v>-80.359842</v>
      </c>
      <c r="J814" s="21" t="s">
        <v>1028</v>
      </c>
    </row>
    <row r="815" spans="1:10" x14ac:dyDescent="0.3">
      <c r="A815" s="20">
        <v>3</v>
      </c>
      <c r="B815" s="8">
        <v>1035</v>
      </c>
      <c r="C815" s="8" t="s">
        <v>1136</v>
      </c>
      <c r="D815" s="8" t="s">
        <v>994</v>
      </c>
      <c r="E815" s="8" t="s">
        <v>1091</v>
      </c>
      <c r="F815" s="8" t="s">
        <v>1091</v>
      </c>
      <c r="G815" s="8" t="s">
        <v>12</v>
      </c>
      <c r="H815" s="8">
        <v>8.5138820000000006</v>
      </c>
      <c r="I815" s="8">
        <v>-80.351218000000003</v>
      </c>
      <c r="J815" s="21" t="s">
        <v>88</v>
      </c>
    </row>
    <row r="816" spans="1:10" x14ac:dyDescent="0.3">
      <c r="A816" s="20">
        <v>3</v>
      </c>
      <c r="B816" s="8">
        <v>1036</v>
      </c>
      <c r="C816" s="8" t="s">
        <v>1137</v>
      </c>
      <c r="D816" s="8" t="s">
        <v>994</v>
      </c>
      <c r="E816" s="8" t="s">
        <v>1091</v>
      </c>
      <c r="F816" s="8" t="s">
        <v>1091</v>
      </c>
      <c r="G816" s="8" t="s">
        <v>12</v>
      </c>
      <c r="H816" s="8">
        <v>8.5156749999999999</v>
      </c>
      <c r="I816" s="8">
        <v>-80.343731000000005</v>
      </c>
      <c r="J816" s="21" t="s">
        <v>88</v>
      </c>
    </row>
    <row r="817" spans="1:10" x14ac:dyDescent="0.3">
      <c r="A817" s="20">
        <v>3</v>
      </c>
      <c r="B817" s="8">
        <v>1038</v>
      </c>
      <c r="C817" s="8" t="s">
        <v>1138</v>
      </c>
      <c r="D817" s="8" t="s">
        <v>994</v>
      </c>
      <c r="E817" s="8" t="s">
        <v>1091</v>
      </c>
      <c r="F817" s="8" t="s">
        <v>1091</v>
      </c>
      <c r="G817" s="8" t="s">
        <v>12</v>
      </c>
      <c r="H817" s="8">
        <v>8.5203450000000007</v>
      </c>
      <c r="I817" s="8">
        <v>-80.35812</v>
      </c>
      <c r="J817" s="21" t="s">
        <v>88</v>
      </c>
    </row>
    <row r="818" spans="1:10" x14ac:dyDescent="0.3">
      <c r="A818" s="20">
        <v>3</v>
      </c>
      <c r="B818" s="8">
        <v>1039</v>
      </c>
      <c r="C818" s="8" t="s">
        <v>1139</v>
      </c>
      <c r="D818" s="8" t="s">
        <v>994</v>
      </c>
      <c r="E818" s="8" t="s">
        <v>1091</v>
      </c>
      <c r="F818" s="8" t="s">
        <v>1091</v>
      </c>
      <c r="G818" s="8" t="s">
        <v>12</v>
      </c>
      <c r="H818" s="8">
        <v>8.5078490000000002</v>
      </c>
      <c r="I818" s="8">
        <v>-80.361949999999993</v>
      </c>
      <c r="J818" s="21" t="s">
        <v>1028</v>
      </c>
    </row>
    <row r="819" spans="1:10" x14ac:dyDescent="0.3">
      <c r="A819" s="20">
        <v>3</v>
      </c>
      <c r="B819" s="8">
        <v>1044</v>
      </c>
      <c r="C819" s="8" t="s">
        <v>1140</v>
      </c>
      <c r="D819" s="8" t="s">
        <v>994</v>
      </c>
      <c r="E819" s="8" t="s">
        <v>1091</v>
      </c>
      <c r="F819" s="8" t="s">
        <v>1091</v>
      </c>
      <c r="G819" s="8" t="s">
        <v>12</v>
      </c>
      <c r="H819" s="8">
        <v>8.5151830000000004</v>
      </c>
      <c r="I819" s="8">
        <v>-80.352622999999994</v>
      </c>
      <c r="J819" s="21" t="s">
        <v>65</v>
      </c>
    </row>
    <row r="820" spans="1:10" x14ac:dyDescent="0.3">
      <c r="A820" s="20">
        <v>3</v>
      </c>
      <c r="B820" s="8">
        <v>1045</v>
      </c>
      <c r="C820" s="8" t="s">
        <v>1141</v>
      </c>
      <c r="D820" s="8" t="s">
        <v>994</v>
      </c>
      <c r="E820" s="8" t="s">
        <v>1091</v>
      </c>
      <c r="F820" s="8" t="s">
        <v>1091</v>
      </c>
      <c r="G820" s="8" t="s">
        <v>12</v>
      </c>
      <c r="H820" s="8">
        <v>8</v>
      </c>
      <c r="I820" s="8">
        <v>-80</v>
      </c>
      <c r="J820" s="21" t="s">
        <v>1028</v>
      </c>
    </row>
    <row r="821" spans="1:10" x14ac:dyDescent="0.3">
      <c r="A821" s="20">
        <v>3</v>
      </c>
      <c r="B821" s="8">
        <v>1046</v>
      </c>
      <c r="C821" s="8" t="s">
        <v>1142</v>
      </c>
      <c r="D821" s="8" t="s">
        <v>994</v>
      </c>
      <c r="E821" s="8" t="s">
        <v>1091</v>
      </c>
      <c r="F821" s="8" t="s">
        <v>1091</v>
      </c>
      <c r="G821" s="8" t="s">
        <v>12</v>
      </c>
      <c r="H821" s="8">
        <v>8.5117200000000004</v>
      </c>
      <c r="I821" s="8">
        <v>-80.348624000000001</v>
      </c>
      <c r="J821" s="21" t="s">
        <v>88</v>
      </c>
    </row>
    <row r="822" spans="1:10" x14ac:dyDescent="0.3">
      <c r="A822" s="20">
        <v>3</v>
      </c>
      <c r="B822" s="8">
        <v>1048</v>
      </c>
      <c r="C822" s="8" t="s">
        <v>1143</v>
      </c>
      <c r="D822" s="8" t="s">
        <v>994</v>
      </c>
      <c r="E822" s="8" t="s">
        <v>1091</v>
      </c>
      <c r="F822" s="8" t="s">
        <v>1091</v>
      </c>
      <c r="G822" s="8" t="s">
        <v>12</v>
      </c>
      <c r="H822" s="8">
        <v>8.4972279999999998</v>
      </c>
      <c r="I822" s="8">
        <v>-80.330821</v>
      </c>
      <c r="J822" s="21" t="s">
        <v>222</v>
      </c>
    </row>
    <row r="823" spans="1:10" x14ac:dyDescent="0.3">
      <c r="A823" s="20">
        <v>3</v>
      </c>
      <c r="B823" s="8">
        <v>1049</v>
      </c>
      <c r="C823" s="8" t="s">
        <v>1144</v>
      </c>
      <c r="D823" s="8" t="s">
        <v>994</v>
      </c>
      <c r="E823" s="8" t="s">
        <v>1091</v>
      </c>
      <c r="F823" s="8" t="s">
        <v>524</v>
      </c>
      <c r="G823" s="8" t="s">
        <v>12</v>
      </c>
      <c r="H823" s="8">
        <v>8.4130129999999994</v>
      </c>
      <c r="I823" s="8">
        <v>-80.521193999999994</v>
      </c>
      <c r="J823" s="21" t="s">
        <v>1056</v>
      </c>
    </row>
    <row r="824" spans="1:10" x14ac:dyDescent="0.3">
      <c r="A824" s="20">
        <v>3</v>
      </c>
      <c r="B824" s="8">
        <v>1050</v>
      </c>
      <c r="C824" s="8" t="s">
        <v>1145</v>
      </c>
      <c r="D824" s="8" t="s">
        <v>994</v>
      </c>
      <c r="E824" s="8" t="s">
        <v>1091</v>
      </c>
      <c r="F824" s="8" t="s">
        <v>524</v>
      </c>
      <c r="G824" s="8" t="s">
        <v>12</v>
      </c>
      <c r="H824" s="8">
        <v>8.4381389999999996</v>
      </c>
      <c r="I824" s="8">
        <v>-80.454414999999997</v>
      </c>
      <c r="J824" s="21" t="s">
        <v>1146</v>
      </c>
    </row>
    <row r="825" spans="1:10" x14ac:dyDescent="0.3">
      <c r="A825" s="20">
        <v>3</v>
      </c>
      <c r="B825" s="8">
        <v>1052</v>
      </c>
      <c r="C825" s="8" t="s">
        <v>1147</v>
      </c>
      <c r="D825" s="8" t="s">
        <v>994</v>
      </c>
      <c r="E825" s="8" t="s">
        <v>1091</v>
      </c>
      <c r="F825" s="8" t="s">
        <v>1148</v>
      </c>
      <c r="G825" s="8" t="s">
        <v>53</v>
      </c>
      <c r="H825" s="8">
        <v>8.705546</v>
      </c>
      <c r="I825" s="8">
        <v>-80.258273000000003</v>
      </c>
      <c r="J825" s="21" t="s">
        <v>518</v>
      </c>
    </row>
    <row r="826" spans="1:10" x14ac:dyDescent="0.3">
      <c r="A826" s="20">
        <v>3</v>
      </c>
      <c r="B826" s="8">
        <v>1053</v>
      </c>
      <c r="C826" s="8" t="s">
        <v>1149</v>
      </c>
      <c r="D826" s="8" t="s">
        <v>994</v>
      </c>
      <c r="E826" s="8" t="s">
        <v>1091</v>
      </c>
      <c r="F826" s="8" t="s">
        <v>1148</v>
      </c>
      <c r="G826" s="8" t="s">
        <v>12</v>
      </c>
      <c r="H826" s="8">
        <v>8.6489499999999992</v>
      </c>
      <c r="I826" s="8">
        <v>-80.320712</v>
      </c>
      <c r="J826" s="21" t="s">
        <v>1059</v>
      </c>
    </row>
    <row r="827" spans="1:10" x14ac:dyDescent="0.3">
      <c r="A827" s="20">
        <v>3</v>
      </c>
      <c r="B827" s="8">
        <v>1054</v>
      </c>
      <c r="C827" s="8" t="s">
        <v>1150</v>
      </c>
      <c r="D827" s="8" t="s">
        <v>994</v>
      </c>
      <c r="E827" s="8" t="s">
        <v>1091</v>
      </c>
      <c r="F827" s="8" t="s">
        <v>1148</v>
      </c>
      <c r="G827" s="8" t="s">
        <v>53</v>
      </c>
      <c r="H827" s="8">
        <v>8.5286570000000008</v>
      </c>
      <c r="I827" s="8">
        <v>-80.256124999999997</v>
      </c>
      <c r="J827" s="21" t="s">
        <v>526</v>
      </c>
    </row>
    <row r="828" spans="1:10" x14ac:dyDescent="0.3">
      <c r="A828" s="20">
        <v>3</v>
      </c>
      <c r="B828" s="8">
        <v>1055</v>
      </c>
      <c r="C828" s="8" t="s">
        <v>25</v>
      </c>
      <c r="D828" s="8" t="s">
        <v>994</v>
      </c>
      <c r="E828" s="8" t="s">
        <v>1091</v>
      </c>
      <c r="F828" s="8" t="s">
        <v>1148</v>
      </c>
      <c r="G828" s="8" t="s">
        <v>12</v>
      </c>
      <c r="H828" s="8">
        <v>8.6431609999999992</v>
      </c>
      <c r="I828" s="8">
        <v>-80.288749999999993</v>
      </c>
      <c r="J828" s="21" t="s">
        <v>1059</v>
      </c>
    </row>
    <row r="829" spans="1:10" x14ac:dyDescent="0.3">
      <c r="A829" s="20">
        <v>3</v>
      </c>
      <c r="B829" s="8">
        <v>1056</v>
      </c>
      <c r="C829" s="8" t="s">
        <v>1151</v>
      </c>
      <c r="D829" s="8" t="s">
        <v>994</v>
      </c>
      <c r="E829" s="8" t="s">
        <v>1091</v>
      </c>
      <c r="F829" s="8" t="s">
        <v>1148</v>
      </c>
      <c r="G829" s="8" t="s">
        <v>12</v>
      </c>
      <c r="H829" s="8">
        <v>8.6850240000000003</v>
      </c>
      <c r="I829" s="8">
        <v>-80.279320999999996</v>
      </c>
      <c r="J829" s="21" t="s">
        <v>1059</v>
      </c>
    </row>
    <row r="830" spans="1:10" x14ac:dyDescent="0.3">
      <c r="A830" s="20">
        <v>3</v>
      </c>
      <c r="B830" s="8">
        <v>1057</v>
      </c>
      <c r="C830" s="8" t="s">
        <v>1152</v>
      </c>
      <c r="D830" s="8" t="s">
        <v>994</v>
      </c>
      <c r="E830" s="8" t="s">
        <v>1091</v>
      </c>
      <c r="F830" s="8" t="s">
        <v>1148</v>
      </c>
      <c r="G830" s="8" t="s">
        <v>12</v>
      </c>
      <c r="H830" s="8">
        <v>8.6570269999999994</v>
      </c>
      <c r="I830" s="8">
        <v>-80.336637999999994</v>
      </c>
      <c r="J830" s="21" t="s">
        <v>1153</v>
      </c>
    </row>
    <row r="831" spans="1:10" x14ac:dyDescent="0.3">
      <c r="A831" s="20">
        <v>3</v>
      </c>
      <c r="B831" s="8">
        <v>1058</v>
      </c>
      <c r="C831" s="8" t="s">
        <v>1154</v>
      </c>
      <c r="D831" s="8" t="s">
        <v>994</v>
      </c>
      <c r="E831" s="8" t="s">
        <v>1091</v>
      </c>
      <c r="F831" s="8" t="s">
        <v>1148</v>
      </c>
      <c r="G831" s="8" t="s">
        <v>12</v>
      </c>
      <c r="H831" s="8">
        <v>8.6638730000000006</v>
      </c>
      <c r="I831" s="8">
        <v>-80.295102999999997</v>
      </c>
      <c r="J831" s="21" t="s">
        <v>1059</v>
      </c>
    </row>
    <row r="832" spans="1:10" x14ac:dyDescent="0.3">
      <c r="A832" s="20">
        <v>3</v>
      </c>
      <c r="B832" s="8">
        <v>1061</v>
      </c>
      <c r="C832" s="8" t="s">
        <v>1155</v>
      </c>
      <c r="D832" s="8" t="s">
        <v>994</v>
      </c>
      <c r="E832" s="8" t="s">
        <v>1091</v>
      </c>
      <c r="F832" s="8" t="s">
        <v>1156</v>
      </c>
      <c r="G832" s="8" t="s">
        <v>12</v>
      </c>
      <c r="H832" s="8">
        <v>8.6431380000000004</v>
      </c>
      <c r="I832" s="8">
        <v>-80.395803999999998</v>
      </c>
      <c r="J832" s="21" t="s">
        <v>1153</v>
      </c>
    </row>
    <row r="833" spans="1:10" x14ac:dyDescent="0.3">
      <c r="A833" s="20">
        <v>3</v>
      </c>
      <c r="B833" s="8">
        <v>1062</v>
      </c>
      <c r="C833" s="8" t="s">
        <v>1157</v>
      </c>
      <c r="D833" s="8" t="s">
        <v>994</v>
      </c>
      <c r="E833" s="8" t="s">
        <v>1091</v>
      </c>
      <c r="F833" s="8" t="s">
        <v>1156</v>
      </c>
      <c r="G833" s="8" t="s">
        <v>12</v>
      </c>
      <c r="H833" s="8">
        <v>8.6578599999999994</v>
      </c>
      <c r="I833" s="8">
        <v>-80.384137999999993</v>
      </c>
      <c r="J833" s="21" t="s">
        <v>1059</v>
      </c>
    </row>
    <row r="834" spans="1:10" x14ac:dyDescent="0.3">
      <c r="A834" s="20">
        <v>3</v>
      </c>
      <c r="B834" s="8">
        <v>1063</v>
      </c>
      <c r="C834" s="8" t="s">
        <v>1158</v>
      </c>
      <c r="D834" s="8" t="s">
        <v>994</v>
      </c>
      <c r="E834" s="8" t="s">
        <v>1091</v>
      </c>
      <c r="F834" s="8" t="s">
        <v>1156</v>
      </c>
      <c r="G834" s="8" t="s">
        <v>12</v>
      </c>
      <c r="H834" s="8">
        <v>8.6539710000000003</v>
      </c>
      <c r="I834" s="8">
        <v>-80.368582000000004</v>
      </c>
      <c r="J834" s="21" t="s">
        <v>1072</v>
      </c>
    </row>
    <row r="835" spans="1:10" x14ac:dyDescent="0.3">
      <c r="A835" s="20">
        <v>3</v>
      </c>
      <c r="B835" s="8">
        <v>1064</v>
      </c>
      <c r="C835" s="8" t="s">
        <v>1159</v>
      </c>
      <c r="D835" s="8" t="s">
        <v>542</v>
      </c>
      <c r="E835" s="8" t="s">
        <v>1160</v>
      </c>
      <c r="F835" s="8" t="s">
        <v>1161</v>
      </c>
      <c r="G835" s="8" t="s">
        <v>12</v>
      </c>
      <c r="H835" s="8">
        <v>9.1995710000000006</v>
      </c>
      <c r="I835" s="8">
        <v>-80.150730999999993</v>
      </c>
      <c r="J835" s="21" t="s">
        <v>518</v>
      </c>
    </row>
    <row r="836" spans="1:10" x14ac:dyDescent="0.3">
      <c r="A836" s="20">
        <v>3</v>
      </c>
      <c r="B836" s="8">
        <v>1065</v>
      </c>
      <c r="C836" s="8" t="s">
        <v>1162</v>
      </c>
      <c r="D836" s="8" t="s">
        <v>542</v>
      </c>
      <c r="E836" s="8" t="s">
        <v>1160</v>
      </c>
      <c r="F836" s="8" t="s">
        <v>1161</v>
      </c>
      <c r="G836" s="8" t="s">
        <v>12</v>
      </c>
      <c r="H836" s="8">
        <v>9.2287769999999991</v>
      </c>
      <c r="I836" s="8">
        <v>-80.090332000000004</v>
      </c>
      <c r="J836" s="21" t="s">
        <v>321</v>
      </c>
    </row>
    <row r="837" spans="1:10" x14ac:dyDescent="0.3">
      <c r="A837" s="20">
        <v>3</v>
      </c>
      <c r="B837" s="8">
        <v>1070</v>
      </c>
      <c r="C837" s="8" t="s">
        <v>1163</v>
      </c>
      <c r="D837" s="8" t="s">
        <v>542</v>
      </c>
      <c r="E837" s="8" t="s">
        <v>1164</v>
      </c>
      <c r="F837" s="8" t="s">
        <v>1165</v>
      </c>
      <c r="G837" s="8" t="s">
        <v>12</v>
      </c>
      <c r="H837" s="8">
        <v>9.1529869999999995</v>
      </c>
      <c r="I837" s="8">
        <v>-80.304509999999993</v>
      </c>
      <c r="J837" s="21" t="s">
        <v>1146</v>
      </c>
    </row>
    <row r="838" spans="1:10" x14ac:dyDescent="0.3">
      <c r="A838" s="20">
        <v>3</v>
      </c>
      <c r="B838" s="8">
        <v>1072</v>
      </c>
      <c r="C838" s="8" t="s">
        <v>1166</v>
      </c>
      <c r="D838" s="8" t="s">
        <v>1167</v>
      </c>
      <c r="E838" s="8" t="s">
        <v>1168</v>
      </c>
      <c r="F838" s="8" t="s">
        <v>1168</v>
      </c>
      <c r="G838" s="8" t="s">
        <v>12</v>
      </c>
      <c r="H838" s="8">
        <v>7.961373</v>
      </c>
      <c r="I838" s="8">
        <v>-80.422753</v>
      </c>
      <c r="J838" s="21" t="s">
        <v>18</v>
      </c>
    </row>
    <row r="839" spans="1:10" x14ac:dyDescent="0.3">
      <c r="A839" s="20">
        <v>3</v>
      </c>
      <c r="B839" s="8">
        <v>1073</v>
      </c>
      <c r="C839" s="8" t="s">
        <v>1169</v>
      </c>
      <c r="D839" s="8" t="s">
        <v>1167</v>
      </c>
      <c r="E839" s="8" t="s">
        <v>1168</v>
      </c>
      <c r="F839" s="8" t="s">
        <v>1168</v>
      </c>
      <c r="G839" s="8" t="s">
        <v>12</v>
      </c>
      <c r="H839" s="8">
        <v>7.9649999999999999</v>
      </c>
      <c r="I839" s="8">
        <v>-80.430027999999993</v>
      </c>
      <c r="J839" s="21" t="s">
        <v>37</v>
      </c>
    </row>
    <row r="840" spans="1:10" x14ac:dyDescent="0.3">
      <c r="A840" s="20">
        <v>3</v>
      </c>
      <c r="B840" s="8">
        <v>1074</v>
      </c>
      <c r="C840" s="8" t="s">
        <v>1170</v>
      </c>
      <c r="D840" s="8" t="s">
        <v>1167</v>
      </c>
      <c r="E840" s="8" t="s">
        <v>1168</v>
      </c>
      <c r="F840" s="8" t="s">
        <v>1168</v>
      </c>
      <c r="G840" s="8" t="s">
        <v>12</v>
      </c>
      <c r="H840" s="8">
        <v>7.956143</v>
      </c>
      <c r="I840" s="8">
        <v>-80.418818999999999</v>
      </c>
      <c r="J840" s="21" t="s">
        <v>1153</v>
      </c>
    </row>
    <row r="841" spans="1:10" x14ac:dyDescent="0.3">
      <c r="A841" s="20">
        <v>3</v>
      </c>
      <c r="B841" s="8">
        <v>1075</v>
      </c>
      <c r="C841" s="8" t="s">
        <v>1171</v>
      </c>
      <c r="D841" s="8" t="s">
        <v>1167</v>
      </c>
      <c r="E841" s="8" t="s">
        <v>1168</v>
      </c>
      <c r="F841" s="8" t="s">
        <v>1168</v>
      </c>
      <c r="G841" s="8" t="s">
        <v>12</v>
      </c>
      <c r="H841" s="8">
        <v>7.9606589999999997</v>
      </c>
      <c r="I841" s="8">
        <v>-80.421709000000007</v>
      </c>
      <c r="J841" s="21" t="s">
        <v>18</v>
      </c>
    </row>
    <row r="842" spans="1:10" x14ac:dyDescent="0.3">
      <c r="A842" s="20">
        <v>3</v>
      </c>
      <c r="B842" s="8">
        <v>1076</v>
      </c>
      <c r="C842" s="8" t="s">
        <v>1172</v>
      </c>
      <c r="D842" s="8" t="s">
        <v>1167</v>
      </c>
      <c r="E842" s="8" t="s">
        <v>1168</v>
      </c>
      <c r="F842" s="8" t="s">
        <v>1168</v>
      </c>
      <c r="G842" s="8" t="s">
        <v>12</v>
      </c>
      <c r="H842" s="8">
        <v>7.9755339999999997</v>
      </c>
      <c r="I842" s="8">
        <v>-80.423998999999995</v>
      </c>
      <c r="J842" s="21" t="s">
        <v>37</v>
      </c>
    </row>
    <row r="843" spans="1:10" x14ac:dyDescent="0.3">
      <c r="A843" s="20">
        <v>3</v>
      </c>
      <c r="B843" s="8">
        <v>1077</v>
      </c>
      <c r="C843" s="8" t="s">
        <v>1173</v>
      </c>
      <c r="D843" s="8" t="s">
        <v>1167</v>
      </c>
      <c r="E843" s="8" t="s">
        <v>1168</v>
      </c>
      <c r="F843" s="8" t="s">
        <v>1168</v>
      </c>
      <c r="G843" s="8" t="s">
        <v>12</v>
      </c>
      <c r="H843" s="8">
        <v>7.9688610000000004</v>
      </c>
      <c r="I843" s="8">
        <v>-80.425827999999996</v>
      </c>
      <c r="J843" s="21" t="s">
        <v>37</v>
      </c>
    </row>
    <row r="844" spans="1:10" x14ac:dyDescent="0.3">
      <c r="A844" s="20">
        <v>3</v>
      </c>
      <c r="B844" s="8">
        <v>1078</v>
      </c>
      <c r="C844" s="8" t="s">
        <v>1174</v>
      </c>
      <c r="D844" s="8" t="s">
        <v>1167</v>
      </c>
      <c r="E844" s="8" t="s">
        <v>1168</v>
      </c>
      <c r="F844" s="8" t="s">
        <v>1168</v>
      </c>
      <c r="G844" s="8" t="s">
        <v>12</v>
      </c>
      <c r="H844" s="8">
        <v>7.9639899999999999</v>
      </c>
      <c r="I844" s="8">
        <v>-80.432462999999998</v>
      </c>
      <c r="J844" s="21" t="s">
        <v>765</v>
      </c>
    </row>
    <row r="845" spans="1:10" x14ac:dyDescent="0.3">
      <c r="A845" s="20">
        <v>3</v>
      </c>
      <c r="B845" s="8">
        <v>1079</v>
      </c>
      <c r="C845" s="8" t="s">
        <v>1175</v>
      </c>
      <c r="D845" s="8" t="s">
        <v>1167</v>
      </c>
      <c r="E845" s="8" t="s">
        <v>1168</v>
      </c>
      <c r="F845" s="8" t="s">
        <v>1168</v>
      </c>
      <c r="G845" s="8" t="s">
        <v>33</v>
      </c>
      <c r="H845" s="8">
        <v>7.9627039999999996</v>
      </c>
      <c r="I845" s="8">
        <v>-80.435355000000001</v>
      </c>
      <c r="J845" s="21" t="s">
        <v>37</v>
      </c>
    </row>
    <row r="846" spans="1:10" x14ac:dyDescent="0.3">
      <c r="A846" s="20">
        <v>3</v>
      </c>
      <c r="B846" s="8">
        <v>1083</v>
      </c>
      <c r="C846" s="8" t="s">
        <v>1176</v>
      </c>
      <c r="D846" s="8" t="s">
        <v>1167</v>
      </c>
      <c r="E846" s="8" t="s">
        <v>1168</v>
      </c>
      <c r="F846" s="8" t="s">
        <v>1168</v>
      </c>
      <c r="G846" s="8" t="s">
        <v>12</v>
      </c>
      <c r="H846" s="8">
        <v>7.9634720000000003</v>
      </c>
      <c r="I846" s="8">
        <v>-80.421722000000003</v>
      </c>
      <c r="J846" s="21" t="s">
        <v>37</v>
      </c>
    </row>
    <row r="847" spans="1:10" x14ac:dyDescent="0.3">
      <c r="A847" s="20">
        <v>3</v>
      </c>
      <c r="B847" s="8">
        <v>1084</v>
      </c>
      <c r="C847" s="8" t="s">
        <v>1177</v>
      </c>
      <c r="D847" s="8" t="s">
        <v>1167</v>
      </c>
      <c r="E847" s="8" t="s">
        <v>1168</v>
      </c>
      <c r="F847" s="8" t="s">
        <v>1168</v>
      </c>
      <c r="G847" s="8" t="s">
        <v>12</v>
      </c>
      <c r="H847" s="8">
        <v>7.9567670000000001</v>
      </c>
      <c r="I847" s="8">
        <v>-80.424543999999997</v>
      </c>
      <c r="J847" s="21" t="s">
        <v>765</v>
      </c>
    </row>
    <row r="848" spans="1:10" x14ac:dyDescent="0.3">
      <c r="A848" s="20">
        <v>3</v>
      </c>
      <c r="B848" s="8">
        <v>1085</v>
      </c>
      <c r="C848" s="8" t="s">
        <v>1178</v>
      </c>
      <c r="D848" s="8" t="s">
        <v>1167</v>
      </c>
      <c r="E848" s="8" t="s">
        <v>1168</v>
      </c>
      <c r="F848" s="8" t="s">
        <v>1168</v>
      </c>
      <c r="G848" s="8" t="s">
        <v>12</v>
      </c>
      <c r="H848" s="8">
        <v>7.9638</v>
      </c>
      <c r="I848" s="8">
        <v>-80.429558</v>
      </c>
      <c r="J848" s="21" t="s">
        <v>13</v>
      </c>
    </row>
    <row r="849" spans="1:10" x14ac:dyDescent="0.3">
      <c r="A849" s="20">
        <v>3</v>
      </c>
      <c r="B849" s="8">
        <v>1090</v>
      </c>
      <c r="C849" s="8" t="s">
        <v>1179</v>
      </c>
      <c r="D849" s="8" t="s">
        <v>1167</v>
      </c>
      <c r="E849" s="8" t="s">
        <v>1168</v>
      </c>
      <c r="F849" s="8" t="s">
        <v>1168</v>
      </c>
      <c r="G849" s="8" t="s">
        <v>12</v>
      </c>
      <c r="H849" s="8">
        <v>7.9662389999999998</v>
      </c>
      <c r="I849" s="8">
        <v>-80.427589999999995</v>
      </c>
      <c r="J849" s="21" t="s">
        <v>1180</v>
      </c>
    </row>
    <row r="850" spans="1:10" x14ac:dyDescent="0.3">
      <c r="A850" s="20">
        <v>3</v>
      </c>
      <c r="B850" s="8">
        <v>1092</v>
      </c>
      <c r="C850" s="8" t="s">
        <v>1181</v>
      </c>
      <c r="D850" s="8" t="s">
        <v>1167</v>
      </c>
      <c r="E850" s="8" t="s">
        <v>1168</v>
      </c>
      <c r="F850" s="8" t="s">
        <v>1168</v>
      </c>
      <c r="G850" s="8" t="s">
        <v>12</v>
      </c>
      <c r="H850" s="8">
        <v>7.962218</v>
      </c>
      <c r="I850" s="8">
        <v>-80.437281999999996</v>
      </c>
      <c r="J850" s="21" t="s">
        <v>37</v>
      </c>
    </row>
    <row r="851" spans="1:10" x14ac:dyDescent="0.3">
      <c r="A851" s="20">
        <v>3</v>
      </c>
      <c r="B851" s="8">
        <v>1093</v>
      </c>
      <c r="C851" s="8" t="s">
        <v>1182</v>
      </c>
      <c r="D851" s="8" t="s">
        <v>1167</v>
      </c>
      <c r="E851" s="8" t="s">
        <v>1168</v>
      </c>
      <c r="F851" s="8" t="s">
        <v>1168</v>
      </c>
      <c r="G851" s="8" t="s">
        <v>12</v>
      </c>
      <c r="H851" s="8">
        <v>7.9538289999999998</v>
      </c>
      <c r="I851" s="8">
        <v>-80.430172999999996</v>
      </c>
      <c r="J851" s="21" t="s">
        <v>580</v>
      </c>
    </row>
    <row r="852" spans="1:10" x14ac:dyDescent="0.3">
      <c r="A852" s="20">
        <v>3</v>
      </c>
      <c r="B852" s="8">
        <v>1094</v>
      </c>
      <c r="C852" s="8" t="s">
        <v>1183</v>
      </c>
      <c r="D852" s="8" t="s">
        <v>1167</v>
      </c>
      <c r="E852" s="8" t="s">
        <v>1168</v>
      </c>
      <c r="F852" s="8" t="s">
        <v>1184</v>
      </c>
      <c r="G852" s="8" t="s">
        <v>33</v>
      </c>
      <c r="H852" s="8">
        <v>7.9694409999999998</v>
      </c>
      <c r="I852" s="8">
        <v>-80.463359999999994</v>
      </c>
      <c r="J852" s="21" t="s">
        <v>686</v>
      </c>
    </row>
    <row r="853" spans="1:10" x14ac:dyDescent="0.3">
      <c r="A853" s="20">
        <v>3</v>
      </c>
      <c r="B853" s="8">
        <v>1096</v>
      </c>
      <c r="C853" s="8" t="s">
        <v>1185</v>
      </c>
      <c r="D853" s="8" t="s">
        <v>1167</v>
      </c>
      <c r="E853" s="8" t="s">
        <v>1168</v>
      </c>
      <c r="F853" s="8" t="s">
        <v>1184</v>
      </c>
      <c r="G853" s="8" t="s">
        <v>12</v>
      </c>
      <c r="H853" s="8">
        <v>7.9714939999999999</v>
      </c>
      <c r="I853" s="8">
        <v>-80.463599000000002</v>
      </c>
      <c r="J853" s="21" t="s">
        <v>765</v>
      </c>
    </row>
    <row r="854" spans="1:10" x14ac:dyDescent="0.3">
      <c r="A854" s="20">
        <v>3</v>
      </c>
      <c r="B854" s="8">
        <v>1097</v>
      </c>
      <c r="C854" s="8" t="s">
        <v>1186</v>
      </c>
      <c r="D854" s="8" t="s">
        <v>1167</v>
      </c>
      <c r="E854" s="8" t="s">
        <v>1168</v>
      </c>
      <c r="F854" s="8" t="s">
        <v>1187</v>
      </c>
      <c r="G854" s="8" t="s">
        <v>12</v>
      </c>
      <c r="H854" s="8">
        <v>7.9718739999999997</v>
      </c>
      <c r="I854" s="8">
        <v>-80.428773000000007</v>
      </c>
      <c r="J854" s="21" t="s">
        <v>13</v>
      </c>
    </row>
    <row r="855" spans="1:10" x14ac:dyDescent="0.3">
      <c r="A855" s="20">
        <v>3</v>
      </c>
      <c r="B855" s="8">
        <v>1098</v>
      </c>
      <c r="C855" s="8" t="s">
        <v>1188</v>
      </c>
      <c r="D855" s="8" t="s">
        <v>1167</v>
      </c>
      <c r="E855" s="8" t="s">
        <v>1168</v>
      </c>
      <c r="F855" s="8" t="s">
        <v>1187</v>
      </c>
      <c r="G855" s="8" t="s">
        <v>12</v>
      </c>
      <c r="H855" s="8">
        <v>7.9756679999999998</v>
      </c>
      <c r="I855" s="8">
        <v>-80.418390000000002</v>
      </c>
      <c r="J855" s="21" t="s">
        <v>765</v>
      </c>
    </row>
    <row r="856" spans="1:10" x14ac:dyDescent="0.3">
      <c r="A856" s="20">
        <v>3</v>
      </c>
      <c r="B856" s="8">
        <v>1099</v>
      </c>
      <c r="C856" s="8" t="s">
        <v>1189</v>
      </c>
      <c r="D856" s="8" t="s">
        <v>1167</v>
      </c>
      <c r="E856" s="8" t="s">
        <v>1168</v>
      </c>
      <c r="F856" s="8" t="s">
        <v>1187</v>
      </c>
      <c r="G856" s="8" t="s">
        <v>12</v>
      </c>
      <c r="H856" s="8">
        <v>7.9717520000000004</v>
      </c>
      <c r="I856" s="8">
        <v>-80.429137999999995</v>
      </c>
      <c r="J856" s="21" t="s">
        <v>13</v>
      </c>
    </row>
    <row r="857" spans="1:10" x14ac:dyDescent="0.3">
      <c r="A857" s="20">
        <v>3</v>
      </c>
      <c r="B857" s="8">
        <v>1101</v>
      </c>
      <c r="C857" s="8" t="s">
        <v>1190</v>
      </c>
      <c r="D857" s="8" t="s">
        <v>1167</v>
      </c>
      <c r="E857" s="8" t="s">
        <v>1168</v>
      </c>
      <c r="F857" s="8" t="s">
        <v>1191</v>
      </c>
      <c r="G857" s="8" t="s">
        <v>12</v>
      </c>
      <c r="H857" s="8">
        <v>7.9831300000000001</v>
      </c>
      <c r="I857" s="8">
        <v>-80.432799000000003</v>
      </c>
      <c r="J857" s="21" t="s">
        <v>765</v>
      </c>
    </row>
    <row r="858" spans="1:10" x14ac:dyDescent="0.3">
      <c r="A858" s="20">
        <v>3</v>
      </c>
      <c r="B858" s="8">
        <v>1103</v>
      </c>
      <c r="C858" s="8" t="s">
        <v>1192</v>
      </c>
      <c r="D858" s="8" t="s">
        <v>1167</v>
      </c>
      <c r="E858" s="8" t="s">
        <v>1168</v>
      </c>
      <c r="F858" s="8" t="s">
        <v>1191</v>
      </c>
      <c r="G858" s="8" t="s">
        <v>12</v>
      </c>
      <c r="H858" s="8">
        <v>7.9760249999999999</v>
      </c>
      <c r="I858" s="8">
        <v>-80.431602999999996</v>
      </c>
      <c r="J858" s="21" t="s">
        <v>580</v>
      </c>
    </row>
    <row r="859" spans="1:10" x14ac:dyDescent="0.3">
      <c r="A859" s="20">
        <v>3</v>
      </c>
      <c r="B859" s="8">
        <v>1104</v>
      </c>
      <c r="C859" s="8" t="s">
        <v>1193</v>
      </c>
      <c r="D859" s="8" t="s">
        <v>1167</v>
      </c>
      <c r="E859" s="8" t="s">
        <v>1168</v>
      </c>
      <c r="F859" s="8" t="s">
        <v>1191</v>
      </c>
      <c r="G859" s="8" t="s">
        <v>33</v>
      </c>
      <c r="H859" s="8">
        <v>8.0121680000000008</v>
      </c>
      <c r="I859" s="8">
        <v>-80.448800000000006</v>
      </c>
      <c r="J859" s="21" t="s">
        <v>686</v>
      </c>
    </row>
    <row r="860" spans="1:10" x14ac:dyDescent="0.3">
      <c r="A860" s="20">
        <v>3</v>
      </c>
      <c r="B860" s="8">
        <v>1106</v>
      </c>
      <c r="C860" s="8" t="s">
        <v>1194</v>
      </c>
      <c r="D860" s="8" t="s">
        <v>1167</v>
      </c>
      <c r="E860" s="8" t="s">
        <v>1168</v>
      </c>
      <c r="F860" s="8" t="s">
        <v>1191</v>
      </c>
      <c r="G860" s="8" t="s">
        <v>12</v>
      </c>
      <c r="H860" s="8">
        <v>8.0105240000000002</v>
      </c>
      <c r="I860" s="8">
        <v>-80.450990000000004</v>
      </c>
      <c r="J860" s="21" t="s">
        <v>678</v>
      </c>
    </row>
    <row r="861" spans="1:10" x14ac:dyDescent="0.3">
      <c r="A861" s="20">
        <v>3</v>
      </c>
      <c r="B861" s="8">
        <v>1107</v>
      </c>
      <c r="C861" s="8" t="s">
        <v>1195</v>
      </c>
      <c r="D861" s="8" t="s">
        <v>1167</v>
      </c>
      <c r="E861" s="8" t="s">
        <v>1168</v>
      </c>
      <c r="F861" s="8" t="s">
        <v>1196</v>
      </c>
      <c r="G861" s="8" t="s">
        <v>12</v>
      </c>
      <c r="H861" s="8">
        <v>7.9635829999999999</v>
      </c>
      <c r="I861" s="8">
        <v>-80.424471999999994</v>
      </c>
      <c r="J861" s="21" t="s">
        <v>765</v>
      </c>
    </row>
    <row r="862" spans="1:10" x14ac:dyDescent="0.3">
      <c r="A862" s="20">
        <v>3</v>
      </c>
      <c r="B862" s="8">
        <v>1108</v>
      </c>
      <c r="C862" s="8" t="s">
        <v>1197</v>
      </c>
      <c r="D862" s="8" t="s">
        <v>1167</v>
      </c>
      <c r="E862" s="8" t="s">
        <v>1168</v>
      </c>
      <c r="F862" s="8" t="s">
        <v>1196</v>
      </c>
      <c r="G862" s="8" t="s">
        <v>12</v>
      </c>
      <c r="H862" s="8">
        <v>7.9650559999999997</v>
      </c>
      <c r="I862" s="8">
        <v>-80.432216999999994</v>
      </c>
      <c r="J862" s="21" t="s">
        <v>37</v>
      </c>
    </row>
    <row r="863" spans="1:10" x14ac:dyDescent="0.3">
      <c r="A863" s="20">
        <v>3</v>
      </c>
      <c r="B863" s="8">
        <v>1109</v>
      </c>
      <c r="C863" s="8" t="s">
        <v>1198</v>
      </c>
      <c r="D863" s="8" t="s">
        <v>1167</v>
      </c>
      <c r="E863" s="8" t="s">
        <v>1199</v>
      </c>
      <c r="F863" s="8" t="s">
        <v>1199</v>
      </c>
      <c r="G863" s="8" t="s">
        <v>12</v>
      </c>
      <c r="H863" s="8">
        <v>8.5196539999999992</v>
      </c>
      <c r="I863" s="8">
        <v>-80.357353000000003</v>
      </c>
      <c r="J863" s="21" t="s">
        <v>479</v>
      </c>
    </row>
    <row r="864" spans="1:10" x14ac:dyDescent="0.3">
      <c r="A864" s="20">
        <v>3</v>
      </c>
      <c r="B864" s="8">
        <v>1110</v>
      </c>
      <c r="C864" s="8" t="s">
        <v>1200</v>
      </c>
      <c r="D864" s="8" t="s">
        <v>1167</v>
      </c>
      <c r="E864" s="8" t="s">
        <v>1199</v>
      </c>
      <c r="F864" s="8" t="s">
        <v>1199</v>
      </c>
      <c r="G864" s="8" t="s">
        <v>12</v>
      </c>
      <c r="H864" s="8">
        <v>7.7874840000000001</v>
      </c>
      <c r="I864" s="8">
        <v>-80.646339999999995</v>
      </c>
      <c r="J864" s="21" t="s">
        <v>479</v>
      </c>
    </row>
    <row r="865" spans="1:10" x14ac:dyDescent="0.3">
      <c r="A865" s="20">
        <v>3</v>
      </c>
      <c r="B865" s="8">
        <v>1111</v>
      </c>
      <c r="C865" s="8" t="s">
        <v>1201</v>
      </c>
      <c r="D865" s="8" t="s">
        <v>1167</v>
      </c>
      <c r="E865" s="8" t="s">
        <v>1199</v>
      </c>
      <c r="F865" s="8" t="s">
        <v>1199</v>
      </c>
      <c r="G865" s="8" t="s">
        <v>12</v>
      </c>
      <c r="H865" s="8">
        <v>7.7659669999999998</v>
      </c>
      <c r="I865" s="8">
        <v>-80.631642999999997</v>
      </c>
      <c r="J865" s="21" t="s">
        <v>45</v>
      </c>
    </row>
    <row r="866" spans="1:10" x14ac:dyDescent="0.3">
      <c r="A866" s="20">
        <v>3</v>
      </c>
      <c r="B866" s="8">
        <v>1112</v>
      </c>
      <c r="C866" s="8" t="s">
        <v>1202</v>
      </c>
      <c r="D866" s="8" t="s">
        <v>1167</v>
      </c>
      <c r="E866" s="8" t="s">
        <v>1203</v>
      </c>
      <c r="F866" s="8" t="s">
        <v>1069</v>
      </c>
      <c r="G866" s="8" t="s">
        <v>12</v>
      </c>
      <c r="H866" s="8">
        <v>7.9423300000000001</v>
      </c>
      <c r="I866" s="8">
        <v>-80.776712000000003</v>
      </c>
      <c r="J866" s="21" t="s">
        <v>569</v>
      </c>
    </row>
    <row r="867" spans="1:10" x14ac:dyDescent="0.3">
      <c r="A867" s="20">
        <v>3</v>
      </c>
      <c r="B867" s="8">
        <v>1114</v>
      </c>
      <c r="C867" s="8" t="s">
        <v>1204</v>
      </c>
      <c r="D867" s="8" t="s">
        <v>1167</v>
      </c>
      <c r="E867" s="8" t="s">
        <v>1203</v>
      </c>
      <c r="F867" s="8" t="s">
        <v>1205</v>
      </c>
      <c r="G867" s="8" t="s">
        <v>12</v>
      </c>
      <c r="H867" s="8">
        <v>7.9480510000000004</v>
      </c>
      <c r="I867" s="8">
        <v>-80.774077000000005</v>
      </c>
      <c r="J867" s="21" t="s">
        <v>569</v>
      </c>
    </row>
    <row r="868" spans="1:10" x14ac:dyDescent="0.3">
      <c r="A868" s="20">
        <v>3</v>
      </c>
      <c r="B868" s="8">
        <v>1115</v>
      </c>
      <c r="C868" s="8" t="s">
        <v>1206</v>
      </c>
      <c r="D868" s="8" t="s">
        <v>1167</v>
      </c>
      <c r="E868" s="8" t="s">
        <v>1203</v>
      </c>
      <c r="F868" s="8" t="s">
        <v>1205</v>
      </c>
      <c r="G868" s="8" t="s">
        <v>12</v>
      </c>
      <c r="H868" s="8">
        <v>7.945862</v>
      </c>
      <c r="I868" s="8">
        <v>-80.777653999999998</v>
      </c>
      <c r="J868" s="21" t="s">
        <v>569</v>
      </c>
    </row>
    <row r="869" spans="1:10" x14ac:dyDescent="0.3">
      <c r="A869" s="20">
        <v>3</v>
      </c>
      <c r="B869" s="8">
        <v>1116</v>
      </c>
      <c r="C869" s="8" t="s">
        <v>1207</v>
      </c>
      <c r="D869" s="8" t="s">
        <v>1167</v>
      </c>
      <c r="E869" s="8" t="s">
        <v>1203</v>
      </c>
      <c r="F869" s="8" t="s">
        <v>1205</v>
      </c>
      <c r="G869" s="8" t="s">
        <v>12</v>
      </c>
      <c r="H869" s="8">
        <v>7.947978</v>
      </c>
      <c r="I869" s="8">
        <v>-80.779036000000005</v>
      </c>
      <c r="J869" s="21" t="s">
        <v>569</v>
      </c>
    </row>
    <row r="870" spans="1:10" x14ac:dyDescent="0.3">
      <c r="A870" s="20">
        <v>3</v>
      </c>
      <c r="B870" s="8">
        <v>1118</v>
      </c>
      <c r="C870" s="8" t="s">
        <v>1208</v>
      </c>
      <c r="D870" s="8" t="s">
        <v>1167</v>
      </c>
      <c r="E870" s="8" t="s">
        <v>1203</v>
      </c>
      <c r="F870" s="8" t="s">
        <v>1205</v>
      </c>
      <c r="G870" s="8" t="s">
        <v>33</v>
      </c>
      <c r="H870" s="8">
        <v>7.9423300000000001</v>
      </c>
      <c r="I870" s="8">
        <v>-80.776712000000003</v>
      </c>
      <c r="J870" s="21" t="s">
        <v>569</v>
      </c>
    </row>
    <row r="871" spans="1:10" x14ac:dyDescent="0.3">
      <c r="A871" s="20">
        <v>3</v>
      </c>
      <c r="B871" s="8">
        <v>1120</v>
      </c>
      <c r="C871" s="8" t="s">
        <v>1209</v>
      </c>
      <c r="D871" s="8" t="s">
        <v>1167</v>
      </c>
      <c r="E871" s="8" t="s">
        <v>1203</v>
      </c>
      <c r="F871" s="8" t="s">
        <v>1205</v>
      </c>
      <c r="G871" s="8" t="s">
        <v>33</v>
      </c>
      <c r="H871" s="8">
        <v>7.9454979999999997</v>
      </c>
      <c r="I871" s="8">
        <v>-80.778397999999996</v>
      </c>
      <c r="J871" s="21" t="s">
        <v>569</v>
      </c>
    </row>
    <row r="872" spans="1:10" x14ac:dyDescent="0.3">
      <c r="A872" s="20">
        <v>3</v>
      </c>
      <c r="B872" s="8">
        <v>1125</v>
      </c>
      <c r="C872" s="8" t="s">
        <v>1210</v>
      </c>
      <c r="D872" s="8" t="s">
        <v>1167</v>
      </c>
      <c r="E872" s="8" t="s">
        <v>1211</v>
      </c>
      <c r="F872" s="8" t="s">
        <v>1211</v>
      </c>
      <c r="G872" s="8" t="s">
        <v>12</v>
      </c>
      <c r="H872" s="8">
        <v>7.9993220000000003</v>
      </c>
      <c r="I872" s="8">
        <v>-80.516343000000006</v>
      </c>
      <c r="J872" s="21" t="s">
        <v>18</v>
      </c>
    </row>
    <row r="873" spans="1:10" x14ac:dyDescent="0.3">
      <c r="A873" s="20">
        <v>3</v>
      </c>
      <c r="B873" s="8">
        <v>1126</v>
      </c>
      <c r="C873" s="8" t="s">
        <v>1212</v>
      </c>
      <c r="D873" s="8" t="s">
        <v>1167</v>
      </c>
      <c r="E873" s="8" t="s">
        <v>1211</v>
      </c>
      <c r="F873" s="8" t="s">
        <v>1211</v>
      </c>
      <c r="G873" s="8" t="s">
        <v>12</v>
      </c>
      <c r="H873" s="8">
        <v>7.9951379999999999</v>
      </c>
      <c r="I873" s="8">
        <v>-80.513054999999994</v>
      </c>
      <c r="J873" s="21" t="s">
        <v>560</v>
      </c>
    </row>
    <row r="874" spans="1:10" x14ac:dyDescent="0.3">
      <c r="A874" s="20">
        <v>3</v>
      </c>
      <c r="B874" s="8">
        <v>1127</v>
      </c>
      <c r="C874" s="8" t="s">
        <v>1213</v>
      </c>
      <c r="D874" s="8" t="s">
        <v>1167</v>
      </c>
      <c r="E874" s="8" t="s">
        <v>1211</v>
      </c>
      <c r="F874" s="8" t="s">
        <v>1211</v>
      </c>
      <c r="G874" s="8" t="s">
        <v>12</v>
      </c>
      <c r="H874" s="8">
        <v>7.9954960000000002</v>
      </c>
      <c r="I874" s="8">
        <v>-80.517938000000001</v>
      </c>
      <c r="J874" s="21" t="s">
        <v>18</v>
      </c>
    </row>
    <row r="875" spans="1:10" x14ac:dyDescent="0.3">
      <c r="A875" s="20">
        <v>3</v>
      </c>
      <c r="B875" s="8">
        <v>1128</v>
      </c>
      <c r="C875" s="8" t="s">
        <v>1214</v>
      </c>
      <c r="D875" s="8" t="s">
        <v>1167</v>
      </c>
      <c r="E875" s="8" t="s">
        <v>1215</v>
      </c>
      <c r="F875" s="8" t="s">
        <v>1215</v>
      </c>
      <c r="G875" s="8" t="s">
        <v>12</v>
      </c>
      <c r="H875" s="8">
        <v>7.9085539999999996</v>
      </c>
      <c r="I875" s="8">
        <v>-80.616146000000001</v>
      </c>
      <c r="J875" s="21" t="s">
        <v>580</v>
      </c>
    </row>
    <row r="876" spans="1:10" x14ac:dyDescent="0.3">
      <c r="A876" s="20">
        <v>3</v>
      </c>
      <c r="B876" s="8">
        <v>1129</v>
      </c>
      <c r="C876" s="8" t="s">
        <v>1216</v>
      </c>
      <c r="D876" s="8" t="s">
        <v>1167</v>
      </c>
      <c r="E876" s="8" t="s">
        <v>1215</v>
      </c>
      <c r="F876" s="8" t="s">
        <v>1215</v>
      </c>
      <c r="G876" s="8" t="s">
        <v>12</v>
      </c>
      <c r="H876" s="8">
        <v>7.9096390000000003</v>
      </c>
      <c r="I876" s="8">
        <v>-80.613189000000006</v>
      </c>
      <c r="J876" s="21" t="s">
        <v>580</v>
      </c>
    </row>
    <row r="877" spans="1:10" x14ac:dyDescent="0.3">
      <c r="A877" s="20">
        <v>3</v>
      </c>
      <c r="B877" s="8">
        <v>1130</v>
      </c>
      <c r="C877" s="8" t="s">
        <v>1217</v>
      </c>
      <c r="D877" s="8" t="s">
        <v>1167</v>
      </c>
      <c r="E877" s="8" t="s">
        <v>1215</v>
      </c>
      <c r="F877" s="8" t="s">
        <v>1215</v>
      </c>
      <c r="G877" s="8" t="s">
        <v>12</v>
      </c>
      <c r="H877" s="8">
        <v>7.9049719999999999</v>
      </c>
      <c r="I877" s="8">
        <v>-80.615605000000002</v>
      </c>
      <c r="J877" s="21" t="s">
        <v>580</v>
      </c>
    </row>
    <row r="878" spans="1:10" x14ac:dyDescent="0.3">
      <c r="A878" s="20">
        <v>3</v>
      </c>
      <c r="B878" s="8">
        <v>1136</v>
      </c>
      <c r="C878" s="8" t="s">
        <v>1218</v>
      </c>
      <c r="D878" s="8" t="s">
        <v>1167</v>
      </c>
      <c r="E878" s="8" t="s">
        <v>1219</v>
      </c>
      <c r="F878" s="8" t="s">
        <v>1220</v>
      </c>
      <c r="G878" s="8" t="s">
        <v>12</v>
      </c>
      <c r="H878" s="8">
        <v>8.0761959999999995</v>
      </c>
      <c r="I878" s="8">
        <v>-80.776915000000002</v>
      </c>
      <c r="J878" s="21" t="s">
        <v>569</v>
      </c>
    </row>
    <row r="879" spans="1:10" x14ac:dyDescent="0.3">
      <c r="A879" s="20">
        <v>3</v>
      </c>
      <c r="B879" s="8">
        <v>1137</v>
      </c>
      <c r="C879" s="8" t="s">
        <v>1221</v>
      </c>
      <c r="D879" s="8" t="s">
        <v>1167</v>
      </c>
      <c r="E879" s="8" t="s">
        <v>1219</v>
      </c>
      <c r="F879" s="8" t="s">
        <v>1219</v>
      </c>
      <c r="G879" s="8" t="s">
        <v>12</v>
      </c>
      <c r="H879" s="8">
        <v>7.770861</v>
      </c>
      <c r="I879" s="8">
        <v>-80.271771999999999</v>
      </c>
      <c r="J879" s="21" t="s">
        <v>569</v>
      </c>
    </row>
    <row r="880" spans="1:10" x14ac:dyDescent="0.3">
      <c r="A880" s="20">
        <v>3</v>
      </c>
      <c r="B880" s="8">
        <v>1138</v>
      </c>
      <c r="C880" s="8" t="s">
        <v>1222</v>
      </c>
      <c r="D880" s="8" t="s">
        <v>1223</v>
      </c>
      <c r="E880" s="8" t="s">
        <v>1224</v>
      </c>
      <c r="F880" s="8" t="s">
        <v>1224</v>
      </c>
      <c r="G880" s="8" t="s">
        <v>12</v>
      </c>
      <c r="H880" s="8">
        <v>7.821809</v>
      </c>
      <c r="I880" s="8">
        <v>-80.287578999999994</v>
      </c>
      <c r="J880" s="21" t="s">
        <v>705</v>
      </c>
    </row>
    <row r="881" spans="1:10" x14ac:dyDescent="0.3">
      <c r="A881" s="20">
        <v>3</v>
      </c>
      <c r="B881" s="8">
        <v>1141</v>
      </c>
      <c r="C881" s="8" t="s">
        <v>1225</v>
      </c>
      <c r="D881" s="8" t="s">
        <v>1223</v>
      </c>
      <c r="E881" s="8" t="s">
        <v>1224</v>
      </c>
      <c r="F881" s="8" t="s">
        <v>1224</v>
      </c>
      <c r="G881" s="8" t="s">
        <v>12</v>
      </c>
      <c r="H881" s="8">
        <v>7.8239400000000003</v>
      </c>
      <c r="I881" s="8">
        <v>-80.283634000000006</v>
      </c>
      <c r="J881" s="21" t="s">
        <v>705</v>
      </c>
    </row>
    <row r="882" spans="1:10" x14ac:dyDescent="0.3">
      <c r="A882" s="20">
        <v>3</v>
      </c>
      <c r="B882" s="8">
        <v>1142</v>
      </c>
      <c r="C882" s="8" t="s">
        <v>1226</v>
      </c>
      <c r="D882" s="8" t="s">
        <v>1223</v>
      </c>
      <c r="E882" s="8" t="s">
        <v>1224</v>
      </c>
      <c r="F882" s="8" t="s">
        <v>1224</v>
      </c>
      <c r="G882" s="8" t="s">
        <v>12</v>
      </c>
      <c r="H882" s="8">
        <v>7.819464</v>
      </c>
      <c r="I882" s="8">
        <v>-80.280458999999993</v>
      </c>
      <c r="J882" s="21" t="s">
        <v>705</v>
      </c>
    </row>
    <row r="883" spans="1:10" x14ac:dyDescent="0.3">
      <c r="A883" s="20">
        <v>3</v>
      </c>
      <c r="B883" s="8">
        <v>1143</v>
      </c>
      <c r="C883" s="8" t="s">
        <v>1227</v>
      </c>
      <c r="D883" s="8" t="s">
        <v>1223</v>
      </c>
      <c r="E883" s="8" t="s">
        <v>1224</v>
      </c>
      <c r="F883" s="8" t="s">
        <v>1224</v>
      </c>
      <c r="G883" s="8" t="s">
        <v>12</v>
      </c>
      <c r="H883" s="8">
        <v>7.8256759999999996</v>
      </c>
      <c r="I883" s="8">
        <v>-80.277916000000005</v>
      </c>
      <c r="J883" s="21" t="s">
        <v>705</v>
      </c>
    </row>
    <row r="884" spans="1:10" x14ac:dyDescent="0.3">
      <c r="A884" s="20">
        <v>3</v>
      </c>
      <c r="B884" s="8">
        <v>1144</v>
      </c>
      <c r="C884" s="8" t="s">
        <v>1228</v>
      </c>
      <c r="D884" s="8" t="s">
        <v>1223</v>
      </c>
      <c r="E884" s="8" t="s">
        <v>1224</v>
      </c>
      <c r="F884" s="8" t="s">
        <v>1224</v>
      </c>
      <c r="G884" s="8" t="s">
        <v>12</v>
      </c>
      <c r="H884" s="8">
        <v>7.8236220000000003</v>
      </c>
      <c r="I884" s="8">
        <v>-80.282366999999994</v>
      </c>
      <c r="J884" s="21" t="s">
        <v>705</v>
      </c>
    </row>
    <row r="885" spans="1:10" x14ac:dyDescent="0.3">
      <c r="A885" s="20">
        <v>3</v>
      </c>
      <c r="B885" s="8">
        <v>1145</v>
      </c>
      <c r="C885" s="8" t="s">
        <v>1229</v>
      </c>
      <c r="D885" s="8" t="s">
        <v>1223</v>
      </c>
      <c r="E885" s="8" t="s">
        <v>1224</v>
      </c>
      <c r="F885" s="8" t="s">
        <v>1224</v>
      </c>
      <c r="G885" s="8" t="s">
        <v>12</v>
      </c>
      <c r="H885" s="8">
        <v>7.8161779999999998</v>
      </c>
      <c r="I885" s="8">
        <v>-80.281115999999997</v>
      </c>
      <c r="J885" s="21" t="s">
        <v>705</v>
      </c>
    </row>
    <row r="886" spans="1:10" x14ac:dyDescent="0.3">
      <c r="A886" s="20">
        <v>3</v>
      </c>
      <c r="B886" s="8">
        <v>1146</v>
      </c>
      <c r="C886" s="8" t="s">
        <v>1230</v>
      </c>
      <c r="D886" s="8" t="s">
        <v>1223</v>
      </c>
      <c r="E886" s="8" t="s">
        <v>1224</v>
      </c>
      <c r="F886" s="8" t="s">
        <v>1224</v>
      </c>
      <c r="G886" s="8" t="s">
        <v>12</v>
      </c>
      <c r="H886" s="8">
        <v>7.821599</v>
      </c>
      <c r="I886" s="8">
        <v>-80.281328000000002</v>
      </c>
      <c r="J886" s="21" t="s">
        <v>705</v>
      </c>
    </row>
    <row r="887" spans="1:10" x14ac:dyDescent="0.3">
      <c r="A887" s="20">
        <v>3</v>
      </c>
      <c r="B887" s="8">
        <v>1148</v>
      </c>
      <c r="C887" s="8" t="s">
        <v>1231</v>
      </c>
      <c r="D887" s="8" t="s">
        <v>1223</v>
      </c>
      <c r="E887" s="8" t="s">
        <v>1224</v>
      </c>
      <c r="F887" s="8" t="s">
        <v>1224</v>
      </c>
      <c r="G887" s="8" t="s">
        <v>12</v>
      </c>
      <c r="H887" s="8">
        <v>7.8256759999999996</v>
      </c>
      <c r="I887" s="8">
        <v>-80.277916000000005</v>
      </c>
      <c r="J887" s="21" t="s">
        <v>705</v>
      </c>
    </row>
    <row r="888" spans="1:10" x14ac:dyDescent="0.3">
      <c r="A888" s="20">
        <v>3</v>
      </c>
      <c r="B888" s="8">
        <v>1150</v>
      </c>
      <c r="C888" s="8" t="s">
        <v>1232</v>
      </c>
      <c r="D888" s="8" t="s">
        <v>1223</v>
      </c>
      <c r="E888" s="8" t="s">
        <v>1233</v>
      </c>
      <c r="F888" s="8" t="s">
        <v>1233</v>
      </c>
      <c r="G888" s="8" t="s">
        <v>12</v>
      </c>
      <c r="H888" s="8">
        <v>7.768383</v>
      </c>
      <c r="I888" s="8">
        <v>-80.277193999999994</v>
      </c>
      <c r="J888" s="21" t="s">
        <v>560</v>
      </c>
    </row>
    <row r="889" spans="1:10" x14ac:dyDescent="0.3">
      <c r="A889" s="20">
        <v>3</v>
      </c>
      <c r="B889" s="8">
        <v>1153</v>
      </c>
      <c r="C889" s="8" t="s">
        <v>1234</v>
      </c>
      <c r="D889" s="8" t="s">
        <v>1223</v>
      </c>
      <c r="E889" s="8" t="s">
        <v>1233</v>
      </c>
      <c r="F889" s="8" t="s">
        <v>1233</v>
      </c>
      <c r="G889" s="8" t="s">
        <v>12</v>
      </c>
      <c r="H889" s="8">
        <v>7.7695939999999997</v>
      </c>
      <c r="I889" s="8">
        <v>-80.277083000000005</v>
      </c>
      <c r="J889" s="21" t="s">
        <v>435</v>
      </c>
    </row>
    <row r="890" spans="1:10" x14ac:dyDescent="0.3">
      <c r="A890" s="20">
        <v>3</v>
      </c>
      <c r="B890" s="8">
        <v>1156</v>
      </c>
      <c r="C890" s="8" t="s">
        <v>1235</v>
      </c>
      <c r="D890" s="8" t="s">
        <v>1223</v>
      </c>
      <c r="E890" s="8" t="s">
        <v>1233</v>
      </c>
      <c r="F890" s="8" t="s">
        <v>1233</v>
      </c>
      <c r="G890" s="8" t="s">
        <v>33</v>
      </c>
      <c r="H890" s="8">
        <v>7.7552779999999997</v>
      </c>
      <c r="I890" s="8">
        <v>-80.262777999999997</v>
      </c>
      <c r="J890" s="21" t="s">
        <v>435</v>
      </c>
    </row>
    <row r="891" spans="1:10" x14ac:dyDescent="0.3">
      <c r="A891" s="20">
        <v>3</v>
      </c>
      <c r="B891" s="8">
        <v>1158</v>
      </c>
      <c r="C891" s="8" t="s">
        <v>1236</v>
      </c>
      <c r="D891" s="8" t="s">
        <v>1223</v>
      </c>
      <c r="E891" s="8" t="s">
        <v>1233</v>
      </c>
      <c r="F891" s="8" t="s">
        <v>1233</v>
      </c>
      <c r="G891" s="8" t="s">
        <v>12</v>
      </c>
      <c r="H891" s="8">
        <v>7.7873469999999996</v>
      </c>
      <c r="I891" s="8">
        <v>-80.272789000000003</v>
      </c>
      <c r="J891" s="21" t="s">
        <v>13</v>
      </c>
    </row>
    <row r="892" spans="1:10" x14ac:dyDescent="0.3">
      <c r="A892" s="20">
        <v>3</v>
      </c>
      <c r="B892" s="8">
        <v>1160</v>
      </c>
      <c r="C892" s="8" t="s">
        <v>1237</v>
      </c>
      <c r="D892" s="8" t="s">
        <v>1223</v>
      </c>
      <c r="E892" s="8" t="s">
        <v>1233</v>
      </c>
      <c r="F892" s="8" t="s">
        <v>1233</v>
      </c>
      <c r="G892" s="8" t="s">
        <v>33</v>
      </c>
      <c r="H892" s="8">
        <v>7.7675000000000001</v>
      </c>
      <c r="I892" s="8">
        <v>-80.286389</v>
      </c>
      <c r="J892" s="21" t="s">
        <v>13</v>
      </c>
    </row>
    <row r="893" spans="1:10" x14ac:dyDescent="0.3">
      <c r="A893" s="20">
        <v>3</v>
      </c>
      <c r="B893" s="8">
        <v>1161</v>
      </c>
      <c r="C893" s="8" t="s">
        <v>1238</v>
      </c>
      <c r="D893" s="8" t="s">
        <v>1223</v>
      </c>
      <c r="E893" s="8" t="s">
        <v>1233</v>
      </c>
      <c r="F893" s="8" t="s">
        <v>1233</v>
      </c>
      <c r="G893" s="8" t="s">
        <v>12</v>
      </c>
      <c r="H893" s="8">
        <v>7.7664720000000003</v>
      </c>
      <c r="I893" s="8">
        <v>-80.277722999999995</v>
      </c>
      <c r="J893" s="21" t="s">
        <v>435</v>
      </c>
    </row>
    <row r="894" spans="1:10" x14ac:dyDescent="0.3">
      <c r="A894" s="20">
        <v>3</v>
      </c>
      <c r="B894" s="8">
        <v>1164</v>
      </c>
      <c r="C894" s="8" t="s">
        <v>1239</v>
      </c>
      <c r="D894" s="8" t="s">
        <v>1223</v>
      </c>
      <c r="E894" s="8" t="s">
        <v>1233</v>
      </c>
      <c r="F894" s="8" t="s">
        <v>1233</v>
      </c>
      <c r="G894" s="8" t="s">
        <v>12</v>
      </c>
      <c r="H894" s="8">
        <v>7.7664720000000003</v>
      </c>
      <c r="I894" s="8">
        <v>-80.277722999999995</v>
      </c>
      <c r="J894" s="21" t="s">
        <v>433</v>
      </c>
    </row>
    <row r="895" spans="1:10" x14ac:dyDescent="0.3">
      <c r="A895" s="20">
        <v>3</v>
      </c>
      <c r="B895" s="8">
        <v>1165</v>
      </c>
      <c r="C895" s="8" t="s">
        <v>1240</v>
      </c>
      <c r="D895" s="8" t="s">
        <v>1223</v>
      </c>
      <c r="E895" s="8" t="s">
        <v>1233</v>
      </c>
      <c r="F895" s="8" t="s">
        <v>1233</v>
      </c>
      <c r="G895" s="8" t="s">
        <v>12</v>
      </c>
      <c r="H895" s="8">
        <v>7.7716799999999999</v>
      </c>
      <c r="I895" s="8">
        <v>-80.269497999999999</v>
      </c>
      <c r="J895" s="21" t="s">
        <v>435</v>
      </c>
    </row>
    <row r="896" spans="1:10" x14ac:dyDescent="0.3">
      <c r="A896" s="20">
        <v>3</v>
      </c>
      <c r="B896" s="8">
        <v>1166</v>
      </c>
      <c r="C896" s="8" t="s">
        <v>1241</v>
      </c>
      <c r="D896" s="8" t="s">
        <v>1223</v>
      </c>
      <c r="E896" s="8" t="s">
        <v>1233</v>
      </c>
      <c r="F896" s="8" t="s">
        <v>1233</v>
      </c>
      <c r="G896" s="8" t="s">
        <v>12</v>
      </c>
      <c r="H896" s="8">
        <v>7.7647279999999999</v>
      </c>
      <c r="I896" s="8">
        <v>-80.276111999999998</v>
      </c>
      <c r="J896" s="21" t="s">
        <v>435</v>
      </c>
    </row>
    <row r="897" spans="1:10" x14ac:dyDescent="0.3">
      <c r="A897" s="20">
        <v>3</v>
      </c>
      <c r="B897" s="8">
        <v>1168</v>
      </c>
      <c r="C897" s="8" t="s">
        <v>1242</v>
      </c>
      <c r="D897" s="8" t="s">
        <v>1223</v>
      </c>
      <c r="E897" s="8" t="s">
        <v>1233</v>
      </c>
      <c r="F897" s="8" t="s">
        <v>1233</v>
      </c>
      <c r="G897" s="8" t="s">
        <v>33</v>
      </c>
      <c r="H897" s="8">
        <v>7.7917189999999996</v>
      </c>
      <c r="I897" s="8">
        <v>-80.273964000000007</v>
      </c>
      <c r="J897" s="21" t="s">
        <v>13</v>
      </c>
    </row>
    <row r="898" spans="1:10" x14ac:dyDescent="0.3">
      <c r="A898" s="20">
        <v>3</v>
      </c>
      <c r="B898" s="8">
        <v>1169</v>
      </c>
      <c r="C898" s="8" t="s">
        <v>1243</v>
      </c>
      <c r="D898" s="8" t="s">
        <v>1223</v>
      </c>
      <c r="E898" s="8" t="s">
        <v>1233</v>
      </c>
      <c r="F898" s="8" t="s">
        <v>207</v>
      </c>
      <c r="G898" s="8" t="s">
        <v>33</v>
      </c>
      <c r="H898" s="8">
        <v>7.7586870000000001</v>
      </c>
      <c r="I898" s="8">
        <v>-80.237589999999997</v>
      </c>
      <c r="J898" s="21" t="s">
        <v>560</v>
      </c>
    </row>
    <row r="899" spans="1:10" x14ac:dyDescent="0.3">
      <c r="A899" s="20">
        <v>3</v>
      </c>
      <c r="B899" s="8">
        <v>1170</v>
      </c>
      <c r="C899" s="8" t="s">
        <v>1244</v>
      </c>
      <c r="D899" s="8" t="s">
        <v>1223</v>
      </c>
      <c r="E899" s="8" t="s">
        <v>1233</v>
      </c>
      <c r="F899" s="8" t="s">
        <v>207</v>
      </c>
      <c r="G899" s="8" t="s">
        <v>33</v>
      </c>
      <c r="H899" s="8">
        <v>7.7586870000000001</v>
      </c>
      <c r="I899" s="8">
        <v>-80.237589999999997</v>
      </c>
      <c r="J899" s="21" t="s">
        <v>560</v>
      </c>
    </row>
    <row r="900" spans="1:10" x14ac:dyDescent="0.3">
      <c r="A900" s="20">
        <v>3</v>
      </c>
      <c r="B900" s="8">
        <v>1171</v>
      </c>
      <c r="C900" s="8" t="s">
        <v>1245</v>
      </c>
      <c r="D900" s="8" t="s">
        <v>1223</v>
      </c>
      <c r="E900" s="8" t="s">
        <v>1233</v>
      </c>
      <c r="F900" s="8" t="s">
        <v>1246</v>
      </c>
      <c r="G900" s="8" t="s">
        <v>53</v>
      </c>
      <c r="H900" s="8">
        <v>7.63117</v>
      </c>
      <c r="I900" s="8">
        <v>-80.344376999999994</v>
      </c>
      <c r="J900" s="21" t="s">
        <v>197</v>
      </c>
    </row>
    <row r="901" spans="1:10" x14ac:dyDescent="0.3">
      <c r="A901" s="20">
        <v>3</v>
      </c>
      <c r="B901" s="8">
        <v>1172</v>
      </c>
      <c r="C901" s="8" t="s">
        <v>1247</v>
      </c>
      <c r="D901" s="8" t="s">
        <v>1223</v>
      </c>
      <c r="E901" s="8" t="s">
        <v>1233</v>
      </c>
      <c r="F901" s="8" t="s">
        <v>1246</v>
      </c>
      <c r="G901" s="8" t="s">
        <v>53</v>
      </c>
      <c r="H901" s="8">
        <v>7.6221319999999997</v>
      </c>
      <c r="I901" s="8">
        <v>-80.317545999999993</v>
      </c>
      <c r="J901" s="21" t="s">
        <v>1146</v>
      </c>
    </row>
    <row r="902" spans="1:10" x14ac:dyDescent="0.3">
      <c r="A902" s="20">
        <v>3</v>
      </c>
      <c r="B902" s="8">
        <v>1174</v>
      </c>
      <c r="C902" s="8" t="s">
        <v>1248</v>
      </c>
      <c r="D902" s="8" t="s">
        <v>1223</v>
      </c>
      <c r="E902" s="8" t="s">
        <v>1223</v>
      </c>
      <c r="F902" s="8" t="s">
        <v>1249</v>
      </c>
      <c r="G902" s="8" t="s">
        <v>12</v>
      </c>
      <c r="H902" s="8">
        <v>7.9337780000000002</v>
      </c>
      <c r="I902" s="8">
        <v>-80.417638999999994</v>
      </c>
      <c r="J902" s="21" t="s">
        <v>678</v>
      </c>
    </row>
    <row r="903" spans="1:10" x14ac:dyDescent="0.3">
      <c r="A903" s="20">
        <v>3</v>
      </c>
      <c r="B903" s="8">
        <v>1175</v>
      </c>
      <c r="C903" s="8" t="s">
        <v>1250</v>
      </c>
      <c r="D903" s="8" t="s">
        <v>1223</v>
      </c>
      <c r="E903" s="8" t="s">
        <v>1223</v>
      </c>
      <c r="F903" s="8" t="s">
        <v>1249</v>
      </c>
      <c r="G903" s="8" t="s">
        <v>12</v>
      </c>
      <c r="H903" s="8">
        <v>7.9311389999999999</v>
      </c>
      <c r="I903" s="8">
        <v>-80.411666999999994</v>
      </c>
      <c r="J903" s="21" t="s">
        <v>1180</v>
      </c>
    </row>
    <row r="904" spans="1:10" x14ac:dyDescent="0.3">
      <c r="A904" s="20">
        <v>3</v>
      </c>
      <c r="B904" s="8">
        <v>1176</v>
      </c>
      <c r="C904" s="8" t="s">
        <v>1251</v>
      </c>
      <c r="D904" s="8" t="s">
        <v>1223</v>
      </c>
      <c r="E904" s="8" t="s">
        <v>1223</v>
      </c>
      <c r="F904" s="8" t="s">
        <v>1249</v>
      </c>
      <c r="G904" s="8" t="s">
        <v>12</v>
      </c>
      <c r="H904" s="8">
        <v>7.9371090000000004</v>
      </c>
      <c r="I904" s="8">
        <v>-80.414180000000002</v>
      </c>
      <c r="J904" s="21" t="s">
        <v>678</v>
      </c>
    </row>
    <row r="905" spans="1:10" x14ac:dyDescent="0.3">
      <c r="A905" s="20">
        <v>3</v>
      </c>
      <c r="B905" s="8">
        <v>1177</v>
      </c>
      <c r="C905" s="8" t="s">
        <v>1252</v>
      </c>
      <c r="D905" s="8" t="s">
        <v>1223</v>
      </c>
      <c r="E905" s="8" t="s">
        <v>1223</v>
      </c>
      <c r="F905" s="8" t="s">
        <v>1249</v>
      </c>
      <c r="G905" s="8" t="s">
        <v>12</v>
      </c>
      <c r="H905" s="8">
        <v>7.9289440000000004</v>
      </c>
      <c r="I905" s="8">
        <v>-80.414556000000005</v>
      </c>
      <c r="J905" s="21" t="s">
        <v>1180</v>
      </c>
    </row>
    <row r="906" spans="1:10" x14ac:dyDescent="0.3">
      <c r="A906" s="20">
        <v>3</v>
      </c>
      <c r="B906" s="8">
        <v>1178</v>
      </c>
      <c r="C906" s="8" t="s">
        <v>1253</v>
      </c>
      <c r="D906" s="8" t="s">
        <v>1223</v>
      </c>
      <c r="E906" s="8" t="s">
        <v>1223</v>
      </c>
      <c r="F906" s="8" t="s">
        <v>1249</v>
      </c>
      <c r="G906" s="8" t="s">
        <v>12</v>
      </c>
      <c r="H906" s="8">
        <v>7.9379720000000002</v>
      </c>
      <c r="I906" s="8">
        <v>-80.412389000000005</v>
      </c>
      <c r="J906" s="21" t="s">
        <v>1180</v>
      </c>
    </row>
    <row r="907" spans="1:10" x14ac:dyDescent="0.3">
      <c r="A907" s="20">
        <v>3</v>
      </c>
      <c r="B907" s="8">
        <v>1179</v>
      </c>
      <c r="C907" s="8" t="s">
        <v>1254</v>
      </c>
      <c r="D907" s="8" t="s">
        <v>1223</v>
      </c>
      <c r="E907" s="8" t="s">
        <v>1223</v>
      </c>
      <c r="F907" s="8" t="s">
        <v>1249</v>
      </c>
      <c r="G907" s="8" t="s">
        <v>12</v>
      </c>
      <c r="H907" s="8">
        <v>7.9301110000000001</v>
      </c>
      <c r="I907" s="8">
        <v>-80.415278000000001</v>
      </c>
      <c r="J907" s="21" t="s">
        <v>678</v>
      </c>
    </row>
    <row r="908" spans="1:10" x14ac:dyDescent="0.3">
      <c r="A908" s="20">
        <v>3</v>
      </c>
      <c r="B908" s="8">
        <v>1180</v>
      </c>
      <c r="C908" s="8" t="s">
        <v>1255</v>
      </c>
      <c r="D908" s="8" t="s">
        <v>1223</v>
      </c>
      <c r="E908" s="8" t="s">
        <v>1223</v>
      </c>
      <c r="F908" s="8" t="s">
        <v>1249</v>
      </c>
      <c r="G908" s="8" t="s">
        <v>12</v>
      </c>
      <c r="H908" s="8">
        <v>7.927111</v>
      </c>
      <c r="I908" s="8">
        <v>-80.417500000000004</v>
      </c>
      <c r="J908" s="21" t="s">
        <v>678</v>
      </c>
    </row>
    <row r="909" spans="1:10" x14ac:dyDescent="0.3">
      <c r="A909" s="20">
        <v>3</v>
      </c>
      <c r="B909" s="8">
        <v>1185</v>
      </c>
      <c r="C909" s="8" t="s">
        <v>1256</v>
      </c>
      <c r="D909" s="8" t="s">
        <v>1223</v>
      </c>
      <c r="E909" s="8" t="s">
        <v>1223</v>
      </c>
      <c r="F909" s="8" t="s">
        <v>1249</v>
      </c>
      <c r="G909" s="8" t="s">
        <v>12</v>
      </c>
      <c r="H909" s="8">
        <v>7.9334720000000001</v>
      </c>
      <c r="I909" s="8">
        <v>-80.413167000000001</v>
      </c>
      <c r="J909" s="21" t="s">
        <v>1180</v>
      </c>
    </row>
    <row r="910" spans="1:10" x14ac:dyDescent="0.3">
      <c r="A910" s="20">
        <v>3</v>
      </c>
      <c r="B910" s="8">
        <v>1187</v>
      </c>
      <c r="C910" s="8" t="s">
        <v>1257</v>
      </c>
      <c r="D910" s="8" t="s">
        <v>1223</v>
      </c>
      <c r="E910" s="8" t="s">
        <v>1223</v>
      </c>
      <c r="F910" s="8" t="s">
        <v>1249</v>
      </c>
      <c r="G910" s="8" t="s">
        <v>12</v>
      </c>
      <c r="H910" s="8">
        <v>7.9372730000000002</v>
      </c>
      <c r="I910" s="8">
        <v>-80.418304000000006</v>
      </c>
      <c r="J910" s="21" t="s">
        <v>1180</v>
      </c>
    </row>
    <row r="911" spans="1:10" x14ac:dyDescent="0.3">
      <c r="A911" s="20">
        <v>3</v>
      </c>
      <c r="B911" s="8">
        <v>1188</v>
      </c>
      <c r="C911" s="8" t="s">
        <v>1258</v>
      </c>
      <c r="D911" s="8" t="s">
        <v>1223</v>
      </c>
      <c r="E911" s="8" t="s">
        <v>1223</v>
      </c>
      <c r="F911" s="8" t="s">
        <v>1249</v>
      </c>
      <c r="G911" s="8" t="s">
        <v>12</v>
      </c>
      <c r="H911" s="8">
        <v>7.9274170000000002</v>
      </c>
      <c r="I911" s="8">
        <v>-80.416916999999998</v>
      </c>
      <c r="J911" s="21" t="s">
        <v>678</v>
      </c>
    </row>
    <row r="912" spans="1:10" x14ac:dyDescent="0.3">
      <c r="A912" s="20">
        <v>3</v>
      </c>
      <c r="B912" s="8">
        <v>1190</v>
      </c>
      <c r="C912" s="8" t="s">
        <v>1259</v>
      </c>
      <c r="D912" s="8" t="s">
        <v>1223</v>
      </c>
      <c r="E912" s="8" t="s">
        <v>1223</v>
      </c>
      <c r="F912" s="8" t="s">
        <v>1260</v>
      </c>
      <c r="G912" s="8" t="s">
        <v>12</v>
      </c>
      <c r="H912" s="8">
        <v>7.9071429999999996</v>
      </c>
      <c r="I912" s="8">
        <v>-80.424104</v>
      </c>
      <c r="J912" s="21" t="s">
        <v>560</v>
      </c>
    </row>
    <row r="913" spans="1:10" x14ac:dyDescent="0.3">
      <c r="A913" s="20">
        <v>3</v>
      </c>
      <c r="B913" s="8">
        <v>1191</v>
      </c>
      <c r="C913" s="8" t="s">
        <v>1261</v>
      </c>
      <c r="D913" s="8" t="s">
        <v>1223</v>
      </c>
      <c r="E913" s="8" t="s">
        <v>1223</v>
      </c>
      <c r="F913" s="8" t="s">
        <v>1260</v>
      </c>
      <c r="G913" s="8" t="s">
        <v>12</v>
      </c>
      <c r="H913" s="8">
        <v>7.9070489999999998</v>
      </c>
      <c r="I913" s="8">
        <v>-80.424249000000003</v>
      </c>
      <c r="J913" s="21" t="s">
        <v>560</v>
      </c>
    </row>
    <row r="914" spans="1:10" x14ac:dyDescent="0.3">
      <c r="A914" s="20">
        <v>3</v>
      </c>
      <c r="B914" s="8">
        <v>1192</v>
      </c>
      <c r="C914" s="8" t="s">
        <v>1262</v>
      </c>
      <c r="D914" s="8" t="s">
        <v>1223</v>
      </c>
      <c r="E914" s="8" t="s">
        <v>1263</v>
      </c>
      <c r="F914" s="8" t="s">
        <v>1263</v>
      </c>
      <c r="G914" s="8" t="s">
        <v>12</v>
      </c>
      <c r="H914" s="8">
        <v>7.7325090000000003</v>
      </c>
      <c r="I914" s="8">
        <v>-80.551049000000006</v>
      </c>
      <c r="J914" s="21" t="s">
        <v>716</v>
      </c>
    </row>
    <row r="915" spans="1:10" x14ac:dyDescent="0.3">
      <c r="A915" s="20">
        <v>3</v>
      </c>
      <c r="B915" s="8">
        <v>1193</v>
      </c>
      <c r="C915" s="8" t="s">
        <v>1264</v>
      </c>
      <c r="D915" s="8" t="s">
        <v>1223</v>
      </c>
      <c r="E915" s="8" t="s">
        <v>1263</v>
      </c>
      <c r="F915" s="8" t="s">
        <v>1263</v>
      </c>
      <c r="G915" s="8" t="s">
        <v>33</v>
      </c>
      <c r="H915" s="8">
        <v>7.7370979999999996</v>
      </c>
      <c r="I915" s="8">
        <v>-80.549481999999998</v>
      </c>
      <c r="J915" s="21" t="s">
        <v>716</v>
      </c>
    </row>
    <row r="916" spans="1:10" x14ac:dyDescent="0.3">
      <c r="A916" s="20">
        <v>3</v>
      </c>
      <c r="B916" s="8">
        <v>1194</v>
      </c>
      <c r="C916" s="8" t="s">
        <v>1265</v>
      </c>
      <c r="D916" s="8" t="s">
        <v>1223</v>
      </c>
      <c r="E916" s="8" t="s">
        <v>1263</v>
      </c>
      <c r="F916" s="8" t="s">
        <v>1263</v>
      </c>
      <c r="G916" s="8" t="s">
        <v>12</v>
      </c>
      <c r="H916" s="8">
        <v>7.737304</v>
      </c>
      <c r="I916" s="8">
        <v>-80.548631</v>
      </c>
      <c r="J916" s="21" t="s">
        <v>716</v>
      </c>
    </row>
    <row r="917" spans="1:10" x14ac:dyDescent="0.3">
      <c r="A917" s="20">
        <v>3</v>
      </c>
      <c r="B917" s="8">
        <v>1195</v>
      </c>
      <c r="C917" s="8" t="s">
        <v>1266</v>
      </c>
      <c r="D917" s="8" t="s">
        <v>1223</v>
      </c>
      <c r="E917" s="8" t="s">
        <v>1263</v>
      </c>
      <c r="F917" s="8" t="s">
        <v>1263</v>
      </c>
      <c r="G917" s="8" t="s">
        <v>12</v>
      </c>
      <c r="H917" s="8">
        <v>7.7328289999999997</v>
      </c>
      <c r="I917" s="8">
        <v>-80.551196000000004</v>
      </c>
      <c r="J917" s="21" t="s">
        <v>716</v>
      </c>
    </row>
    <row r="918" spans="1:10" x14ac:dyDescent="0.3">
      <c r="A918" s="20">
        <v>3</v>
      </c>
      <c r="B918" s="8">
        <v>1197</v>
      </c>
      <c r="C918" s="8" t="s">
        <v>1267</v>
      </c>
      <c r="D918" s="8" t="s">
        <v>1223</v>
      </c>
      <c r="E918" s="8" t="s">
        <v>1268</v>
      </c>
      <c r="F918" s="8" t="s">
        <v>1268</v>
      </c>
      <c r="G918" s="8" t="s">
        <v>12</v>
      </c>
      <c r="H918" s="8">
        <v>7.5311430000000001</v>
      </c>
      <c r="I918" s="8">
        <v>-80.026691</v>
      </c>
      <c r="J918" s="21" t="s">
        <v>702</v>
      </c>
    </row>
    <row r="919" spans="1:10" x14ac:dyDescent="0.3">
      <c r="A919" s="20">
        <v>3</v>
      </c>
      <c r="B919" s="8">
        <v>1200</v>
      </c>
      <c r="C919" s="8" t="s">
        <v>1269</v>
      </c>
      <c r="D919" s="8" t="s">
        <v>1223</v>
      </c>
      <c r="E919" s="8" t="s">
        <v>1268</v>
      </c>
      <c r="F919" s="8" t="s">
        <v>1268</v>
      </c>
      <c r="G919" s="8" t="s">
        <v>12</v>
      </c>
      <c r="H919" s="8">
        <v>7.533175</v>
      </c>
      <c r="I919" s="8">
        <v>-80.026405999999994</v>
      </c>
      <c r="J919" s="21" t="s">
        <v>702</v>
      </c>
    </row>
    <row r="920" spans="1:10" x14ac:dyDescent="0.3">
      <c r="A920" s="20">
        <v>3</v>
      </c>
      <c r="B920" s="8">
        <v>1201</v>
      </c>
      <c r="C920" s="8" t="s">
        <v>1270</v>
      </c>
      <c r="D920" s="8" t="s">
        <v>1223</v>
      </c>
      <c r="E920" s="8" t="s">
        <v>1268</v>
      </c>
      <c r="F920" s="8" t="s">
        <v>1268</v>
      </c>
      <c r="G920" s="8" t="s">
        <v>12</v>
      </c>
      <c r="H920" s="8">
        <v>7.5299610000000001</v>
      </c>
      <c r="I920" s="8">
        <v>-80.024484000000001</v>
      </c>
      <c r="J920" s="21" t="s">
        <v>702</v>
      </c>
    </row>
    <row r="921" spans="1:10" x14ac:dyDescent="0.3">
      <c r="A921" s="20">
        <v>3</v>
      </c>
      <c r="B921" s="8">
        <v>1203</v>
      </c>
      <c r="C921" s="8" t="s">
        <v>1271</v>
      </c>
      <c r="D921" s="8" t="s">
        <v>1223</v>
      </c>
      <c r="E921" s="8" t="s">
        <v>1268</v>
      </c>
      <c r="F921" s="8" t="s">
        <v>1268</v>
      </c>
      <c r="G921" s="8" t="s">
        <v>12</v>
      </c>
      <c r="H921" s="8">
        <v>7.5294059999999998</v>
      </c>
      <c r="I921" s="8">
        <v>-80.026016999999996</v>
      </c>
      <c r="J921" s="21" t="s">
        <v>716</v>
      </c>
    </row>
    <row r="922" spans="1:10" x14ac:dyDescent="0.3">
      <c r="A922" s="20">
        <v>3</v>
      </c>
      <c r="B922" s="8">
        <v>1206</v>
      </c>
      <c r="C922" s="8" t="s">
        <v>1272</v>
      </c>
      <c r="D922" s="8" t="s">
        <v>1223</v>
      </c>
      <c r="E922" s="8" t="s">
        <v>1268</v>
      </c>
      <c r="F922" s="8" t="s">
        <v>1268</v>
      </c>
      <c r="G922" s="8" t="s">
        <v>12</v>
      </c>
      <c r="H922" s="8">
        <v>7.5333690000000004</v>
      </c>
      <c r="I922" s="8">
        <v>-80.025262999999995</v>
      </c>
      <c r="J922" s="21" t="s">
        <v>702</v>
      </c>
    </row>
    <row r="923" spans="1:10" x14ac:dyDescent="0.3">
      <c r="A923" s="20">
        <v>3</v>
      </c>
      <c r="B923" s="8">
        <v>1207</v>
      </c>
      <c r="C923" s="8" t="s">
        <v>1273</v>
      </c>
      <c r="D923" s="8" t="s">
        <v>1223</v>
      </c>
      <c r="E923" s="8" t="s">
        <v>1268</v>
      </c>
      <c r="F923" s="8" t="s">
        <v>1268</v>
      </c>
      <c r="G923" s="8" t="s">
        <v>12</v>
      </c>
      <c r="H923" s="8">
        <v>7.5326880000000003</v>
      </c>
      <c r="I923" s="8">
        <v>-80.027907999999996</v>
      </c>
      <c r="J923" s="21" t="s">
        <v>702</v>
      </c>
    </row>
    <row r="924" spans="1:10" x14ac:dyDescent="0.3">
      <c r="A924" s="20">
        <v>3</v>
      </c>
      <c r="B924" s="8">
        <v>1209</v>
      </c>
      <c r="C924" s="8" t="s">
        <v>1274</v>
      </c>
      <c r="D924" s="8" t="s">
        <v>1223</v>
      </c>
      <c r="E924" s="8" t="s">
        <v>1268</v>
      </c>
      <c r="F924" s="8" t="s">
        <v>1268</v>
      </c>
      <c r="G924" s="8" t="s">
        <v>12</v>
      </c>
      <c r="H924" s="8">
        <v>7.5340449999999999</v>
      </c>
      <c r="I924" s="8">
        <v>-80.026408000000004</v>
      </c>
      <c r="J924" s="21" t="s">
        <v>702</v>
      </c>
    </row>
    <row r="925" spans="1:10" x14ac:dyDescent="0.3">
      <c r="A925" s="20">
        <v>3</v>
      </c>
      <c r="B925" s="8">
        <v>1210</v>
      </c>
      <c r="C925" s="8" t="s">
        <v>1275</v>
      </c>
      <c r="D925" s="8" t="s">
        <v>1223</v>
      </c>
      <c r="E925" s="8" t="s">
        <v>1268</v>
      </c>
      <c r="F925" s="8" t="s">
        <v>1268</v>
      </c>
      <c r="G925" s="8" t="s">
        <v>12</v>
      </c>
      <c r="H925" s="8">
        <v>7.5315529999999997</v>
      </c>
      <c r="I925" s="8">
        <v>-80.029242999999994</v>
      </c>
      <c r="J925" s="21" t="s">
        <v>702</v>
      </c>
    </row>
    <row r="926" spans="1:10" x14ac:dyDescent="0.3">
      <c r="A926" s="20">
        <v>3</v>
      </c>
      <c r="B926" s="8">
        <v>1211</v>
      </c>
      <c r="C926" s="8" t="s">
        <v>1276</v>
      </c>
      <c r="D926" s="8" t="s">
        <v>1223</v>
      </c>
      <c r="E926" s="8" t="s">
        <v>1268</v>
      </c>
      <c r="F926" s="8" t="s">
        <v>1268</v>
      </c>
      <c r="G926" s="8" t="s">
        <v>12</v>
      </c>
      <c r="H926" s="8">
        <v>7.5295040000000002</v>
      </c>
      <c r="I926" s="8">
        <v>-80.026106999999996</v>
      </c>
      <c r="J926" s="21" t="s">
        <v>702</v>
      </c>
    </row>
    <row r="927" spans="1:10" x14ac:dyDescent="0.3">
      <c r="A927" s="20">
        <v>3</v>
      </c>
      <c r="B927" s="8">
        <v>1212</v>
      </c>
      <c r="C927" s="8" t="s">
        <v>1277</v>
      </c>
      <c r="D927" s="8" t="s">
        <v>1223</v>
      </c>
      <c r="E927" s="8" t="s">
        <v>1008</v>
      </c>
      <c r="F927" s="8" t="s">
        <v>1008</v>
      </c>
      <c r="G927" s="8" t="s">
        <v>12</v>
      </c>
      <c r="H927" s="8">
        <v>7.6596840000000004</v>
      </c>
      <c r="I927" s="8">
        <v>-80.118583000000001</v>
      </c>
      <c r="J927" s="21" t="s">
        <v>702</v>
      </c>
    </row>
    <row r="928" spans="1:10" x14ac:dyDescent="0.3">
      <c r="A928" s="20">
        <v>3</v>
      </c>
      <c r="B928" s="8">
        <v>1214</v>
      </c>
      <c r="C928" s="8" t="s">
        <v>1278</v>
      </c>
      <c r="D928" s="8" t="s">
        <v>1223</v>
      </c>
      <c r="E928" s="8" t="s">
        <v>1008</v>
      </c>
      <c r="F928" s="8" t="s">
        <v>1008</v>
      </c>
      <c r="G928" s="8" t="s">
        <v>12</v>
      </c>
      <c r="H928" s="8">
        <v>7.6613689999999997</v>
      </c>
      <c r="I928" s="8">
        <v>-80.121866999999995</v>
      </c>
      <c r="J928" s="21" t="s">
        <v>702</v>
      </c>
    </row>
    <row r="929" spans="1:10" x14ac:dyDescent="0.3">
      <c r="A929" s="20">
        <v>3</v>
      </c>
      <c r="B929" s="8">
        <v>1217</v>
      </c>
      <c r="C929" s="8" t="s">
        <v>1279</v>
      </c>
      <c r="D929" s="8" t="s">
        <v>1223</v>
      </c>
      <c r="E929" s="8" t="s">
        <v>1008</v>
      </c>
      <c r="F929" s="8" t="s">
        <v>1008</v>
      </c>
      <c r="G929" s="8" t="s">
        <v>12</v>
      </c>
      <c r="H929" s="8">
        <v>7.6607060000000002</v>
      </c>
      <c r="I929" s="8">
        <v>-80.121498000000003</v>
      </c>
      <c r="J929" s="21" t="s">
        <v>702</v>
      </c>
    </row>
    <row r="930" spans="1:10" x14ac:dyDescent="0.3">
      <c r="A930" s="20">
        <v>3</v>
      </c>
      <c r="B930" s="8">
        <v>1218</v>
      </c>
      <c r="C930" s="8" t="s">
        <v>1280</v>
      </c>
      <c r="D930" s="8" t="s">
        <v>1223</v>
      </c>
      <c r="E930" s="8" t="s">
        <v>1008</v>
      </c>
      <c r="F930" s="8" t="s">
        <v>1008</v>
      </c>
      <c r="G930" s="8" t="s">
        <v>12</v>
      </c>
      <c r="H930" s="8">
        <v>7.6601249999999999</v>
      </c>
      <c r="I930" s="8">
        <v>-80.118291999999997</v>
      </c>
      <c r="J930" s="21" t="s">
        <v>702</v>
      </c>
    </row>
    <row r="931" spans="1:10" x14ac:dyDescent="0.3">
      <c r="A931" s="20">
        <v>3</v>
      </c>
      <c r="B931" s="8">
        <v>1219</v>
      </c>
      <c r="C931" s="8" t="s">
        <v>1281</v>
      </c>
      <c r="D931" s="8" t="s">
        <v>1223</v>
      </c>
      <c r="E931" s="8" t="s">
        <v>1008</v>
      </c>
      <c r="F931" s="8" t="s">
        <v>1008</v>
      </c>
      <c r="G931" s="8" t="s">
        <v>12</v>
      </c>
      <c r="H931" s="8">
        <v>7.664148</v>
      </c>
      <c r="I931" s="8">
        <v>-80.135532999999995</v>
      </c>
      <c r="J931" s="21" t="s">
        <v>702</v>
      </c>
    </row>
    <row r="932" spans="1:10" x14ac:dyDescent="0.3">
      <c r="A932" s="20">
        <v>3</v>
      </c>
      <c r="B932" s="8">
        <v>1220</v>
      </c>
      <c r="C932" s="8" t="s">
        <v>1282</v>
      </c>
      <c r="D932" s="8" t="s">
        <v>1223</v>
      </c>
      <c r="E932" s="8" t="s">
        <v>1283</v>
      </c>
      <c r="F932" s="8" t="s">
        <v>1283</v>
      </c>
      <c r="G932" s="8" t="s">
        <v>53</v>
      </c>
      <c r="H932" s="8">
        <v>7.3482180000000001</v>
      </c>
      <c r="I932" s="8">
        <v>-80.353183999999999</v>
      </c>
      <c r="J932" s="21" t="s">
        <v>1146</v>
      </c>
    </row>
    <row r="933" spans="1:10" x14ac:dyDescent="0.3">
      <c r="A933" s="20">
        <v>3</v>
      </c>
      <c r="B933" s="8">
        <v>1221</v>
      </c>
      <c r="C933" s="8" t="s">
        <v>1284</v>
      </c>
      <c r="D933" s="8" t="s">
        <v>1223</v>
      </c>
      <c r="E933" s="8" t="s">
        <v>1283</v>
      </c>
      <c r="F933" s="8" t="s">
        <v>1283</v>
      </c>
      <c r="G933" s="8" t="s">
        <v>12</v>
      </c>
      <c r="H933" s="8">
        <v>7.4073089999999997</v>
      </c>
      <c r="I933" s="8">
        <v>-80.438581999999997</v>
      </c>
      <c r="J933" s="21" t="s">
        <v>288</v>
      </c>
    </row>
    <row r="934" spans="1:10" x14ac:dyDescent="0.3">
      <c r="A934" s="20">
        <v>3</v>
      </c>
      <c r="B934" s="8">
        <v>1222</v>
      </c>
      <c r="C934" s="8" t="s">
        <v>1285</v>
      </c>
      <c r="D934" s="8" t="s">
        <v>1223</v>
      </c>
      <c r="E934" s="8" t="s">
        <v>1283</v>
      </c>
      <c r="F934" s="8" t="s">
        <v>1283</v>
      </c>
      <c r="G934" s="8" t="s">
        <v>12</v>
      </c>
      <c r="H934" s="8">
        <v>7.4078210000000002</v>
      </c>
      <c r="I934" s="8">
        <v>-80.440650000000005</v>
      </c>
      <c r="J934" s="21" t="s">
        <v>288</v>
      </c>
    </row>
    <row r="935" spans="1:10" x14ac:dyDescent="0.3">
      <c r="A935" s="20">
        <v>3</v>
      </c>
      <c r="B935" s="8">
        <v>1223</v>
      </c>
      <c r="C935" s="8" t="s">
        <v>1286</v>
      </c>
      <c r="D935" s="8" t="s">
        <v>1287</v>
      </c>
      <c r="E935" s="8" t="s">
        <v>1288</v>
      </c>
      <c r="F935" s="8" t="s">
        <v>1288</v>
      </c>
      <c r="G935" s="8" t="s">
        <v>12</v>
      </c>
      <c r="H935" s="8">
        <v>8.9536259999999999</v>
      </c>
      <c r="I935" s="8">
        <v>-79.654201999999998</v>
      </c>
      <c r="J935" s="21" t="s">
        <v>100</v>
      </c>
    </row>
    <row r="936" spans="1:10" x14ac:dyDescent="0.3">
      <c r="A936" s="20">
        <v>3</v>
      </c>
      <c r="B936" s="8">
        <v>1225</v>
      </c>
      <c r="C936" s="8" t="s">
        <v>1289</v>
      </c>
      <c r="D936" s="8" t="s">
        <v>1287</v>
      </c>
      <c r="E936" s="8" t="s">
        <v>1288</v>
      </c>
      <c r="F936" s="8" t="s">
        <v>1288</v>
      </c>
      <c r="G936" s="8" t="s">
        <v>12</v>
      </c>
      <c r="H936" s="8">
        <v>8.9413579999999993</v>
      </c>
      <c r="I936" s="8">
        <v>-79.663267000000005</v>
      </c>
      <c r="J936" s="21" t="s">
        <v>1062</v>
      </c>
    </row>
    <row r="937" spans="1:10" x14ac:dyDescent="0.3">
      <c r="A937" s="20">
        <v>3</v>
      </c>
      <c r="B937" s="8">
        <v>1226</v>
      </c>
      <c r="C937" s="8" t="s">
        <v>1290</v>
      </c>
      <c r="D937" s="8" t="s">
        <v>1287</v>
      </c>
      <c r="E937" s="8" t="s">
        <v>1288</v>
      </c>
      <c r="F937" s="8" t="s">
        <v>1288</v>
      </c>
      <c r="G937" s="8" t="s">
        <v>12</v>
      </c>
      <c r="H937" s="8">
        <v>8.9273039999999995</v>
      </c>
      <c r="I937" s="8">
        <v>-79.633859999999999</v>
      </c>
      <c r="J937" s="21" t="s">
        <v>612</v>
      </c>
    </row>
    <row r="938" spans="1:10" x14ac:dyDescent="0.3">
      <c r="A938" s="20">
        <v>3</v>
      </c>
      <c r="B938" s="8">
        <v>1227</v>
      </c>
      <c r="C938" s="8" t="s">
        <v>1291</v>
      </c>
      <c r="D938" s="8" t="s">
        <v>1287</v>
      </c>
      <c r="E938" s="8" t="s">
        <v>1288</v>
      </c>
      <c r="F938" s="8" t="s">
        <v>1288</v>
      </c>
      <c r="G938" s="8" t="s">
        <v>12</v>
      </c>
      <c r="H938" s="8">
        <v>8.9400589999999998</v>
      </c>
      <c r="I938" s="8">
        <v>-79.678145000000001</v>
      </c>
      <c r="J938" s="21" t="s">
        <v>1028</v>
      </c>
    </row>
    <row r="939" spans="1:10" x14ac:dyDescent="0.3">
      <c r="A939" s="20">
        <v>3</v>
      </c>
      <c r="B939" s="8">
        <v>1228</v>
      </c>
      <c r="C939" s="8" t="s">
        <v>1292</v>
      </c>
      <c r="D939" s="8" t="s">
        <v>1287</v>
      </c>
      <c r="E939" s="8" t="s">
        <v>1288</v>
      </c>
      <c r="F939" s="8" t="s">
        <v>1288</v>
      </c>
      <c r="G939" s="8" t="s">
        <v>12</v>
      </c>
      <c r="H939" s="8">
        <v>8.9533330000000007</v>
      </c>
      <c r="I939" s="8">
        <v>-79.655867999999998</v>
      </c>
      <c r="J939" s="21" t="s">
        <v>1293</v>
      </c>
    </row>
    <row r="940" spans="1:10" x14ac:dyDescent="0.3">
      <c r="A940" s="20">
        <v>3</v>
      </c>
      <c r="B940" s="8">
        <v>1229</v>
      </c>
      <c r="C940" s="8" t="s">
        <v>1294</v>
      </c>
      <c r="D940" s="8" t="s">
        <v>1287</v>
      </c>
      <c r="E940" s="8" t="s">
        <v>1288</v>
      </c>
      <c r="F940" s="8" t="s">
        <v>1288</v>
      </c>
      <c r="G940" s="8" t="s">
        <v>12</v>
      </c>
      <c r="H940" s="8">
        <v>8.9451180000000008</v>
      </c>
      <c r="I940" s="8">
        <v>-79.654069000000007</v>
      </c>
      <c r="J940" s="21" t="s">
        <v>100</v>
      </c>
    </row>
    <row r="941" spans="1:10" x14ac:dyDescent="0.3">
      <c r="A941" s="20">
        <v>3</v>
      </c>
      <c r="B941" s="8">
        <v>1231</v>
      </c>
      <c r="C941" s="8" t="s">
        <v>1295</v>
      </c>
      <c r="D941" s="8" t="s">
        <v>1287</v>
      </c>
      <c r="E941" s="8" t="s">
        <v>1288</v>
      </c>
      <c r="F941" s="8" t="s">
        <v>1288</v>
      </c>
      <c r="G941" s="8" t="s">
        <v>12</v>
      </c>
      <c r="H941" s="8">
        <v>8.9011060000000004</v>
      </c>
      <c r="I941" s="8">
        <v>-79.711950000000002</v>
      </c>
      <c r="J941" s="21" t="s">
        <v>1018</v>
      </c>
    </row>
    <row r="942" spans="1:10" x14ac:dyDescent="0.3">
      <c r="A942" s="20">
        <v>3</v>
      </c>
      <c r="B942" s="8">
        <v>1232</v>
      </c>
      <c r="C942" s="8" t="s">
        <v>1296</v>
      </c>
      <c r="D942" s="8" t="s">
        <v>1287</v>
      </c>
      <c r="E942" s="8" t="s">
        <v>1288</v>
      </c>
      <c r="F942" s="8" t="s">
        <v>1288</v>
      </c>
      <c r="G942" s="8" t="s">
        <v>12</v>
      </c>
      <c r="H942" s="8">
        <v>8.9153490000000009</v>
      </c>
      <c r="I942" s="8">
        <v>-79.699848000000003</v>
      </c>
      <c r="J942" s="21" t="s">
        <v>1056</v>
      </c>
    </row>
    <row r="943" spans="1:10" x14ac:dyDescent="0.3">
      <c r="A943" s="20">
        <v>3</v>
      </c>
      <c r="B943" s="8">
        <v>1233</v>
      </c>
      <c r="C943" s="8" t="s">
        <v>1297</v>
      </c>
      <c r="D943" s="8" t="s">
        <v>1287</v>
      </c>
      <c r="E943" s="8" t="s">
        <v>1288</v>
      </c>
      <c r="F943" s="8" t="s">
        <v>1288</v>
      </c>
      <c r="G943" s="8" t="s">
        <v>12</v>
      </c>
      <c r="H943" s="8">
        <v>8.9414029999999993</v>
      </c>
      <c r="I943" s="8">
        <v>-79.639911999999995</v>
      </c>
      <c r="J943" s="21" t="s">
        <v>100</v>
      </c>
    </row>
    <row r="944" spans="1:10" x14ac:dyDescent="0.3">
      <c r="A944" s="20">
        <v>3</v>
      </c>
      <c r="B944" s="8">
        <v>1234</v>
      </c>
      <c r="C944" s="8" t="s">
        <v>1298</v>
      </c>
      <c r="D944" s="8" t="s">
        <v>1287</v>
      </c>
      <c r="E944" s="8" t="s">
        <v>1288</v>
      </c>
      <c r="F944" s="8" t="s">
        <v>1288</v>
      </c>
      <c r="G944" s="8" t="s">
        <v>12</v>
      </c>
      <c r="H944" s="8">
        <v>8.9481619999999999</v>
      </c>
      <c r="I944" s="8">
        <v>-79.655167000000006</v>
      </c>
      <c r="J944" s="21" t="s">
        <v>612</v>
      </c>
    </row>
    <row r="945" spans="1:10" x14ac:dyDescent="0.3">
      <c r="A945" s="20">
        <v>3</v>
      </c>
      <c r="B945" s="8">
        <v>1235</v>
      </c>
      <c r="C945" s="8" t="s">
        <v>1299</v>
      </c>
      <c r="D945" s="8" t="s">
        <v>1287</v>
      </c>
      <c r="E945" s="8" t="s">
        <v>1288</v>
      </c>
      <c r="F945" s="8" t="s">
        <v>1288</v>
      </c>
      <c r="G945" s="8" t="s">
        <v>12</v>
      </c>
      <c r="H945" s="8">
        <v>8.9584100000000007</v>
      </c>
      <c r="I945" s="8">
        <v>-79.654476000000003</v>
      </c>
      <c r="J945" s="21" t="s">
        <v>288</v>
      </c>
    </row>
    <row r="946" spans="1:10" x14ac:dyDescent="0.3">
      <c r="A946" s="20">
        <v>3</v>
      </c>
      <c r="B946" s="8">
        <v>1236</v>
      </c>
      <c r="C946" s="8" t="s">
        <v>1300</v>
      </c>
      <c r="D946" s="8" t="s">
        <v>1287</v>
      </c>
      <c r="E946" s="8" t="s">
        <v>1288</v>
      </c>
      <c r="F946" s="8" t="s">
        <v>1288</v>
      </c>
      <c r="G946" s="8" t="s">
        <v>12</v>
      </c>
      <c r="H946" s="8">
        <v>8.9422219999999992</v>
      </c>
      <c r="I946" s="8">
        <v>-79.644164000000004</v>
      </c>
      <c r="J946" s="21" t="s">
        <v>560</v>
      </c>
    </row>
    <row r="947" spans="1:10" x14ac:dyDescent="0.3">
      <c r="A947" s="20">
        <v>3</v>
      </c>
      <c r="B947" s="8">
        <v>1237</v>
      </c>
      <c r="C947" s="8" t="s">
        <v>1301</v>
      </c>
      <c r="D947" s="8" t="s">
        <v>1287</v>
      </c>
      <c r="E947" s="8" t="s">
        <v>1288</v>
      </c>
      <c r="F947" s="8" t="s">
        <v>1288</v>
      </c>
      <c r="G947" s="8" t="s">
        <v>12</v>
      </c>
      <c r="H947" s="8">
        <v>8.9294840000000004</v>
      </c>
      <c r="I947" s="8">
        <v>-79.691728999999995</v>
      </c>
      <c r="J947" s="21" t="s">
        <v>1018</v>
      </c>
    </row>
    <row r="948" spans="1:10" x14ac:dyDescent="0.3">
      <c r="A948" s="20">
        <v>3</v>
      </c>
      <c r="B948" s="8">
        <v>1238</v>
      </c>
      <c r="C948" s="8" t="s">
        <v>1302</v>
      </c>
      <c r="D948" s="8" t="s">
        <v>1287</v>
      </c>
      <c r="E948" s="8" t="s">
        <v>1288</v>
      </c>
      <c r="F948" s="8" t="s">
        <v>1288</v>
      </c>
      <c r="G948" s="8" t="s">
        <v>12</v>
      </c>
      <c r="H948" s="8">
        <v>8.9670880000000004</v>
      </c>
      <c r="I948" s="8">
        <v>-79.665384000000003</v>
      </c>
      <c r="J948" s="21" t="s">
        <v>716</v>
      </c>
    </row>
    <row r="949" spans="1:10" x14ac:dyDescent="0.3">
      <c r="A949" s="20">
        <v>3</v>
      </c>
      <c r="B949" s="8">
        <v>1240</v>
      </c>
      <c r="C949" s="8" t="s">
        <v>1303</v>
      </c>
      <c r="D949" s="8" t="s">
        <v>1287</v>
      </c>
      <c r="E949" s="8" t="s">
        <v>1288</v>
      </c>
      <c r="F949" s="8" t="s">
        <v>1288</v>
      </c>
      <c r="G949" s="8" t="s">
        <v>12</v>
      </c>
      <c r="H949" s="8">
        <v>8.9451180000000008</v>
      </c>
      <c r="I949" s="8">
        <v>-79.654069000000007</v>
      </c>
      <c r="J949" s="21" t="s">
        <v>122</v>
      </c>
    </row>
    <row r="950" spans="1:10" x14ac:dyDescent="0.3">
      <c r="A950" s="20">
        <v>3</v>
      </c>
      <c r="B950" s="8">
        <v>1241</v>
      </c>
      <c r="C950" s="8" t="s">
        <v>1304</v>
      </c>
      <c r="D950" s="8" t="s">
        <v>1287</v>
      </c>
      <c r="E950" s="8" t="s">
        <v>1288</v>
      </c>
      <c r="F950" s="8" t="s">
        <v>1305</v>
      </c>
      <c r="G950" s="8" t="s">
        <v>12</v>
      </c>
      <c r="H950" s="8">
        <v>8.9763509999999993</v>
      </c>
      <c r="I950" s="8">
        <v>-79.672443999999999</v>
      </c>
      <c r="J950" s="21" t="s">
        <v>580</v>
      </c>
    </row>
    <row r="951" spans="1:10" x14ac:dyDescent="0.3">
      <c r="A951" s="20">
        <v>3</v>
      </c>
      <c r="B951" s="8">
        <v>1242</v>
      </c>
      <c r="C951" s="8" t="s">
        <v>1306</v>
      </c>
      <c r="D951" s="8" t="s">
        <v>1287</v>
      </c>
      <c r="E951" s="8" t="s">
        <v>1288</v>
      </c>
      <c r="F951" s="8" t="s">
        <v>1305</v>
      </c>
      <c r="G951" s="8" t="s">
        <v>12</v>
      </c>
      <c r="H951" s="8">
        <v>8.980359</v>
      </c>
      <c r="I951" s="8">
        <v>-79.676914999999994</v>
      </c>
      <c r="J951" s="21" t="s">
        <v>716</v>
      </c>
    </row>
    <row r="952" spans="1:10" x14ac:dyDescent="0.3">
      <c r="A952" s="20">
        <v>3</v>
      </c>
      <c r="B952" s="8">
        <v>1243</v>
      </c>
      <c r="C952" s="8" t="s">
        <v>1307</v>
      </c>
      <c r="D952" s="8" t="s">
        <v>1287</v>
      </c>
      <c r="E952" s="8" t="s">
        <v>1288</v>
      </c>
      <c r="F952" s="8" t="s">
        <v>1305</v>
      </c>
      <c r="G952" s="8" t="s">
        <v>12</v>
      </c>
      <c r="H952" s="8">
        <v>8.9555880000000005</v>
      </c>
      <c r="I952" s="8">
        <v>-79.675601</v>
      </c>
      <c r="J952" s="21" t="s">
        <v>580</v>
      </c>
    </row>
    <row r="953" spans="1:10" x14ac:dyDescent="0.3">
      <c r="A953" s="20">
        <v>3</v>
      </c>
      <c r="B953" s="8">
        <v>1244</v>
      </c>
      <c r="C953" s="8" t="s">
        <v>1308</v>
      </c>
      <c r="D953" s="8" t="s">
        <v>1287</v>
      </c>
      <c r="E953" s="8" t="s">
        <v>1288</v>
      </c>
      <c r="F953" s="8" t="s">
        <v>1305</v>
      </c>
      <c r="G953" s="8" t="s">
        <v>12</v>
      </c>
      <c r="H953" s="8">
        <v>8.9671280000000007</v>
      </c>
      <c r="I953" s="8">
        <v>-79.674373000000003</v>
      </c>
      <c r="J953" s="21" t="s">
        <v>580</v>
      </c>
    </row>
    <row r="954" spans="1:10" x14ac:dyDescent="0.3">
      <c r="A954" s="20">
        <v>3</v>
      </c>
      <c r="B954" s="8">
        <v>1245</v>
      </c>
      <c r="C954" s="8" t="s">
        <v>1309</v>
      </c>
      <c r="D954" s="8" t="s">
        <v>1287</v>
      </c>
      <c r="E954" s="8" t="s">
        <v>1288</v>
      </c>
      <c r="F954" s="8" t="s">
        <v>1305</v>
      </c>
      <c r="G954" s="8" t="s">
        <v>12</v>
      </c>
      <c r="H954" s="8">
        <v>8.9480559999999993</v>
      </c>
      <c r="I954" s="8">
        <v>-79.675832999999997</v>
      </c>
      <c r="J954" s="21" t="s">
        <v>1028</v>
      </c>
    </row>
    <row r="955" spans="1:10" x14ac:dyDescent="0.3">
      <c r="A955" s="20">
        <v>3</v>
      </c>
      <c r="B955" s="8">
        <v>1246</v>
      </c>
      <c r="C955" s="8" t="s">
        <v>1310</v>
      </c>
      <c r="D955" s="8" t="s">
        <v>1287</v>
      </c>
      <c r="E955" s="8" t="s">
        <v>1288</v>
      </c>
      <c r="F955" s="8" t="s">
        <v>1305</v>
      </c>
      <c r="G955" s="8" t="s">
        <v>12</v>
      </c>
      <c r="H955" s="8">
        <v>8.9726130000000008</v>
      </c>
      <c r="I955" s="8">
        <v>-79.665120999999999</v>
      </c>
      <c r="J955" s="21" t="s">
        <v>716</v>
      </c>
    </row>
    <row r="956" spans="1:10" x14ac:dyDescent="0.3">
      <c r="A956" s="20">
        <v>3</v>
      </c>
      <c r="B956" s="8">
        <v>1248</v>
      </c>
      <c r="C956" s="8" t="s">
        <v>1311</v>
      </c>
      <c r="D956" s="8" t="s">
        <v>1287</v>
      </c>
      <c r="E956" s="8" t="s">
        <v>1288</v>
      </c>
      <c r="F956" s="8" t="s">
        <v>1312</v>
      </c>
      <c r="G956" s="8" t="s">
        <v>12</v>
      </c>
      <c r="H956" s="8">
        <v>8.9496070000000003</v>
      </c>
      <c r="I956" s="8">
        <v>-79.691517000000005</v>
      </c>
      <c r="J956" s="21" t="s">
        <v>612</v>
      </c>
    </row>
    <row r="957" spans="1:10" x14ac:dyDescent="0.3">
      <c r="A957" s="20">
        <v>3</v>
      </c>
      <c r="B957" s="8">
        <v>1249</v>
      </c>
      <c r="C957" s="8" t="s">
        <v>1313</v>
      </c>
      <c r="D957" s="8" t="s">
        <v>1287</v>
      </c>
      <c r="E957" s="8" t="s">
        <v>1288</v>
      </c>
      <c r="F957" s="8" t="s">
        <v>1312</v>
      </c>
      <c r="G957" s="8" t="s">
        <v>53</v>
      </c>
      <c r="H957" s="8">
        <v>8.8941499999999998</v>
      </c>
      <c r="I957" s="8">
        <v>-79.655519999999996</v>
      </c>
      <c r="J957" s="21" t="s">
        <v>1062</v>
      </c>
    </row>
    <row r="958" spans="1:10" x14ac:dyDescent="0.3">
      <c r="A958" s="20">
        <v>3</v>
      </c>
      <c r="B958" s="8">
        <v>1250</v>
      </c>
      <c r="C958" s="8" t="s">
        <v>1314</v>
      </c>
      <c r="D958" s="8" t="s">
        <v>1287</v>
      </c>
      <c r="E958" s="8" t="s">
        <v>1288</v>
      </c>
      <c r="F958" s="8" t="s">
        <v>1312</v>
      </c>
      <c r="G958" s="8" t="s">
        <v>12</v>
      </c>
      <c r="H958" s="8">
        <v>8.9239119999999996</v>
      </c>
      <c r="I958" s="8">
        <v>-79.664702000000005</v>
      </c>
      <c r="J958" s="21" t="s">
        <v>45</v>
      </c>
    </row>
    <row r="959" spans="1:10" x14ac:dyDescent="0.3">
      <c r="A959" s="20">
        <v>3</v>
      </c>
      <c r="B959" s="8">
        <v>1251</v>
      </c>
      <c r="C959" s="8" t="s">
        <v>1315</v>
      </c>
      <c r="D959" s="8" t="s">
        <v>1287</v>
      </c>
      <c r="E959" s="8" t="s">
        <v>1288</v>
      </c>
      <c r="F959" s="8" t="s">
        <v>1312</v>
      </c>
      <c r="G959" s="8" t="s">
        <v>12</v>
      </c>
      <c r="H959" s="8">
        <v>8.9478589999999993</v>
      </c>
      <c r="I959" s="8">
        <v>-79.678303999999997</v>
      </c>
      <c r="J959" s="21" t="s">
        <v>612</v>
      </c>
    </row>
    <row r="960" spans="1:10" x14ac:dyDescent="0.3">
      <c r="A960" s="20">
        <v>3</v>
      </c>
      <c r="B960" s="8">
        <v>1252</v>
      </c>
      <c r="C960" s="8" t="s">
        <v>1316</v>
      </c>
      <c r="D960" s="8" t="s">
        <v>1287</v>
      </c>
      <c r="E960" s="8" t="s">
        <v>1288</v>
      </c>
      <c r="F960" s="8" t="s">
        <v>1312</v>
      </c>
      <c r="G960" s="8" t="s">
        <v>99</v>
      </c>
      <c r="H960" s="8">
        <v>8.9148420000000002</v>
      </c>
      <c r="I960" s="8">
        <v>-79.672794999999994</v>
      </c>
      <c r="J960" s="21" t="s">
        <v>580</v>
      </c>
    </row>
    <row r="961" spans="1:10" x14ac:dyDescent="0.3">
      <c r="A961" s="20">
        <v>3</v>
      </c>
      <c r="B961" s="8">
        <v>1253</v>
      </c>
      <c r="C961" s="8" t="s">
        <v>1317</v>
      </c>
      <c r="D961" s="8" t="s">
        <v>1287</v>
      </c>
      <c r="E961" s="8" t="s">
        <v>1288</v>
      </c>
      <c r="F961" s="8" t="s">
        <v>1312</v>
      </c>
      <c r="G961" s="8" t="s">
        <v>12</v>
      </c>
      <c r="H961" s="8">
        <v>8.9465190000000003</v>
      </c>
      <c r="I961" s="8">
        <v>-79.676916000000006</v>
      </c>
      <c r="J961" s="21" t="s">
        <v>310</v>
      </c>
    </row>
    <row r="962" spans="1:10" x14ac:dyDescent="0.3">
      <c r="A962" s="20">
        <v>3</v>
      </c>
      <c r="B962" s="8">
        <v>1254</v>
      </c>
      <c r="C962" s="8" t="s">
        <v>1318</v>
      </c>
      <c r="D962" s="8" t="s">
        <v>1287</v>
      </c>
      <c r="E962" s="8" t="s">
        <v>1288</v>
      </c>
      <c r="F962" s="8" t="s">
        <v>1319</v>
      </c>
      <c r="G962" s="8" t="s">
        <v>12</v>
      </c>
      <c r="H962" s="8">
        <v>8.9376700000000007</v>
      </c>
      <c r="I962" s="8">
        <v>-79.718078000000006</v>
      </c>
      <c r="J962" s="21" t="s">
        <v>716</v>
      </c>
    </row>
    <row r="963" spans="1:10" x14ac:dyDescent="0.3">
      <c r="A963" s="20">
        <v>3</v>
      </c>
      <c r="B963" s="8">
        <v>1255</v>
      </c>
      <c r="C963" s="8" t="s">
        <v>1320</v>
      </c>
      <c r="D963" s="8" t="s">
        <v>1287</v>
      </c>
      <c r="E963" s="8" t="s">
        <v>1288</v>
      </c>
      <c r="F963" s="8" t="s">
        <v>1319</v>
      </c>
      <c r="G963" s="8" t="s">
        <v>33</v>
      </c>
      <c r="H963" s="8">
        <v>8.9367520000000003</v>
      </c>
      <c r="I963" s="8">
        <v>-79.708040999999994</v>
      </c>
      <c r="J963" s="21" t="s">
        <v>716</v>
      </c>
    </row>
    <row r="964" spans="1:10" x14ac:dyDescent="0.3">
      <c r="A964" s="20">
        <v>3</v>
      </c>
      <c r="B964" s="8">
        <v>1256</v>
      </c>
      <c r="C964" s="8" t="s">
        <v>1321</v>
      </c>
      <c r="D964" s="8" t="s">
        <v>1287</v>
      </c>
      <c r="E964" s="8" t="s">
        <v>1288</v>
      </c>
      <c r="F964" s="8" t="s">
        <v>1319</v>
      </c>
      <c r="G964" s="8" t="s">
        <v>12</v>
      </c>
      <c r="H964" s="8">
        <v>8.9262569999999997</v>
      </c>
      <c r="I964" s="8">
        <v>-79.719172999999998</v>
      </c>
      <c r="J964" s="21" t="s">
        <v>45</v>
      </c>
    </row>
    <row r="965" spans="1:10" x14ac:dyDescent="0.3">
      <c r="A965" s="20">
        <v>3</v>
      </c>
      <c r="B965" s="8">
        <v>1258</v>
      </c>
      <c r="C965" s="8" t="s">
        <v>1322</v>
      </c>
      <c r="D965" s="8" t="s">
        <v>1287</v>
      </c>
      <c r="E965" s="8" t="s">
        <v>1288</v>
      </c>
      <c r="F965" s="8" t="s">
        <v>1323</v>
      </c>
      <c r="G965" s="8" t="s">
        <v>12</v>
      </c>
      <c r="H965" s="8">
        <v>8.8894669999999998</v>
      </c>
      <c r="I965" s="8">
        <v>-79.640608</v>
      </c>
      <c r="J965" s="21" t="s">
        <v>88</v>
      </c>
    </row>
    <row r="966" spans="1:10" x14ac:dyDescent="0.3">
      <c r="A966" s="20">
        <v>3</v>
      </c>
      <c r="B966" s="8">
        <v>1259</v>
      </c>
      <c r="C966" s="8" t="s">
        <v>1324</v>
      </c>
      <c r="D966" s="8" t="s">
        <v>1287</v>
      </c>
      <c r="E966" s="8" t="s">
        <v>1288</v>
      </c>
      <c r="F966" s="8" t="s">
        <v>1323</v>
      </c>
      <c r="G966" s="8" t="s">
        <v>33</v>
      </c>
      <c r="H966" s="8">
        <v>8.8905480000000008</v>
      </c>
      <c r="I966" s="8">
        <v>-79.626350000000002</v>
      </c>
      <c r="J966" s="21" t="s">
        <v>1056</v>
      </c>
    </row>
    <row r="967" spans="1:10" x14ac:dyDescent="0.3">
      <c r="A967" s="20">
        <v>3</v>
      </c>
      <c r="B967" s="8">
        <v>1260</v>
      </c>
      <c r="C967" s="8" t="s">
        <v>1325</v>
      </c>
      <c r="D967" s="8" t="s">
        <v>1287</v>
      </c>
      <c r="E967" s="8" t="s">
        <v>1288</v>
      </c>
      <c r="F967" s="8" t="s">
        <v>1323</v>
      </c>
      <c r="G967" s="8" t="s">
        <v>12</v>
      </c>
      <c r="H967" s="8">
        <v>8.899756</v>
      </c>
      <c r="I967" s="8">
        <v>-79.612027999999995</v>
      </c>
      <c r="J967" s="21" t="s">
        <v>88</v>
      </c>
    </row>
    <row r="968" spans="1:10" x14ac:dyDescent="0.3">
      <c r="A968" s="20">
        <v>3</v>
      </c>
      <c r="B968" s="8">
        <v>1261</v>
      </c>
      <c r="C968" s="8" t="s">
        <v>1326</v>
      </c>
      <c r="D968" s="8" t="s">
        <v>1287</v>
      </c>
      <c r="E968" s="8" t="s">
        <v>1288</v>
      </c>
      <c r="F968" s="8" t="s">
        <v>1323</v>
      </c>
      <c r="G968" s="8" t="s">
        <v>33</v>
      </c>
      <c r="H968" s="8">
        <v>8.8875530000000005</v>
      </c>
      <c r="I968" s="8">
        <v>-79.633623</v>
      </c>
      <c r="J968" s="21" t="s">
        <v>1018</v>
      </c>
    </row>
    <row r="969" spans="1:10" x14ac:dyDescent="0.3">
      <c r="A969" s="20">
        <v>3</v>
      </c>
      <c r="B969" s="8">
        <v>1262</v>
      </c>
      <c r="C969" s="8" t="s">
        <v>1327</v>
      </c>
      <c r="D969" s="8" t="s">
        <v>1287</v>
      </c>
      <c r="E969" s="8" t="s">
        <v>1288</v>
      </c>
      <c r="F969" s="8" t="s">
        <v>1323</v>
      </c>
      <c r="G969" s="8" t="s">
        <v>12</v>
      </c>
      <c r="H969" s="8">
        <v>8.8974530000000005</v>
      </c>
      <c r="I969" s="8">
        <v>-79.615029000000007</v>
      </c>
      <c r="J969" s="21" t="s">
        <v>88</v>
      </c>
    </row>
    <row r="970" spans="1:10" x14ac:dyDescent="0.3">
      <c r="A970" s="20">
        <v>3</v>
      </c>
      <c r="B970" s="8">
        <v>1264</v>
      </c>
      <c r="C970" s="8" t="s">
        <v>1328</v>
      </c>
      <c r="D970" s="8" t="s">
        <v>1287</v>
      </c>
      <c r="E970" s="8" t="s">
        <v>1288</v>
      </c>
      <c r="F970" s="8" t="s">
        <v>1329</v>
      </c>
      <c r="G970" s="8" t="s">
        <v>12</v>
      </c>
      <c r="H970" s="8">
        <v>8.9172320000000003</v>
      </c>
      <c r="I970" s="8">
        <v>-79.687012999999993</v>
      </c>
      <c r="J970" s="21" t="s">
        <v>1018</v>
      </c>
    </row>
    <row r="971" spans="1:10" x14ac:dyDescent="0.3">
      <c r="A971" s="20">
        <v>3</v>
      </c>
      <c r="B971" s="8">
        <v>1265</v>
      </c>
      <c r="C971" s="8" t="s">
        <v>1330</v>
      </c>
      <c r="D971" s="8" t="s">
        <v>1287</v>
      </c>
      <c r="E971" s="8" t="s">
        <v>1288</v>
      </c>
      <c r="F971" s="8" t="s">
        <v>1329</v>
      </c>
      <c r="G971" s="8" t="s">
        <v>12</v>
      </c>
      <c r="H971" s="8">
        <v>8.9269470000000002</v>
      </c>
      <c r="I971" s="8">
        <v>-79.707447000000002</v>
      </c>
      <c r="J971" s="21" t="s">
        <v>612</v>
      </c>
    </row>
    <row r="972" spans="1:10" x14ac:dyDescent="0.3">
      <c r="A972" s="20">
        <v>3</v>
      </c>
      <c r="B972" s="8">
        <v>1267</v>
      </c>
      <c r="C972" s="8" t="s">
        <v>1331</v>
      </c>
      <c r="D972" s="8" t="s">
        <v>1287</v>
      </c>
      <c r="E972" s="8" t="s">
        <v>1332</v>
      </c>
      <c r="F972" s="8" t="s">
        <v>1332</v>
      </c>
      <c r="G972" s="8" t="s">
        <v>12</v>
      </c>
      <c r="H972" s="8">
        <v>8.7581860000000002</v>
      </c>
      <c r="I972" s="8">
        <v>-79.876976999999997</v>
      </c>
      <c r="J972" s="21" t="s">
        <v>1293</v>
      </c>
    </row>
    <row r="973" spans="1:10" x14ac:dyDescent="0.3">
      <c r="A973" s="20">
        <v>3</v>
      </c>
      <c r="B973" s="8">
        <v>1269</v>
      </c>
      <c r="C973" s="8" t="s">
        <v>1333</v>
      </c>
      <c r="D973" s="8" t="s">
        <v>1287</v>
      </c>
      <c r="E973" s="8" t="s">
        <v>1332</v>
      </c>
      <c r="F973" s="8" t="s">
        <v>1332</v>
      </c>
      <c r="G973" s="8" t="s">
        <v>12</v>
      </c>
      <c r="H973" s="8">
        <v>8.7584780000000002</v>
      </c>
      <c r="I973" s="8">
        <v>-79.875226999999995</v>
      </c>
      <c r="J973" s="21" t="s">
        <v>288</v>
      </c>
    </row>
    <row r="974" spans="1:10" x14ac:dyDescent="0.3">
      <c r="A974" s="20">
        <v>3</v>
      </c>
      <c r="B974" s="8">
        <v>1270</v>
      </c>
      <c r="C974" s="8" t="s">
        <v>1334</v>
      </c>
      <c r="D974" s="8" t="s">
        <v>1287</v>
      </c>
      <c r="E974" s="8" t="s">
        <v>1332</v>
      </c>
      <c r="F974" s="8" t="s">
        <v>1332</v>
      </c>
      <c r="G974" s="8" t="s">
        <v>12</v>
      </c>
      <c r="H974" s="8">
        <v>8.7594410000000007</v>
      </c>
      <c r="I974" s="8">
        <v>-79.876277000000002</v>
      </c>
      <c r="J974" s="21" t="s">
        <v>86</v>
      </c>
    </row>
    <row r="975" spans="1:10" x14ac:dyDescent="0.3">
      <c r="A975" s="20">
        <v>3</v>
      </c>
      <c r="B975" s="8">
        <v>1271</v>
      </c>
      <c r="C975" s="8" t="s">
        <v>1335</v>
      </c>
      <c r="D975" s="8" t="s">
        <v>1287</v>
      </c>
      <c r="E975" s="8" t="s">
        <v>1332</v>
      </c>
      <c r="F975" s="8" t="s">
        <v>1332</v>
      </c>
      <c r="G975" s="8" t="s">
        <v>12</v>
      </c>
      <c r="H975" s="8">
        <v>8.7577409999999993</v>
      </c>
      <c r="I975" s="8">
        <v>-79.877808000000002</v>
      </c>
      <c r="J975" s="21" t="s">
        <v>86</v>
      </c>
    </row>
    <row r="976" spans="1:10" x14ac:dyDescent="0.3">
      <c r="A976" s="20">
        <v>3</v>
      </c>
      <c r="B976" s="8">
        <v>1272</v>
      </c>
      <c r="C976" s="8" t="s">
        <v>1336</v>
      </c>
      <c r="D976" s="8" t="s">
        <v>1287</v>
      </c>
      <c r="E976" s="8" t="s">
        <v>1332</v>
      </c>
      <c r="F976" s="8" t="s">
        <v>1332</v>
      </c>
      <c r="G976" s="8" t="s">
        <v>33</v>
      </c>
      <c r="H976" s="8">
        <v>8.7668859999999995</v>
      </c>
      <c r="I976" s="8">
        <v>-79.863573000000002</v>
      </c>
      <c r="J976" s="21" t="s">
        <v>288</v>
      </c>
    </row>
    <row r="977" spans="1:10" x14ac:dyDescent="0.3">
      <c r="A977" s="20">
        <v>3</v>
      </c>
      <c r="B977" s="8">
        <v>1274</v>
      </c>
      <c r="C977" s="8" t="s">
        <v>1337</v>
      </c>
      <c r="D977" s="8" t="s">
        <v>1287</v>
      </c>
      <c r="E977" s="8" t="s">
        <v>1332</v>
      </c>
      <c r="F977" s="8" t="s">
        <v>1332</v>
      </c>
      <c r="G977" s="8" t="s">
        <v>12</v>
      </c>
      <c r="H977" s="8">
        <v>8.7574190000000005</v>
      </c>
      <c r="I977" s="8">
        <v>-79.872760999999997</v>
      </c>
      <c r="J977" s="21" t="s">
        <v>86</v>
      </c>
    </row>
    <row r="978" spans="1:10" x14ac:dyDescent="0.3">
      <c r="A978" s="20">
        <v>3</v>
      </c>
      <c r="B978" s="8">
        <v>1275</v>
      </c>
      <c r="C978" s="8" t="s">
        <v>1338</v>
      </c>
      <c r="D978" s="8" t="s">
        <v>1287</v>
      </c>
      <c r="E978" s="8" t="s">
        <v>1332</v>
      </c>
      <c r="F978" s="8" t="s">
        <v>1332</v>
      </c>
      <c r="G978" s="8" t="s">
        <v>12</v>
      </c>
      <c r="H978" s="8">
        <v>8.7555110000000003</v>
      </c>
      <c r="I978" s="8">
        <v>-79.878162000000003</v>
      </c>
      <c r="J978" s="21" t="s">
        <v>284</v>
      </c>
    </row>
    <row r="979" spans="1:10" x14ac:dyDescent="0.3">
      <c r="A979" s="20">
        <v>3</v>
      </c>
      <c r="B979" s="8">
        <v>1276</v>
      </c>
      <c r="C979" s="8" t="s">
        <v>1339</v>
      </c>
      <c r="D979" s="8" t="s">
        <v>1287</v>
      </c>
      <c r="E979" s="8" t="s">
        <v>1332</v>
      </c>
      <c r="F979" s="8" t="s">
        <v>1332</v>
      </c>
      <c r="G979" s="8" t="s">
        <v>12</v>
      </c>
      <c r="H979" s="8">
        <v>8.7591490000000007</v>
      </c>
      <c r="I979" s="8">
        <v>-79.876496000000003</v>
      </c>
      <c r="J979" s="21" t="s">
        <v>284</v>
      </c>
    </row>
    <row r="980" spans="1:10" x14ac:dyDescent="0.3">
      <c r="A980" s="20">
        <v>3</v>
      </c>
      <c r="B980" s="8">
        <v>1279</v>
      </c>
      <c r="C980" s="8" t="s">
        <v>1340</v>
      </c>
      <c r="D980" s="8" t="s">
        <v>1287</v>
      </c>
      <c r="E980" s="8" t="s">
        <v>1332</v>
      </c>
      <c r="F980" s="8" t="s">
        <v>1341</v>
      </c>
      <c r="G980" s="8" t="s">
        <v>33</v>
      </c>
      <c r="H980" s="8">
        <v>8.7472060000000003</v>
      </c>
      <c r="I980" s="8">
        <v>-79.909833000000006</v>
      </c>
      <c r="J980" s="21" t="s">
        <v>86</v>
      </c>
    </row>
    <row r="981" spans="1:10" x14ac:dyDescent="0.3">
      <c r="A981" s="20">
        <v>3</v>
      </c>
      <c r="B981" s="8">
        <v>1280</v>
      </c>
      <c r="C981" s="8" t="s">
        <v>1342</v>
      </c>
      <c r="D981" s="8" t="s">
        <v>1287</v>
      </c>
      <c r="E981" s="8" t="s">
        <v>1332</v>
      </c>
      <c r="F981" s="8" t="s">
        <v>1341</v>
      </c>
      <c r="G981" s="8" t="s">
        <v>33</v>
      </c>
      <c r="H981" s="8">
        <v>8.7499669999999998</v>
      </c>
      <c r="I981" s="8">
        <v>-79.907380000000003</v>
      </c>
      <c r="J981" s="21" t="s">
        <v>288</v>
      </c>
    </row>
    <row r="982" spans="1:10" x14ac:dyDescent="0.3">
      <c r="A982" s="20">
        <v>3</v>
      </c>
      <c r="B982" s="8">
        <v>1281</v>
      </c>
      <c r="C982" s="8" t="s">
        <v>1343</v>
      </c>
      <c r="D982" s="8" t="s">
        <v>1287</v>
      </c>
      <c r="E982" s="8" t="s">
        <v>1332</v>
      </c>
      <c r="F982" s="8" t="s">
        <v>1341</v>
      </c>
      <c r="G982" s="8" t="s">
        <v>53</v>
      </c>
      <c r="H982" s="8">
        <v>8.7473890000000001</v>
      </c>
      <c r="I982" s="8">
        <v>-79.909936999999999</v>
      </c>
      <c r="J982" s="21" t="s">
        <v>1146</v>
      </c>
    </row>
    <row r="983" spans="1:10" x14ac:dyDescent="0.3">
      <c r="A983" s="20">
        <v>3</v>
      </c>
      <c r="B983" s="8">
        <v>1283</v>
      </c>
      <c r="C983" s="8" t="s">
        <v>1344</v>
      </c>
      <c r="D983" s="8" t="s">
        <v>1287</v>
      </c>
      <c r="E983" s="8" t="s">
        <v>1345</v>
      </c>
      <c r="F983" s="8" t="s">
        <v>1346</v>
      </c>
      <c r="G983" s="8" t="s">
        <v>99</v>
      </c>
      <c r="H983" s="8">
        <v>8.6319839999999992</v>
      </c>
      <c r="I983" s="8">
        <v>-79.881407999999993</v>
      </c>
      <c r="J983" s="21" t="s">
        <v>122</v>
      </c>
    </row>
    <row r="984" spans="1:10" x14ac:dyDescent="0.3">
      <c r="A984" s="20">
        <v>3</v>
      </c>
      <c r="B984" s="8">
        <v>1284</v>
      </c>
      <c r="C984" s="8" t="s">
        <v>1347</v>
      </c>
      <c r="D984" s="8" t="s">
        <v>1287</v>
      </c>
      <c r="E984" s="8" t="s">
        <v>1345</v>
      </c>
      <c r="F984" s="8" t="s">
        <v>1346</v>
      </c>
      <c r="G984" s="8" t="s">
        <v>33</v>
      </c>
      <c r="H984" s="8">
        <v>8.5977969999999999</v>
      </c>
      <c r="I984" s="8">
        <v>-79.888249999999999</v>
      </c>
      <c r="J984" s="21" t="s">
        <v>122</v>
      </c>
    </row>
    <row r="985" spans="1:10" x14ac:dyDescent="0.3">
      <c r="A985" s="20">
        <v>3</v>
      </c>
      <c r="B985" s="8">
        <v>1285</v>
      </c>
      <c r="C985" s="8" t="s">
        <v>1348</v>
      </c>
      <c r="D985" s="8" t="s">
        <v>1287</v>
      </c>
      <c r="E985" s="8" t="s">
        <v>1345</v>
      </c>
      <c r="F985" s="8" t="s">
        <v>1346</v>
      </c>
      <c r="G985" s="8" t="s">
        <v>12</v>
      </c>
      <c r="H985" s="8">
        <v>8.6029999999999998</v>
      </c>
      <c r="I985" s="8">
        <v>-79.887583000000006</v>
      </c>
      <c r="J985" s="21" t="s">
        <v>1349</v>
      </c>
    </row>
    <row r="986" spans="1:10" x14ac:dyDescent="0.3">
      <c r="A986" s="20">
        <v>3</v>
      </c>
      <c r="B986" s="8">
        <v>1290</v>
      </c>
      <c r="C986" s="8" t="s">
        <v>1350</v>
      </c>
      <c r="D986" s="8" t="s">
        <v>1287</v>
      </c>
      <c r="E986" s="8" t="s">
        <v>1345</v>
      </c>
      <c r="F986" s="8" t="s">
        <v>1346</v>
      </c>
      <c r="G986" s="8" t="s">
        <v>12</v>
      </c>
      <c r="H986" s="8">
        <v>8.6004439999999995</v>
      </c>
      <c r="I986" s="8">
        <v>-79.887861000000001</v>
      </c>
      <c r="J986" s="21" t="s">
        <v>1349</v>
      </c>
    </row>
    <row r="987" spans="1:10" x14ac:dyDescent="0.3">
      <c r="A987" s="20">
        <v>3</v>
      </c>
      <c r="B987" s="8">
        <v>1293</v>
      </c>
      <c r="C987" s="8" t="s">
        <v>1351</v>
      </c>
      <c r="D987" s="8" t="s">
        <v>1287</v>
      </c>
      <c r="E987" s="8" t="s">
        <v>1345</v>
      </c>
      <c r="F987" s="8" t="s">
        <v>1345</v>
      </c>
      <c r="G987" s="8" t="s">
        <v>12</v>
      </c>
      <c r="H987" s="8">
        <v>8.5783989999999992</v>
      </c>
      <c r="I987" s="8">
        <v>-79.884260999999995</v>
      </c>
      <c r="J987" s="21" t="s">
        <v>65</v>
      </c>
    </row>
    <row r="988" spans="1:10" x14ac:dyDescent="0.3">
      <c r="A988" s="20">
        <v>3</v>
      </c>
      <c r="B988" s="8">
        <v>1296</v>
      </c>
      <c r="C988" s="8" t="s">
        <v>1352</v>
      </c>
      <c r="D988" s="8" t="s">
        <v>1287</v>
      </c>
      <c r="E988" s="8" t="s">
        <v>1345</v>
      </c>
      <c r="F988" s="8" t="s">
        <v>1345</v>
      </c>
      <c r="G988" s="8" t="s">
        <v>12</v>
      </c>
      <c r="H988" s="8">
        <v>8.5823769999999993</v>
      </c>
      <c r="I988" s="8">
        <v>-79.885683999999998</v>
      </c>
      <c r="J988" s="21" t="s">
        <v>65</v>
      </c>
    </row>
    <row r="989" spans="1:10" x14ac:dyDescent="0.3">
      <c r="A989" s="20">
        <v>3</v>
      </c>
      <c r="B989" s="8">
        <v>1297</v>
      </c>
      <c r="C989" s="8" t="s">
        <v>1353</v>
      </c>
      <c r="D989" s="8" t="s">
        <v>1287</v>
      </c>
      <c r="E989" s="8" t="s">
        <v>1345</v>
      </c>
      <c r="F989" s="8" t="s">
        <v>1345</v>
      </c>
      <c r="G989" s="8" t="s">
        <v>12</v>
      </c>
      <c r="H989" s="8">
        <v>8.5768710000000006</v>
      </c>
      <c r="I989" s="8">
        <v>-79.882554999999996</v>
      </c>
      <c r="J989" s="21" t="s">
        <v>65</v>
      </c>
    </row>
    <row r="990" spans="1:10" x14ac:dyDescent="0.3">
      <c r="A990" s="20">
        <v>3</v>
      </c>
      <c r="B990" s="8">
        <v>1299</v>
      </c>
      <c r="C990" s="8" t="s">
        <v>1354</v>
      </c>
      <c r="D990" s="8" t="s">
        <v>1287</v>
      </c>
      <c r="E990" s="8" t="s">
        <v>1345</v>
      </c>
      <c r="F990" s="8" t="s">
        <v>1345</v>
      </c>
      <c r="G990" s="8" t="s">
        <v>12</v>
      </c>
      <c r="H990" s="8">
        <v>8.6027900000000006</v>
      </c>
      <c r="I990" s="8">
        <v>-79.88767</v>
      </c>
      <c r="J990" s="21" t="s">
        <v>1349</v>
      </c>
    </row>
    <row r="991" spans="1:10" x14ac:dyDescent="0.3">
      <c r="A991" s="20">
        <v>3</v>
      </c>
      <c r="B991" s="8">
        <v>1302</v>
      </c>
      <c r="C991" s="8" t="s">
        <v>1355</v>
      </c>
      <c r="D991" s="8" t="s">
        <v>1287</v>
      </c>
      <c r="E991" s="8" t="s">
        <v>1356</v>
      </c>
      <c r="F991" s="8" t="s">
        <v>1357</v>
      </c>
      <c r="G991" s="8" t="s">
        <v>230</v>
      </c>
      <c r="H991" s="8">
        <v>8.8834099999999996</v>
      </c>
      <c r="I991" s="8">
        <v>-79.800021000000001</v>
      </c>
      <c r="J991" s="21" t="s">
        <v>569</v>
      </c>
    </row>
    <row r="992" spans="1:10" x14ac:dyDescent="0.3">
      <c r="A992" s="20">
        <v>3</v>
      </c>
      <c r="B992" s="8">
        <v>1304</v>
      </c>
      <c r="C992" s="8" t="s">
        <v>1358</v>
      </c>
      <c r="D992" s="8" t="s">
        <v>1287</v>
      </c>
      <c r="E992" s="8" t="s">
        <v>1356</v>
      </c>
      <c r="F992" s="8" t="s">
        <v>1357</v>
      </c>
      <c r="G992" s="8" t="s">
        <v>12</v>
      </c>
      <c r="H992" s="8">
        <v>8.8779800000000009</v>
      </c>
      <c r="I992" s="8">
        <v>-79.779899999999998</v>
      </c>
      <c r="J992" s="21" t="s">
        <v>569</v>
      </c>
    </row>
    <row r="993" spans="1:10" x14ac:dyDescent="0.3">
      <c r="A993" s="20">
        <v>3</v>
      </c>
      <c r="B993" s="8">
        <v>1305</v>
      </c>
      <c r="C993" s="8" t="s">
        <v>1359</v>
      </c>
      <c r="D993" s="8" t="s">
        <v>1287</v>
      </c>
      <c r="E993" s="8" t="s">
        <v>1356</v>
      </c>
      <c r="F993" s="8" t="s">
        <v>1357</v>
      </c>
      <c r="G993" s="8" t="s">
        <v>12</v>
      </c>
      <c r="H993" s="8">
        <v>8.8734160000000006</v>
      </c>
      <c r="I993" s="8">
        <v>-79.781041999999999</v>
      </c>
      <c r="J993" s="21" t="s">
        <v>569</v>
      </c>
    </row>
    <row r="994" spans="1:10" x14ac:dyDescent="0.3">
      <c r="A994" s="20">
        <v>3</v>
      </c>
      <c r="B994" s="8">
        <v>1308</v>
      </c>
      <c r="C994" s="8" t="s">
        <v>1360</v>
      </c>
      <c r="D994" s="8" t="s">
        <v>1287</v>
      </c>
      <c r="E994" s="8" t="s">
        <v>1356</v>
      </c>
      <c r="F994" s="8" t="s">
        <v>1357</v>
      </c>
      <c r="G994" s="8" t="s">
        <v>12</v>
      </c>
      <c r="H994" s="8">
        <v>8.8714080000000006</v>
      </c>
      <c r="I994" s="8">
        <v>-79.785663</v>
      </c>
      <c r="J994" s="21" t="s">
        <v>569</v>
      </c>
    </row>
    <row r="995" spans="1:10" x14ac:dyDescent="0.3">
      <c r="A995" s="20">
        <v>3</v>
      </c>
      <c r="B995" s="8">
        <v>1314</v>
      </c>
      <c r="C995" s="8" t="s">
        <v>1361</v>
      </c>
      <c r="D995" s="8" t="s">
        <v>1287</v>
      </c>
      <c r="E995" s="8" t="s">
        <v>1356</v>
      </c>
      <c r="F995" s="8" t="s">
        <v>1362</v>
      </c>
      <c r="G995" s="8" t="s">
        <v>230</v>
      </c>
      <c r="H995" s="8">
        <v>8.8714239999999993</v>
      </c>
      <c r="I995" s="8">
        <v>-79.811760000000007</v>
      </c>
      <c r="J995" s="21" t="s">
        <v>569</v>
      </c>
    </row>
    <row r="996" spans="1:10" x14ac:dyDescent="0.3">
      <c r="A996" s="20">
        <v>3</v>
      </c>
      <c r="B996" s="8">
        <v>1315</v>
      </c>
      <c r="C996" s="8" t="s">
        <v>1363</v>
      </c>
      <c r="D996" s="8" t="s">
        <v>1287</v>
      </c>
      <c r="E996" s="8" t="s">
        <v>1356</v>
      </c>
      <c r="F996" s="8" t="s">
        <v>1362</v>
      </c>
      <c r="G996" s="8" t="s">
        <v>12</v>
      </c>
      <c r="H996" s="8">
        <v>8.8921650000000003</v>
      </c>
      <c r="I996" s="8">
        <v>-79.78116</v>
      </c>
      <c r="J996" s="21" t="s">
        <v>569</v>
      </c>
    </row>
    <row r="997" spans="1:10" x14ac:dyDescent="0.3">
      <c r="A997" s="20">
        <v>3</v>
      </c>
      <c r="B997" s="8">
        <v>1316</v>
      </c>
      <c r="C997" s="8" t="s">
        <v>1364</v>
      </c>
      <c r="D997" s="8" t="s">
        <v>1287</v>
      </c>
      <c r="E997" s="8" t="s">
        <v>1356</v>
      </c>
      <c r="F997" s="8" t="s">
        <v>1362</v>
      </c>
      <c r="G997" s="8" t="s">
        <v>12</v>
      </c>
      <c r="H997" s="8">
        <v>8.8866399999999999</v>
      </c>
      <c r="I997" s="8">
        <v>-79.781289999999998</v>
      </c>
      <c r="J997" s="21" t="s">
        <v>1293</v>
      </c>
    </row>
    <row r="998" spans="1:10" x14ac:dyDescent="0.3">
      <c r="A998" s="20">
        <v>3</v>
      </c>
      <c r="B998" s="8">
        <v>1318</v>
      </c>
      <c r="C998" s="8" t="s">
        <v>1365</v>
      </c>
      <c r="D998" s="8" t="s">
        <v>1287</v>
      </c>
      <c r="E998" s="8" t="s">
        <v>1356</v>
      </c>
      <c r="F998" s="8" t="s">
        <v>1362</v>
      </c>
      <c r="G998" s="8" t="s">
        <v>12</v>
      </c>
      <c r="H998" s="8">
        <v>8.8770000000000007</v>
      </c>
      <c r="I998" s="8">
        <v>-79.776508000000007</v>
      </c>
      <c r="J998" s="21" t="s">
        <v>569</v>
      </c>
    </row>
    <row r="999" spans="1:10" x14ac:dyDescent="0.3">
      <c r="A999" s="20">
        <v>3</v>
      </c>
      <c r="B999" s="8">
        <v>1320</v>
      </c>
      <c r="C999" s="8" t="s">
        <v>1366</v>
      </c>
      <c r="D999" s="8" t="s">
        <v>1287</v>
      </c>
      <c r="E999" s="8" t="s">
        <v>1356</v>
      </c>
      <c r="F999" s="8" t="s">
        <v>1362</v>
      </c>
      <c r="G999" s="8" t="s">
        <v>12</v>
      </c>
      <c r="H999" s="8">
        <v>8.8753189999999993</v>
      </c>
      <c r="I999" s="8">
        <v>-79.790313999999995</v>
      </c>
      <c r="J999" s="21" t="s">
        <v>702</v>
      </c>
    </row>
    <row r="1000" spans="1:10" x14ac:dyDescent="0.3">
      <c r="A1000" s="20">
        <v>3</v>
      </c>
      <c r="B1000" s="8">
        <v>1324</v>
      </c>
      <c r="C1000" s="8" t="s">
        <v>1367</v>
      </c>
      <c r="D1000" s="8" t="s">
        <v>1287</v>
      </c>
      <c r="E1000" s="8" t="s">
        <v>1356</v>
      </c>
      <c r="F1000" s="8" t="s">
        <v>1362</v>
      </c>
      <c r="G1000" s="8" t="s">
        <v>12</v>
      </c>
      <c r="H1000" s="8">
        <v>8.8824570000000005</v>
      </c>
      <c r="I1000" s="8">
        <v>-79.775039000000007</v>
      </c>
      <c r="J1000" s="21" t="s">
        <v>702</v>
      </c>
    </row>
    <row r="1001" spans="1:10" x14ac:dyDescent="0.3">
      <c r="A1001" s="20">
        <v>3</v>
      </c>
      <c r="B1001" s="8">
        <v>1325</v>
      </c>
      <c r="C1001" s="8" t="s">
        <v>1368</v>
      </c>
      <c r="D1001" s="8" t="s">
        <v>1287</v>
      </c>
      <c r="E1001" s="8" t="s">
        <v>1356</v>
      </c>
      <c r="F1001" s="8" t="s">
        <v>1362</v>
      </c>
      <c r="G1001" s="8" t="s">
        <v>12</v>
      </c>
      <c r="H1001" s="8">
        <v>8.8813910000000007</v>
      </c>
      <c r="I1001" s="8">
        <v>-79.779402000000005</v>
      </c>
      <c r="J1001" s="21" t="s">
        <v>702</v>
      </c>
    </row>
    <row r="1002" spans="1:10" x14ac:dyDescent="0.3">
      <c r="A1002" s="20">
        <v>3</v>
      </c>
      <c r="B1002" s="8">
        <v>1327</v>
      </c>
      <c r="C1002" s="8" t="s">
        <v>1369</v>
      </c>
      <c r="D1002" s="8" t="s">
        <v>1287</v>
      </c>
      <c r="E1002" s="8" t="s">
        <v>1356</v>
      </c>
      <c r="F1002" s="8" t="s">
        <v>1362</v>
      </c>
      <c r="G1002" s="8" t="s">
        <v>12</v>
      </c>
      <c r="H1002" s="8">
        <v>8.8878900000000005</v>
      </c>
      <c r="I1002" s="8">
        <v>-79.772841999999997</v>
      </c>
      <c r="J1002" s="21" t="s">
        <v>702</v>
      </c>
    </row>
    <row r="1003" spans="1:10" x14ac:dyDescent="0.3">
      <c r="A1003" s="20">
        <v>3</v>
      </c>
      <c r="B1003" s="8">
        <v>1328</v>
      </c>
      <c r="C1003" s="8" t="s">
        <v>1370</v>
      </c>
      <c r="D1003" s="8" t="s">
        <v>1287</v>
      </c>
      <c r="E1003" s="8" t="s">
        <v>1356</v>
      </c>
      <c r="F1003" s="8" t="s">
        <v>1362</v>
      </c>
      <c r="G1003" s="8" t="s">
        <v>12</v>
      </c>
      <c r="H1003" s="8">
        <v>8.872579</v>
      </c>
      <c r="I1003" s="8">
        <v>-79.795921000000007</v>
      </c>
      <c r="J1003" s="21" t="s">
        <v>702</v>
      </c>
    </row>
    <row r="1004" spans="1:10" x14ac:dyDescent="0.3">
      <c r="A1004" s="20">
        <v>3</v>
      </c>
      <c r="B1004" s="8">
        <v>1329</v>
      </c>
      <c r="C1004" s="8" t="s">
        <v>1371</v>
      </c>
      <c r="D1004" s="8" t="s">
        <v>1287</v>
      </c>
      <c r="E1004" s="8" t="s">
        <v>1356</v>
      </c>
      <c r="F1004" s="8" t="s">
        <v>1107</v>
      </c>
      <c r="G1004" s="8" t="s">
        <v>12</v>
      </c>
      <c r="H1004" s="8">
        <v>8.8799539999999997</v>
      </c>
      <c r="I1004" s="8">
        <v>-79.821444999999997</v>
      </c>
      <c r="J1004" s="21" t="s">
        <v>702</v>
      </c>
    </row>
    <row r="1005" spans="1:10" x14ac:dyDescent="0.3">
      <c r="A1005" s="20">
        <v>3</v>
      </c>
      <c r="B1005" s="8">
        <v>1331</v>
      </c>
      <c r="C1005" s="8" t="s">
        <v>1372</v>
      </c>
      <c r="D1005" s="8" t="s">
        <v>1287</v>
      </c>
      <c r="E1005" s="8" t="s">
        <v>1356</v>
      </c>
      <c r="F1005" s="8" t="s">
        <v>1107</v>
      </c>
      <c r="G1005" s="8" t="s">
        <v>12</v>
      </c>
      <c r="H1005" s="8">
        <v>8.8676010000000005</v>
      </c>
      <c r="I1005" s="8">
        <v>-79.806949000000003</v>
      </c>
      <c r="J1005" s="21" t="s">
        <v>702</v>
      </c>
    </row>
    <row r="1006" spans="1:10" x14ac:dyDescent="0.3">
      <c r="A1006" s="20">
        <v>3</v>
      </c>
      <c r="B1006" s="8">
        <v>1332</v>
      </c>
      <c r="C1006" s="8" t="s">
        <v>1373</v>
      </c>
      <c r="D1006" s="8" t="s">
        <v>1287</v>
      </c>
      <c r="E1006" s="8" t="s">
        <v>1356</v>
      </c>
      <c r="F1006" s="8" t="s">
        <v>1374</v>
      </c>
      <c r="G1006" s="8" t="s">
        <v>12</v>
      </c>
      <c r="H1006" s="8">
        <v>8.8569250000000004</v>
      </c>
      <c r="I1006" s="8">
        <v>-79.823404999999994</v>
      </c>
      <c r="J1006" s="21" t="s">
        <v>560</v>
      </c>
    </row>
    <row r="1007" spans="1:10" x14ac:dyDescent="0.3">
      <c r="A1007" s="20">
        <v>3</v>
      </c>
      <c r="B1007" s="8">
        <v>1333</v>
      </c>
      <c r="C1007" s="8" t="s">
        <v>1375</v>
      </c>
      <c r="D1007" s="8" t="s">
        <v>1287</v>
      </c>
      <c r="E1007" s="8" t="s">
        <v>1356</v>
      </c>
      <c r="F1007" s="8" t="s">
        <v>1374</v>
      </c>
      <c r="G1007" s="8" t="s">
        <v>33</v>
      </c>
      <c r="H1007" s="8">
        <v>8.8427059999999997</v>
      </c>
      <c r="I1007" s="8">
        <v>-79.838384000000005</v>
      </c>
      <c r="J1007" s="21" t="s">
        <v>580</v>
      </c>
    </row>
    <row r="1008" spans="1:10" x14ac:dyDescent="0.3">
      <c r="A1008" s="20">
        <v>3</v>
      </c>
      <c r="B1008" s="8">
        <v>1334</v>
      </c>
      <c r="C1008" s="8" t="s">
        <v>1376</v>
      </c>
      <c r="D1008" s="8" t="s">
        <v>1287</v>
      </c>
      <c r="E1008" s="8" t="s">
        <v>1356</v>
      </c>
      <c r="F1008" s="8" t="s">
        <v>1374</v>
      </c>
      <c r="G1008" s="8" t="s">
        <v>12</v>
      </c>
      <c r="H1008" s="8">
        <v>8.8623049999999992</v>
      </c>
      <c r="I1008" s="8">
        <v>-79.809218000000001</v>
      </c>
      <c r="J1008" s="21" t="s">
        <v>702</v>
      </c>
    </row>
    <row r="1009" spans="1:10" x14ac:dyDescent="0.3">
      <c r="A1009" s="20">
        <v>3</v>
      </c>
      <c r="B1009" s="8">
        <v>1335</v>
      </c>
      <c r="C1009" s="8" t="s">
        <v>1377</v>
      </c>
      <c r="D1009" s="8" t="s">
        <v>1287</v>
      </c>
      <c r="E1009" s="8" t="s">
        <v>1356</v>
      </c>
      <c r="F1009" s="8" t="s">
        <v>1374</v>
      </c>
      <c r="G1009" s="8" t="s">
        <v>12</v>
      </c>
      <c r="H1009" s="8">
        <v>8.8644990000000004</v>
      </c>
      <c r="I1009" s="8">
        <v>-79.800852000000006</v>
      </c>
      <c r="J1009" s="21" t="s">
        <v>1293</v>
      </c>
    </row>
    <row r="1010" spans="1:10" x14ac:dyDescent="0.3">
      <c r="A1010" s="20">
        <v>3</v>
      </c>
      <c r="B1010" s="8">
        <v>1336</v>
      </c>
      <c r="C1010" s="8" t="s">
        <v>1378</v>
      </c>
      <c r="D1010" s="8" t="s">
        <v>1287</v>
      </c>
      <c r="E1010" s="8" t="s">
        <v>1356</v>
      </c>
      <c r="F1010" s="8" t="s">
        <v>1379</v>
      </c>
      <c r="G1010" s="8" t="s">
        <v>12</v>
      </c>
      <c r="H1010" s="8">
        <v>8.8684150000000006</v>
      </c>
      <c r="I1010" s="8">
        <v>-79.715215000000001</v>
      </c>
      <c r="J1010" s="21" t="s">
        <v>1028</v>
      </c>
    </row>
    <row r="1011" spans="1:10" x14ac:dyDescent="0.3">
      <c r="A1011" s="20">
        <v>3</v>
      </c>
      <c r="B1011" s="8">
        <v>1337</v>
      </c>
      <c r="C1011" s="8" t="s">
        <v>1380</v>
      </c>
      <c r="D1011" s="8" t="s">
        <v>1287</v>
      </c>
      <c r="E1011" s="8" t="s">
        <v>1356</v>
      </c>
      <c r="F1011" s="8" t="s">
        <v>1379</v>
      </c>
      <c r="G1011" s="8" t="s">
        <v>12</v>
      </c>
      <c r="H1011" s="8">
        <v>8.8634210000000007</v>
      </c>
      <c r="I1011" s="8">
        <v>-79.773343999999994</v>
      </c>
      <c r="J1011" s="21" t="s">
        <v>1062</v>
      </c>
    </row>
    <row r="1012" spans="1:10" x14ac:dyDescent="0.3">
      <c r="A1012" s="20">
        <v>3</v>
      </c>
      <c r="B1012" s="8">
        <v>1338</v>
      </c>
      <c r="C1012" s="8" t="s">
        <v>1381</v>
      </c>
      <c r="D1012" s="8" t="s">
        <v>1287</v>
      </c>
      <c r="E1012" s="8" t="s">
        <v>274</v>
      </c>
      <c r="F1012" s="8" t="s">
        <v>1382</v>
      </c>
      <c r="G1012" s="8" t="s">
        <v>12</v>
      </c>
      <c r="H1012" s="8">
        <v>8.4736189999999993</v>
      </c>
      <c r="I1012" s="8">
        <v>-79.958395999999993</v>
      </c>
      <c r="J1012" s="21" t="s">
        <v>1383</v>
      </c>
    </row>
    <row r="1013" spans="1:10" x14ac:dyDescent="0.3">
      <c r="A1013" s="20">
        <v>3</v>
      </c>
      <c r="B1013" s="8">
        <v>1339</v>
      </c>
      <c r="C1013" s="8" t="s">
        <v>1384</v>
      </c>
      <c r="D1013" s="8" t="s">
        <v>1287</v>
      </c>
      <c r="E1013" s="8" t="s">
        <v>274</v>
      </c>
      <c r="F1013" s="8" t="s">
        <v>1382</v>
      </c>
      <c r="G1013" s="8" t="s">
        <v>12</v>
      </c>
      <c r="H1013" s="8">
        <v>8.4992699999999992</v>
      </c>
      <c r="I1013" s="8">
        <v>-79.971682000000001</v>
      </c>
      <c r="J1013" s="21" t="s">
        <v>1146</v>
      </c>
    </row>
    <row r="1014" spans="1:10" x14ac:dyDescent="0.3">
      <c r="A1014" s="20">
        <v>3</v>
      </c>
      <c r="B1014" s="8">
        <v>1340</v>
      </c>
      <c r="C1014" s="8" t="s">
        <v>1385</v>
      </c>
      <c r="D1014" s="8" t="s">
        <v>1287</v>
      </c>
      <c r="E1014" s="8" t="s">
        <v>274</v>
      </c>
      <c r="F1014" s="8" t="s">
        <v>1382</v>
      </c>
      <c r="G1014" s="8" t="s">
        <v>12</v>
      </c>
      <c r="H1014" s="8">
        <v>8.4727250000000005</v>
      </c>
      <c r="I1014" s="8">
        <v>-79.958342000000002</v>
      </c>
      <c r="J1014" s="21" t="s">
        <v>1349</v>
      </c>
    </row>
    <row r="1015" spans="1:10" x14ac:dyDescent="0.3">
      <c r="A1015" s="20">
        <v>3</v>
      </c>
      <c r="B1015" s="8">
        <v>1341</v>
      </c>
      <c r="C1015" s="8" t="s">
        <v>1386</v>
      </c>
      <c r="D1015" s="8" t="s">
        <v>1287</v>
      </c>
      <c r="E1015" s="8" t="s">
        <v>274</v>
      </c>
      <c r="F1015" s="8" t="s">
        <v>1382</v>
      </c>
      <c r="G1015" s="8" t="s">
        <v>12</v>
      </c>
      <c r="H1015" s="8">
        <v>8.4736560000000001</v>
      </c>
      <c r="I1015" s="8">
        <v>-79.960047000000003</v>
      </c>
      <c r="J1015" s="21" t="s">
        <v>1349</v>
      </c>
    </row>
    <row r="1016" spans="1:10" x14ac:dyDescent="0.3">
      <c r="A1016" s="20">
        <v>3</v>
      </c>
      <c r="B1016" s="8">
        <v>1342</v>
      </c>
      <c r="C1016" s="8" t="s">
        <v>1387</v>
      </c>
      <c r="D1016" s="8" t="s">
        <v>1287</v>
      </c>
      <c r="E1016" s="8" t="s">
        <v>274</v>
      </c>
      <c r="F1016" s="8" t="s">
        <v>452</v>
      </c>
      <c r="G1016" s="8" t="s">
        <v>33</v>
      </c>
      <c r="H1016" s="8">
        <v>8.5273280000000007</v>
      </c>
      <c r="I1016" s="8">
        <v>-79.938682</v>
      </c>
      <c r="J1016" s="21" t="s">
        <v>65</v>
      </c>
    </row>
    <row r="1017" spans="1:10" x14ac:dyDescent="0.3">
      <c r="A1017" s="20">
        <v>2</v>
      </c>
      <c r="B1017" s="8">
        <v>1343</v>
      </c>
      <c r="C1017" s="8" t="s">
        <v>1388</v>
      </c>
      <c r="D1017" s="8" t="s">
        <v>644</v>
      </c>
      <c r="E1017" s="8" t="s">
        <v>644</v>
      </c>
      <c r="F1017" s="8" t="s">
        <v>783</v>
      </c>
      <c r="G1017" s="8" t="s">
        <v>230</v>
      </c>
      <c r="H1017" s="8">
        <v>8.9500019999999996</v>
      </c>
      <c r="I1017" s="8">
        <v>-79.542342000000005</v>
      </c>
      <c r="J1017" s="21" t="s">
        <v>580</v>
      </c>
    </row>
    <row r="1018" spans="1:10" x14ac:dyDescent="0.3">
      <c r="A1018" s="20">
        <v>2</v>
      </c>
      <c r="B1018" s="8">
        <v>1344</v>
      </c>
      <c r="C1018" s="8" t="s">
        <v>1389</v>
      </c>
      <c r="D1018" s="8" t="s">
        <v>644</v>
      </c>
      <c r="E1018" s="8" t="s">
        <v>644</v>
      </c>
      <c r="F1018" s="8" t="s">
        <v>792</v>
      </c>
      <c r="G1018" s="8" t="s">
        <v>230</v>
      </c>
      <c r="H1018" s="8">
        <v>9.0468729999999997</v>
      </c>
      <c r="I1018" s="8">
        <v>-79.434742</v>
      </c>
      <c r="J1018" s="21" t="s">
        <v>435</v>
      </c>
    </row>
    <row r="1019" spans="1:10" x14ac:dyDescent="0.3">
      <c r="A1019" s="20">
        <v>2</v>
      </c>
      <c r="B1019" s="8">
        <v>1345</v>
      </c>
      <c r="C1019" s="8" t="s">
        <v>1390</v>
      </c>
      <c r="D1019" s="8" t="s">
        <v>644</v>
      </c>
      <c r="E1019" s="8" t="s">
        <v>644</v>
      </c>
      <c r="F1019" s="8" t="s">
        <v>792</v>
      </c>
      <c r="G1019" s="8" t="s">
        <v>230</v>
      </c>
      <c r="H1019" s="8">
        <v>9.0488280000000003</v>
      </c>
      <c r="I1019" s="8">
        <v>-79.428901999999994</v>
      </c>
      <c r="J1019" s="21" t="s">
        <v>119</v>
      </c>
    </row>
    <row r="1020" spans="1:10" x14ac:dyDescent="0.3">
      <c r="A1020" s="20">
        <v>2</v>
      </c>
      <c r="B1020" s="8">
        <v>1347</v>
      </c>
      <c r="C1020" s="8" t="s">
        <v>1391</v>
      </c>
      <c r="D1020" s="8" t="s">
        <v>644</v>
      </c>
      <c r="E1020" s="8" t="s">
        <v>925</v>
      </c>
      <c r="F1020" s="8" t="s">
        <v>926</v>
      </c>
      <c r="G1020" s="8" t="s">
        <v>230</v>
      </c>
      <c r="H1020" s="8">
        <v>9.0382499999999997</v>
      </c>
      <c r="I1020" s="8">
        <v>-79.498919999999998</v>
      </c>
      <c r="J1020" s="21" t="s">
        <v>18</v>
      </c>
    </row>
    <row r="1021" spans="1:10" x14ac:dyDescent="0.3">
      <c r="A1021" s="20">
        <v>2</v>
      </c>
      <c r="B1021" s="8">
        <v>1348</v>
      </c>
      <c r="C1021" s="8" t="s">
        <v>1392</v>
      </c>
      <c r="D1021" s="8" t="s">
        <v>644</v>
      </c>
      <c r="E1021" s="8" t="s">
        <v>644</v>
      </c>
      <c r="F1021" s="8" t="s">
        <v>809</v>
      </c>
      <c r="G1021" s="8" t="s">
        <v>230</v>
      </c>
      <c r="H1021" s="8">
        <v>8.9534109999999991</v>
      </c>
      <c r="I1021" s="8">
        <v>-79.541453000000004</v>
      </c>
      <c r="J1021" s="21" t="s">
        <v>580</v>
      </c>
    </row>
    <row r="1022" spans="1:10" x14ac:dyDescent="0.3">
      <c r="A1022" s="20">
        <v>2</v>
      </c>
      <c r="B1022" s="8">
        <v>1349</v>
      </c>
      <c r="C1022" s="8" t="s">
        <v>1393</v>
      </c>
      <c r="D1022" s="8" t="s">
        <v>644</v>
      </c>
      <c r="E1022" s="8" t="s">
        <v>644</v>
      </c>
      <c r="F1022" s="8" t="s">
        <v>704</v>
      </c>
      <c r="G1022" s="8" t="s">
        <v>230</v>
      </c>
      <c r="H1022" s="8">
        <v>8.958717</v>
      </c>
      <c r="I1022" s="8">
        <v>-79.536507</v>
      </c>
      <c r="J1022" s="21" t="s">
        <v>716</v>
      </c>
    </row>
    <row r="1023" spans="1:10" x14ac:dyDescent="0.3">
      <c r="A1023" s="20">
        <v>2</v>
      </c>
      <c r="B1023" s="8">
        <v>1350</v>
      </c>
      <c r="C1023" s="8" t="s">
        <v>1394</v>
      </c>
      <c r="D1023" s="8" t="s">
        <v>644</v>
      </c>
      <c r="E1023" s="8" t="s">
        <v>644</v>
      </c>
      <c r="F1023" s="8" t="s">
        <v>811</v>
      </c>
      <c r="G1023" s="8" t="s">
        <v>230</v>
      </c>
      <c r="H1023" s="8">
        <v>8.9628960000000006</v>
      </c>
      <c r="I1023" s="8">
        <v>-79.540662999999995</v>
      </c>
      <c r="J1023" s="21" t="s">
        <v>580</v>
      </c>
    </row>
    <row r="1024" spans="1:10" x14ac:dyDescent="0.3">
      <c r="A1024" s="20">
        <v>2</v>
      </c>
      <c r="B1024" s="8">
        <v>1352</v>
      </c>
      <c r="C1024" s="8" t="s">
        <v>1395</v>
      </c>
      <c r="D1024" s="8" t="s">
        <v>644</v>
      </c>
      <c r="E1024" s="8" t="s">
        <v>925</v>
      </c>
      <c r="F1024" s="8" t="s">
        <v>937</v>
      </c>
      <c r="G1024" s="8" t="s">
        <v>12</v>
      </c>
      <c r="H1024" s="8">
        <v>9.0732689999999998</v>
      </c>
      <c r="I1024" s="8">
        <v>-79.489936</v>
      </c>
      <c r="J1024" s="21" t="s">
        <v>702</v>
      </c>
    </row>
    <row r="1025" spans="1:10" x14ac:dyDescent="0.3">
      <c r="A1025" s="20">
        <v>2</v>
      </c>
      <c r="B1025" s="8">
        <v>1355</v>
      </c>
      <c r="C1025" s="8" t="s">
        <v>1396</v>
      </c>
      <c r="D1025" s="8" t="s">
        <v>644</v>
      </c>
      <c r="E1025" s="8" t="s">
        <v>925</v>
      </c>
      <c r="F1025" s="8" t="s">
        <v>971</v>
      </c>
      <c r="G1025" s="8" t="s">
        <v>12</v>
      </c>
      <c r="H1025" s="8">
        <v>9.0492699999999999</v>
      </c>
      <c r="I1025" s="8">
        <v>-79.500339999999994</v>
      </c>
      <c r="J1025" s="21" t="s">
        <v>18</v>
      </c>
    </row>
    <row r="1026" spans="1:10" hidden="1" x14ac:dyDescent="0.3">
      <c r="A1026" s="20">
        <v>1</v>
      </c>
      <c r="B1026" s="8">
        <v>1357</v>
      </c>
      <c r="C1026" s="8" t="s">
        <v>1397</v>
      </c>
      <c r="D1026" s="8" t="s">
        <v>77</v>
      </c>
      <c r="E1026" s="8" t="s">
        <v>93</v>
      </c>
      <c r="F1026" s="8" t="s">
        <v>103</v>
      </c>
      <c r="G1026" s="8" t="s">
        <v>12</v>
      </c>
      <c r="H1026" s="8">
        <v>8.3125339999999994</v>
      </c>
      <c r="I1026" s="8">
        <v>-82.855827000000005</v>
      </c>
      <c r="J1026" s="21" t="s">
        <v>100</v>
      </c>
    </row>
    <row r="1027" spans="1:10" hidden="1" x14ac:dyDescent="0.3">
      <c r="A1027" s="20">
        <v>1</v>
      </c>
      <c r="B1027" s="8">
        <v>1358</v>
      </c>
      <c r="C1027" s="8" t="s">
        <v>1398</v>
      </c>
      <c r="D1027" s="8" t="s">
        <v>77</v>
      </c>
      <c r="E1027" s="8" t="s">
        <v>154</v>
      </c>
      <c r="F1027" s="8" t="s">
        <v>182</v>
      </c>
      <c r="G1027" s="8" t="s">
        <v>12</v>
      </c>
      <c r="H1027" s="8">
        <v>8.5284139999999997</v>
      </c>
      <c r="I1027" s="8">
        <v>-82.622236000000001</v>
      </c>
      <c r="J1027" s="21" t="s">
        <v>88</v>
      </c>
    </row>
    <row r="1028" spans="1:10" hidden="1" x14ac:dyDescent="0.3">
      <c r="A1028" s="20">
        <v>1</v>
      </c>
      <c r="B1028" s="8">
        <v>1359</v>
      </c>
      <c r="C1028" s="8" t="s">
        <v>1399</v>
      </c>
      <c r="D1028" s="8" t="s">
        <v>77</v>
      </c>
      <c r="E1028" s="8" t="s">
        <v>286</v>
      </c>
      <c r="F1028" s="8" t="s">
        <v>287</v>
      </c>
      <c r="G1028" s="8" t="s">
        <v>33</v>
      </c>
      <c r="H1028" s="8">
        <v>8.4982699999999998</v>
      </c>
      <c r="I1028" s="8">
        <v>-82.425511999999998</v>
      </c>
      <c r="J1028" s="21" t="s">
        <v>168</v>
      </c>
    </row>
    <row r="1029" spans="1:10" hidden="1" x14ac:dyDescent="0.3">
      <c r="A1029" s="20">
        <v>1</v>
      </c>
      <c r="B1029" s="8">
        <v>1360</v>
      </c>
      <c r="C1029" s="8" t="s">
        <v>1400</v>
      </c>
      <c r="D1029" s="8" t="s">
        <v>77</v>
      </c>
      <c r="E1029" s="8" t="s">
        <v>137</v>
      </c>
      <c r="F1029" s="8" t="s">
        <v>1401</v>
      </c>
      <c r="G1029" s="8" t="s">
        <v>33</v>
      </c>
      <c r="H1029" s="8">
        <v>8.4709260000000004</v>
      </c>
      <c r="I1029" s="8">
        <v>-82.556616000000005</v>
      </c>
      <c r="J1029" s="21" t="s">
        <v>80</v>
      </c>
    </row>
    <row r="1030" spans="1:10" hidden="1" x14ac:dyDescent="0.3">
      <c r="A1030" s="20">
        <v>1</v>
      </c>
      <c r="B1030" s="8">
        <v>1362</v>
      </c>
      <c r="C1030" s="8" t="s">
        <v>1402</v>
      </c>
      <c r="D1030" s="8" t="s">
        <v>77</v>
      </c>
      <c r="E1030" s="8" t="s">
        <v>220</v>
      </c>
      <c r="F1030" s="8" t="s">
        <v>228</v>
      </c>
      <c r="G1030" s="8" t="s">
        <v>12</v>
      </c>
      <c r="H1030" s="8">
        <v>8.4302320000000002</v>
      </c>
      <c r="I1030" s="8">
        <v>-82.425639000000004</v>
      </c>
      <c r="J1030" s="21" t="s">
        <v>122</v>
      </c>
    </row>
    <row r="1031" spans="1:10" x14ac:dyDescent="0.3">
      <c r="A1031" s="20">
        <v>1</v>
      </c>
      <c r="B1031" s="8">
        <v>1364</v>
      </c>
      <c r="C1031" s="8" t="s">
        <v>1403</v>
      </c>
      <c r="D1031" s="8" t="s">
        <v>410</v>
      </c>
      <c r="E1031" s="8" t="s">
        <v>515</v>
      </c>
      <c r="F1031" s="8" t="s">
        <v>515</v>
      </c>
      <c r="G1031" s="8" t="s">
        <v>12</v>
      </c>
      <c r="H1031" s="8">
        <v>8.0058330000000009</v>
      </c>
      <c r="I1031" s="8">
        <v>-81.316517000000005</v>
      </c>
      <c r="J1031" s="21" t="s">
        <v>1404</v>
      </c>
    </row>
    <row r="1032" spans="1:10" x14ac:dyDescent="0.3">
      <c r="A1032" s="20">
        <v>1</v>
      </c>
      <c r="B1032" s="8">
        <v>1365</v>
      </c>
      <c r="C1032" s="8" t="s">
        <v>1405</v>
      </c>
      <c r="D1032" s="8" t="s">
        <v>410</v>
      </c>
      <c r="E1032" s="8" t="s">
        <v>455</v>
      </c>
      <c r="F1032" s="8" t="s">
        <v>483</v>
      </c>
      <c r="G1032" s="8" t="s">
        <v>12</v>
      </c>
      <c r="H1032" s="8">
        <v>8.1689509999999999</v>
      </c>
      <c r="I1032" s="8">
        <v>-80.824122000000003</v>
      </c>
      <c r="J1032" s="21" t="s">
        <v>1406</v>
      </c>
    </row>
    <row r="1033" spans="1:10" x14ac:dyDescent="0.3">
      <c r="A1033" s="20">
        <v>1</v>
      </c>
      <c r="B1033" s="8">
        <v>1366</v>
      </c>
      <c r="C1033" s="8" t="s">
        <v>1407</v>
      </c>
      <c r="D1033" s="8" t="s">
        <v>11</v>
      </c>
      <c r="E1033" s="8" t="s">
        <v>28</v>
      </c>
      <c r="F1033" s="8" t="s">
        <v>28</v>
      </c>
      <c r="G1033" s="8" t="s">
        <v>12</v>
      </c>
      <c r="H1033" s="8">
        <v>9.4460040000000003</v>
      </c>
      <c r="I1033" s="8">
        <v>-82.517251999999999</v>
      </c>
      <c r="J1033" s="21" t="s">
        <v>24</v>
      </c>
    </row>
    <row r="1034" spans="1:10" x14ac:dyDescent="0.3">
      <c r="A1034" s="20">
        <v>1</v>
      </c>
      <c r="B1034" s="8">
        <v>1367</v>
      </c>
      <c r="C1034" s="8" t="s">
        <v>1408</v>
      </c>
      <c r="D1034" s="8" t="s">
        <v>11</v>
      </c>
      <c r="E1034" s="8" t="s">
        <v>70</v>
      </c>
      <c r="F1034" s="8" t="s">
        <v>1409</v>
      </c>
      <c r="G1034" s="8" t="s">
        <v>12</v>
      </c>
      <c r="H1034" s="8">
        <v>8.9178320000000006</v>
      </c>
      <c r="I1034" s="8">
        <v>-82.185001</v>
      </c>
      <c r="J1034" s="21" t="s">
        <v>65</v>
      </c>
    </row>
    <row r="1035" spans="1:10" x14ac:dyDescent="0.3">
      <c r="A1035" s="20">
        <v>1</v>
      </c>
      <c r="B1035" s="8">
        <v>1369</v>
      </c>
      <c r="C1035" s="8" t="s">
        <v>1410</v>
      </c>
      <c r="D1035" s="8" t="s">
        <v>11</v>
      </c>
      <c r="E1035" s="8" t="s">
        <v>11</v>
      </c>
      <c r="F1035" s="8" t="s">
        <v>11</v>
      </c>
      <c r="G1035" s="8" t="s">
        <v>12</v>
      </c>
      <c r="H1035" s="8">
        <v>9.2030419999999999</v>
      </c>
      <c r="I1035" s="8">
        <v>-82.142238000000006</v>
      </c>
      <c r="J1035" s="21" t="s">
        <v>520</v>
      </c>
    </row>
    <row r="1036" spans="1:10" x14ac:dyDescent="0.3">
      <c r="A1036" s="20">
        <v>3</v>
      </c>
      <c r="B1036" s="8">
        <v>1370</v>
      </c>
      <c r="C1036" s="8" t="s">
        <v>1411</v>
      </c>
      <c r="D1036" s="8" t="s">
        <v>1167</v>
      </c>
      <c r="E1036" s="8" t="s">
        <v>1168</v>
      </c>
      <c r="F1036" s="8" t="s">
        <v>1191</v>
      </c>
      <c r="G1036" s="8" t="s">
        <v>12</v>
      </c>
      <c r="H1036" s="8">
        <v>7.9804219999999999</v>
      </c>
      <c r="I1036" s="8">
        <v>-80.434970000000007</v>
      </c>
      <c r="J1036" s="21" t="s">
        <v>1412</v>
      </c>
    </row>
    <row r="1037" spans="1:10" x14ac:dyDescent="0.3">
      <c r="A1037" s="20">
        <v>2</v>
      </c>
      <c r="B1037" s="8">
        <v>1374</v>
      </c>
      <c r="C1037" s="8" t="s">
        <v>1413</v>
      </c>
      <c r="D1037" s="8" t="s">
        <v>596</v>
      </c>
      <c r="E1037" s="8" t="s">
        <v>597</v>
      </c>
      <c r="F1037" s="8" t="s">
        <v>1414</v>
      </c>
      <c r="G1037" s="8" t="s">
        <v>53</v>
      </c>
      <c r="H1037" s="8">
        <v>8.1202000000000005</v>
      </c>
      <c r="I1037" s="8">
        <v>-77.354799</v>
      </c>
      <c r="J1037" s="21" t="s">
        <v>599</v>
      </c>
    </row>
    <row r="1038" spans="1:10" x14ac:dyDescent="0.3">
      <c r="A1038" s="20">
        <v>3</v>
      </c>
      <c r="B1038" s="8">
        <v>1377</v>
      </c>
      <c r="C1038" s="8" t="s">
        <v>1415</v>
      </c>
      <c r="D1038" s="8" t="s">
        <v>1223</v>
      </c>
      <c r="E1038" s="8" t="s">
        <v>1223</v>
      </c>
      <c r="F1038" s="8" t="s">
        <v>1249</v>
      </c>
      <c r="G1038" s="8" t="s">
        <v>12</v>
      </c>
      <c r="H1038" s="8">
        <v>7.9375349999999996</v>
      </c>
      <c r="I1038" s="8">
        <v>-80.413931000000005</v>
      </c>
      <c r="J1038" s="21" t="s">
        <v>678</v>
      </c>
    </row>
    <row r="1039" spans="1:10" x14ac:dyDescent="0.3">
      <c r="A1039" s="20">
        <v>1</v>
      </c>
      <c r="B1039" s="8">
        <v>1380</v>
      </c>
      <c r="C1039" s="8" t="s">
        <v>1416</v>
      </c>
      <c r="D1039" s="8" t="s">
        <v>11</v>
      </c>
      <c r="E1039" s="8" t="s">
        <v>28</v>
      </c>
      <c r="F1039" s="8" t="s">
        <v>1233</v>
      </c>
      <c r="G1039" s="8" t="s">
        <v>12</v>
      </c>
      <c r="H1039" s="8">
        <v>9.5431609999999996</v>
      </c>
      <c r="I1039" s="8">
        <v>-82.739405000000005</v>
      </c>
      <c r="J1039" s="21" t="s">
        <v>54</v>
      </c>
    </row>
    <row r="1040" spans="1:10" x14ac:dyDescent="0.3">
      <c r="A1040" s="20">
        <v>3</v>
      </c>
      <c r="B1040" s="8">
        <v>1381</v>
      </c>
      <c r="C1040" s="8" t="s">
        <v>1417</v>
      </c>
      <c r="D1040" s="8" t="s">
        <v>1223</v>
      </c>
      <c r="E1040" s="8" t="s">
        <v>1233</v>
      </c>
      <c r="F1040" s="8" t="s">
        <v>1233</v>
      </c>
      <c r="G1040" s="8" t="s">
        <v>12</v>
      </c>
      <c r="H1040" s="8">
        <v>7.771134</v>
      </c>
      <c r="I1040" s="8">
        <v>-80.276499999999999</v>
      </c>
      <c r="J1040" s="21" t="s">
        <v>484</v>
      </c>
    </row>
    <row r="1041" spans="1:10" x14ac:dyDescent="0.3">
      <c r="A1041" s="20">
        <v>3</v>
      </c>
      <c r="B1041" s="8">
        <v>1382</v>
      </c>
      <c r="C1041" s="8" t="s">
        <v>1418</v>
      </c>
      <c r="D1041" s="8" t="s">
        <v>994</v>
      </c>
      <c r="E1041" s="8" t="s">
        <v>995</v>
      </c>
      <c r="F1041" s="8" t="s">
        <v>1008</v>
      </c>
      <c r="G1041" s="8" t="s">
        <v>12</v>
      </c>
      <c r="H1041" s="8">
        <v>8.2576959999999993</v>
      </c>
      <c r="I1041" s="8">
        <v>-80.551332000000002</v>
      </c>
      <c r="J1041" s="21" t="s">
        <v>1064</v>
      </c>
    </row>
    <row r="1042" spans="1:10" x14ac:dyDescent="0.3">
      <c r="A1042" s="20">
        <v>3</v>
      </c>
      <c r="B1042" s="8">
        <v>1383</v>
      </c>
      <c r="C1042" s="8" t="s">
        <v>1419</v>
      </c>
      <c r="D1042" s="8" t="s">
        <v>994</v>
      </c>
      <c r="E1042" s="8" t="s">
        <v>1080</v>
      </c>
      <c r="F1042" s="8" t="s">
        <v>1080</v>
      </c>
      <c r="G1042" s="8" t="s">
        <v>12</v>
      </c>
      <c r="H1042" s="8">
        <v>8.3415780000000002</v>
      </c>
      <c r="I1042" s="8">
        <v>-80.520792</v>
      </c>
      <c r="J1042" s="21" t="s">
        <v>1062</v>
      </c>
    </row>
    <row r="1043" spans="1:10" x14ac:dyDescent="0.3">
      <c r="A1043" s="20">
        <v>3</v>
      </c>
      <c r="B1043" s="8">
        <v>1384</v>
      </c>
      <c r="C1043" s="8" t="s">
        <v>1420</v>
      </c>
      <c r="D1043" s="8" t="s">
        <v>1167</v>
      </c>
      <c r="E1043" s="8" t="s">
        <v>1168</v>
      </c>
      <c r="F1043" s="8" t="s">
        <v>1168</v>
      </c>
      <c r="G1043" s="8" t="s">
        <v>12</v>
      </c>
      <c r="H1043" s="8">
        <v>7.9663750000000002</v>
      </c>
      <c r="I1043" s="8">
        <v>-80.417756999999995</v>
      </c>
      <c r="J1043" s="21" t="s">
        <v>1412</v>
      </c>
    </row>
    <row r="1044" spans="1:10" x14ac:dyDescent="0.3">
      <c r="A1044" s="20">
        <v>3</v>
      </c>
      <c r="B1044" s="8">
        <v>1385</v>
      </c>
      <c r="C1044" s="8" t="s">
        <v>1421</v>
      </c>
      <c r="D1044" s="8" t="s">
        <v>994</v>
      </c>
      <c r="E1044" s="8" t="s">
        <v>1080</v>
      </c>
      <c r="F1044" s="8" t="s">
        <v>1085</v>
      </c>
      <c r="G1044" s="8" t="s">
        <v>12</v>
      </c>
      <c r="H1044" s="8">
        <v>8.4159579999999998</v>
      </c>
      <c r="I1044" s="8">
        <v>-80.507897</v>
      </c>
      <c r="J1044" s="21" t="s">
        <v>1064</v>
      </c>
    </row>
    <row r="1045" spans="1:10" x14ac:dyDescent="0.3">
      <c r="A1045" s="20">
        <v>3</v>
      </c>
      <c r="B1045" s="8">
        <v>1386</v>
      </c>
      <c r="C1045" s="8" t="s">
        <v>1422</v>
      </c>
      <c r="D1045" s="8" t="s">
        <v>1167</v>
      </c>
      <c r="E1045" s="8" t="s">
        <v>1219</v>
      </c>
      <c r="F1045" s="8" t="s">
        <v>1423</v>
      </c>
      <c r="G1045" s="8" t="s">
        <v>12</v>
      </c>
      <c r="H1045" s="8">
        <v>8.1239670000000004</v>
      </c>
      <c r="I1045" s="8">
        <v>-80.700130000000001</v>
      </c>
      <c r="J1045" s="21" t="s">
        <v>1424</v>
      </c>
    </row>
    <row r="1046" spans="1:10" x14ac:dyDescent="0.3">
      <c r="A1046" s="20">
        <v>3</v>
      </c>
      <c r="B1046" s="8">
        <v>1388</v>
      </c>
      <c r="C1046" s="8" t="s">
        <v>1425</v>
      </c>
      <c r="D1046" s="8" t="s">
        <v>1223</v>
      </c>
      <c r="E1046" s="8" t="s">
        <v>1268</v>
      </c>
      <c r="F1046" s="8" t="s">
        <v>1268</v>
      </c>
      <c r="G1046" s="8" t="s">
        <v>12</v>
      </c>
      <c r="H1046" s="8">
        <v>7.5311890000000004</v>
      </c>
      <c r="I1046" s="8">
        <v>-80.026786000000001</v>
      </c>
      <c r="J1046" s="21" t="s">
        <v>702</v>
      </c>
    </row>
    <row r="1047" spans="1:10" x14ac:dyDescent="0.3">
      <c r="A1047" s="20">
        <v>3</v>
      </c>
      <c r="B1047" s="8">
        <v>1389</v>
      </c>
      <c r="C1047" s="8" t="s">
        <v>1426</v>
      </c>
      <c r="D1047" s="8" t="s">
        <v>1287</v>
      </c>
      <c r="E1047" s="8" t="s">
        <v>1345</v>
      </c>
      <c r="F1047" s="8" t="s">
        <v>1346</v>
      </c>
      <c r="G1047" s="8" t="s">
        <v>12</v>
      </c>
      <c r="H1047" s="8">
        <v>8.6004439999999995</v>
      </c>
      <c r="I1047" s="8">
        <v>-79.887861000000001</v>
      </c>
      <c r="J1047" s="21" t="s">
        <v>1349</v>
      </c>
    </row>
    <row r="1048" spans="1:10" x14ac:dyDescent="0.3">
      <c r="A1048" s="20">
        <v>3</v>
      </c>
      <c r="B1048" s="8">
        <v>1390</v>
      </c>
      <c r="C1048" s="8" t="s">
        <v>1427</v>
      </c>
      <c r="D1048" s="8" t="s">
        <v>994</v>
      </c>
      <c r="E1048" s="8" t="s">
        <v>995</v>
      </c>
      <c r="F1048" s="8" t="s">
        <v>996</v>
      </c>
      <c r="G1048" s="8" t="s">
        <v>12</v>
      </c>
      <c r="H1048" s="8">
        <v>8.239217</v>
      </c>
      <c r="I1048" s="8">
        <v>-80.554117000000005</v>
      </c>
      <c r="J1048" s="21" t="s">
        <v>86</v>
      </c>
    </row>
    <row r="1049" spans="1:10" x14ac:dyDescent="0.3">
      <c r="A1049" s="20">
        <v>3</v>
      </c>
      <c r="B1049" s="8">
        <v>1394</v>
      </c>
      <c r="C1049" s="8" t="s">
        <v>1428</v>
      </c>
      <c r="D1049" s="8" t="s">
        <v>1167</v>
      </c>
      <c r="E1049" s="8" t="s">
        <v>1168</v>
      </c>
      <c r="F1049" s="8" t="s">
        <v>1187</v>
      </c>
      <c r="G1049" s="8" t="s">
        <v>12</v>
      </c>
      <c r="H1049" s="8">
        <v>7.9620889999999997</v>
      </c>
      <c r="I1049" s="8">
        <v>-80.428809000000001</v>
      </c>
      <c r="J1049" s="21" t="s">
        <v>1412</v>
      </c>
    </row>
    <row r="1050" spans="1:10" hidden="1" x14ac:dyDescent="0.3">
      <c r="A1050" s="20">
        <v>1</v>
      </c>
      <c r="B1050" s="8">
        <v>1395</v>
      </c>
      <c r="C1050" s="8" t="s">
        <v>1429</v>
      </c>
      <c r="D1050" s="8" t="s">
        <v>77</v>
      </c>
      <c r="E1050" s="8" t="s">
        <v>220</v>
      </c>
      <c r="F1050" s="8" t="s">
        <v>228</v>
      </c>
      <c r="G1050" s="8" t="s">
        <v>230</v>
      </c>
      <c r="H1050" s="8">
        <v>8.4201750000000004</v>
      </c>
      <c r="I1050" s="8">
        <v>-82.432376000000005</v>
      </c>
      <c r="J1050" s="21" t="s">
        <v>91</v>
      </c>
    </row>
    <row r="1051" spans="1:10" x14ac:dyDescent="0.3">
      <c r="A1051" s="20">
        <v>3</v>
      </c>
      <c r="B1051" s="8">
        <v>1396</v>
      </c>
      <c r="C1051" s="8" t="s">
        <v>1430</v>
      </c>
      <c r="D1051" s="8" t="s">
        <v>994</v>
      </c>
      <c r="E1051" s="8" t="s">
        <v>1091</v>
      </c>
      <c r="F1051" s="8" t="s">
        <v>1091</v>
      </c>
      <c r="G1051" s="8" t="s">
        <v>12</v>
      </c>
      <c r="H1051" s="8">
        <v>8.5197439999999993</v>
      </c>
      <c r="I1051" s="8">
        <v>-80.360112000000001</v>
      </c>
      <c r="J1051" s="21" t="s">
        <v>518</v>
      </c>
    </row>
    <row r="1052" spans="1:10" x14ac:dyDescent="0.3">
      <c r="A1052" s="20">
        <v>3</v>
      </c>
      <c r="B1052" s="8">
        <v>1397</v>
      </c>
      <c r="C1052" s="8" t="s">
        <v>1431</v>
      </c>
      <c r="D1052" s="8" t="s">
        <v>994</v>
      </c>
      <c r="E1052" s="8" t="s">
        <v>1027</v>
      </c>
      <c r="F1052" s="8" t="s">
        <v>1034</v>
      </c>
      <c r="G1052" s="8" t="s">
        <v>12</v>
      </c>
      <c r="H1052" s="8">
        <v>8.6045549999999995</v>
      </c>
      <c r="I1052" s="8">
        <v>-80.131213000000002</v>
      </c>
      <c r="J1052" s="21" t="s">
        <v>1432</v>
      </c>
    </row>
    <row r="1053" spans="1:10" x14ac:dyDescent="0.3">
      <c r="A1053" s="20">
        <v>3</v>
      </c>
      <c r="B1053" s="8">
        <v>1398</v>
      </c>
      <c r="C1053" s="8" t="s">
        <v>1433</v>
      </c>
      <c r="D1053" s="8" t="s">
        <v>1287</v>
      </c>
      <c r="E1053" s="8" t="s">
        <v>1356</v>
      </c>
      <c r="F1053" s="8" t="s">
        <v>1434</v>
      </c>
      <c r="G1053" s="8" t="s">
        <v>12</v>
      </c>
      <c r="H1053" s="8">
        <v>8.8613</v>
      </c>
      <c r="I1053" s="8">
        <v>-79.784499999999994</v>
      </c>
      <c r="J1053" s="21" t="s">
        <v>1435</v>
      </c>
    </row>
    <row r="1054" spans="1:10" x14ac:dyDescent="0.3">
      <c r="A1054" s="20">
        <v>1</v>
      </c>
      <c r="B1054" s="8">
        <v>1400</v>
      </c>
      <c r="C1054" s="8" t="s">
        <v>1436</v>
      </c>
      <c r="D1054" s="8" t="s">
        <v>410</v>
      </c>
      <c r="E1054" s="8" t="s">
        <v>1437</v>
      </c>
      <c r="F1054" s="8" t="s">
        <v>1438</v>
      </c>
      <c r="G1054" s="8" t="s">
        <v>99</v>
      </c>
      <c r="H1054" s="8">
        <v>7.984337</v>
      </c>
      <c r="I1054" s="8">
        <v>-81.162656999999996</v>
      </c>
      <c r="J1054" s="21" t="s">
        <v>520</v>
      </c>
    </row>
    <row r="1055" spans="1:10" x14ac:dyDescent="0.3">
      <c r="A1055" s="20">
        <v>3</v>
      </c>
      <c r="B1055" s="8">
        <v>1401</v>
      </c>
      <c r="C1055" s="8" t="s">
        <v>1439</v>
      </c>
      <c r="D1055" s="8" t="s">
        <v>1287</v>
      </c>
      <c r="E1055" s="8" t="s">
        <v>1332</v>
      </c>
      <c r="F1055" s="8" t="s">
        <v>1440</v>
      </c>
      <c r="G1055" s="8" t="s">
        <v>12</v>
      </c>
      <c r="H1055" s="8">
        <v>8.8373690000000007</v>
      </c>
      <c r="I1055" s="8">
        <v>-79.894853999999995</v>
      </c>
      <c r="J1055" s="21" t="s">
        <v>1383</v>
      </c>
    </row>
    <row r="1056" spans="1:10" x14ac:dyDescent="0.3">
      <c r="A1056" s="20">
        <v>3</v>
      </c>
      <c r="B1056" s="8">
        <v>1402</v>
      </c>
      <c r="C1056" s="8" t="s">
        <v>1441</v>
      </c>
      <c r="D1056" s="8" t="s">
        <v>994</v>
      </c>
      <c r="E1056" s="8" t="s">
        <v>1052</v>
      </c>
      <c r="F1056" s="8" t="s">
        <v>1069</v>
      </c>
      <c r="G1056" s="8" t="s">
        <v>53</v>
      </c>
      <c r="H1056" s="8">
        <v>8.639545</v>
      </c>
      <c r="I1056" s="8">
        <v>-80.440154000000007</v>
      </c>
      <c r="J1056" s="21" t="s">
        <v>357</v>
      </c>
    </row>
    <row r="1057" spans="1:10" x14ac:dyDescent="0.3">
      <c r="A1057" s="20">
        <v>3</v>
      </c>
      <c r="B1057" s="8">
        <v>1403</v>
      </c>
      <c r="C1057" s="8" t="s">
        <v>1442</v>
      </c>
      <c r="D1057" s="8" t="s">
        <v>994</v>
      </c>
      <c r="E1057" s="8" t="s">
        <v>1052</v>
      </c>
      <c r="F1057" s="8" t="s">
        <v>1052</v>
      </c>
      <c r="G1057" s="8" t="s">
        <v>33</v>
      </c>
      <c r="H1057" s="8">
        <v>8.5922070000000001</v>
      </c>
      <c r="I1057" s="8">
        <v>-80.447081999999995</v>
      </c>
      <c r="J1057" s="21" t="s">
        <v>518</v>
      </c>
    </row>
    <row r="1058" spans="1:10" x14ac:dyDescent="0.3">
      <c r="A1058" s="20">
        <v>3</v>
      </c>
      <c r="B1058" s="8">
        <v>1404</v>
      </c>
      <c r="C1058" s="8" t="s">
        <v>1443</v>
      </c>
      <c r="D1058" s="8" t="s">
        <v>994</v>
      </c>
      <c r="E1058" s="8" t="s">
        <v>1052</v>
      </c>
      <c r="F1058" s="8" t="s">
        <v>1069</v>
      </c>
      <c r="G1058" s="8" t="s">
        <v>53</v>
      </c>
      <c r="H1058" s="8">
        <v>8.7179179999999992</v>
      </c>
      <c r="I1058" s="8">
        <v>-80.456704999999999</v>
      </c>
      <c r="J1058" s="21" t="s">
        <v>321</v>
      </c>
    </row>
    <row r="1059" spans="1:10" x14ac:dyDescent="0.3">
      <c r="A1059" s="20">
        <v>3</v>
      </c>
      <c r="B1059" s="8">
        <v>1405</v>
      </c>
      <c r="C1059" s="8" t="s">
        <v>1444</v>
      </c>
      <c r="D1059" s="8" t="s">
        <v>1287</v>
      </c>
      <c r="E1059" s="8" t="s">
        <v>1356</v>
      </c>
      <c r="F1059" s="8" t="s">
        <v>1362</v>
      </c>
      <c r="G1059" s="8" t="s">
        <v>12</v>
      </c>
      <c r="H1059" s="8">
        <v>8.8826479999999997</v>
      </c>
      <c r="I1059" s="8">
        <v>-79.779966999999999</v>
      </c>
      <c r="J1059" s="21" t="s">
        <v>1435</v>
      </c>
    </row>
    <row r="1060" spans="1:10" x14ac:dyDescent="0.3">
      <c r="A1060" s="20">
        <v>3</v>
      </c>
      <c r="B1060" s="8">
        <v>1406</v>
      </c>
      <c r="C1060" s="8" t="s">
        <v>1445</v>
      </c>
      <c r="D1060" s="8" t="s">
        <v>1287</v>
      </c>
      <c r="E1060" s="8" t="s">
        <v>1332</v>
      </c>
      <c r="F1060" s="8" t="s">
        <v>1446</v>
      </c>
      <c r="G1060" s="8" t="s">
        <v>12</v>
      </c>
      <c r="H1060" s="8">
        <v>8.8697800000000004</v>
      </c>
      <c r="I1060" s="8">
        <v>-79.996216000000004</v>
      </c>
      <c r="J1060" s="21" t="s">
        <v>1447</v>
      </c>
    </row>
    <row r="1061" spans="1:10" x14ac:dyDescent="0.3">
      <c r="A1061" s="20">
        <v>3</v>
      </c>
      <c r="B1061" s="8">
        <v>1407</v>
      </c>
      <c r="C1061" s="8" t="s">
        <v>1448</v>
      </c>
      <c r="D1061" s="8" t="s">
        <v>994</v>
      </c>
      <c r="E1061" s="8" t="s">
        <v>1091</v>
      </c>
      <c r="F1061" s="8" t="s">
        <v>1148</v>
      </c>
      <c r="G1061" s="8" t="s">
        <v>53</v>
      </c>
      <c r="H1061" s="8">
        <v>8.8040059999999993</v>
      </c>
      <c r="I1061" s="8">
        <v>-80.553434999999993</v>
      </c>
      <c r="J1061" s="21" t="s">
        <v>518</v>
      </c>
    </row>
    <row r="1062" spans="1:10" x14ac:dyDescent="0.3">
      <c r="A1062" s="20">
        <v>1</v>
      </c>
      <c r="B1062" s="8">
        <v>1409</v>
      </c>
      <c r="C1062" s="8" t="s">
        <v>1449</v>
      </c>
      <c r="D1062" s="8" t="s">
        <v>365</v>
      </c>
      <c r="E1062" s="8" t="s">
        <v>393</v>
      </c>
      <c r="F1062" s="8" t="s">
        <v>1450</v>
      </c>
      <c r="G1062" s="8" t="s">
        <v>53</v>
      </c>
      <c r="H1062" s="8">
        <v>8.4207800000000006</v>
      </c>
      <c r="I1062" s="8">
        <v>-81.765309999999999</v>
      </c>
      <c r="J1062" s="21" t="s">
        <v>1072</v>
      </c>
    </row>
    <row r="1063" spans="1:10" x14ac:dyDescent="0.3">
      <c r="A1063" s="20">
        <v>1</v>
      </c>
      <c r="B1063" s="8">
        <v>1410</v>
      </c>
      <c r="C1063" s="8" t="s">
        <v>1451</v>
      </c>
      <c r="D1063" s="8" t="s">
        <v>365</v>
      </c>
      <c r="E1063" s="8" t="s">
        <v>379</v>
      </c>
      <c r="F1063" s="8" t="s">
        <v>1452</v>
      </c>
      <c r="G1063" s="8" t="s">
        <v>12</v>
      </c>
      <c r="H1063" s="8">
        <v>8.4738860000000003</v>
      </c>
      <c r="I1063" s="8">
        <v>-82.567273</v>
      </c>
      <c r="J1063" s="21" t="s">
        <v>1104</v>
      </c>
    </row>
    <row r="1064" spans="1:10" x14ac:dyDescent="0.3">
      <c r="A1064" s="20">
        <v>1</v>
      </c>
      <c r="B1064" s="8">
        <v>1411</v>
      </c>
      <c r="C1064" s="8" t="s">
        <v>1453</v>
      </c>
      <c r="D1064" s="8" t="s">
        <v>365</v>
      </c>
      <c r="E1064" s="8" t="s">
        <v>379</v>
      </c>
      <c r="F1064" s="8" t="s">
        <v>385</v>
      </c>
      <c r="G1064" s="8" t="s">
        <v>53</v>
      </c>
      <c r="H1064" s="8">
        <v>8.2245069999999991</v>
      </c>
      <c r="I1064" s="8">
        <v>-81.394458999999998</v>
      </c>
      <c r="J1064" s="21" t="s">
        <v>386</v>
      </c>
    </row>
    <row r="1065" spans="1:10" x14ac:dyDescent="0.3">
      <c r="A1065" s="20">
        <v>2</v>
      </c>
      <c r="B1065" s="8">
        <v>1412</v>
      </c>
      <c r="C1065" s="8" t="s">
        <v>1454</v>
      </c>
      <c r="D1065" s="8" t="s">
        <v>644</v>
      </c>
      <c r="E1065" s="8" t="s">
        <v>644</v>
      </c>
      <c r="F1065" s="8" t="s">
        <v>809</v>
      </c>
      <c r="G1065" s="8" t="s">
        <v>99</v>
      </c>
      <c r="H1065" s="8">
        <v>8.9523659999999996</v>
      </c>
      <c r="I1065" s="8">
        <v>-79.540301999999997</v>
      </c>
      <c r="J1065" s="21" t="s">
        <v>389</v>
      </c>
    </row>
    <row r="1066" spans="1:10" x14ac:dyDescent="0.3">
      <c r="A1066" s="20">
        <v>2</v>
      </c>
      <c r="B1066" s="8">
        <v>1413</v>
      </c>
      <c r="C1066" s="8" t="s">
        <v>1455</v>
      </c>
      <c r="D1066" s="8" t="s">
        <v>542</v>
      </c>
      <c r="E1066" s="8" t="s">
        <v>542</v>
      </c>
      <c r="F1066" s="8" t="s">
        <v>576</v>
      </c>
      <c r="G1066" s="8" t="s">
        <v>230</v>
      </c>
      <c r="H1066" s="8">
        <v>9.3465830000000008</v>
      </c>
      <c r="I1066" s="8">
        <v>-79.806414000000004</v>
      </c>
      <c r="J1066" s="21" t="s">
        <v>321</v>
      </c>
    </row>
    <row r="1067" spans="1:10" x14ac:dyDescent="0.3">
      <c r="A1067" s="20">
        <v>2</v>
      </c>
      <c r="B1067" s="8">
        <v>1414</v>
      </c>
      <c r="C1067" s="8" t="s">
        <v>1456</v>
      </c>
      <c r="D1067" s="8" t="s">
        <v>542</v>
      </c>
      <c r="E1067" s="8" t="s">
        <v>542</v>
      </c>
      <c r="F1067" s="8" t="s">
        <v>1457</v>
      </c>
      <c r="G1067" s="8" t="s">
        <v>53</v>
      </c>
      <c r="H1067" s="8">
        <v>9.2689059999999994</v>
      </c>
      <c r="I1067" s="8">
        <v>-79.634603999999996</v>
      </c>
      <c r="J1067" s="21" t="s">
        <v>374</v>
      </c>
    </row>
    <row r="1068" spans="1:10" x14ac:dyDescent="0.3">
      <c r="A1068" s="20">
        <v>2</v>
      </c>
      <c r="B1068" s="8">
        <v>1415</v>
      </c>
      <c r="C1068" s="8" t="s">
        <v>1458</v>
      </c>
      <c r="D1068" s="8" t="s">
        <v>542</v>
      </c>
      <c r="E1068" s="8" t="s">
        <v>542</v>
      </c>
      <c r="F1068" s="8" t="s">
        <v>543</v>
      </c>
      <c r="G1068" s="8" t="s">
        <v>230</v>
      </c>
      <c r="H1068" s="8">
        <v>9.3628219999999995</v>
      </c>
      <c r="I1068" s="8">
        <v>-79.905276999999998</v>
      </c>
      <c r="J1068" s="21" t="s">
        <v>1459</v>
      </c>
    </row>
    <row r="1069" spans="1:10" hidden="1" x14ac:dyDescent="0.3">
      <c r="A1069" s="20">
        <v>1</v>
      </c>
      <c r="B1069" s="8">
        <v>1416</v>
      </c>
      <c r="C1069" s="8" t="s">
        <v>1460</v>
      </c>
      <c r="D1069" s="8" t="s">
        <v>77</v>
      </c>
      <c r="E1069" s="8" t="s">
        <v>286</v>
      </c>
      <c r="F1069" s="8" t="s">
        <v>287</v>
      </c>
      <c r="G1069" s="8" t="s">
        <v>12</v>
      </c>
      <c r="H1069" s="8">
        <v>8.5182330000000004</v>
      </c>
      <c r="I1069" s="8">
        <v>-82.425715999999994</v>
      </c>
      <c r="J1069" s="21" t="s">
        <v>1104</v>
      </c>
    </row>
    <row r="1070" spans="1:10" hidden="1" x14ac:dyDescent="0.3">
      <c r="A1070" s="20">
        <v>1</v>
      </c>
      <c r="B1070" s="8">
        <v>1418</v>
      </c>
      <c r="C1070" s="8" t="s">
        <v>1461</v>
      </c>
      <c r="D1070" s="8" t="s">
        <v>77</v>
      </c>
      <c r="E1070" s="8" t="s">
        <v>93</v>
      </c>
      <c r="F1070" s="8" t="s">
        <v>98</v>
      </c>
      <c r="G1070" s="8" t="s">
        <v>12</v>
      </c>
      <c r="H1070" s="8">
        <v>8.4502380000000006</v>
      </c>
      <c r="I1070" s="8">
        <v>-82.836330000000004</v>
      </c>
      <c r="J1070" s="21" t="s">
        <v>1462</v>
      </c>
    </row>
    <row r="1071" spans="1:10" x14ac:dyDescent="0.3">
      <c r="A1071" s="20">
        <v>1</v>
      </c>
      <c r="B1071" s="8">
        <v>1419</v>
      </c>
      <c r="C1071" s="8" t="s">
        <v>1463</v>
      </c>
      <c r="D1071" s="8" t="s">
        <v>365</v>
      </c>
      <c r="E1071" s="8" t="s">
        <v>1464</v>
      </c>
      <c r="F1071" s="8" t="s">
        <v>1465</v>
      </c>
      <c r="G1071" s="8" t="s">
        <v>53</v>
      </c>
      <c r="H1071" s="8">
        <v>8.8033520000000003</v>
      </c>
      <c r="I1071" s="8">
        <v>-82.061283000000003</v>
      </c>
      <c r="J1071" s="21" t="s">
        <v>1466</v>
      </c>
    </row>
    <row r="1072" spans="1:10" x14ac:dyDescent="0.3">
      <c r="A1072" s="20">
        <v>2</v>
      </c>
      <c r="B1072" s="8">
        <v>1422</v>
      </c>
      <c r="C1072" s="8" t="s">
        <v>1467</v>
      </c>
      <c r="D1072" s="8" t="s">
        <v>542</v>
      </c>
      <c r="E1072" s="8" t="s">
        <v>542</v>
      </c>
      <c r="F1072" s="8" t="s">
        <v>555</v>
      </c>
      <c r="G1072" s="8" t="s">
        <v>12</v>
      </c>
      <c r="H1072" s="8">
        <v>9.2516610000000004</v>
      </c>
      <c r="I1072" s="8">
        <v>-79.646313000000006</v>
      </c>
      <c r="J1072" s="21" t="s">
        <v>65</v>
      </c>
    </row>
    <row r="1073" spans="1:10" x14ac:dyDescent="0.3">
      <c r="A1073" s="20">
        <v>2</v>
      </c>
      <c r="B1073" s="8">
        <v>1423</v>
      </c>
      <c r="C1073" s="8" t="s">
        <v>1468</v>
      </c>
      <c r="D1073" s="8" t="s">
        <v>644</v>
      </c>
      <c r="E1073" s="8" t="s">
        <v>644</v>
      </c>
      <c r="F1073" s="8" t="s">
        <v>707</v>
      </c>
      <c r="G1073" s="8" t="s">
        <v>12</v>
      </c>
      <c r="H1073" s="8">
        <v>8.9872189999999996</v>
      </c>
      <c r="I1073" s="8">
        <v>-79.515535</v>
      </c>
      <c r="J1073" s="21" t="s">
        <v>1469</v>
      </c>
    </row>
    <row r="1074" spans="1:10" x14ac:dyDescent="0.3">
      <c r="A1074" s="20">
        <v>2</v>
      </c>
      <c r="B1074" s="8">
        <v>1425</v>
      </c>
      <c r="C1074" s="8" t="s">
        <v>1470</v>
      </c>
      <c r="D1074" s="8" t="s">
        <v>644</v>
      </c>
      <c r="E1074" s="8" t="s">
        <v>644</v>
      </c>
      <c r="F1074" s="8" t="s">
        <v>707</v>
      </c>
      <c r="G1074" s="8" t="s">
        <v>230</v>
      </c>
      <c r="H1074" s="8">
        <v>8.9801699999999993</v>
      </c>
      <c r="I1074" s="8">
        <v>-79.527941999999996</v>
      </c>
      <c r="J1074" s="21" t="s">
        <v>1471</v>
      </c>
    </row>
    <row r="1075" spans="1:10" x14ac:dyDescent="0.3">
      <c r="A1075" s="20">
        <v>2</v>
      </c>
      <c r="B1075" s="8">
        <v>1426</v>
      </c>
      <c r="C1075" s="8" t="s">
        <v>1472</v>
      </c>
      <c r="D1075" s="8" t="s">
        <v>644</v>
      </c>
      <c r="E1075" s="8" t="s">
        <v>645</v>
      </c>
      <c r="F1075" s="8" t="s">
        <v>1473</v>
      </c>
      <c r="G1075" s="8" t="s">
        <v>33</v>
      </c>
      <c r="H1075" s="8">
        <v>9.1892390000000006</v>
      </c>
      <c r="I1075" s="8">
        <v>-79.086157</v>
      </c>
      <c r="J1075" s="21" t="s">
        <v>1474</v>
      </c>
    </row>
    <row r="1076" spans="1:10" x14ac:dyDescent="0.3">
      <c r="A1076" s="20">
        <v>2</v>
      </c>
      <c r="B1076" s="8">
        <v>1427</v>
      </c>
      <c r="C1076" s="8" t="s">
        <v>932</v>
      </c>
      <c r="D1076" s="8" t="s">
        <v>644</v>
      </c>
      <c r="E1076" s="8" t="s">
        <v>925</v>
      </c>
      <c r="F1076" s="8" t="s">
        <v>926</v>
      </c>
      <c r="G1076" s="8" t="s">
        <v>12</v>
      </c>
      <c r="H1076" s="8">
        <v>9.0428999999999995</v>
      </c>
      <c r="I1076" s="8">
        <v>-79.500662000000005</v>
      </c>
      <c r="J1076" s="21" t="s">
        <v>1471</v>
      </c>
    </row>
    <row r="1077" spans="1:10" x14ac:dyDescent="0.3">
      <c r="A1077" s="20">
        <v>1</v>
      </c>
      <c r="B1077" s="8">
        <v>1430</v>
      </c>
      <c r="C1077" s="8" t="s">
        <v>1475</v>
      </c>
      <c r="D1077" s="8" t="s">
        <v>365</v>
      </c>
      <c r="E1077" s="8" t="s">
        <v>1476</v>
      </c>
      <c r="F1077" s="8" t="s">
        <v>1476</v>
      </c>
      <c r="G1077" s="8" t="s">
        <v>53</v>
      </c>
      <c r="H1077" s="8">
        <v>8.7871279999999992</v>
      </c>
      <c r="I1077" s="8">
        <v>-81.209497999999996</v>
      </c>
      <c r="J1077" s="21" t="s">
        <v>1477</v>
      </c>
    </row>
    <row r="1078" spans="1:10" x14ac:dyDescent="0.3">
      <c r="A1078" s="20">
        <v>3</v>
      </c>
      <c r="B1078" s="8">
        <v>1431</v>
      </c>
      <c r="C1078" s="8" t="s">
        <v>1478</v>
      </c>
      <c r="D1078" s="8" t="s">
        <v>994</v>
      </c>
      <c r="E1078" s="8" t="s">
        <v>1027</v>
      </c>
      <c r="F1078" s="8" t="s">
        <v>1040</v>
      </c>
      <c r="G1078" s="8" t="s">
        <v>12</v>
      </c>
      <c r="H1078" s="8">
        <v>8.4384940000000004</v>
      </c>
      <c r="I1078" s="8">
        <v>-80.159858999999997</v>
      </c>
      <c r="J1078" s="21" t="s">
        <v>1479</v>
      </c>
    </row>
    <row r="1079" spans="1:10" x14ac:dyDescent="0.3">
      <c r="A1079" s="20">
        <v>2</v>
      </c>
      <c r="B1079" s="8">
        <v>1432</v>
      </c>
      <c r="C1079" s="8" t="s">
        <v>559</v>
      </c>
      <c r="D1079" s="8" t="s">
        <v>644</v>
      </c>
      <c r="E1079" s="8" t="s">
        <v>644</v>
      </c>
      <c r="F1079" s="8" t="s">
        <v>722</v>
      </c>
      <c r="G1079" s="8" t="s">
        <v>53</v>
      </c>
      <c r="H1079" s="8">
        <v>9.2792460000000005</v>
      </c>
      <c r="I1079" s="8">
        <v>-79.570249000000004</v>
      </c>
      <c r="J1079" s="21" t="s">
        <v>1480</v>
      </c>
    </row>
    <row r="1080" spans="1:10" x14ac:dyDescent="0.3">
      <c r="A1080" s="20">
        <v>3</v>
      </c>
      <c r="B1080" s="8">
        <v>1433</v>
      </c>
      <c r="C1080" s="8" t="s">
        <v>1481</v>
      </c>
      <c r="D1080" s="8" t="s">
        <v>1167</v>
      </c>
      <c r="E1080" s="8" t="s">
        <v>1203</v>
      </c>
      <c r="F1080" s="8" t="s">
        <v>1205</v>
      </c>
      <c r="G1080" s="8" t="s">
        <v>12</v>
      </c>
      <c r="H1080" s="8">
        <v>7.9448210000000001</v>
      </c>
      <c r="I1080" s="8">
        <v>-80.777428</v>
      </c>
      <c r="J1080" s="21" t="s">
        <v>1462</v>
      </c>
    </row>
    <row r="1081" spans="1:10" x14ac:dyDescent="0.3">
      <c r="A1081" s="20">
        <v>3</v>
      </c>
      <c r="B1081" s="8">
        <v>1434</v>
      </c>
      <c r="C1081" s="8" t="s">
        <v>1482</v>
      </c>
      <c r="D1081" s="8" t="s">
        <v>1167</v>
      </c>
      <c r="E1081" s="8" t="s">
        <v>1483</v>
      </c>
      <c r="F1081" s="8" t="s">
        <v>1483</v>
      </c>
      <c r="G1081" s="8" t="s">
        <v>12</v>
      </c>
      <c r="H1081" s="8">
        <v>7.7995640000000002</v>
      </c>
      <c r="I1081" s="8">
        <v>-80.747480999999993</v>
      </c>
      <c r="J1081" s="21" t="s">
        <v>1480</v>
      </c>
    </row>
    <row r="1082" spans="1:10" x14ac:dyDescent="0.3">
      <c r="A1082" s="20">
        <v>3</v>
      </c>
      <c r="B1082" s="8">
        <v>1435</v>
      </c>
      <c r="C1082" s="8" t="s">
        <v>1484</v>
      </c>
      <c r="D1082" s="8" t="s">
        <v>1167</v>
      </c>
      <c r="E1082" s="8" t="s">
        <v>1219</v>
      </c>
      <c r="F1082" s="8" t="s">
        <v>1219</v>
      </c>
      <c r="G1082" s="8" t="s">
        <v>12</v>
      </c>
      <c r="H1082" s="8">
        <v>8.1155369999999998</v>
      </c>
      <c r="I1082" s="8">
        <v>-80.661456999999999</v>
      </c>
      <c r="J1082" s="21" t="s">
        <v>1485</v>
      </c>
    </row>
    <row r="1083" spans="1:10" x14ac:dyDescent="0.3">
      <c r="A1083" s="20">
        <v>3</v>
      </c>
      <c r="B1083" s="8">
        <v>1436</v>
      </c>
      <c r="C1083" s="8" t="s">
        <v>1486</v>
      </c>
      <c r="D1083" s="8" t="s">
        <v>1167</v>
      </c>
      <c r="E1083" s="8" t="s">
        <v>1168</v>
      </c>
      <c r="F1083" s="8" t="s">
        <v>1168</v>
      </c>
      <c r="G1083" s="8" t="s">
        <v>12</v>
      </c>
      <c r="H1083" s="8">
        <v>7.9561609999999998</v>
      </c>
      <c r="I1083" s="8">
        <v>-80.424021999999994</v>
      </c>
      <c r="J1083" s="21" t="s">
        <v>1485</v>
      </c>
    </row>
    <row r="1084" spans="1:10" x14ac:dyDescent="0.3">
      <c r="A1084" s="20">
        <v>3</v>
      </c>
      <c r="B1084" s="8">
        <v>1437</v>
      </c>
      <c r="C1084" s="8" t="s">
        <v>1487</v>
      </c>
      <c r="D1084" s="8" t="s">
        <v>1167</v>
      </c>
      <c r="E1084" s="8" t="s">
        <v>1215</v>
      </c>
      <c r="F1084" s="8" t="s">
        <v>1215</v>
      </c>
      <c r="G1084" s="8" t="s">
        <v>12</v>
      </c>
      <c r="H1084" s="8">
        <v>7.9142919999999997</v>
      </c>
      <c r="I1084" s="8">
        <v>-80.608948999999996</v>
      </c>
      <c r="J1084" s="21" t="s">
        <v>1480</v>
      </c>
    </row>
    <row r="1085" spans="1:10" x14ac:dyDescent="0.3">
      <c r="A1085" s="20">
        <v>3</v>
      </c>
      <c r="B1085" s="8">
        <v>1438</v>
      </c>
      <c r="C1085" s="8" t="s">
        <v>1488</v>
      </c>
      <c r="D1085" s="8" t="s">
        <v>1167</v>
      </c>
      <c r="E1085" s="8" t="s">
        <v>1203</v>
      </c>
      <c r="F1085" s="8" t="s">
        <v>1205</v>
      </c>
      <c r="G1085" s="8" t="s">
        <v>12</v>
      </c>
      <c r="H1085" s="8">
        <v>7.9548160000000001</v>
      </c>
      <c r="I1085" s="8">
        <v>-80.781619000000006</v>
      </c>
      <c r="J1085" s="21" t="s">
        <v>1480</v>
      </c>
    </row>
    <row r="1086" spans="1:10" x14ac:dyDescent="0.3">
      <c r="A1086" s="20">
        <v>1</v>
      </c>
      <c r="B1086" s="8">
        <v>1440</v>
      </c>
      <c r="C1086" s="8" t="s">
        <v>1489</v>
      </c>
      <c r="D1086" s="8" t="s">
        <v>11</v>
      </c>
      <c r="E1086" s="8" t="s">
        <v>70</v>
      </c>
      <c r="F1086" s="8" t="s">
        <v>1409</v>
      </c>
      <c r="G1086" s="8" t="s">
        <v>12</v>
      </c>
      <c r="H1086" s="8">
        <v>8.9301879999999993</v>
      </c>
      <c r="I1086" s="8">
        <v>-82.182191000000003</v>
      </c>
      <c r="J1086" s="21" t="s">
        <v>1480</v>
      </c>
    </row>
    <row r="1087" spans="1:10" hidden="1" x14ac:dyDescent="0.3">
      <c r="A1087" s="20">
        <v>1</v>
      </c>
      <c r="B1087" s="8">
        <v>1441</v>
      </c>
      <c r="C1087" s="8" t="s">
        <v>1490</v>
      </c>
      <c r="D1087" s="8" t="s">
        <v>77</v>
      </c>
      <c r="E1087" s="8" t="s">
        <v>286</v>
      </c>
      <c r="F1087" s="8" t="s">
        <v>294</v>
      </c>
      <c r="G1087" s="8" t="s">
        <v>12</v>
      </c>
      <c r="H1087" s="8">
        <v>8.5475390000000004</v>
      </c>
      <c r="I1087" s="8">
        <v>-82.421272000000002</v>
      </c>
      <c r="J1087" s="21" t="s">
        <v>1491</v>
      </c>
    </row>
    <row r="1088" spans="1:10" hidden="1" x14ac:dyDescent="0.3">
      <c r="A1088" s="20">
        <v>1</v>
      </c>
      <c r="B1088" s="8">
        <v>1442</v>
      </c>
      <c r="C1088" s="8" t="s">
        <v>1492</v>
      </c>
      <c r="D1088" s="8" t="s">
        <v>77</v>
      </c>
      <c r="E1088" s="8" t="s">
        <v>144</v>
      </c>
      <c r="F1088" s="8" t="s">
        <v>150</v>
      </c>
      <c r="G1088" s="8" t="s">
        <v>12</v>
      </c>
      <c r="H1088" s="8">
        <v>8.7762810000000009</v>
      </c>
      <c r="I1088" s="8">
        <v>-82.431201999999999</v>
      </c>
      <c r="J1088" s="21" t="s">
        <v>1480</v>
      </c>
    </row>
    <row r="1089" spans="1:10" hidden="1" x14ac:dyDescent="0.3">
      <c r="A1089" s="20">
        <v>1</v>
      </c>
      <c r="B1089" s="8">
        <v>1443</v>
      </c>
      <c r="C1089" s="8" t="s">
        <v>1493</v>
      </c>
      <c r="D1089" s="8" t="s">
        <v>77</v>
      </c>
      <c r="E1089" s="8" t="s">
        <v>309</v>
      </c>
      <c r="F1089" s="8" t="s">
        <v>309</v>
      </c>
      <c r="G1089" s="8" t="s">
        <v>12</v>
      </c>
      <c r="H1089" s="8">
        <v>8.2255880000000001</v>
      </c>
      <c r="I1089" s="8">
        <v>-81.830911</v>
      </c>
      <c r="J1089" s="21" t="s">
        <v>1485</v>
      </c>
    </row>
    <row r="1090" spans="1:10" hidden="1" x14ac:dyDescent="0.3">
      <c r="A1090" s="20">
        <v>1</v>
      </c>
      <c r="B1090" s="8">
        <v>1444</v>
      </c>
      <c r="C1090" s="8" t="s">
        <v>1494</v>
      </c>
      <c r="D1090" s="8" t="s">
        <v>77</v>
      </c>
      <c r="E1090" s="8" t="s">
        <v>172</v>
      </c>
      <c r="F1090" s="8" t="s">
        <v>212</v>
      </c>
      <c r="G1090" s="8" t="s">
        <v>12</v>
      </c>
      <c r="H1090" s="8">
        <v>8.7959859999999992</v>
      </c>
      <c r="I1090" s="8">
        <v>-82.627240999999998</v>
      </c>
      <c r="J1090" s="21" t="s">
        <v>1491</v>
      </c>
    </row>
    <row r="1091" spans="1:10" x14ac:dyDescent="0.3">
      <c r="A1091" s="20">
        <v>3</v>
      </c>
      <c r="B1091" s="8">
        <v>1446</v>
      </c>
      <c r="C1091" s="8" t="s">
        <v>1495</v>
      </c>
      <c r="D1091" s="8" t="s">
        <v>994</v>
      </c>
      <c r="E1091" s="8" t="s">
        <v>1080</v>
      </c>
      <c r="F1091" s="8" t="s">
        <v>1080</v>
      </c>
      <c r="G1091" s="8" t="s">
        <v>12</v>
      </c>
      <c r="H1091" s="8">
        <v>8.3328009999999999</v>
      </c>
      <c r="I1091" s="8">
        <v>-80.516264000000007</v>
      </c>
      <c r="J1091" s="21" t="s">
        <v>1479</v>
      </c>
    </row>
    <row r="1092" spans="1:10" x14ac:dyDescent="0.3">
      <c r="A1092" s="20">
        <v>3</v>
      </c>
      <c r="B1092" s="8">
        <v>1448</v>
      </c>
      <c r="C1092" s="8" t="s">
        <v>1496</v>
      </c>
      <c r="D1092" s="8" t="s">
        <v>994</v>
      </c>
      <c r="E1092" s="8" t="s">
        <v>1027</v>
      </c>
      <c r="F1092" s="8" t="s">
        <v>1027</v>
      </c>
      <c r="G1092" s="8" t="s">
        <v>12</v>
      </c>
      <c r="H1092" s="8">
        <v>8.4011139999999997</v>
      </c>
      <c r="I1092" s="8">
        <v>-80.271197999999998</v>
      </c>
      <c r="J1092" s="21" t="s">
        <v>1479</v>
      </c>
    </row>
    <row r="1093" spans="1:10" x14ac:dyDescent="0.3">
      <c r="A1093" s="20">
        <v>3</v>
      </c>
      <c r="B1093" s="8">
        <v>1451</v>
      </c>
      <c r="C1093" s="8" t="s">
        <v>1497</v>
      </c>
      <c r="D1093" s="8" t="s">
        <v>1287</v>
      </c>
      <c r="E1093" s="8" t="s">
        <v>1356</v>
      </c>
      <c r="F1093" s="8" t="s">
        <v>1049</v>
      </c>
      <c r="G1093" s="8" t="s">
        <v>12</v>
      </c>
      <c r="H1093" s="8">
        <v>8.8397830000000006</v>
      </c>
      <c r="I1093" s="8">
        <v>-79.848393999999999</v>
      </c>
      <c r="J1093" s="21" t="s">
        <v>1498</v>
      </c>
    </row>
    <row r="1094" spans="1:10" x14ac:dyDescent="0.3">
      <c r="A1094" s="20">
        <v>3</v>
      </c>
      <c r="B1094" s="8">
        <v>1452</v>
      </c>
      <c r="C1094" s="8" t="s">
        <v>1499</v>
      </c>
      <c r="D1094" s="8" t="s">
        <v>1287</v>
      </c>
      <c r="E1094" s="8" t="s">
        <v>1288</v>
      </c>
      <c r="F1094" s="8" t="s">
        <v>1329</v>
      </c>
      <c r="G1094" s="8" t="s">
        <v>12</v>
      </c>
      <c r="H1094" s="8">
        <v>8.9256919999999997</v>
      </c>
      <c r="I1094" s="8">
        <v>-79.719483999999994</v>
      </c>
      <c r="J1094" s="21" t="s">
        <v>1500</v>
      </c>
    </row>
    <row r="1095" spans="1:10" x14ac:dyDescent="0.3">
      <c r="A1095" s="20">
        <v>3</v>
      </c>
      <c r="B1095" s="8">
        <v>1453</v>
      </c>
      <c r="C1095" s="8" t="s">
        <v>1501</v>
      </c>
      <c r="D1095" s="8" t="s">
        <v>1287</v>
      </c>
      <c r="E1095" s="8" t="s">
        <v>1345</v>
      </c>
      <c r="F1095" s="8" t="s">
        <v>1345</v>
      </c>
      <c r="G1095" s="8" t="s">
        <v>12</v>
      </c>
      <c r="H1095" s="8">
        <v>8.5772589999999997</v>
      </c>
      <c r="I1095" s="8">
        <v>-79.878545000000003</v>
      </c>
      <c r="J1095" s="21" t="s">
        <v>1498</v>
      </c>
    </row>
    <row r="1096" spans="1:10" x14ac:dyDescent="0.3">
      <c r="A1096" s="20">
        <v>3</v>
      </c>
      <c r="B1096" s="8">
        <v>1454</v>
      </c>
      <c r="C1096" s="8" t="s">
        <v>1502</v>
      </c>
      <c r="D1096" s="8" t="s">
        <v>1287</v>
      </c>
      <c r="E1096" s="8" t="s">
        <v>1356</v>
      </c>
      <c r="F1096" s="8" t="s">
        <v>1357</v>
      </c>
      <c r="G1096" s="8" t="s">
        <v>12</v>
      </c>
      <c r="H1096" s="8">
        <v>8.869783</v>
      </c>
      <c r="I1096" s="8">
        <v>-79.785245000000003</v>
      </c>
      <c r="J1096" s="21" t="s">
        <v>1500</v>
      </c>
    </row>
    <row r="1097" spans="1:10" x14ac:dyDescent="0.3">
      <c r="A1097" s="20">
        <v>3</v>
      </c>
      <c r="B1097" s="8">
        <v>1455</v>
      </c>
      <c r="C1097" s="8" t="s">
        <v>1503</v>
      </c>
      <c r="D1097" s="8" t="s">
        <v>1287</v>
      </c>
      <c r="E1097" s="8" t="s">
        <v>1288</v>
      </c>
      <c r="F1097" s="8" t="s">
        <v>1288</v>
      </c>
      <c r="G1097" s="8" t="s">
        <v>12</v>
      </c>
      <c r="H1097" s="8">
        <v>8.9535440000000008</v>
      </c>
      <c r="I1097" s="8">
        <v>-79.656153000000003</v>
      </c>
      <c r="J1097" s="21" t="s">
        <v>1500</v>
      </c>
    </row>
    <row r="1098" spans="1:10" x14ac:dyDescent="0.3">
      <c r="A1098" s="20">
        <v>3</v>
      </c>
      <c r="B1098" s="8">
        <v>1456</v>
      </c>
      <c r="C1098" s="8" t="s">
        <v>1504</v>
      </c>
      <c r="D1098" s="8" t="s">
        <v>1287</v>
      </c>
      <c r="E1098" s="8" t="s">
        <v>274</v>
      </c>
      <c r="F1098" s="8" t="s">
        <v>452</v>
      </c>
      <c r="G1098" s="8" t="s">
        <v>12</v>
      </c>
      <c r="H1098" s="8">
        <v>8.5352569999999996</v>
      </c>
      <c r="I1098" s="8">
        <v>-79.924524000000005</v>
      </c>
      <c r="J1098" s="21" t="s">
        <v>1498</v>
      </c>
    </row>
    <row r="1099" spans="1:10" x14ac:dyDescent="0.3">
      <c r="A1099" s="20">
        <v>3</v>
      </c>
      <c r="B1099" s="8">
        <v>1457</v>
      </c>
      <c r="C1099" s="8" t="s">
        <v>1505</v>
      </c>
      <c r="D1099" s="8" t="s">
        <v>1287</v>
      </c>
      <c r="E1099" s="8" t="s">
        <v>1288</v>
      </c>
      <c r="F1099" s="8" t="s">
        <v>1329</v>
      </c>
      <c r="G1099" s="8" t="s">
        <v>12</v>
      </c>
      <c r="H1099" s="8">
        <v>8.9251570000000005</v>
      </c>
      <c r="I1099" s="8">
        <v>-79.699285000000003</v>
      </c>
      <c r="J1099" s="21" t="s">
        <v>1500</v>
      </c>
    </row>
    <row r="1100" spans="1:10" x14ac:dyDescent="0.3">
      <c r="A1100" s="20">
        <v>1</v>
      </c>
      <c r="B1100" s="8">
        <v>1458</v>
      </c>
      <c r="C1100" s="8" t="s">
        <v>1506</v>
      </c>
      <c r="D1100" s="8" t="s">
        <v>410</v>
      </c>
      <c r="E1100" s="8" t="s">
        <v>455</v>
      </c>
      <c r="F1100" s="8" t="s">
        <v>467</v>
      </c>
      <c r="G1100" s="8" t="s">
        <v>12</v>
      </c>
      <c r="H1100" s="8">
        <v>7.7177740000000004</v>
      </c>
      <c r="I1100" s="8">
        <v>-80.250304</v>
      </c>
      <c r="J1100" s="21" t="s">
        <v>1507</v>
      </c>
    </row>
    <row r="1101" spans="1:10" x14ac:dyDescent="0.3">
      <c r="A1101" s="20">
        <v>1</v>
      </c>
      <c r="B1101" s="8">
        <v>1459</v>
      </c>
      <c r="C1101" s="8" t="s">
        <v>1508</v>
      </c>
      <c r="D1101" s="8" t="s">
        <v>410</v>
      </c>
      <c r="E1101" s="8" t="s">
        <v>447</v>
      </c>
      <c r="F1101" s="8" t="s">
        <v>450</v>
      </c>
      <c r="G1101" s="8" t="s">
        <v>12</v>
      </c>
      <c r="H1101" s="8">
        <v>8.2409750000000006</v>
      </c>
      <c r="I1101" s="8">
        <v>-80.973011999999997</v>
      </c>
      <c r="J1101" s="21" t="s">
        <v>1507</v>
      </c>
    </row>
    <row r="1102" spans="1:10" x14ac:dyDescent="0.3">
      <c r="A1102" s="20">
        <v>1</v>
      </c>
      <c r="B1102" s="8">
        <v>1460</v>
      </c>
      <c r="C1102" s="8" t="s">
        <v>1509</v>
      </c>
      <c r="D1102" s="8" t="s">
        <v>410</v>
      </c>
      <c r="E1102" s="8" t="s">
        <v>1437</v>
      </c>
      <c r="F1102" s="8" t="s">
        <v>1438</v>
      </c>
      <c r="G1102" s="8" t="s">
        <v>230</v>
      </c>
      <c r="H1102" s="8">
        <v>7.9833910000000001</v>
      </c>
      <c r="I1102" s="8">
        <v>-81.160504000000003</v>
      </c>
      <c r="J1102" s="21" t="s">
        <v>1510</v>
      </c>
    </row>
    <row r="1103" spans="1:10" x14ac:dyDescent="0.3">
      <c r="A1103" s="20">
        <v>1</v>
      </c>
      <c r="B1103" s="8">
        <v>1461</v>
      </c>
      <c r="C1103" s="8" t="s">
        <v>1511</v>
      </c>
      <c r="D1103" s="8" t="s">
        <v>410</v>
      </c>
      <c r="E1103" s="8" t="s">
        <v>1437</v>
      </c>
      <c r="F1103" s="8" t="s">
        <v>1438</v>
      </c>
      <c r="G1103" s="8" t="s">
        <v>230</v>
      </c>
      <c r="H1103" s="8">
        <v>7.9833259999999999</v>
      </c>
      <c r="I1103" s="8">
        <v>-81.160743999999994</v>
      </c>
      <c r="J1103" s="21" t="s">
        <v>1510</v>
      </c>
    </row>
    <row r="1104" spans="1:10" x14ac:dyDescent="0.3">
      <c r="A1104" s="20">
        <v>2</v>
      </c>
      <c r="B1104" s="8">
        <v>1462</v>
      </c>
      <c r="C1104" s="8" t="s">
        <v>1512</v>
      </c>
      <c r="D1104" s="8" t="s">
        <v>601</v>
      </c>
      <c r="E1104" s="8" t="s">
        <v>601</v>
      </c>
      <c r="F1104" s="8" t="s">
        <v>1513</v>
      </c>
      <c r="G1104" s="8" t="s">
        <v>53</v>
      </c>
      <c r="H1104" s="8">
        <v>9.1914599999999993</v>
      </c>
      <c r="I1104" s="8">
        <v>-77.972899999999996</v>
      </c>
      <c r="J1104" s="21" t="s">
        <v>1514</v>
      </c>
    </row>
    <row r="1105" spans="1:10" x14ac:dyDescent="0.3">
      <c r="A1105" s="20">
        <v>2</v>
      </c>
      <c r="B1105" s="8">
        <v>1463</v>
      </c>
      <c r="C1105" s="8" t="s">
        <v>1515</v>
      </c>
      <c r="D1105" s="8" t="s">
        <v>601</v>
      </c>
      <c r="E1105" s="8" t="s">
        <v>601</v>
      </c>
      <c r="F1105" s="8" t="s">
        <v>1513</v>
      </c>
      <c r="G1105" s="8" t="s">
        <v>53</v>
      </c>
      <c r="H1105" s="8">
        <v>9.2946000000000009</v>
      </c>
      <c r="I1105" s="8">
        <v>-78.154510000000002</v>
      </c>
      <c r="J1105" s="21" t="s">
        <v>1514</v>
      </c>
    </row>
    <row r="1106" spans="1:10" x14ac:dyDescent="0.3">
      <c r="A1106" s="20">
        <v>2</v>
      </c>
      <c r="B1106" s="8">
        <v>1464</v>
      </c>
      <c r="C1106" s="8" t="s">
        <v>1516</v>
      </c>
      <c r="D1106" s="8" t="s">
        <v>542</v>
      </c>
      <c r="E1106" s="8" t="s">
        <v>542</v>
      </c>
      <c r="F1106" s="8" t="s">
        <v>568</v>
      </c>
      <c r="G1106" s="8" t="s">
        <v>12</v>
      </c>
      <c r="H1106" s="8">
        <v>9.3420039999999993</v>
      </c>
      <c r="I1106" s="8">
        <v>-79.895505</v>
      </c>
      <c r="J1106" s="21" t="s">
        <v>1517</v>
      </c>
    </row>
    <row r="1107" spans="1:10" x14ac:dyDescent="0.3">
      <c r="A1107" s="20">
        <v>2</v>
      </c>
      <c r="B1107" s="8">
        <v>1465</v>
      </c>
      <c r="C1107" s="8" t="s">
        <v>1518</v>
      </c>
      <c r="D1107" s="8" t="s">
        <v>542</v>
      </c>
      <c r="E1107" s="8" t="s">
        <v>542</v>
      </c>
      <c r="F1107" s="8" t="s">
        <v>568</v>
      </c>
      <c r="G1107" s="8" t="s">
        <v>12</v>
      </c>
      <c r="H1107" s="8">
        <v>9.3390070000000005</v>
      </c>
      <c r="I1107" s="8">
        <v>-79.891670000000005</v>
      </c>
      <c r="J1107" s="21" t="s">
        <v>1517</v>
      </c>
    </row>
    <row r="1108" spans="1:10" x14ac:dyDescent="0.3">
      <c r="A1108" s="20">
        <v>2</v>
      </c>
      <c r="B1108" s="8">
        <v>1466</v>
      </c>
      <c r="C1108" s="8" t="s">
        <v>1519</v>
      </c>
      <c r="D1108" s="8" t="s">
        <v>542</v>
      </c>
      <c r="E1108" s="8" t="s">
        <v>542</v>
      </c>
      <c r="F1108" s="8" t="s">
        <v>568</v>
      </c>
      <c r="G1108" s="8" t="s">
        <v>12</v>
      </c>
      <c r="H1108" s="8">
        <v>9.3400619999999996</v>
      </c>
      <c r="I1108" s="8">
        <v>-79.875242999999998</v>
      </c>
      <c r="J1108" s="21" t="s">
        <v>1520</v>
      </c>
    </row>
    <row r="1109" spans="1:10" x14ac:dyDescent="0.3">
      <c r="A1109" s="20">
        <v>2</v>
      </c>
      <c r="B1109" s="8">
        <v>1467</v>
      </c>
      <c r="C1109" s="8" t="s">
        <v>1521</v>
      </c>
      <c r="D1109" s="8" t="s">
        <v>542</v>
      </c>
      <c r="E1109" s="8" t="s">
        <v>542</v>
      </c>
      <c r="F1109" s="8" t="s">
        <v>1522</v>
      </c>
      <c r="G1109" s="8" t="s">
        <v>12</v>
      </c>
      <c r="H1109" s="8">
        <v>9.3514189999999999</v>
      </c>
      <c r="I1109" s="8">
        <v>-79.858422000000004</v>
      </c>
      <c r="J1109" s="21" t="s">
        <v>1517</v>
      </c>
    </row>
    <row r="1110" spans="1:10" x14ac:dyDescent="0.3">
      <c r="A1110" s="20">
        <v>2</v>
      </c>
      <c r="B1110" s="8">
        <v>1468</v>
      </c>
      <c r="C1110" s="8" t="s">
        <v>1523</v>
      </c>
      <c r="D1110" s="8" t="s">
        <v>542</v>
      </c>
      <c r="E1110" s="8" t="s">
        <v>542</v>
      </c>
      <c r="F1110" s="8" t="s">
        <v>1524</v>
      </c>
      <c r="G1110" s="8" t="s">
        <v>230</v>
      </c>
      <c r="H1110" s="8">
        <v>9.3172800000000002</v>
      </c>
      <c r="I1110" s="8">
        <v>-79.792480999999995</v>
      </c>
      <c r="J1110" s="21" t="s">
        <v>1517</v>
      </c>
    </row>
    <row r="1111" spans="1:10" x14ac:dyDescent="0.3">
      <c r="A1111" s="20">
        <v>2</v>
      </c>
      <c r="B1111" s="8">
        <v>1469</v>
      </c>
      <c r="C1111" s="8" t="s">
        <v>1525</v>
      </c>
      <c r="D1111" s="8" t="s">
        <v>542</v>
      </c>
      <c r="E1111" s="8" t="s">
        <v>542</v>
      </c>
      <c r="F1111" s="8" t="s">
        <v>543</v>
      </c>
      <c r="G1111" s="8" t="s">
        <v>230</v>
      </c>
      <c r="H1111" s="8">
        <v>9.3636420000000005</v>
      </c>
      <c r="I1111" s="8">
        <v>-79.905417999999997</v>
      </c>
      <c r="J1111" s="21" t="s">
        <v>1526</v>
      </c>
    </row>
    <row r="1112" spans="1:10" x14ac:dyDescent="0.3">
      <c r="A1112" s="20">
        <v>2</v>
      </c>
      <c r="B1112" s="8">
        <v>1470</v>
      </c>
      <c r="C1112" s="8" t="s">
        <v>1527</v>
      </c>
      <c r="D1112" s="8" t="s">
        <v>542</v>
      </c>
      <c r="E1112" s="8" t="s">
        <v>542</v>
      </c>
      <c r="F1112" s="8" t="s">
        <v>551</v>
      </c>
      <c r="G1112" s="8" t="s">
        <v>230</v>
      </c>
      <c r="H1112" s="8">
        <v>9.3576060000000005</v>
      </c>
      <c r="I1112" s="8">
        <v>-79.902405999999999</v>
      </c>
      <c r="J1112" s="21" t="s">
        <v>1517</v>
      </c>
    </row>
    <row r="1113" spans="1:10" x14ac:dyDescent="0.3">
      <c r="A1113" s="20">
        <v>2</v>
      </c>
      <c r="B1113" s="8">
        <v>1471</v>
      </c>
      <c r="C1113" s="8" t="s">
        <v>1528</v>
      </c>
      <c r="D1113" s="8" t="s">
        <v>542</v>
      </c>
      <c r="E1113" s="8" t="s">
        <v>542</v>
      </c>
      <c r="F1113" s="8" t="s">
        <v>1522</v>
      </c>
      <c r="G1113" s="8" t="s">
        <v>12</v>
      </c>
      <c r="H1113" s="8">
        <v>9.3646379999999994</v>
      </c>
      <c r="I1113" s="8">
        <v>-79.852964999999998</v>
      </c>
      <c r="J1113" s="21" t="s">
        <v>1520</v>
      </c>
    </row>
    <row r="1114" spans="1:10" x14ac:dyDescent="0.3">
      <c r="A1114" s="20">
        <v>2</v>
      </c>
      <c r="B1114" s="8">
        <v>1472</v>
      </c>
      <c r="C1114" s="8" t="s">
        <v>1529</v>
      </c>
      <c r="D1114" s="8" t="s">
        <v>542</v>
      </c>
      <c r="E1114" s="8" t="s">
        <v>542</v>
      </c>
      <c r="F1114" s="8" t="s">
        <v>1522</v>
      </c>
      <c r="G1114" s="8" t="s">
        <v>230</v>
      </c>
      <c r="H1114" s="8">
        <v>9.3669340000000005</v>
      </c>
      <c r="I1114" s="8">
        <v>-79.845254999999995</v>
      </c>
      <c r="J1114" s="21" t="s">
        <v>1517</v>
      </c>
    </row>
    <row r="1115" spans="1:10" x14ac:dyDescent="0.3">
      <c r="A1115" s="20">
        <v>2</v>
      </c>
      <c r="B1115" s="8">
        <v>1474</v>
      </c>
      <c r="C1115" s="8" t="s">
        <v>1530</v>
      </c>
      <c r="D1115" s="8" t="s">
        <v>644</v>
      </c>
      <c r="E1115" s="8" t="s">
        <v>644</v>
      </c>
      <c r="F1115" s="8" t="s">
        <v>707</v>
      </c>
      <c r="G1115" s="8" t="s">
        <v>230</v>
      </c>
      <c r="H1115" s="8">
        <v>8.9798329999999993</v>
      </c>
      <c r="I1115" s="8">
        <v>-79.545771999999999</v>
      </c>
      <c r="J1115" s="21" t="s">
        <v>1531</v>
      </c>
    </row>
    <row r="1116" spans="1:10" x14ac:dyDescent="0.3">
      <c r="A1116" s="20">
        <v>2</v>
      </c>
      <c r="B1116" s="8">
        <v>1475</v>
      </c>
      <c r="C1116" s="8" t="s">
        <v>1532</v>
      </c>
      <c r="D1116" s="8" t="s">
        <v>644</v>
      </c>
      <c r="E1116" s="8" t="s">
        <v>644</v>
      </c>
      <c r="F1116" s="8" t="s">
        <v>707</v>
      </c>
      <c r="G1116" s="8" t="s">
        <v>230</v>
      </c>
      <c r="H1116" s="8">
        <v>8.9819060000000004</v>
      </c>
      <c r="I1116" s="8">
        <v>-79.536680000000004</v>
      </c>
      <c r="J1116" s="21" t="s">
        <v>1469</v>
      </c>
    </row>
    <row r="1117" spans="1:10" x14ac:dyDescent="0.3">
      <c r="A1117" s="20">
        <v>2</v>
      </c>
      <c r="B1117" s="8">
        <v>1476</v>
      </c>
      <c r="C1117" s="8" t="s">
        <v>1533</v>
      </c>
      <c r="D1117" s="8" t="s">
        <v>644</v>
      </c>
      <c r="E1117" s="8" t="s">
        <v>644</v>
      </c>
      <c r="F1117" s="8" t="s">
        <v>707</v>
      </c>
      <c r="G1117" s="8" t="s">
        <v>230</v>
      </c>
      <c r="H1117" s="8">
        <v>8.9839420000000008</v>
      </c>
      <c r="I1117" s="8">
        <v>-79.535146999999995</v>
      </c>
      <c r="J1117" s="21" t="s">
        <v>1531</v>
      </c>
    </row>
    <row r="1118" spans="1:10" x14ac:dyDescent="0.3">
      <c r="A1118" s="20">
        <v>2</v>
      </c>
      <c r="B1118" s="8">
        <v>1479</v>
      </c>
      <c r="C1118" s="8" t="s">
        <v>1534</v>
      </c>
      <c r="D1118" s="8" t="s">
        <v>644</v>
      </c>
      <c r="E1118" s="8" t="s">
        <v>644</v>
      </c>
      <c r="F1118" s="8" t="s">
        <v>701</v>
      </c>
      <c r="G1118" s="8" t="s">
        <v>230</v>
      </c>
      <c r="H1118" s="8">
        <v>8.9746229999999994</v>
      </c>
      <c r="I1118" s="8">
        <v>-79.559267000000006</v>
      </c>
      <c r="J1118" s="21" t="s">
        <v>1531</v>
      </c>
    </row>
    <row r="1119" spans="1:10" x14ac:dyDescent="0.3">
      <c r="A1119" s="20">
        <v>2</v>
      </c>
      <c r="B1119" s="8">
        <v>1480</v>
      </c>
      <c r="C1119" s="8" t="s">
        <v>1535</v>
      </c>
      <c r="D1119" s="8" t="s">
        <v>644</v>
      </c>
      <c r="E1119" s="8" t="s">
        <v>644</v>
      </c>
      <c r="F1119" s="8" t="s">
        <v>701</v>
      </c>
      <c r="G1119" s="8" t="s">
        <v>230</v>
      </c>
      <c r="H1119" s="8">
        <v>8.9597920000000002</v>
      </c>
      <c r="I1119" s="8">
        <v>-79.543120999999999</v>
      </c>
      <c r="J1119" s="21" t="s">
        <v>1531</v>
      </c>
    </row>
    <row r="1120" spans="1:10" x14ac:dyDescent="0.3">
      <c r="A1120" s="20">
        <v>2</v>
      </c>
      <c r="B1120" s="8">
        <v>1481</v>
      </c>
      <c r="C1120" s="8" t="s">
        <v>1536</v>
      </c>
      <c r="D1120" s="8" t="s">
        <v>644</v>
      </c>
      <c r="E1120" s="8" t="s">
        <v>644</v>
      </c>
      <c r="F1120" s="8" t="s">
        <v>701</v>
      </c>
      <c r="G1120" s="8" t="s">
        <v>99</v>
      </c>
      <c r="H1120" s="8">
        <v>8.9611769999999993</v>
      </c>
      <c r="I1120" s="8">
        <v>-79.546143999999998</v>
      </c>
      <c r="J1120" s="21" t="s">
        <v>1537</v>
      </c>
    </row>
    <row r="1121" spans="1:10" x14ac:dyDescent="0.3">
      <c r="A1121" s="20">
        <v>2</v>
      </c>
      <c r="B1121" s="8">
        <v>1482</v>
      </c>
      <c r="C1121" s="8" t="s">
        <v>1538</v>
      </c>
      <c r="D1121" s="8" t="s">
        <v>644</v>
      </c>
      <c r="E1121" s="8" t="s">
        <v>644</v>
      </c>
      <c r="F1121" s="8" t="s">
        <v>701</v>
      </c>
      <c r="G1121" s="8" t="s">
        <v>230</v>
      </c>
      <c r="H1121" s="8">
        <v>8.9151480000000003</v>
      </c>
      <c r="I1121" s="8">
        <v>-79.528891000000002</v>
      </c>
      <c r="J1121" s="21" t="s">
        <v>1539</v>
      </c>
    </row>
    <row r="1122" spans="1:10" x14ac:dyDescent="0.3">
      <c r="A1122" s="20">
        <v>2</v>
      </c>
      <c r="B1122" s="8">
        <v>1484</v>
      </c>
      <c r="C1122" s="8" t="s">
        <v>1540</v>
      </c>
      <c r="D1122" s="8" t="s">
        <v>644</v>
      </c>
      <c r="E1122" s="8" t="s">
        <v>644</v>
      </c>
      <c r="F1122" s="8" t="s">
        <v>707</v>
      </c>
      <c r="G1122" s="8" t="s">
        <v>230</v>
      </c>
      <c r="H1122" s="8">
        <v>8.9802070000000001</v>
      </c>
      <c r="I1122" s="8">
        <v>-79.536227999999994</v>
      </c>
      <c r="J1122" s="21" t="s">
        <v>1531</v>
      </c>
    </row>
    <row r="1123" spans="1:10" x14ac:dyDescent="0.3">
      <c r="A1123" s="20">
        <v>2</v>
      </c>
      <c r="B1123" s="8">
        <v>1485</v>
      </c>
      <c r="C1123" s="8" t="s">
        <v>1541</v>
      </c>
      <c r="D1123" s="8" t="s">
        <v>644</v>
      </c>
      <c r="E1123" s="8" t="s">
        <v>644</v>
      </c>
      <c r="F1123" s="8" t="s">
        <v>811</v>
      </c>
      <c r="G1123" s="8" t="s">
        <v>230</v>
      </c>
      <c r="H1123" s="8">
        <v>8.9657260000000001</v>
      </c>
      <c r="I1123" s="8">
        <v>-79.537732000000005</v>
      </c>
      <c r="J1123" s="21" t="s">
        <v>1531</v>
      </c>
    </row>
    <row r="1124" spans="1:10" x14ac:dyDescent="0.3">
      <c r="A1124" s="20">
        <v>2</v>
      </c>
      <c r="B1124" s="8">
        <v>1486</v>
      </c>
      <c r="C1124" s="8" t="s">
        <v>1542</v>
      </c>
      <c r="D1124" s="8" t="s">
        <v>644</v>
      </c>
      <c r="E1124" s="8" t="s">
        <v>644</v>
      </c>
      <c r="F1124" s="8" t="s">
        <v>710</v>
      </c>
      <c r="G1124" s="8" t="s">
        <v>230</v>
      </c>
      <c r="H1124" s="8">
        <v>9.0059880000000003</v>
      </c>
      <c r="I1124" s="8">
        <v>-79.528619000000006</v>
      </c>
      <c r="J1124" s="21" t="s">
        <v>1469</v>
      </c>
    </row>
    <row r="1125" spans="1:10" x14ac:dyDescent="0.3">
      <c r="A1125" s="20">
        <v>2</v>
      </c>
      <c r="B1125" s="8">
        <v>1487</v>
      </c>
      <c r="C1125" s="8" t="s">
        <v>1543</v>
      </c>
      <c r="D1125" s="8" t="s">
        <v>644</v>
      </c>
      <c r="E1125" s="8" t="s">
        <v>644</v>
      </c>
      <c r="F1125" s="8" t="s">
        <v>710</v>
      </c>
      <c r="G1125" s="8" t="s">
        <v>12</v>
      </c>
      <c r="H1125" s="8">
        <v>9.0201390000000004</v>
      </c>
      <c r="I1125" s="8">
        <v>-79.528272000000001</v>
      </c>
      <c r="J1125" s="21" t="s">
        <v>1469</v>
      </c>
    </row>
    <row r="1126" spans="1:10" x14ac:dyDescent="0.3">
      <c r="A1126" s="20">
        <v>2</v>
      </c>
      <c r="B1126" s="8">
        <v>1488</v>
      </c>
      <c r="C1126" s="8" t="s">
        <v>1544</v>
      </c>
      <c r="D1126" s="8" t="s">
        <v>644</v>
      </c>
      <c r="E1126" s="8" t="s">
        <v>644</v>
      </c>
      <c r="F1126" s="8" t="s">
        <v>704</v>
      </c>
      <c r="G1126" s="8" t="s">
        <v>230</v>
      </c>
      <c r="H1126" s="8">
        <v>8.9567099999999993</v>
      </c>
      <c r="I1126" s="8">
        <v>-79.535931000000005</v>
      </c>
      <c r="J1126" s="21" t="s">
        <v>1545</v>
      </c>
    </row>
    <row r="1127" spans="1:10" x14ac:dyDescent="0.3">
      <c r="A1127" s="20">
        <v>2</v>
      </c>
      <c r="B1127" s="8">
        <v>1490</v>
      </c>
      <c r="C1127" s="8" t="s">
        <v>1546</v>
      </c>
      <c r="D1127" s="8" t="s">
        <v>644</v>
      </c>
      <c r="E1127" s="8" t="s">
        <v>644</v>
      </c>
      <c r="F1127" s="8" t="s">
        <v>735</v>
      </c>
      <c r="G1127" s="8" t="s">
        <v>230</v>
      </c>
      <c r="H1127" s="8">
        <v>8.9845229999999994</v>
      </c>
      <c r="I1127" s="8">
        <v>-79.535792999999998</v>
      </c>
      <c r="J1127" s="21" t="s">
        <v>1469</v>
      </c>
    </row>
    <row r="1128" spans="1:10" x14ac:dyDescent="0.3">
      <c r="A1128" s="20">
        <v>2</v>
      </c>
      <c r="B1128" s="8">
        <v>1491</v>
      </c>
      <c r="C1128" s="8" t="s">
        <v>1547</v>
      </c>
      <c r="D1128" s="8" t="s">
        <v>644</v>
      </c>
      <c r="E1128" s="8" t="s">
        <v>644</v>
      </c>
      <c r="F1128" s="8" t="s">
        <v>783</v>
      </c>
      <c r="G1128" s="8" t="s">
        <v>230</v>
      </c>
      <c r="H1128" s="8">
        <v>8.9476530000000007</v>
      </c>
      <c r="I1128" s="8">
        <v>-79.548010000000005</v>
      </c>
      <c r="J1128" s="21" t="s">
        <v>1537</v>
      </c>
    </row>
    <row r="1129" spans="1:10" x14ac:dyDescent="0.3">
      <c r="A1129" s="20">
        <v>2</v>
      </c>
      <c r="B1129" s="8">
        <v>1492</v>
      </c>
      <c r="C1129" s="8" t="s">
        <v>1548</v>
      </c>
      <c r="D1129" s="8" t="s">
        <v>644</v>
      </c>
      <c r="E1129" s="8" t="s">
        <v>644</v>
      </c>
      <c r="F1129" s="8" t="s">
        <v>783</v>
      </c>
      <c r="G1129" s="8" t="s">
        <v>230</v>
      </c>
      <c r="H1129" s="8">
        <v>8.9474149999999995</v>
      </c>
      <c r="I1129" s="8">
        <v>-79.548255999999995</v>
      </c>
      <c r="J1129" s="21" t="s">
        <v>1537</v>
      </c>
    </row>
    <row r="1130" spans="1:10" x14ac:dyDescent="0.3">
      <c r="A1130" s="20">
        <v>2</v>
      </c>
      <c r="B1130" s="8">
        <v>1493</v>
      </c>
      <c r="C1130" s="8" t="s">
        <v>1549</v>
      </c>
      <c r="D1130" s="8" t="s">
        <v>644</v>
      </c>
      <c r="E1130" s="8" t="s">
        <v>644</v>
      </c>
      <c r="F1130" s="8" t="s">
        <v>783</v>
      </c>
      <c r="G1130" s="8" t="s">
        <v>230</v>
      </c>
      <c r="H1130" s="8">
        <v>8.951746</v>
      </c>
      <c r="I1130" s="8">
        <v>-79.541371999999996</v>
      </c>
      <c r="J1130" s="21" t="s">
        <v>1550</v>
      </c>
    </row>
    <row r="1131" spans="1:10" x14ac:dyDescent="0.3">
      <c r="A1131" s="20">
        <v>2</v>
      </c>
      <c r="B1131" s="8">
        <v>1494</v>
      </c>
      <c r="C1131" s="8" t="s">
        <v>1551</v>
      </c>
      <c r="D1131" s="8" t="s">
        <v>644</v>
      </c>
      <c r="E1131" s="8" t="s">
        <v>644</v>
      </c>
      <c r="F1131" s="8" t="s">
        <v>676</v>
      </c>
      <c r="G1131" s="8" t="s">
        <v>12</v>
      </c>
      <c r="H1131" s="8">
        <v>9.0984780000000001</v>
      </c>
      <c r="I1131" s="8">
        <v>-79.326554999999999</v>
      </c>
      <c r="J1131" s="21" t="s">
        <v>1552</v>
      </c>
    </row>
    <row r="1132" spans="1:10" x14ac:dyDescent="0.3">
      <c r="A1132" s="20">
        <v>2</v>
      </c>
      <c r="B1132" s="8">
        <v>1495</v>
      </c>
      <c r="C1132" s="8" t="s">
        <v>1553</v>
      </c>
      <c r="D1132" s="8" t="s">
        <v>644</v>
      </c>
      <c r="E1132" s="8" t="s">
        <v>644</v>
      </c>
      <c r="F1132" s="8" t="s">
        <v>792</v>
      </c>
      <c r="G1132" s="8" t="s">
        <v>230</v>
      </c>
      <c r="H1132" s="8">
        <v>9.0451580000000007</v>
      </c>
      <c r="I1132" s="8">
        <v>-79.464226999999994</v>
      </c>
      <c r="J1132" s="21" t="s">
        <v>1552</v>
      </c>
    </row>
    <row r="1133" spans="1:10" x14ac:dyDescent="0.3">
      <c r="A1133" s="20">
        <v>2</v>
      </c>
      <c r="B1133" s="8">
        <v>1496</v>
      </c>
      <c r="C1133" s="8" t="s">
        <v>1554</v>
      </c>
      <c r="D1133" s="8" t="s">
        <v>644</v>
      </c>
      <c r="E1133" s="8" t="s">
        <v>644</v>
      </c>
      <c r="F1133" s="8" t="s">
        <v>792</v>
      </c>
      <c r="G1133" s="8" t="s">
        <v>230</v>
      </c>
      <c r="H1133" s="8">
        <v>9.0372179999999993</v>
      </c>
      <c r="I1133" s="8">
        <v>-79.466975000000005</v>
      </c>
      <c r="J1133" s="21" t="s">
        <v>1552</v>
      </c>
    </row>
    <row r="1134" spans="1:10" x14ac:dyDescent="0.3">
      <c r="A1134" s="20">
        <v>2</v>
      </c>
      <c r="B1134" s="8">
        <v>1497</v>
      </c>
      <c r="C1134" s="8" t="s">
        <v>1555</v>
      </c>
      <c r="D1134" s="8" t="s">
        <v>644</v>
      </c>
      <c r="E1134" s="8" t="s">
        <v>644</v>
      </c>
      <c r="F1134" s="8" t="s">
        <v>447</v>
      </c>
      <c r="G1134" s="8" t="s">
        <v>99</v>
      </c>
      <c r="H1134" s="8">
        <v>8.9742239999999995</v>
      </c>
      <c r="I1134" s="8">
        <v>-79.517728000000005</v>
      </c>
      <c r="J1134" s="21" t="s">
        <v>1539</v>
      </c>
    </row>
    <row r="1135" spans="1:10" x14ac:dyDescent="0.3">
      <c r="A1135" s="20">
        <v>2</v>
      </c>
      <c r="B1135" s="8">
        <v>1498</v>
      </c>
      <c r="C1135" s="8" t="s">
        <v>1556</v>
      </c>
      <c r="D1135" s="8" t="s">
        <v>644</v>
      </c>
      <c r="E1135" s="8" t="s">
        <v>644</v>
      </c>
      <c r="F1135" s="8" t="s">
        <v>839</v>
      </c>
      <c r="G1135" s="8" t="s">
        <v>12</v>
      </c>
      <c r="H1135" s="8">
        <v>9.0859369999999995</v>
      </c>
      <c r="I1135" s="8">
        <v>-79.294560000000004</v>
      </c>
      <c r="J1135" s="21" t="s">
        <v>1552</v>
      </c>
    </row>
    <row r="1136" spans="1:10" x14ac:dyDescent="0.3">
      <c r="A1136" s="20">
        <v>2</v>
      </c>
      <c r="B1136" s="8">
        <v>1499</v>
      </c>
      <c r="C1136" s="8" t="s">
        <v>1557</v>
      </c>
      <c r="D1136" s="8" t="s">
        <v>644</v>
      </c>
      <c r="E1136" s="8" t="s">
        <v>644</v>
      </c>
      <c r="F1136" s="8" t="s">
        <v>142</v>
      </c>
      <c r="G1136" s="8" t="s">
        <v>12</v>
      </c>
      <c r="H1136" s="8">
        <v>9.0702590000000001</v>
      </c>
      <c r="I1136" s="8">
        <v>-79.424268999999995</v>
      </c>
      <c r="J1136" s="21" t="s">
        <v>1552</v>
      </c>
    </row>
    <row r="1137" spans="1:10" x14ac:dyDescent="0.3">
      <c r="A1137" s="20">
        <v>2</v>
      </c>
      <c r="B1137" s="8">
        <v>1500</v>
      </c>
      <c r="C1137" s="8" t="s">
        <v>1558</v>
      </c>
      <c r="D1137" s="8" t="s">
        <v>644</v>
      </c>
      <c r="E1137" s="8" t="s">
        <v>644</v>
      </c>
      <c r="F1137" s="8" t="s">
        <v>447</v>
      </c>
      <c r="G1137" s="8" t="s">
        <v>230</v>
      </c>
      <c r="H1137" s="8">
        <v>8.985144</v>
      </c>
      <c r="I1137" s="8">
        <v>-79.506071000000006</v>
      </c>
      <c r="J1137" s="21" t="s">
        <v>1469</v>
      </c>
    </row>
    <row r="1138" spans="1:10" x14ac:dyDescent="0.3">
      <c r="A1138" s="20">
        <v>2</v>
      </c>
      <c r="B1138" s="8">
        <v>1501</v>
      </c>
      <c r="C1138" s="8" t="s">
        <v>1559</v>
      </c>
      <c r="D1138" s="8" t="s">
        <v>644</v>
      </c>
      <c r="E1138" s="8" t="s">
        <v>644</v>
      </c>
      <c r="F1138" s="8" t="s">
        <v>447</v>
      </c>
      <c r="G1138" s="8" t="s">
        <v>12</v>
      </c>
      <c r="H1138" s="8">
        <v>8.9982070000000007</v>
      </c>
      <c r="I1138" s="8">
        <v>-79.506818999999993</v>
      </c>
      <c r="J1138" s="21" t="s">
        <v>1537</v>
      </c>
    </row>
    <row r="1139" spans="1:10" x14ac:dyDescent="0.3">
      <c r="A1139" s="20">
        <v>2</v>
      </c>
      <c r="B1139" s="8">
        <v>1502</v>
      </c>
      <c r="C1139" s="8" t="s">
        <v>1560</v>
      </c>
      <c r="D1139" s="8" t="s">
        <v>644</v>
      </c>
      <c r="E1139" s="8" t="s">
        <v>644</v>
      </c>
      <c r="F1139" s="8" t="s">
        <v>914</v>
      </c>
      <c r="G1139" s="8" t="s">
        <v>12</v>
      </c>
      <c r="H1139" s="8">
        <v>9.0805389999999999</v>
      </c>
      <c r="I1139" s="8">
        <v>-79.385358999999994</v>
      </c>
      <c r="J1139" s="21" t="s">
        <v>1552</v>
      </c>
    </row>
    <row r="1140" spans="1:10" x14ac:dyDescent="0.3">
      <c r="A1140" s="20">
        <v>2</v>
      </c>
      <c r="B1140" s="8">
        <v>1503</v>
      </c>
      <c r="C1140" s="8" t="s">
        <v>1561</v>
      </c>
      <c r="D1140" s="8" t="s">
        <v>644</v>
      </c>
      <c r="E1140" s="8" t="s">
        <v>925</v>
      </c>
      <c r="F1140" s="8" t="s">
        <v>967</v>
      </c>
      <c r="G1140" s="8" t="s">
        <v>12</v>
      </c>
      <c r="H1140" s="8">
        <v>9.0368899999999996</v>
      </c>
      <c r="I1140" s="8">
        <v>-79.498058999999998</v>
      </c>
      <c r="J1140" s="21" t="s">
        <v>1469</v>
      </c>
    </row>
    <row r="1141" spans="1:10" x14ac:dyDescent="0.3">
      <c r="A1141" s="20">
        <v>2</v>
      </c>
      <c r="B1141" s="8">
        <v>1504</v>
      </c>
      <c r="C1141" s="8" t="s">
        <v>1562</v>
      </c>
      <c r="D1141" s="8" t="s">
        <v>644</v>
      </c>
      <c r="E1141" s="8" t="s">
        <v>925</v>
      </c>
      <c r="F1141" s="8" t="s">
        <v>937</v>
      </c>
      <c r="G1141" s="8" t="s">
        <v>230</v>
      </c>
      <c r="H1141" s="8">
        <v>9.0824999999999996</v>
      </c>
      <c r="I1141" s="8">
        <v>-79.491934999999998</v>
      </c>
      <c r="J1141" s="21" t="s">
        <v>1469</v>
      </c>
    </row>
    <row r="1142" spans="1:10" x14ac:dyDescent="0.3">
      <c r="A1142" s="20">
        <v>2</v>
      </c>
      <c r="B1142" s="8">
        <v>1505</v>
      </c>
      <c r="C1142" s="8" t="s">
        <v>1563</v>
      </c>
      <c r="D1142" s="8" t="s">
        <v>542</v>
      </c>
      <c r="E1142" s="8" t="s">
        <v>1564</v>
      </c>
      <c r="F1142" s="8" t="s">
        <v>1565</v>
      </c>
      <c r="G1142" s="8" t="s">
        <v>12</v>
      </c>
      <c r="H1142" s="8">
        <v>9.5733239999999995</v>
      </c>
      <c r="I1142" s="8">
        <v>-79.359752999999998</v>
      </c>
      <c r="J1142" s="21" t="s">
        <v>1462</v>
      </c>
    </row>
    <row r="1143" spans="1:10" x14ac:dyDescent="0.3">
      <c r="A1143" s="20">
        <v>2</v>
      </c>
      <c r="B1143" s="8">
        <v>1506</v>
      </c>
      <c r="C1143" s="8" t="s">
        <v>1566</v>
      </c>
      <c r="D1143" s="8" t="s">
        <v>644</v>
      </c>
      <c r="E1143" s="8" t="s">
        <v>644</v>
      </c>
      <c r="F1143" s="8" t="s">
        <v>142</v>
      </c>
      <c r="G1143" s="8" t="s">
        <v>12</v>
      </c>
      <c r="H1143" s="8">
        <v>9.0676229999999993</v>
      </c>
      <c r="I1143" s="8">
        <v>-79.419016999999997</v>
      </c>
      <c r="J1143" s="21" t="s">
        <v>1567</v>
      </c>
    </row>
    <row r="1144" spans="1:10" x14ac:dyDescent="0.3">
      <c r="A1144" s="20">
        <v>2</v>
      </c>
      <c r="B1144" s="8">
        <v>1507</v>
      </c>
      <c r="C1144" s="8" t="s">
        <v>1568</v>
      </c>
      <c r="D1144" s="8" t="s">
        <v>644</v>
      </c>
      <c r="E1144" s="8" t="s">
        <v>644</v>
      </c>
      <c r="F1144" s="8" t="s">
        <v>722</v>
      </c>
      <c r="G1144" s="8" t="s">
        <v>12</v>
      </c>
      <c r="H1144" s="8">
        <v>9.1729889999999994</v>
      </c>
      <c r="I1144" s="8">
        <v>-79.610444000000001</v>
      </c>
      <c r="J1144" s="21" t="s">
        <v>1520</v>
      </c>
    </row>
    <row r="1145" spans="1:10" x14ac:dyDescent="0.3">
      <c r="A1145" s="20">
        <v>3</v>
      </c>
      <c r="B1145" s="8">
        <v>1510</v>
      </c>
      <c r="C1145" s="8" t="s">
        <v>1569</v>
      </c>
      <c r="D1145" s="8" t="s">
        <v>1167</v>
      </c>
      <c r="E1145" s="8" t="s">
        <v>1215</v>
      </c>
      <c r="F1145" s="8" t="s">
        <v>1215</v>
      </c>
      <c r="G1145" s="8" t="s">
        <v>12</v>
      </c>
      <c r="H1145" s="8">
        <v>7.9077029999999997</v>
      </c>
      <c r="I1145" s="8">
        <v>-80.612898999999999</v>
      </c>
      <c r="J1145" s="21" t="s">
        <v>1480</v>
      </c>
    </row>
    <row r="1146" spans="1:10" hidden="1" x14ac:dyDescent="0.3">
      <c r="A1146" s="20">
        <v>1</v>
      </c>
      <c r="B1146" s="8">
        <v>1511</v>
      </c>
      <c r="C1146" s="8" t="s">
        <v>1570</v>
      </c>
      <c r="D1146" s="8" t="s">
        <v>77</v>
      </c>
      <c r="E1146" s="8" t="s">
        <v>286</v>
      </c>
      <c r="F1146" s="8" t="s">
        <v>294</v>
      </c>
      <c r="G1146" s="8" t="s">
        <v>12</v>
      </c>
      <c r="H1146" s="8">
        <v>8.5340089999999993</v>
      </c>
      <c r="I1146" s="8">
        <v>-82.420703000000003</v>
      </c>
      <c r="J1146" s="21" t="s">
        <v>1491</v>
      </c>
    </row>
    <row r="1147" spans="1:10" x14ac:dyDescent="0.3">
      <c r="A1147" s="20">
        <v>2</v>
      </c>
      <c r="B1147" s="8">
        <v>1512</v>
      </c>
      <c r="C1147" s="8" t="s">
        <v>1571</v>
      </c>
      <c r="D1147" s="8" t="s">
        <v>542</v>
      </c>
      <c r="E1147" s="8" t="s">
        <v>542</v>
      </c>
      <c r="F1147" s="8" t="s">
        <v>551</v>
      </c>
      <c r="G1147" s="8" t="s">
        <v>12</v>
      </c>
      <c r="H1147" s="8">
        <v>9.3563740000000006</v>
      </c>
      <c r="I1147" s="8">
        <v>-79.897615000000002</v>
      </c>
      <c r="J1147" s="21" t="s">
        <v>1517</v>
      </c>
    </row>
    <row r="1148" spans="1:10" x14ac:dyDescent="0.3">
      <c r="A1148" s="20">
        <v>3</v>
      </c>
      <c r="B1148" s="8">
        <v>1513</v>
      </c>
      <c r="C1148" s="8" t="s">
        <v>1572</v>
      </c>
      <c r="D1148" s="8" t="s">
        <v>994</v>
      </c>
      <c r="E1148" s="8" t="s">
        <v>1080</v>
      </c>
      <c r="F1148" s="8" t="s">
        <v>1080</v>
      </c>
      <c r="G1148" s="8" t="s">
        <v>12</v>
      </c>
      <c r="H1148" s="8">
        <v>8.3328009999999999</v>
      </c>
      <c r="I1148" s="8">
        <v>-80.516264000000007</v>
      </c>
      <c r="J1148" s="21" t="s">
        <v>1479</v>
      </c>
    </row>
    <row r="1149" spans="1:10" x14ac:dyDescent="0.3">
      <c r="A1149" s="20">
        <v>3</v>
      </c>
      <c r="B1149" s="8">
        <v>1515</v>
      </c>
      <c r="C1149" s="8" t="s">
        <v>1573</v>
      </c>
      <c r="D1149" s="8" t="s">
        <v>1287</v>
      </c>
      <c r="E1149" s="8" t="s">
        <v>1288</v>
      </c>
      <c r="F1149" s="8" t="s">
        <v>1329</v>
      </c>
      <c r="G1149" s="8" t="s">
        <v>12</v>
      </c>
      <c r="H1149" s="8">
        <v>8.9267240000000001</v>
      </c>
      <c r="I1149" s="8">
        <v>-79.708552999999995</v>
      </c>
      <c r="J1149" s="21" t="s">
        <v>1500</v>
      </c>
    </row>
    <row r="1150" spans="1:10" x14ac:dyDescent="0.3">
      <c r="A1150" s="20">
        <v>1</v>
      </c>
      <c r="B1150" s="8">
        <v>1516</v>
      </c>
      <c r="C1150" s="8" t="s">
        <v>1574</v>
      </c>
      <c r="D1150" s="8" t="s">
        <v>365</v>
      </c>
      <c r="E1150" s="8" t="s">
        <v>379</v>
      </c>
      <c r="F1150" s="8" t="s">
        <v>391</v>
      </c>
      <c r="G1150" s="8" t="s">
        <v>53</v>
      </c>
      <c r="H1150" s="8">
        <v>8.4002780000000001</v>
      </c>
      <c r="I1150" s="8">
        <v>-81.548889000000003</v>
      </c>
      <c r="J1150" s="21" t="s">
        <v>1575</v>
      </c>
    </row>
    <row r="1151" spans="1:10" x14ac:dyDescent="0.3">
      <c r="A1151" s="20">
        <v>3</v>
      </c>
      <c r="B1151" s="8">
        <v>1517</v>
      </c>
      <c r="C1151" s="8" t="s">
        <v>1576</v>
      </c>
      <c r="D1151" s="8" t="s">
        <v>1223</v>
      </c>
      <c r="E1151" s="8" t="s">
        <v>1223</v>
      </c>
      <c r="F1151" s="8" t="s">
        <v>1249</v>
      </c>
      <c r="G1151" s="8" t="s">
        <v>12</v>
      </c>
      <c r="H1151" s="8">
        <v>7.9355250000000002</v>
      </c>
      <c r="I1151" s="8">
        <v>-80.417873</v>
      </c>
      <c r="J1151" s="21" t="s">
        <v>1491</v>
      </c>
    </row>
    <row r="1152" spans="1:10" x14ac:dyDescent="0.3">
      <c r="A1152" s="20">
        <v>3</v>
      </c>
      <c r="B1152" s="8">
        <v>1518</v>
      </c>
      <c r="C1152" s="8" t="s">
        <v>1577</v>
      </c>
      <c r="D1152" s="8" t="s">
        <v>994</v>
      </c>
      <c r="E1152" s="8" t="s">
        <v>1578</v>
      </c>
      <c r="F1152" s="8" t="s">
        <v>1579</v>
      </c>
      <c r="G1152" s="8" t="s">
        <v>462</v>
      </c>
      <c r="H1152" s="8">
        <v>8.1155369999999998</v>
      </c>
      <c r="I1152" s="8">
        <v>-80.613829999999993</v>
      </c>
      <c r="J1152" s="21" t="s">
        <v>1580</v>
      </c>
    </row>
    <row r="1153" spans="1:10" x14ac:dyDescent="0.3">
      <c r="A1153" s="20">
        <v>3</v>
      </c>
      <c r="B1153" s="8">
        <v>1519</v>
      </c>
      <c r="C1153" s="8" t="s">
        <v>1581</v>
      </c>
      <c r="D1153" s="8" t="s">
        <v>994</v>
      </c>
      <c r="E1153" s="8" t="s">
        <v>1578</v>
      </c>
      <c r="F1153" s="8" t="s">
        <v>1578</v>
      </c>
      <c r="G1153" s="8" t="s">
        <v>12</v>
      </c>
      <c r="H1153" s="8">
        <v>8.4492340000000006</v>
      </c>
      <c r="I1153" s="8">
        <v>-80.648512999999994</v>
      </c>
      <c r="J1153" s="21" t="s">
        <v>1580</v>
      </c>
    </row>
    <row r="1154" spans="1:10" x14ac:dyDescent="0.3">
      <c r="A1154" s="20">
        <v>3</v>
      </c>
      <c r="B1154" s="8">
        <v>1520</v>
      </c>
      <c r="C1154" s="8" t="s">
        <v>1582</v>
      </c>
      <c r="D1154" s="8" t="s">
        <v>994</v>
      </c>
      <c r="E1154" s="8" t="s">
        <v>1027</v>
      </c>
      <c r="F1154" s="8" t="s">
        <v>1583</v>
      </c>
      <c r="G1154" s="8" t="s">
        <v>12</v>
      </c>
      <c r="H1154" s="8">
        <v>8.5469069999999991</v>
      </c>
      <c r="I1154" s="8">
        <v>-80.19632</v>
      </c>
      <c r="J1154" s="21" t="s">
        <v>1584</v>
      </c>
    </row>
    <row r="1155" spans="1:10" x14ac:dyDescent="0.3">
      <c r="A1155" s="20">
        <v>3</v>
      </c>
      <c r="B1155" s="8">
        <v>1521</v>
      </c>
      <c r="C1155" s="8" t="s">
        <v>1585</v>
      </c>
      <c r="D1155" s="8" t="s">
        <v>994</v>
      </c>
      <c r="E1155" s="8" t="s">
        <v>1027</v>
      </c>
      <c r="F1155" s="8" t="s">
        <v>1586</v>
      </c>
      <c r="G1155" s="8" t="s">
        <v>12</v>
      </c>
      <c r="H1155" s="8">
        <v>8.5936880000000002</v>
      </c>
      <c r="I1155" s="8">
        <v>-80.174983999999995</v>
      </c>
      <c r="J1155" s="21" t="s">
        <v>1584</v>
      </c>
    </row>
    <row r="1156" spans="1:10" x14ac:dyDescent="0.3">
      <c r="A1156" s="20">
        <v>3</v>
      </c>
      <c r="B1156" s="8">
        <v>1522</v>
      </c>
      <c r="C1156" s="8" t="s">
        <v>1587</v>
      </c>
      <c r="D1156" s="8" t="s">
        <v>1287</v>
      </c>
      <c r="E1156" s="8" t="s">
        <v>274</v>
      </c>
      <c r="F1156" s="8" t="s">
        <v>1382</v>
      </c>
      <c r="G1156" s="8" t="s">
        <v>12</v>
      </c>
      <c r="H1156" s="8">
        <v>8.4733710000000002</v>
      </c>
      <c r="I1156" s="8">
        <v>-79.956771000000003</v>
      </c>
      <c r="J1156" s="21" t="s">
        <v>1498</v>
      </c>
    </row>
    <row r="1157" spans="1:10" x14ac:dyDescent="0.3">
      <c r="A1157" s="20">
        <v>3</v>
      </c>
      <c r="B1157" s="8">
        <v>1523</v>
      </c>
      <c r="C1157" s="8" t="s">
        <v>1588</v>
      </c>
      <c r="D1157" s="8" t="s">
        <v>994</v>
      </c>
      <c r="E1157" s="8" t="s">
        <v>1578</v>
      </c>
      <c r="F1157" s="8" t="s">
        <v>1578</v>
      </c>
      <c r="G1157" s="8" t="s">
        <v>12</v>
      </c>
      <c r="H1157" s="8">
        <v>8.4210049999999992</v>
      </c>
      <c r="I1157" s="8">
        <v>-80.650811000000004</v>
      </c>
      <c r="J1157" s="21" t="s">
        <v>1580</v>
      </c>
    </row>
    <row r="1158" spans="1:10" x14ac:dyDescent="0.3">
      <c r="A1158" s="20">
        <v>3</v>
      </c>
      <c r="B1158" s="8">
        <v>1526</v>
      </c>
      <c r="C1158" s="8" t="s">
        <v>1589</v>
      </c>
      <c r="D1158" s="8" t="s">
        <v>994</v>
      </c>
      <c r="E1158" s="8" t="s">
        <v>1578</v>
      </c>
      <c r="F1158" s="8" t="s">
        <v>1590</v>
      </c>
      <c r="G1158" s="8" t="s">
        <v>99</v>
      </c>
      <c r="H1158" s="8">
        <v>8.430555</v>
      </c>
      <c r="I1158" s="8">
        <v>-80.680079000000006</v>
      </c>
      <c r="J1158" s="21" t="s">
        <v>1591</v>
      </c>
    </row>
    <row r="1159" spans="1:10" x14ac:dyDescent="0.3">
      <c r="A1159" s="20">
        <v>3</v>
      </c>
      <c r="B1159" s="8">
        <v>1527</v>
      </c>
      <c r="C1159" s="8" t="s">
        <v>1592</v>
      </c>
      <c r="D1159" s="8" t="s">
        <v>994</v>
      </c>
      <c r="E1159" s="8" t="s">
        <v>1091</v>
      </c>
      <c r="F1159" s="8" t="s">
        <v>1148</v>
      </c>
      <c r="G1159" s="8" t="s">
        <v>230</v>
      </c>
      <c r="H1159" s="8">
        <v>8.6324039999999993</v>
      </c>
      <c r="I1159" s="8">
        <v>-80.337489000000005</v>
      </c>
      <c r="J1159" s="21" t="s">
        <v>1591</v>
      </c>
    </row>
    <row r="1160" spans="1:10" x14ac:dyDescent="0.3">
      <c r="A1160" s="20">
        <v>3</v>
      </c>
      <c r="B1160" s="8">
        <v>1524</v>
      </c>
      <c r="C1160" s="8" t="s">
        <v>1593</v>
      </c>
      <c r="D1160" s="8" t="s">
        <v>1223</v>
      </c>
      <c r="E1160" s="8" t="s">
        <v>1233</v>
      </c>
      <c r="F1160" s="8" t="s">
        <v>207</v>
      </c>
      <c r="G1160" s="8" t="s">
        <v>12</v>
      </c>
      <c r="H1160" s="8"/>
      <c r="I1160" s="8"/>
      <c r="J1160" s="21" t="s">
        <v>1545</v>
      </c>
    </row>
    <row r="1161" spans="1:10" x14ac:dyDescent="0.3">
      <c r="A1161" s="20">
        <v>2</v>
      </c>
      <c r="B1161" s="8">
        <v>1525</v>
      </c>
      <c r="C1161" s="8" t="s">
        <v>1594</v>
      </c>
      <c r="D1161" s="8" t="s">
        <v>644</v>
      </c>
      <c r="E1161" s="8" t="s">
        <v>644</v>
      </c>
      <c r="F1161" s="8" t="s">
        <v>811</v>
      </c>
      <c r="G1161" s="8" t="s">
        <v>230</v>
      </c>
      <c r="H1161" s="8">
        <v>8.9587269999999997</v>
      </c>
      <c r="I1161" s="8">
        <v>-79.537441999999999</v>
      </c>
      <c r="J1161" s="21" t="s">
        <v>1545</v>
      </c>
    </row>
    <row r="1162" spans="1:10" hidden="1" x14ac:dyDescent="0.3">
      <c r="A1162" s="20">
        <v>1</v>
      </c>
      <c r="B1162" s="8">
        <v>1528</v>
      </c>
      <c r="C1162" s="8" t="s">
        <v>1595</v>
      </c>
      <c r="D1162" s="8" t="s">
        <v>77</v>
      </c>
      <c r="E1162" s="8" t="s">
        <v>220</v>
      </c>
      <c r="F1162" s="8" t="s">
        <v>77</v>
      </c>
      <c r="G1162" s="8" t="s">
        <v>99</v>
      </c>
      <c r="H1162" s="8">
        <v>8.4219889999999999</v>
      </c>
      <c r="I1162" s="8">
        <v>-82.436528999999993</v>
      </c>
      <c r="J1162" s="21" t="s">
        <v>1491</v>
      </c>
    </row>
    <row r="1163" spans="1:10" x14ac:dyDescent="0.3">
      <c r="A1163" s="20">
        <v>3</v>
      </c>
      <c r="B1163" s="8">
        <v>1529</v>
      </c>
      <c r="C1163" s="8" t="s">
        <v>1596</v>
      </c>
      <c r="D1163" s="8" t="s">
        <v>1167</v>
      </c>
      <c r="E1163" s="8" t="s">
        <v>1199</v>
      </c>
      <c r="F1163" s="8" t="s">
        <v>1199</v>
      </c>
      <c r="G1163" s="8" t="s">
        <v>12</v>
      </c>
      <c r="H1163" s="8">
        <v>7.7878610000000004</v>
      </c>
      <c r="I1163" s="8">
        <v>-80.646276</v>
      </c>
      <c r="J1163" s="21" t="s">
        <v>1480</v>
      </c>
    </row>
    <row r="1164" spans="1:10" x14ac:dyDescent="0.3">
      <c r="A1164" s="20">
        <v>3</v>
      </c>
      <c r="B1164" s="8">
        <v>1530</v>
      </c>
      <c r="C1164" s="8" t="s">
        <v>1597</v>
      </c>
      <c r="D1164" s="8" t="s">
        <v>1223</v>
      </c>
      <c r="E1164" s="8" t="s">
        <v>1233</v>
      </c>
      <c r="F1164" s="8" t="s">
        <v>1233</v>
      </c>
      <c r="G1164" s="8" t="s">
        <v>12</v>
      </c>
      <c r="H1164" s="8">
        <v>7.7705109999999999</v>
      </c>
      <c r="I1164" s="8">
        <v>-80.276047000000005</v>
      </c>
      <c r="J1164" s="21" t="s">
        <v>1545</v>
      </c>
    </row>
    <row r="1165" spans="1:10" x14ac:dyDescent="0.3">
      <c r="A1165" s="20">
        <v>3</v>
      </c>
      <c r="B1165" s="8">
        <v>1531</v>
      </c>
      <c r="C1165" s="8" t="s">
        <v>1598</v>
      </c>
      <c r="D1165" s="8" t="s">
        <v>994</v>
      </c>
      <c r="E1165" s="8" t="s">
        <v>1091</v>
      </c>
      <c r="F1165" s="8" t="s">
        <v>1091</v>
      </c>
      <c r="G1165" s="8" t="s">
        <v>12</v>
      </c>
      <c r="H1165" s="8">
        <v>8.5249349999999993</v>
      </c>
      <c r="I1165" s="8">
        <v>-80.356769999999997</v>
      </c>
      <c r="J1165" s="21" t="s">
        <v>1584</v>
      </c>
    </row>
    <row r="1166" spans="1:10" x14ac:dyDescent="0.3">
      <c r="A1166" s="20">
        <v>3</v>
      </c>
      <c r="B1166" s="8">
        <v>1532</v>
      </c>
      <c r="C1166" s="8" t="s">
        <v>1599</v>
      </c>
      <c r="D1166" s="8" t="s">
        <v>1287</v>
      </c>
      <c r="E1166" s="8" t="s">
        <v>1332</v>
      </c>
      <c r="F1166" s="8" t="s">
        <v>1600</v>
      </c>
      <c r="G1166" s="8" t="s">
        <v>12</v>
      </c>
      <c r="H1166" s="8">
        <v>8.8293759999999999</v>
      </c>
      <c r="I1166" s="8">
        <v>-80.052443999999994</v>
      </c>
      <c r="J1166" s="21" t="s">
        <v>1601</v>
      </c>
    </row>
    <row r="1167" spans="1:10" x14ac:dyDescent="0.3">
      <c r="A1167" s="20">
        <v>3</v>
      </c>
      <c r="B1167" s="8">
        <v>1533</v>
      </c>
      <c r="C1167" s="8" t="s">
        <v>1602</v>
      </c>
      <c r="D1167" s="8" t="s">
        <v>1287</v>
      </c>
      <c r="E1167" s="8" t="s">
        <v>1345</v>
      </c>
      <c r="F1167" s="8" t="s">
        <v>1603</v>
      </c>
      <c r="G1167" s="8" t="s">
        <v>12</v>
      </c>
      <c r="H1167" s="8">
        <v>8.4947569999999999</v>
      </c>
      <c r="I1167" s="8">
        <v>-82.637788</v>
      </c>
      <c r="J1167" s="21" t="s">
        <v>1604</v>
      </c>
    </row>
    <row r="1168" spans="1:10" x14ac:dyDescent="0.3">
      <c r="A1168" s="20">
        <v>3</v>
      </c>
      <c r="B1168" s="8">
        <v>1534</v>
      </c>
      <c r="C1168" s="8" t="s">
        <v>1605</v>
      </c>
      <c r="D1168" s="8" t="s">
        <v>1287</v>
      </c>
      <c r="E1168" s="8" t="s">
        <v>274</v>
      </c>
      <c r="F1168" s="8" t="s">
        <v>1606</v>
      </c>
      <c r="G1168" s="8" t="s">
        <v>12</v>
      </c>
      <c r="H1168" s="8">
        <v>8.6217939999999995</v>
      </c>
      <c r="I1168" s="8">
        <v>-80.097406000000007</v>
      </c>
      <c r="J1168" s="21" t="s">
        <v>1604</v>
      </c>
    </row>
    <row r="1169" spans="1:10" x14ac:dyDescent="0.3">
      <c r="A1169" s="20">
        <v>3</v>
      </c>
      <c r="B1169" s="8">
        <v>1535</v>
      </c>
      <c r="C1169" s="8" t="s">
        <v>1607</v>
      </c>
      <c r="D1169" s="8" t="s">
        <v>542</v>
      </c>
      <c r="E1169" s="8" t="s">
        <v>1160</v>
      </c>
      <c r="F1169" s="8" t="s">
        <v>1608</v>
      </c>
      <c r="G1169" s="8" t="s">
        <v>230</v>
      </c>
      <c r="H1169" s="8">
        <v>9.2273639999999997</v>
      </c>
      <c r="I1169" s="8">
        <v>-80.084411000000003</v>
      </c>
      <c r="J1169" s="21" t="s">
        <v>1609</v>
      </c>
    </row>
    <row r="1170" spans="1:10" x14ac:dyDescent="0.3">
      <c r="A1170" s="20">
        <v>3</v>
      </c>
      <c r="B1170" s="8">
        <v>1536</v>
      </c>
      <c r="C1170" s="8" t="s">
        <v>1610</v>
      </c>
      <c r="D1170" s="8" t="s">
        <v>542</v>
      </c>
      <c r="E1170" s="8" t="s">
        <v>542</v>
      </c>
      <c r="F1170" s="8" t="s">
        <v>1611</v>
      </c>
      <c r="G1170" s="8" t="s">
        <v>230</v>
      </c>
      <c r="H1170" s="8">
        <v>9.1487540000000003</v>
      </c>
      <c r="I1170" s="8">
        <v>-79.963095999999993</v>
      </c>
      <c r="J1170" s="21" t="s">
        <v>1609</v>
      </c>
    </row>
    <row r="1171" spans="1:10" x14ac:dyDescent="0.3">
      <c r="A1171" s="20">
        <v>3</v>
      </c>
      <c r="B1171" s="8">
        <v>1537</v>
      </c>
      <c r="C1171" s="8" t="s">
        <v>1612</v>
      </c>
      <c r="D1171" s="8" t="s">
        <v>1167</v>
      </c>
      <c r="E1171" s="8" t="s">
        <v>1483</v>
      </c>
      <c r="F1171" s="8" t="s">
        <v>1613</v>
      </c>
      <c r="G1171" s="8" t="s">
        <v>12</v>
      </c>
      <c r="H1171" s="8">
        <v>7.8484189999999998</v>
      </c>
      <c r="I1171" s="8">
        <v>-80.736358999999993</v>
      </c>
      <c r="J1171" s="21" t="s">
        <v>1614</v>
      </c>
    </row>
    <row r="1172" spans="1:10" x14ac:dyDescent="0.3">
      <c r="A1172" s="20">
        <v>3</v>
      </c>
      <c r="B1172" s="8">
        <v>1538</v>
      </c>
      <c r="C1172" s="8" t="s">
        <v>1615</v>
      </c>
      <c r="D1172" s="8" t="s">
        <v>1167</v>
      </c>
      <c r="E1172" s="8" t="s">
        <v>1219</v>
      </c>
      <c r="F1172" s="8" t="s">
        <v>1219</v>
      </c>
      <c r="G1172" s="8" t="s">
        <v>12</v>
      </c>
      <c r="H1172" s="8">
        <v>8.1148000000000007</v>
      </c>
      <c r="I1172" s="8">
        <v>-80.662499999999994</v>
      </c>
      <c r="J1172" s="21" t="s">
        <v>1616</v>
      </c>
    </row>
    <row r="1173" spans="1:10" x14ac:dyDescent="0.3">
      <c r="A1173" s="20">
        <v>3</v>
      </c>
      <c r="B1173" s="8">
        <v>1539</v>
      </c>
      <c r="C1173" s="8" t="s">
        <v>1617</v>
      </c>
      <c r="D1173" s="8" t="s">
        <v>1223</v>
      </c>
      <c r="E1173" s="8" t="s">
        <v>1233</v>
      </c>
      <c r="F1173" s="8" t="s">
        <v>1618</v>
      </c>
      <c r="G1173" s="8" t="s">
        <v>12</v>
      </c>
      <c r="H1173" s="8">
        <v>7.7537000000000003</v>
      </c>
      <c r="I1173" s="8">
        <v>-80.288300000000007</v>
      </c>
      <c r="J1173" s="21" t="s">
        <v>1614</v>
      </c>
    </row>
    <row r="1174" spans="1:10" x14ac:dyDescent="0.3">
      <c r="A1174" s="20">
        <v>3</v>
      </c>
      <c r="B1174" s="8">
        <v>1540</v>
      </c>
      <c r="C1174" s="8" t="s">
        <v>1619</v>
      </c>
      <c r="D1174" s="8" t="s">
        <v>1223</v>
      </c>
      <c r="E1174" s="8" t="s">
        <v>1224</v>
      </c>
      <c r="F1174" s="8" t="s">
        <v>1620</v>
      </c>
      <c r="G1174" s="8" t="s">
        <v>12</v>
      </c>
      <c r="H1174" s="8">
        <v>7.8664740000000002</v>
      </c>
      <c r="I1174" s="8">
        <v>-80.320526000000001</v>
      </c>
      <c r="J1174" s="21" t="s">
        <v>1614</v>
      </c>
    </row>
    <row r="1175" spans="1:10" x14ac:dyDescent="0.3">
      <c r="A1175" s="20">
        <v>3</v>
      </c>
      <c r="B1175" s="8">
        <v>1541</v>
      </c>
      <c r="C1175" s="8" t="s">
        <v>106</v>
      </c>
      <c r="D1175" s="8" t="s">
        <v>1223</v>
      </c>
      <c r="E1175" s="8" t="s">
        <v>1223</v>
      </c>
      <c r="F1175" s="8" t="s">
        <v>1621</v>
      </c>
      <c r="G1175" s="8" t="s">
        <v>12</v>
      </c>
      <c r="H1175" s="8">
        <v>7.8853629999999999</v>
      </c>
      <c r="I1175" s="8">
        <v>-80.354138000000006</v>
      </c>
      <c r="J1175" s="21" t="s">
        <v>1614</v>
      </c>
    </row>
    <row r="1176" spans="1:10" x14ac:dyDescent="0.3">
      <c r="A1176" s="20">
        <v>3</v>
      </c>
      <c r="B1176" s="8">
        <v>1542</v>
      </c>
      <c r="C1176" s="8" t="s">
        <v>1622</v>
      </c>
      <c r="D1176" s="8" t="s">
        <v>1223</v>
      </c>
      <c r="E1176" s="8" t="s">
        <v>1233</v>
      </c>
      <c r="F1176" s="8" t="s">
        <v>616</v>
      </c>
      <c r="G1176" s="8" t="s">
        <v>12</v>
      </c>
      <c r="H1176" s="8">
        <v>7.6932980000000004</v>
      </c>
      <c r="I1176" s="8">
        <v>-80.193978999999999</v>
      </c>
      <c r="J1176" s="21" t="s">
        <v>1616</v>
      </c>
    </row>
    <row r="1177" spans="1:10" x14ac:dyDescent="0.3">
      <c r="A1177" s="20">
        <v>2</v>
      </c>
      <c r="B1177" s="8">
        <v>1543</v>
      </c>
      <c r="C1177" s="8" t="s">
        <v>1623</v>
      </c>
      <c r="D1177" s="8" t="s">
        <v>542</v>
      </c>
      <c r="E1177" s="8" t="s">
        <v>542</v>
      </c>
      <c r="F1177" s="8" t="s">
        <v>568</v>
      </c>
      <c r="G1177" s="8" t="s">
        <v>230</v>
      </c>
      <c r="H1177" s="8">
        <v>9.3673540000000006</v>
      </c>
      <c r="I1177" s="8">
        <v>-79.850480000000005</v>
      </c>
      <c r="J1177" s="21" t="s">
        <v>1517</v>
      </c>
    </row>
    <row r="1178" spans="1:10" x14ac:dyDescent="0.3">
      <c r="A1178" s="20">
        <v>1</v>
      </c>
      <c r="B1178" s="8">
        <v>1545</v>
      </c>
      <c r="C1178" s="8" t="s">
        <v>1624</v>
      </c>
      <c r="D1178" s="8" t="s">
        <v>410</v>
      </c>
      <c r="E1178" s="8" t="s">
        <v>515</v>
      </c>
      <c r="F1178" s="8" t="s">
        <v>1625</v>
      </c>
      <c r="G1178" s="8" t="s">
        <v>12</v>
      </c>
      <c r="H1178" s="8">
        <v>7.7073429999999998</v>
      </c>
      <c r="I1178" s="8">
        <v>-81.262157000000002</v>
      </c>
      <c r="J1178" s="21" t="s">
        <v>1626</v>
      </c>
    </row>
    <row r="1179" spans="1:10" x14ac:dyDescent="0.3">
      <c r="A1179" s="20">
        <v>1</v>
      </c>
      <c r="B1179" s="8">
        <v>1546</v>
      </c>
      <c r="C1179" s="8" t="s">
        <v>1627</v>
      </c>
      <c r="D1179" s="8" t="s">
        <v>410</v>
      </c>
      <c r="E1179" s="8" t="s">
        <v>421</v>
      </c>
      <c r="F1179" s="8" t="s">
        <v>421</v>
      </c>
      <c r="G1179" s="8" t="s">
        <v>12</v>
      </c>
      <c r="H1179" s="8">
        <v>8.1473870000000002</v>
      </c>
      <c r="I1179" s="8">
        <v>-81.184863000000007</v>
      </c>
      <c r="J1179" s="21" t="s">
        <v>1628</v>
      </c>
    </row>
    <row r="1180" spans="1:10" x14ac:dyDescent="0.3">
      <c r="A1180" s="20">
        <v>1</v>
      </c>
      <c r="B1180" s="8">
        <v>1547</v>
      </c>
      <c r="C1180" s="8" t="s">
        <v>1629</v>
      </c>
      <c r="D1180" s="8" t="s">
        <v>410</v>
      </c>
      <c r="E1180" s="8" t="s">
        <v>421</v>
      </c>
      <c r="F1180" s="8" t="s">
        <v>421</v>
      </c>
      <c r="G1180" s="8" t="s">
        <v>12</v>
      </c>
      <c r="H1180" s="8">
        <v>8.1489039999999999</v>
      </c>
      <c r="I1180" s="8">
        <v>-81.186654000000004</v>
      </c>
      <c r="J1180" s="21" t="s">
        <v>1628</v>
      </c>
    </row>
    <row r="1181" spans="1:10" x14ac:dyDescent="0.3">
      <c r="A1181" s="20">
        <v>1</v>
      </c>
      <c r="B1181" s="8">
        <v>1548</v>
      </c>
      <c r="C1181" s="8" t="s">
        <v>1630</v>
      </c>
      <c r="D1181" s="8" t="s">
        <v>410</v>
      </c>
      <c r="E1181" s="8" t="s">
        <v>625</v>
      </c>
      <c r="F1181" s="8" t="s">
        <v>625</v>
      </c>
      <c r="G1181" s="8" t="s">
        <v>12</v>
      </c>
      <c r="H1181" s="8">
        <v>8.5115599999999993</v>
      </c>
      <c r="I1181" s="8">
        <v>-81.077685000000002</v>
      </c>
      <c r="J1181" s="21" t="s">
        <v>1631</v>
      </c>
    </row>
    <row r="1182" spans="1:10" x14ac:dyDescent="0.3">
      <c r="A1182" s="20">
        <v>1</v>
      </c>
      <c r="B1182" s="8">
        <v>1549</v>
      </c>
      <c r="C1182" s="8" t="s">
        <v>1632</v>
      </c>
      <c r="D1182" s="8" t="s">
        <v>410</v>
      </c>
      <c r="E1182" s="8" t="s">
        <v>625</v>
      </c>
      <c r="F1182" s="8" t="s">
        <v>625</v>
      </c>
      <c r="G1182" s="8" t="s">
        <v>12</v>
      </c>
      <c r="H1182" s="8">
        <v>8.5097140000000007</v>
      </c>
      <c r="I1182" s="8">
        <v>-81.077499000000003</v>
      </c>
      <c r="J1182" s="21" t="s">
        <v>1631</v>
      </c>
    </row>
    <row r="1183" spans="1:10" hidden="1" x14ac:dyDescent="0.3">
      <c r="A1183" s="20">
        <v>1</v>
      </c>
      <c r="B1183" s="8">
        <v>1550</v>
      </c>
      <c r="C1183" s="8" t="s">
        <v>1633</v>
      </c>
      <c r="D1183" s="8" t="s">
        <v>77</v>
      </c>
      <c r="E1183" s="8" t="s">
        <v>314</v>
      </c>
      <c r="F1183" s="8" t="s">
        <v>328</v>
      </c>
      <c r="G1183" s="8" t="s">
        <v>12</v>
      </c>
      <c r="H1183" s="8">
        <v>8.8229880000000005</v>
      </c>
      <c r="I1183" s="8">
        <v>-82.84366</v>
      </c>
      <c r="J1183" s="21" t="s">
        <v>1634</v>
      </c>
    </row>
    <row r="1184" spans="1:10" hidden="1" x14ac:dyDescent="0.3">
      <c r="A1184" s="20">
        <v>1</v>
      </c>
      <c r="B1184" s="8">
        <v>1551</v>
      </c>
      <c r="C1184" s="8" t="s">
        <v>1635</v>
      </c>
      <c r="D1184" s="8" t="s">
        <v>77</v>
      </c>
      <c r="E1184" s="8" t="s">
        <v>220</v>
      </c>
      <c r="F1184" s="8" t="s">
        <v>1636</v>
      </c>
      <c r="G1184" s="8" t="s">
        <v>12</v>
      </c>
      <c r="H1184" s="8">
        <v>8.5502559999999992</v>
      </c>
      <c r="I1184" s="8">
        <v>-82.490379000000004</v>
      </c>
      <c r="J1184" s="21" t="s">
        <v>1637</v>
      </c>
    </row>
    <row r="1185" spans="1:10" hidden="1" x14ac:dyDescent="0.3">
      <c r="A1185" s="20">
        <v>1</v>
      </c>
      <c r="B1185" s="8">
        <v>1552</v>
      </c>
      <c r="C1185" s="8" t="s">
        <v>1638</v>
      </c>
      <c r="D1185" s="8" t="s">
        <v>77</v>
      </c>
      <c r="E1185" s="8" t="s">
        <v>137</v>
      </c>
      <c r="F1185" s="8" t="s">
        <v>137</v>
      </c>
      <c r="G1185" s="8" t="s">
        <v>12</v>
      </c>
      <c r="H1185" s="8">
        <v>8.5022319999999993</v>
      </c>
      <c r="I1185" s="8">
        <v>-82.567645999999996</v>
      </c>
      <c r="J1185" s="21" t="s">
        <v>1637</v>
      </c>
    </row>
    <row r="1186" spans="1:10" hidden="1" x14ac:dyDescent="0.3">
      <c r="A1186" s="20">
        <v>1</v>
      </c>
      <c r="B1186" s="8">
        <v>1553</v>
      </c>
      <c r="C1186" s="8" t="s">
        <v>1639</v>
      </c>
      <c r="D1186" s="8" t="s">
        <v>77</v>
      </c>
      <c r="E1186" s="8" t="s">
        <v>341</v>
      </c>
      <c r="F1186" s="8" t="s">
        <v>1640</v>
      </c>
      <c r="G1186" s="8" t="s">
        <v>12</v>
      </c>
      <c r="H1186" s="8">
        <v>8.2512910000000002</v>
      </c>
      <c r="I1186" s="8">
        <v>-81.879052000000001</v>
      </c>
      <c r="J1186" s="21" t="s">
        <v>1641</v>
      </c>
    </row>
    <row r="1187" spans="1:10" hidden="1" x14ac:dyDescent="0.3">
      <c r="A1187" s="20">
        <v>1</v>
      </c>
      <c r="B1187" s="8">
        <v>1554</v>
      </c>
      <c r="C1187" s="8" t="s">
        <v>1642</v>
      </c>
      <c r="D1187" s="8" t="s">
        <v>77</v>
      </c>
      <c r="E1187" s="8" t="s">
        <v>286</v>
      </c>
      <c r="F1187" s="8" t="s">
        <v>1643</v>
      </c>
      <c r="G1187" s="8" t="s">
        <v>12</v>
      </c>
      <c r="H1187" s="8">
        <v>8.5611660000000001</v>
      </c>
      <c r="I1187" s="8">
        <v>-82.413228000000004</v>
      </c>
      <c r="J1187" s="21" t="s">
        <v>1637</v>
      </c>
    </row>
    <row r="1188" spans="1:10" hidden="1" x14ac:dyDescent="0.3">
      <c r="A1188" s="20">
        <v>1</v>
      </c>
      <c r="B1188" s="8">
        <v>1555</v>
      </c>
      <c r="C1188" s="8" t="s">
        <v>1644</v>
      </c>
      <c r="D1188" s="8" t="s">
        <v>77</v>
      </c>
      <c r="E1188" s="8" t="s">
        <v>314</v>
      </c>
      <c r="F1188" s="8" t="s">
        <v>1645</v>
      </c>
      <c r="G1188" s="8" t="s">
        <v>462</v>
      </c>
      <c r="H1188" s="8">
        <v>8.6469000000000005</v>
      </c>
      <c r="I1188" s="8">
        <v>-82.759737000000001</v>
      </c>
      <c r="J1188" s="21" t="s">
        <v>1634</v>
      </c>
    </row>
    <row r="1189" spans="1:10" hidden="1" x14ac:dyDescent="0.3">
      <c r="A1189" s="20">
        <v>1</v>
      </c>
      <c r="B1189" s="8">
        <v>1556</v>
      </c>
      <c r="C1189" s="8" t="s">
        <v>1646</v>
      </c>
      <c r="D1189" s="8" t="s">
        <v>77</v>
      </c>
      <c r="E1189" s="8" t="s">
        <v>172</v>
      </c>
      <c r="F1189" s="8" t="s">
        <v>212</v>
      </c>
      <c r="G1189" s="8" t="s">
        <v>12</v>
      </c>
      <c r="H1189" s="8">
        <v>8.7858420000000006</v>
      </c>
      <c r="I1189" s="8">
        <v>-82.647244999999998</v>
      </c>
      <c r="J1189" s="21" t="s">
        <v>1634</v>
      </c>
    </row>
    <row r="1190" spans="1:10" hidden="1" x14ac:dyDescent="0.3">
      <c r="A1190" s="20">
        <v>1</v>
      </c>
      <c r="B1190" s="8">
        <v>1557</v>
      </c>
      <c r="C1190" s="8" t="s">
        <v>1647</v>
      </c>
      <c r="D1190" s="8" t="s">
        <v>77</v>
      </c>
      <c r="E1190" s="8" t="s">
        <v>314</v>
      </c>
      <c r="F1190" s="8" t="s">
        <v>1648</v>
      </c>
      <c r="G1190" s="8" t="s">
        <v>462</v>
      </c>
      <c r="H1190" s="8">
        <v>8.6714649999999995</v>
      </c>
      <c r="I1190" s="8">
        <v>-82.799895000000006</v>
      </c>
      <c r="J1190" s="21" t="s">
        <v>1634</v>
      </c>
    </row>
    <row r="1191" spans="1:10" hidden="1" x14ac:dyDescent="0.3">
      <c r="A1191" s="20">
        <v>1</v>
      </c>
      <c r="B1191" s="8">
        <v>1558</v>
      </c>
      <c r="C1191" s="8" t="s">
        <v>1649</v>
      </c>
      <c r="D1191" s="8" t="s">
        <v>77</v>
      </c>
      <c r="E1191" s="8" t="s">
        <v>314</v>
      </c>
      <c r="F1191" s="8" t="s">
        <v>1650</v>
      </c>
      <c r="G1191" s="8" t="s">
        <v>53</v>
      </c>
      <c r="H1191" s="8">
        <v>8.6273940000000007</v>
      </c>
      <c r="I1191" s="8">
        <v>-82.812810999999996</v>
      </c>
      <c r="J1191" s="21" t="s">
        <v>1651</v>
      </c>
    </row>
    <row r="1192" spans="1:10" hidden="1" x14ac:dyDescent="0.3">
      <c r="A1192" s="20">
        <v>1</v>
      </c>
      <c r="B1192" s="8">
        <v>1559</v>
      </c>
      <c r="C1192" s="8" t="s">
        <v>1652</v>
      </c>
      <c r="D1192" s="8" t="s">
        <v>77</v>
      </c>
      <c r="E1192" s="8" t="s">
        <v>172</v>
      </c>
      <c r="F1192" s="8" t="s">
        <v>212</v>
      </c>
      <c r="G1192" s="8" t="s">
        <v>12</v>
      </c>
      <c r="H1192" s="8">
        <v>8.7897599999999994</v>
      </c>
      <c r="I1192" s="8">
        <v>-82.633322000000007</v>
      </c>
      <c r="J1192" s="21" t="s">
        <v>1634</v>
      </c>
    </row>
    <row r="1193" spans="1:10" hidden="1" x14ac:dyDescent="0.3">
      <c r="A1193" s="20">
        <v>1</v>
      </c>
      <c r="B1193" s="8">
        <v>1560</v>
      </c>
      <c r="C1193" s="8" t="s">
        <v>1653</v>
      </c>
      <c r="D1193" s="8" t="s">
        <v>77</v>
      </c>
      <c r="E1193" s="8" t="s">
        <v>220</v>
      </c>
      <c r="F1193" s="8" t="s">
        <v>77</v>
      </c>
      <c r="G1193" s="8" t="s">
        <v>12</v>
      </c>
      <c r="H1193" s="8">
        <v>8.3972270000000009</v>
      </c>
      <c r="I1193" s="8">
        <v>-82.323133999999996</v>
      </c>
      <c r="J1193" s="21" t="s">
        <v>1641</v>
      </c>
    </row>
    <row r="1194" spans="1:10" hidden="1" x14ac:dyDescent="0.3">
      <c r="A1194" s="20">
        <v>1</v>
      </c>
      <c r="B1194" s="8">
        <v>1561</v>
      </c>
      <c r="C1194" s="8" t="s">
        <v>1654</v>
      </c>
      <c r="D1194" s="8" t="s">
        <v>77</v>
      </c>
      <c r="E1194" s="8" t="s">
        <v>93</v>
      </c>
      <c r="F1194" s="8" t="s">
        <v>103</v>
      </c>
      <c r="G1194" s="8" t="s">
        <v>12</v>
      </c>
      <c r="H1194" s="8">
        <v>8.2799639999999997</v>
      </c>
      <c r="I1194" s="8">
        <v>-82.857381000000004</v>
      </c>
      <c r="J1194" s="21" t="s">
        <v>1634</v>
      </c>
    </row>
    <row r="1195" spans="1:10" hidden="1" x14ac:dyDescent="0.3">
      <c r="A1195" s="20">
        <v>1</v>
      </c>
      <c r="B1195" s="8">
        <v>1562</v>
      </c>
      <c r="C1195" s="8" t="s">
        <v>1655</v>
      </c>
      <c r="D1195" s="8" t="s">
        <v>77</v>
      </c>
      <c r="E1195" s="8" t="s">
        <v>144</v>
      </c>
      <c r="F1195" s="8" t="s">
        <v>1656</v>
      </c>
      <c r="G1195" s="8" t="s">
        <v>12</v>
      </c>
      <c r="H1195" s="8">
        <v>8.654318</v>
      </c>
      <c r="I1195" s="8">
        <v>-82.380641999999995</v>
      </c>
      <c r="J1195" s="21" t="s">
        <v>1637</v>
      </c>
    </row>
    <row r="1196" spans="1:10" hidden="1" x14ac:dyDescent="0.3">
      <c r="A1196" s="20">
        <v>1</v>
      </c>
      <c r="B1196" s="8">
        <v>1563</v>
      </c>
      <c r="C1196" s="8" t="s">
        <v>1657</v>
      </c>
      <c r="D1196" s="8" t="s">
        <v>77</v>
      </c>
      <c r="E1196" s="8" t="s">
        <v>361</v>
      </c>
      <c r="F1196" s="8" t="s">
        <v>1658</v>
      </c>
      <c r="G1196" s="8" t="s">
        <v>12</v>
      </c>
      <c r="H1196" s="8">
        <v>8.2708119999999994</v>
      </c>
      <c r="I1196" s="8">
        <v>-81.670084000000003</v>
      </c>
      <c r="J1196" s="21" t="s">
        <v>1641</v>
      </c>
    </row>
    <row r="1197" spans="1:10" hidden="1" x14ac:dyDescent="0.3">
      <c r="A1197" s="20">
        <v>1</v>
      </c>
      <c r="B1197" s="8">
        <v>1564</v>
      </c>
      <c r="C1197" s="8" t="s">
        <v>1659</v>
      </c>
      <c r="D1197" s="8" t="s">
        <v>77</v>
      </c>
      <c r="E1197" s="8" t="s">
        <v>220</v>
      </c>
      <c r="F1197" s="8" t="s">
        <v>226</v>
      </c>
      <c r="G1197" s="8" t="s">
        <v>12</v>
      </c>
      <c r="H1197" s="8">
        <v>8.5776640000000004</v>
      </c>
      <c r="I1197" s="8">
        <v>-82.384617000000006</v>
      </c>
      <c r="J1197" s="21" t="s">
        <v>1637</v>
      </c>
    </row>
    <row r="1198" spans="1:10" hidden="1" x14ac:dyDescent="0.3">
      <c r="A1198" s="20">
        <v>1</v>
      </c>
      <c r="B1198" s="8">
        <v>1565</v>
      </c>
      <c r="C1198" s="8" t="s">
        <v>1660</v>
      </c>
      <c r="D1198" s="8" t="s">
        <v>77</v>
      </c>
      <c r="E1198" s="8" t="s">
        <v>304</v>
      </c>
      <c r="F1198" s="8" t="s">
        <v>304</v>
      </c>
      <c r="G1198" s="8" t="s">
        <v>12</v>
      </c>
      <c r="H1198" s="8">
        <v>8.5259160000000005</v>
      </c>
      <c r="I1198" s="8">
        <v>-82.299642000000006</v>
      </c>
      <c r="J1198" s="21" t="s">
        <v>1641</v>
      </c>
    </row>
    <row r="1199" spans="1:10" hidden="1" x14ac:dyDescent="0.3">
      <c r="A1199" s="20">
        <v>1</v>
      </c>
      <c r="B1199" s="8">
        <v>1566</v>
      </c>
      <c r="C1199" s="8" t="s">
        <v>1661</v>
      </c>
      <c r="D1199" s="8" t="s">
        <v>77</v>
      </c>
      <c r="E1199" s="8" t="s">
        <v>93</v>
      </c>
      <c r="F1199" s="8" t="s">
        <v>98</v>
      </c>
      <c r="G1199" s="8" t="s">
        <v>12</v>
      </c>
      <c r="H1199" s="8">
        <v>8.5373359999999998</v>
      </c>
      <c r="I1199" s="8">
        <v>-82.838453000000001</v>
      </c>
      <c r="J1199" s="21" t="s">
        <v>1634</v>
      </c>
    </row>
    <row r="1200" spans="1:10" hidden="1" x14ac:dyDescent="0.3">
      <c r="A1200" s="20">
        <v>1</v>
      </c>
      <c r="B1200" s="8">
        <v>1567</v>
      </c>
      <c r="C1200" s="8" t="s">
        <v>1662</v>
      </c>
      <c r="D1200" s="8" t="s">
        <v>77</v>
      </c>
      <c r="E1200" s="8" t="s">
        <v>154</v>
      </c>
      <c r="F1200" s="8" t="s">
        <v>205</v>
      </c>
      <c r="G1200" s="8" t="s">
        <v>12</v>
      </c>
      <c r="H1200" s="8">
        <v>8.7000810000000008</v>
      </c>
      <c r="I1200" s="8">
        <v>-82.589890999999994</v>
      </c>
      <c r="J1200" s="21" t="s">
        <v>1637</v>
      </c>
    </row>
    <row r="1201" spans="1:10" hidden="1" x14ac:dyDescent="0.3">
      <c r="A1201" s="20">
        <v>1</v>
      </c>
      <c r="B1201" s="8">
        <v>1568</v>
      </c>
      <c r="C1201" s="8" t="s">
        <v>1663</v>
      </c>
      <c r="D1201" s="8" t="s">
        <v>77</v>
      </c>
      <c r="E1201" s="8" t="s">
        <v>137</v>
      </c>
      <c r="F1201" s="8" t="s">
        <v>1664</v>
      </c>
      <c r="G1201" s="8" t="s">
        <v>12</v>
      </c>
      <c r="H1201" s="8">
        <v>8.5093019999999999</v>
      </c>
      <c r="I1201" s="8">
        <v>-82.535358000000002</v>
      </c>
      <c r="J1201" s="21" t="s">
        <v>1637</v>
      </c>
    </row>
    <row r="1202" spans="1:10" hidden="1" x14ac:dyDescent="0.3">
      <c r="A1202" s="20">
        <v>1</v>
      </c>
      <c r="B1202" s="8">
        <v>1569</v>
      </c>
      <c r="C1202" s="8" t="s">
        <v>1665</v>
      </c>
      <c r="D1202" s="8" t="s">
        <v>77</v>
      </c>
      <c r="E1202" s="8" t="s">
        <v>137</v>
      </c>
      <c r="F1202" s="8" t="s">
        <v>1666</v>
      </c>
      <c r="G1202" s="8" t="s">
        <v>12</v>
      </c>
      <c r="H1202" s="8">
        <v>8.7000810000000008</v>
      </c>
      <c r="I1202" s="8">
        <v>-82.589890999999994</v>
      </c>
      <c r="J1202" s="21" t="s">
        <v>1637</v>
      </c>
    </row>
    <row r="1203" spans="1:10" hidden="1" x14ac:dyDescent="0.3">
      <c r="A1203" s="20">
        <v>1</v>
      </c>
      <c r="B1203" s="8">
        <v>1570</v>
      </c>
      <c r="C1203" s="8" t="s">
        <v>1667</v>
      </c>
      <c r="D1203" s="8" t="s">
        <v>77</v>
      </c>
      <c r="E1203" s="8" t="s">
        <v>137</v>
      </c>
      <c r="F1203" s="8" t="s">
        <v>1668</v>
      </c>
      <c r="G1203" s="8" t="s">
        <v>12</v>
      </c>
      <c r="H1203" s="8">
        <v>8.630395</v>
      </c>
      <c r="I1203" s="8">
        <v>-82.545319000000006</v>
      </c>
      <c r="J1203" s="21" t="s">
        <v>1637</v>
      </c>
    </row>
    <row r="1204" spans="1:10" x14ac:dyDescent="0.3">
      <c r="A1204" s="20">
        <v>2</v>
      </c>
      <c r="B1204" s="8">
        <v>1571</v>
      </c>
      <c r="C1204" s="8" t="s">
        <v>1669</v>
      </c>
      <c r="D1204" s="8" t="s">
        <v>644</v>
      </c>
      <c r="E1204" s="8" t="s">
        <v>644</v>
      </c>
      <c r="F1204" s="8" t="s">
        <v>735</v>
      </c>
      <c r="G1204" s="8" t="s">
        <v>230</v>
      </c>
      <c r="H1204" s="8">
        <v>8.9692120000000006</v>
      </c>
      <c r="I1204" s="8">
        <v>-79.543111999999994</v>
      </c>
      <c r="J1204" s="21" t="s">
        <v>1567</v>
      </c>
    </row>
    <row r="1205" spans="1:10" x14ac:dyDescent="0.3">
      <c r="A1205" s="20">
        <v>3</v>
      </c>
      <c r="B1205" s="8">
        <v>1573</v>
      </c>
      <c r="C1205" s="8" t="s">
        <v>1670</v>
      </c>
      <c r="D1205" s="8" t="s">
        <v>994</v>
      </c>
      <c r="E1205" s="8" t="s">
        <v>995</v>
      </c>
      <c r="F1205" s="8" t="s">
        <v>1012</v>
      </c>
      <c r="G1205" s="8" t="s">
        <v>12</v>
      </c>
      <c r="H1205" s="8">
        <v>8.2541580000000003</v>
      </c>
      <c r="I1205" s="8">
        <v>-80.618303999999995</v>
      </c>
      <c r="J1205" s="21" t="s">
        <v>1591</v>
      </c>
    </row>
    <row r="1206" spans="1:10" x14ac:dyDescent="0.3">
      <c r="A1206" s="20">
        <v>3</v>
      </c>
      <c r="B1206" s="8">
        <v>1574</v>
      </c>
      <c r="C1206" s="8" t="s">
        <v>1671</v>
      </c>
      <c r="D1206" s="8" t="s">
        <v>994</v>
      </c>
      <c r="E1206" s="8" t="s">
        <v>1052</v>
      </c>
      <c r="F1206" s="8" t="s">
        <v>1672</v>
      </c>
      <c r="G1206" s="8" t="s">
        <v>12</v>
      </c>
      <c r="H1206" s="8">
        <v>8.5532789999999999</v>
      </c>
      <c r="I1206" s="8">
        <v>-80.534678999999997</v>
      </c>
      <c r="J1206" s="21" t="s">
        <v>1591</v>
      </c>
    </row>
    <row r="1207" spans="1:10" x14ac:dyDescent="0.3">
      <c r="A1207" s="20">
        <v>3</v>
      </c>
      <c r="B1207" s="8">
        <v>1575</v>
      </c>
      <c r="C1207" s="8" t="s">
        <v>1673</v>
      </c>
      <c r="D1207" s="8" t="s">
        <v>994</v>
      </c>
      <c r="E1207" s="8" t="s">
        <v>1091</v>
      </c>
      <c r="F1207" s="8" t="s">
        <v>1092</v>
      </c>
      <c r="G1207" s="8" t="s">
        <v>33</v>
      </c>
      <c r="H1207" s="8">
        <v>8.4709099999999999</v>
      </c>
      <c r="I1207" s="8">
        <v>-80.399787000000003</v>
      </c>
      <c r="J1207" s="21" t="s">
        <v>1674</v>
      </c>
    </row>
    <row r="1208" spans="1:10" x14ac:dyDescent="0.3">
      <c r="A1208" s="20">
        <v>2</v>
      </c>
      <c r="B1208" s="8">
        <v>1576</v>
      </c>
      <c r="C1208" s="8" t="s">
        <v>1675</v>
      </c>
      <c r="D1208" s="8" t="s">
        <v>644</v>
      </c>
      <c r="E1208" s="8" t="s">
        <v>644</v>
      </c>
      <c r="F1208" s="8" t="s">
        <v>783</v>
      </c>
      <c r="G1208" s="8" t="s">
        <v>230</v>
      </c>
      <c r="H1208" s="8">
        <v>8.9663749999999993</v>
      </c>
      <c r="I1208" s="8">
        <v>-79.532380000000003</v>
      </c>
      <c r="J1208" s="21" t="s">
        <v>1676</v>
      </c>
    </row>
    <row r="1209" spans="1:10" x14ac:dyDescent="0.3">
      <c r="A1209" s="20">
        <v>2</v>
      </c>
      <c r="B1209" s="8">
        <v>1577</v>
      </c>
      <c r="C1209" s="8" t="s">
        <v>1677</v>
      </c>
      <c r="D1209" s="8" t="s">
        <v>644</v>
      </c>
      <c r="E1209" s="8" t="s">
        <v>644</v>
      </c>
      <c r="F1209" s="8" t="s">
        <v>783</v>
      </c>
      <c r="G1209" s="8" t="s">
        <v>230</v>
      </c>
      <c r="H1209" s="8">
        <v>8.9666340000000009</v>
      </c>
      <c r="I1209" s="8">
        <v>-79.532435000000007</v>
      </c>
      <c r="J1209" s="21" t="s">
        <v>1676</v>
      </c>
    </row>
    <row r="1210" spans="1:10" x14ac:dyDescent="0.3">
      <c r="A1210" s="20">
        <v>2</v>
      </c>
      <c r="B1210" s="8">
        <v>1578</v>
      </c>
      <c r="C1210" s="8" t="s">
        <v>1678</v>
      </c>
      <c r="D1210" s="8" t="s">
        <v>644</v>
      </c>
      <c r="E1210" s="8" t="s">
        <v>644</v>
      </c>
      <c r="F1210" s="8" t="s">
        <v>783</v>
      </c>
      <c r="G1210" s="8" t="s">
        <v>230</v>
      </c>
      <c r="H1210" s="8">
        <v>8.9673049999999996</v>
      </c>
      <c r="I1210" s="8">
        <v>-79.532227000000006</v>
      </c>
      <c r="J1210" s="21" t="s">
        <v>1676</v>
      </c>
    </row>
    <row r="1211" spans="1:10" x14ac:dyDescent="0.3">
      <c r="A1211" s="20">
        <v>2</v>
      </c>
      <c r="B1211" s="8">
        <v>1579</v>
      </c>
      <c r="C1211" s="8" t="s">
        <v>1679</v>
      </c>
      <c r="D1211" s="8" t="s">
        <v>644</v>
      </c>
      <c r="E1211" s="8" t="s">
        <v>644</v>
      </c>
      <c r="F1211" s="8" t="s">
        <v>783</v>
      </c>
      <c r="G1211" s="8" t="s">
        <v>230</v>
      </c>
      <c r="H1211" s="8">
        <v>8.9735230000000001</v>
      </c>
      <c r="I1211" s="8">
        <v>-79.528670000000005</v>
      </c>
      <c r="J1211" s="21" t="s">
        <v>1676</v>
      </c>
    </row>
    <row r="1212" spans="1:10" x14ac:dyDescent="0.3">
      <c r="A1212" s="20">
        <v>2</v>
      </c>
      <c r="B1212" s="8">
        <v>1580</v>
      </c>
      <c r="C1212" s="8" t="s">
        <v>1680</v>
      </c>
      <c r="D1212" s="8" t="s">
        <v>644</v>
      </c>
      <c r="E1212" s="8" t="s">
        <v>644</v>
      </c>
      <c r="F1212" s="8" t="s">
        <v>783</v>
      </c>
      <c r="G1212" s="8" t="s">
        <v>230</v>
      </c>
      <c r="H1212" s="8">
        <v>8.9735709999999997</v>
      </c>
      <c r="I1212" s="8">
        <v>-79.528193000000002</v>
      </c>
      <c r="J1212" s="21" t="s">
        <v>1676</v>
      </c>
    </row>
    <row r="1213" spans="1:10" x14ac:dyDescent="0.3">
      <c r="A1213" s="20">
        <v>1</v>
      </c>
      <c r="B1213" s="8">
        <v>1581</v>
      </c>
      <c r="C1213" s="8" t="s">
        <v>1681</v>
      </c>
      <c r="D1213" s="8" t="s">
        <v>410</v>
      </c>
      <c r="E1213" s="8" t="s">
        <v>411</v>
      </c>
      <c r="F1213" s="8" t="s">
        <v>412</v>
      </c>
      <c r="G1213" s="8" t="s">
        <v>12</v>
      </c>
      <c r="H1213" s="8">
        <v>8.0490680000000001</v>
      </c>
      <c r="I1213" s="8">
        <v>-80.895830000000004</v>
      </c>
      <c r="J1213" s="21" t="s">
        <v>1682</v>
      </c>
    </row>
    <row r="1214" spans="1:10" x14ac:dyDescent="0.3">
      <c r="A1214" s="20">
        <v>1</v>
      </c>
      <c r="B1214" s="8">
        <v>1582</v>
      </c>
      <c r="C1214" s="8" t="s">
        <v>1683</v>
      </c>
      <c r="D1214" s="8" t="s">
        <v>11</v>
      </c>
      <c r="E1214" s="8" t="s">
        <v>28</v>
      </c>
      <c r="F1214" s="8" t="s">
        <v>28</v>
      </c>
      <c r="G1214" s="8" t="s">
        <v>99</v>
      </c>
      <c r="H1214" s="8">
        <v>9.4505599999999994</v>
      </c>
      <c r="I1214" s="8">
        <v>-82.520939999999996</v>
      </c>
      <c r="J1214" s="21" t="s">
        <v>1684</v>
      </c>
    </row>
    <row r="1215" spans="1:10" x14ac:dyDescent="0.3">
      <c r="A1215" s="20">
        <v>2</v>
      </c>
      <c r="B1215" s="8">
        <v>1584</v>
      </c>
      <c r="C1215" s="8" t="s">
        <v>1685</v>
      </c>
      <c r="D1215" s="8" t="s">
        <v>644</v>
      </c>
      <c r="E1215" s="8" t="s">
        <v>644</v>
      </c>
      <c r="F1215" s="8" t="s">
        <v>735</v>
      </c>
      <c r="G1215" s="8" t="s">
        <v>230</v>
      </c>
      <c r="H1215" s="8">
        <v>8.9704069999999998</v>
      </c>
      <c r="I1215" s="8">
        <v>-79.544888999999998</v>
      </c>
      <c r="J1215" s="21" t="s">
        <v>1686</v>
      </c>
    </row>
    <row r="1216" spans="1:10" x14ac:dyDescent="0.3">
      <c r="A1216" s="20">
        <v>2</v>
      </c>
      <c r="B1216" s="8">
        <v>1585</v>
      </c>
      <c r="C1216" s="8" t="s">
        <v>1687</v>
      </c>
      <c r="D1216" s="8" t="s">
        <v>542</v>
      </c>
      <c r="E1216" s="8" t="s">
        <v>542</v>
      </c>
      <c r="F1216" s="8" t="s">
        <v>543</v>
      </c>
      <c r="G1216" s="8" t="s">
        <v>230</v>
      </c>
      <c r="H1216" s="8">
        <v>9.3650739999999999</v>
      </c>
      <c r="I1216" s="8">
        <v>-79.896732</v>
      </c>
      <c r="J1216" s="21" t="s">
        <v>1688</v>
      </c>
    </row>
    <row r="1217" spans="1:10" x14ac:dyDescent="0.3">
      <c r="A1217" s="20">
        <v>1</v>
      </c>
      <c r="B1217" s="8">
        <v>1586</v>
      </c>
      <c r="C1217" s="8" t="s">
        <v>1689</v>
      </c>
      <c r="D1217" s="8" t="s">
        <v>365</v>
      </c>
      <c r="E1217" s="8" t="s">
        <v>1690</v>
      </c>
      <c r="F1217" s="8" t="s">
        <v>1691</v>
      </c>
      <c r="G1217" s="8" t="s">
        <v>53</v>
      </c>
      <c r="H1217" s="8">
        <v>8.9011110000000002</v>
      </c>
      <c r="I1217" s="8">
        <v>-81.861110999999994</v>
      </c>
      <c r="J1217" s="21"/>
    </row>
    <row r="1218" spans="1:10" x14ac:dyDescent="0.3">
      <c r="A1218" s="20">
        <v>1</v>
      </c>
      <c r="B1218" s="8">
        <v>1588</v>
      </c>
      <c r="C1218" s="8" t="s">
        <v>1692</v>
      </c>
      <c r="D1218" s="8" t="s">
        <v>365</v>
      </c>
      <c r="E1218" s="8" t="s">
        <v>1476</v>
      </c>
      <c r="F1218" s="8" t="s">
        <v>1476</v>
      </c>
      <c r="G1218" s="8" t="s">
        <v>53</v>
      </c>
      <c r="H1218" s="8">
        <v>8.7834719999999997</v>
      </c>
      <c r="I1218" s="8">
        <v>-81.312147999999993</v>
      </c>
      <c r="J1218" s="21"/>
    </row>
    <row r="1219" spans="1:10" x14ac:dyDescent="0.3">
      <c r="A1219" s="20">
        <v>3</v>
      </c>
      <c r="B1219" s="8">
        <v>1590</v>
      </c>
      <c r="C1219" s="8" t="s">
        <v>1693</v>
      </c>
      <c r="D1219" s="8" t="s">
        <v>994</v>
      </c>
      <c r="E1219" s="8" t="s">
        <v>1091</v>
      </c>
      <c r="F1219" s="8" t="s">
        <v>1097</v>
      </c>
      <c r="G1219" s="8" t="s">
        <v>53</v>
      </c>
      <c r="H1219" s="8">
        <v>8.6749930000000006</v>
      </c>
      <c r="I1219" s="8">
        <v>-80.192053999999999</v>
      </c>
      <c r="J1219" s="21" t="s">
        <v>1575</v>
      </c>
    </row>
    <row r="1220" spans="1:10" x14ac:dyDescent="0.3">
      <c r="A1220" s="20">
        <v>2</v>
      </c>
      <c r="B1220" s="8">
        <v>1591</v>
      </c>
      <c r="C1220" s="8" t="s">
        <v>1694</v>
      </c>
      <c r="D1220" s="8" t="s">
        <v>644</v>
      </c>
      <c r="E1220" s="8" t="s">
        <v>644</v>
      </c>
      <c r="F1220" s="8" t="s">
        <v>735</v>
      </c>
      <c r="G1220" s="8" t="s">
        <v>230</v>
      </c>
      <c r="H1220" s="8">
        <v>8.9719440000000006</v>
      </c>
      <c r="I1220" s="8">
        <v>-79.541667000000004</v>
      </c>
      <c r="J1220" s="21" t="s">
        <v>1695</v>
      </c>
    </row>
    <row r="1221" spans="1:10" x14ac:dyDescent="0.3">
      <c r="A1221" s="20">
        <v>2</v>
      </c>
      <c r="B1221" s="8">
        <v>1592</v>
      </c>
      <c r="C1221" s="8" t="s">
        <v>1696</v>
      </c>
      <c r="D1221" s="8" t="s">
        <v>644</v>
      </c>
      <c r="E1221" s="8" t="s">
        <v>644</v>
      </c>
      <c r="F1221" s="8" t="s">
        <v>735</v>
      </c>
      <c r="G1221" s="8" t="s">
        <v>230</v>
      </c>
      <c r="H1221" s="8">
        <v>8.9717690000000001</v>
      </c>
      <c r="I1221" s="8">
        <v>-79.542203000000001</v>
      </c>
      <c r="J1221" s="21" t="s">
        <v>1695</v>
      </c>
    </row>
    <row r="1222" spans="1:10" x14ac:dyDescent="0.3">
      <c r="A1222" s="20">
        <v>3</v>
      </c>
      <c r="B1222" s="8">
        <v>1593</v>
      </c>
      <c r="C1222" s="8" t="s">
        <v>1697</v>
      </c>
      <c r="D1222" s="8" t="s">
        <v>1223</v>
      </c>
      <c r="E1222" s="8" t="s">
        <v>1268</v>
      </c>
      <c r="F1222" s="8" t="s">
        <v>1698</v>
      </c>
      <c r="G1222" s="8" t="s">
        <v>12</v>
      </c>
      <c r="H1222" s="8">
        <v>7.5154269999999999</v>
      </c>
      <c r="I1222" s="8">
        <v>-80.131095999999999</v>
      </c>
      <c r="J1222" s="21" t="s">
        <v>1699</v>
      </c>
    </row>
    <row r="1223" spans="1:10" x14ac:dyDescent="0.3">
      <c r="A1223" s="20">
        <v>2</v>
      </c>
      <c r="B1223" s="8">
        <v>1594</v>
      </c>
      <c r="C1223" s="8" t="s">
        <v>1700</v>
      </c>
      <c r="D1223" s="8" t="s">
        <v>644</v>
      </c>
      <c r="E1223" s="8" t="s">
        <v>644</v>
      </c>
      <c r="F1223" s="8" t="s">
        <v>811</v>
      </c>
      <c r="G1223" s="8" t="s">
        <v>230</v>
      </c>
      <c r="H1223" s="8">
        <v>8.9639439999999997</v>
      </c>
      <c r="I1223" s="8">
        <v>-79.537053</v>
      </c>
      <c r="J1223" s="21" t="s">
        <v>1695</v>
      </c>
    </row>
    <row r="1224" spans="1:10" x14ac:dyDescent="0.3">
      <c r="A1224" s="20">
        <v>2</v>
      </c>
      <c r="B1224" s="8">
        <v>1595</v>
      </c>
      <c r="C1224" s="8" t="s">
        <v>1701</v>
      </c>
      <c r="D1224" s="8" t="s">
        <v>644</v>
      </c>
      <c r="E1224" s="8" t="s">
        <v>644</v>
      </c>
      <c r="F1224" s="8" t="s">
        <v>735</v>
      </c>
      <c r="G1224" s="8" t="s">
        <v>230</v>
      </c>
      <c r="H1224" s="8">
        <v>8.9694439999999993</v>
      </c>
      <c r="I1224" s="8">
        <v>-79.544167000000002</v>
      </c>
      <c r="J1224" s="21" t="s">
        <v>1695</v>
      </c>
    </row>
    <row r="1225" spans="1:10" x14ac:dyDescent="0.3">
      <c r="A1225" s="20">
        <v>3</v>
      </c>
      <c r="B1225" s="8">
        <v>1597</v>
      </c>
      <c r="C1225" s="8" t="s">
        <v>1702</v>
      </c>
      <c r="D1225" s="8" t="s">
        <v>994</v>
      </c>
      <c r="E1225" s="8" t="s">
        <v>1052</v>
      </c>
      <c r="F1225" s="8" t="s">
        <v>1052</v>
      </c>
      <c r="G1225" s="8" t="s">
        <v>53</v>
      </c>
      <c r="H1225" s="8">
        <v>8.5269999999999992</v>
      </c>
      <c r="I1225" s="8">
        <v>-80.376000000000005</v>
      </c>
      <c r="J1225" s="21"/>
    </row>
    <row r="1226" spans="1:10" hidden="1" x14ac:dyDescent="0.3">
      <c r="A1226" s="20">
        <v>1</v>
      </c>
      <c r="B1226" s="8">
        <v>1598</v>
      </c>
      <c r="C1226" s="8" t="s">
        <v>1703</v>
      </c>
      <c r="D1226" s="8" t="s">
        <v>77</v>
      </c>
      <c r="E1226" s="8" t="s">
        <v>361</v>
      </c>
      <c r="F1226" s="8" t="s">
        <v>361</v>
      </c>
      <c r="G1226" s="8" t="s">
        <v>12</v>
      </c>
      <c r="H1226" s="8">
        <v>8.2428539999999995</v>
      </c>
      <c r="I1226" s="8">
        <v>-81.672606999999999</v>
      </c>
      <c r="J1226" s="21" t="s">
        <v>1704</v>
      </c>
    </row>
    <row r="1227" spans="1:10" x14ac:dyDescent="0.3">
      <c r="A1227" s="20">
        <v>1</v>
      </c>
      <c r="B1227" s="8">
        <v>1599</v>
      </c>
      <c r="C1227" s="8" t="s">
        <v>1705</v>
      </c>
      <c r="D1227" s="8" t="s">
        <v>410</v>
      </c>
      <c r="E1227" s="8" t="s">
        <v>439</v>
      </c>
      <c r="F1227" s="8" t="s">
        <v>439</v>
      </c>
      <c r="G1227" s="8" t="s">
        <v>12</v>
      </c>
      <c r="H1227" s="8">
        <v>7.649019</v>
      </c>
      <c r="I1227" s="8">
        <v>-80.989369999999994</v>
      </c>
      <c r="J1227" s="21" t="s">
        <v>1706</v>
      </c>
    </row>
    <row r="1228" spans="1:10" x14ac:dyDescent="0.3">
      <c r="A1228" s="20">
        <v>1</v>
      </c>
      <c r="B1228" s="8">
        <v>1600</v>
      </c>
      <c r="C1228" s="8" t="s">
        <v>1707</v>
      </c>
      <c r="D1228" s="8" t="s">
        <v>365</v>
      </c>
      <c r="E1228" s="8" t="s">
        <v>370</v>
      </c>
      <c r="F1228" s="8" t="s">
        <v>370</v>
      </c>
      <c r="G1228" s="8" t="s">
        <v>53</v>
      </c>
      <c r="H1228" s="8">
        <v>9.1844269999999995</v>
      </c>
      <c r="I1228" s="8">
        <v>-81.891095000000007</v>
      </c>
      <c r="J1228" s="21"/>
    </row>
    <row r="1229" spans="1:10" x14ac:dyDescent="0.3">
      <c r="A1229" s="20">
        <v>3</v>
      </c>
      <c r="B1229" s="8">
        <v>1601</v>
      </c>
      <c r="C1229" s="8" t="s">
        <v>1708</v>
      </c>
      <c r="D1229" s="8" t="s">
        <v>542</v>
      </c>
      <c r="E1229" s="8" t="s">
        <v>1164</v>
      </c>
      <c r="F1229" s="8" t="s">
        <v>1709</v>
      </c>
      <c r="G1229" s="8" t="s">
        <v>53</v>
      </c>
      <c r="H1229" s="8">
        <v>8.9235290000000003</v>
      </c>
      <c r="I1229" s="8">
        <v>-80.406756999999999</v>
      </c>
      <c r="J1229" s="21" t="s">
        <v>1575</v>
      </c>
    </row>
    <row r="1230" spans="1:10" x14ac:dyDescent="0.3">
      <c r="A1230" s="20">
        <v>2</v>
      </c>
      <c r="B1230" s="8">
        <v>1602</v>
      </c>
      <c r="C1230" s="8" t="s">
        <v>1710</v>
      </c>
      <c r="D1230" s="8" t="s">
        <v>644</v>
      </c>
      <c r="E1230" s="8" t="s">
        <v>644</v>
      </c>
      <c r="F1230" s="8" t="s">
        <v>701</v>
      </c>
      <c r="G1230" s="8" t="s">
        <v>230</v>
      </c>
      <c r="H1230" s="8">
        <v>8.9705239999999993</v>
      </c>
      <c r="I1230" s="8">
        <v>-79.533949000000007</v>
      </c>
      <c r="J1230" s="21" t="s">
        <v>1711</v>
      </c>
    </row>
    <row r="1231" spans="1:10" x14ac:dyDescent="0.3">
      <c r="A1231" s="20">
        <v>1</v>
      </c>
      <c r="B1231" s="8">
        <v>1603</v>
      </c>
      <c r="C1231" s="8" t="s">
        <v>1712</v>
      </c>
      <c r="D1231" s="8" t="s">
        <v>410</v>
      </c>
      <c r="E1231" s="8" t="s">
        <v>625</v>
      </c>
      <c r="F1231" s="8" t="s">
        <v>1713</v>
      </c>
      <c r="G1231" s="8" t="s">
        <v>53</v>
      </c>
      <c r="H1231" s="8">
        <v>8.8090039999999998</v>
      </c>
      <c r="I1231" s="8">
        <v>-81.079943</v>
      </c>
      <c r="J1231" s="21"/>
    </row>
    <row r="1232" spans="1:10" x14ac:dyDescent="0.3">
      <c r="A1232" s="20">
        <v>1</v>
      </c>
      <c r="B1232" s="8">
        <v>1604</v>
      </c>
      <c r="C1232" s="8" t="s">
        <v>1714</v>
      </c>
      <c r="D1232" s="8" t="s">
        <v>410</v>
      </c>
      <c r="E1232" s="8" t="s">
        <v>625</v>
      </c>
      <c r="F1232" s="8" t="s">
        <v>1715</v>
      </c>
      <c r="G1232" s="8" t="s">
        <v>53</v>
      </c>
      <c r="H1232" s="8">
        <v>8.6832150000000006</v>
      </c>
      <c r="I1232" s="8">
        <v>-81.219841000000002</v>
      </c>
      <c r="J1232" s="21"/>
    </row>
    <row r="1233" spans="1:10" x14ac:dyDescent="0.3">
      <c r="A1233" s="20">
        <v>3</v>
      </c>
      <c r="B1233" s="8">
        <v>1605</v>
      </c>
      <c r="C1233" s="8" t="s">
        <v>1716</v>
      </c>
      <c r="D1233" s="8" t="s">
        <v>1223</v>
      </c>
      <c r="E1233" s="8" t="s">
        <v>1224</v>
      </c>
      <c r="F1233" s="8" t="s">
        <v>1224</v>
      </c>
      <c r="G1233" s="8" t="s">
        <v>12</v>
      </c>
      <c r="H1233" s="8">
        <v>7.8212419999999998</v>
      </c>
      <c r="I1233" s="8">
        <v>-80.281739999999999</v>
      </c>
      <c r="J1233" s="21" t="s">
        <v>1699</v>
      </c>
    </row>
    <row r="1234" spans="1:10" x14ac:dyDescent="0.3">
      <c r="A1234" s="20">
        <v>2</v>
      </c>
      <c r="B1234" s="8">
        <v>1606</v>
      </c>
      <c r="C1234" s="8" t="s">
        <v>1717</v>
      </c>
      <c r="D1234" s="8" t="s">
        <v>644</v>
      </c>
      <c r="E1234" s="8" t="s">
        <v>644</v>
      </c>
      <c r="F1234" s="8" t="s">
        <v>792</v>
      </c>
      <c r="G1234" s="8" t="s">
        <v>230</v>
      </c>
      <c r="H1234" s="8">
        <v>9.0434629999999991</v>
      </c>
      <c r="I1234" s="8">
        <v>-79.425118999999995</v>
      </c>
      <c r="J1234" s="21" t="s">
        <v>1711</v>
      </c>
    </row>
    <row r="1235" spans="1:10" x14ac:dyDescent="0.3">
      <c r="A1235" s="20">
        <v>2</v>
      </c>
      <c r="B1235" s="8">
        <v>1607</v>
      </c>
      <c r="C1235" s="8" t="s">
        <v>1718</v>
      </c>
      <c r="D1235" s="8" t="s">
        <v>644</v>
      </c>
      <c r="E1235" s="8" t="s">
        <v>644</v>
      </c>
      <c r="F1235" s="8" t="s">
        <v>857</v>
      </c>
      <c r="G1235" s="8" t="s">
        <v>230</v>
      </c>
      <c r="H1235" s="8">
        <v>9.0227260000000005</v>
      </c>
      <c r="I1235" s="8">
        <v>-79.482324000000006</v>
      </c>
      <c r="J1235" s="21" t="s">
        <v>1719</v>
      </c>
    </row>
    <row r="1236" spans="1:10" x14ac:dyDescent="0.3">
      <c r="A1236" s="20">
        <v>2</v>
      </c>
      <c r="B1236" s="8">
        <v>1608</v>
      </c>
      <c r="C1236" s="8" t="s">
        <v>1720</v>
      </c>
      <c r="D1236" s="8" t="s">
        <v>644</v>
      </c>
      <c r="E1236" s="8" t="s">
        <v>644</v>
      </c>
      <c r="F1236" s="8" t="s">
        <v>792</v>
      </c>
      <c r="G1236" s="8" t="s">
        <v>230</v>
      </c>
      <c r="H1236" s="8">
        <v>9.0457470000000004</v>
      </c>
      <c r="I1236" s="8">
        <v>-79.444939000000005</v>
      </c>
      <c r="J1236" s="21" t="s">
        <v>1711</v>
      </c>
    </row>
    <row r="1237" spans="1:10" x14ac:dyDescent="0.3">
      <c r="A1237" s="20">
        <v>2</v>
      </c>
      <c r="B1237" s="8">
        <v>1610</v>
      </c>
      <c r="C1237" s="8" t="s">
        <v>1721</v>
      </c>
      <c r="D1237" s="8" t="s">
        <v>644</v>
      </c>
      <c r="E1237" s="8" t="s">
        <v>644</v>
      </c>
      <c r="F1237" s="8" t="s">
        <v>701</v>
      </c>
      <c r="G1237" s="8" t="s">
        <v>99</v>
      </c>
      <c r="H1237" s="8">
        <v>8.9465900000000005</v>
      </c>
      <c r="I1237" s="8">
        <v>-79.554716999999997</v>
      </c>
      <c r="J1237" s="21" t="s">
        <v>1722</v>
      </c>
    </row>
    <row r="1238" spans="1:10" x14ac:dyDescent="0.3">
      <c r="A1238" s="20">
        <v>2</v>
      </c>
      <c r="B1238" s="8">
        <v>1611</v>
      </c>
      <c r="C1238" s="8" t="s">
        <v>1723</v>
      </c>
      <c r="D1238" s="8" t="s">
        <v>542</v>
      </c>
      <c r="E1238" s="8" t="s">
        <v>542</v>
      </c>
      <c r="F1238" s="8" t="s">
        <v>564</v>
      </c>
      <c r="G1238" s="8" t="s">
        <v>12</v>
      </c>
      <c r="H1238" s="8">
        <v>9.3748290000000001</v>
      </c>
      <c r="I1238" s="8">
        <v>-79.841780999999997</v>
      </c>
      <c r="J1238" s="21" t="s">
        <v>1724</v>
      </c>
    </row>
    <row r="1239" spans="1:10" x14ac:dyDescent="0.3">
      <c r="A1239" s="20">
        <v>2</v>
      </c>
      <c r="B1239" s="8">
        <v>1612</v>
      </c>
      <c r="C1239" s="8" t="s">
        <v>1725</v>
      </c>
      <c r="D1239" s="8" t="s">
        <v>542</v>
      </c>
      <c r="E1239" s="8" t="s">
        <v>1564</v>
      </c>
      <c r="F1239" s="8" t="s">
        <v>1565</v>
      </c>
      <c r="G1239" s="8" t="s">
        <v>12</v>
      </c>
      <c r="H1239" s="8">
        <v>9.5752500000000005</v>
      </c>
      <c r="I1239" s="8">
        <v>-79.337410000000006</v>
      </c>
      <c r="J1239" s="21"/>
    </row>
    <row r="1240" spans="1:10" x14ac:dyDescent="0.3">
      <c r="A1240" s="20">
        <v>3</v>
      </c>
      <c r="B1240" s="8">
        <v>1613</v>
      </c>
      <c r="C1240" s="8" t="s">
        <v>1726</v>
      </c>
      <c r="D1240" s="8" t="s">
        <v>1167</v>
      </c>
      <c r="E1240" s="8" t="s">
        <v>1203</v>
      </c>
      <c r="F1240" s="8" t="s">
        <v>1205</v>
      </c>
      <c r="G1240" s="8" t="s">
        <v>12</v>
      </c>
      <c r="H1240" s="8">
        <v>7.9470000000000001</v>
      </c>
      <c r="I1240" s="8">
        <v>-80.778306000000001</v>
      </c>
      <c r="J1240" s="21" t="s">
        <v>1727</v>
      </c>
    </row>
    <row r="1241" spans="1:10" x14ac:dyDescent="0.3">
      <c r="A1241" s="20">
        <v>3</v>
      </c>
      <c r="B1241" s="8">
        <v>1614</v>
      </c>
      <c r="C1241" s="8" t="s">
        <v>1728</v>
      </c>
      <c r="D1241" s="8" t="s">
        <v>1287</v>
      </c>
      <c r="E1241" s="8" t="s">
        <v>1345</v>
      </c>
      <c r="F1241" s="8" t="s">
        <v>403</v>
      </c>
      <c r="G1241" s="8" t="s">
        <v>12</v>
      </c>
      <c r="H1241" s="8">
        <v>8.6316500000000005</v>
      </c>
      <c r="I1241" s="8">
        <v>-79.945605999999998</v>
      </c>
      <c r="J1241" s="21"/>
    </row>
    <row r="1242" spans="1:10" x14ac:dyDescent="0.3">
      <c r="A1242" s="20">
        <v>3</v>
      </c>
      <c r="B1242" s="8">
        <v>1615</v>
      </c>
      <c r="C1242" s="8" t="s">
        <v>1729</v>
      </c>
      <c r="D1242" s="8" t="s">
        <v>1167</v>
      </c>
      <c r="E1242" s="8" t="s">
        <v>1215</v>
      </c>
      <c r="F1242" s="8" t="s">
        <v>1215</v>
      </c>
      <c r="G1242" s="8" t="s">
        <v>12</v>
      </c>
      <c r="H1242" s="8">
        <v>7.9091620000000002</v>
      </c>
      <c r="I1242" s="8">
        <v>-80.617125000000001</v>
      </c>
      <c r="J1242" s="21" t="s">
        <v>1730</v>
      </c>
    </row>
    <row r="1243" spans="1:10" x14ac:dyDescent="0.3">
      <c r="A1243" s="20">
        <v>2</v>
      </c>
      <c r="B1243" s="8">
        <v>1616</v>
      </c>
      <c r="C1243" s="8" t="s">
        <v>1731</v>
      </c>
      <c r="D1243" s="8" t="s">
        <v>644</v>
      </c>
      <c r="E1243" s="8" t="s">
        <v>644</v>
      </c>
      <c r="F1243" s="8" t="s">
        <v>701</v>
      </c>
      <c r="G1243" s="8" t="s">
        <v>230</v>
      </c>
      <c r="H1243" s="8">
        <v>8.9480400000000007</v>
      </c>
      <c r="I1243" s="8">
        <v>-79.553230999999997</v>
      </c>
      <c r="J1243" s="21" t="s">
        <v>1711</v>
      </c>
    </row>
    <row r="1244" spans="1:10" x14ac:dyDescent="0.3">
      <c r="A1244" s="20">
        <v>2</v>
      </c>
      <c r="B1244" s="8">
        <v>1617</v>
      </c>
      <c r="C1244" s="8" t="s">
        <v>1732</v>
      </c>
      <c r="D1244" s="8" t="s">
        <v>644</v>
      </c>
      <c r="E1244" s="8" t="s">
        <v>925</v>
      </c>
      <c r="F1244" s="8" t="s">
        <v>926</v>
      </c>
      <c r="G1244" s="8" t="s">
        <v>230</v>
      </c>
      <c r="H1244" s="8">
        <v>9.0435719999999993</v>
      </c>
      <c r="I1244" s="8">
        <v>-79.501800000000003</v>
      </c>
      <c r="J1244" s="21"/>
    </row>
    <row r="1245" spans="1:10" x14ac:dyDescent="0.3">
      <c r="A1245" s="20">
        <v>3</v>
      </c>
      <c r="B1245" s="8">
        <v>1621</v>
      </c>
      <c r="C1245" s="8" t="s">
        <v>1733</v>
      </c>
      <c r="D1245" s="8" t="s">
        <v>994</v>
      </c>
      <c r="E1245" s="8" t="s">
        <v>995</v>
      </c>
      <c r="F1245" s="8" t="s">
        <v>1008</v>
      </c>
      <c r="G1245" s="8" t="s">
        <v>12</v>
      </c>
      <c r="H1245" s="8">
        <v>8.2512889999999999</v>
      </c>
      <c r="I1245" s="8">
        <v>-80.533654999999996</v>
      </c>
      <c r="J1245" s="21" t="s">
        <v>1734</v>
      </c>
    </row>
    <row r="1246" spans="1:10" hidden="1" x14ac:dyDescent="0.3">
      <c r="A1246" s="20">
        <v>1</v>
      </c>
      <c r="B1246" s="8">
        <v>1622</v>
      </c>
      <c r="C1246" s="8" t="s">
        <v>1735</v>
      </c>
      <c r="D1246" s="8" t="s">
        <v>77</v>
      </c>
      <c r="E1246" s="8" t="s">
        <v>78</v>
      </c>
      <c r="F1246" s="8" t="s">
        <v>85</v>
      </c>
      <c r="G1246" s="8" t="s">
        <v>12</v>
      </c>
      <c r="H1246" s="8">
        <v>8.4126879999999993</v>
      </c>
      <c r="I1246" s="8">
        <v>-82.716010999999995</v>
      </c>
      <c r="J1246" s="21"/>
    </row>
    <row r="1247" spans="1:10" hidden="1" x14ac:dyDescent="0.3">
      <c r="A1247" s="20">
        <v>1</v>
      </c>
      <c r="B1247" s="8">
        <v>1623</v>
      </c>
      <c r="C1247" s="8" t="s">
        <v>1736</v>
      </c>
      <c r="D1247" s="8" t="s">
        <v>77</v>
      </c>
      <c r="E1247" s="8" t="s">
        <v>93</v>
      </c>
      <c r="F1247" s="8" t="s">
        <v>103</v>
      </c>
      <c r="G1247" s="8" t="s">
        <v>12</v>
      </c>
      <c r="H1247" s="8">
        <v>8.3125909999999994</v>
      </c>
      <c r="I1247" s="8">
        <v>-82.855694</v>
      </c>
      <c r="J1247" s="21" t="s">
        <v>1737</v>
      </c>
    </row>
    <row r="1248" spans="1:10" x14ac:dyDescent="0.3">
      <c r="A1248" s="20">
        <v>3</v>
      </c>
      <c r="B1248" s="8">
        <v>1624</v>
      </c>
      <c r="C1248" s="8" t="s">
        <v>1738</v>
      </c>
      <c r="D1248" s="8" t="s">
        <v>1167</v>
      </c>
      <c r="E1248" s="8" t="s">
        <v>1203</v>
      </c>
      <c r="F1248" s="8" t="s">
        <v>1205</v>
      </c>
      <c r="G1248" s="8" t="s">
        <v>12</v>
      </c>
      <c r="H1248" s="8">
        <v>7.9444520000000001</v>
      </c>
      <c r="I1248" s="8">
        <v>-80.777148999999994</v>
      </c>
      <c r="J1248" s="21" t="s">
        <v>1727</v>
      </c>
    </row>
    <row r="1249" spans="1:10" hidden="1" x14ac:dyDescent="0.3">
      <c r="A1249" s="20">
        <v>1</v>
      </c>
      <c r="B1249" s="8">
        <v>1625</v>
      </c>
      <c r="C1249" s="8" t="s">
        <v>1739</v>
      </c>
      <c r="D1249" s="8" t="s">
        <v>77</v>
      </c>
      <c r="E1249" s="8" t="s">
        <v>220</v>
      </c>
      <c r="F1249" s="8" t="s">
        <v>228</v>
      </c>
      <c r="G1249" s="8" t="s">
        <v>12</v>
      </c>
      <c r="H1249" s="8">
        <v>8.4284809999999997</v>
      </c>
      <c r="I1249" s="8">
        <v>-82.430154000000002</v>
      </c>
      <c r="J1249" s="21" t="s">
        <v>1740</v>
      </c>
    </row>
    <row r="1250" spans="1:10" x14ac:dyDescent="0.3">
      <c r="A1250" s="20">
        <v>2</v>
      </c>
      <c r="B1250" s="8">
        <v>1626</v>
      </c>
      <c r="C1250" s="8" t="s">
        <v>1741</v>
      </c>
      <c r="D1250" s="8" t="s">
        <v>644</v>
      </c>
      <c r="E1250" s="8" t="s">
        <v>644</v>
      </c>
      <c r="F1250" s="8" t="s">
        <v>707</v>
      </c>
      <c r="G1250" s="8" t="s">
        <v>12</v>
      </c>
      <c r="H1250" s="8">
        <v>8.9897950000000009</v>
      </c>
      <c r="I1250" s="8">
        <v>-79.526083999999997</v>
      </c>
      <c r="J1250" s="21"/>
    </row>
    <row r="1251" spans="1:10" x14ac:dyDescent="0.3">
      <c r="A1251" s="20">
        <v>2</v>
      </c>
      <c r="B1251" s="8">
        <v>1627</v>
      </c>
      <c r="C1251" s="8" t="s">
        <v>1742</v>
      </c>
      <c r="D1251" s="8" t="s">
        <v>644</v>
      </c>
      <c r="E1251" s="8" t="s">
        <v>644</v>
      </c>
      <c r="F1251" s="8" t="s">
        <v>707</v>
      </c>
      <c r="G1251" s="8" t="s">
        <v>12</v>
      </c>
      <c r="H1251" s="8">
        <v>8.9752860000000005</v>
      </c>
      <c r="I1251" s="8">
        <v>-79.528068000000005</v>
      </c>
      <c r="J1251" s="21" t="s">
        <v>1722</v>
      </c>
    </row>
    <row r="1252" spans="1:10" x14ac:dyDescent="0.3">
      <c r="A1252" s="20">
        <v>2</v>
      </c>
      <c r="B1252" s="8">
        <v>1628</v>
      </c>
      <c r="C1252" s="8" t="s">
        <v>1743</v>
      </c>
      <c r="D1252" s="8" t="s">
        <v>605</v>
      </c>
      <c r="E1252" s="8" t="s">
        <v>632</v>
      </c>
      <c r="F1252" s="8" t="s">
        <v>633</v>
      </c>
      <c r="G1252" s="8" t="s">
        <v>12</v>
      </c>
      <c r="H1252" s="8">
        <v>8.3019800000000004</v>
      </c>
      <c r="I1252" s="8">
        <v>-77.816432000000006</v>
      </c>
      <c r="J1252" s="21"/>
    </row>
    <row r="1253" spans="1:10" x14ac:dyDescent="0.3">
      <c r="A1253" s="20">
        <v>2</v>
      </c>
      <c r="B1253" s="8">
        <v>1633</v>
      </c>
      <c r="C1253" s="8" t="s">
        <v>1744</v>
      </c>
      <c r="D1253" s="8" t="s">
        <v>644</v>
      </c>
      <c r="E1253" s="8" t="s">
        <v>644</v>
      </c>
      <c r="F1253" s="8" t="s">
        <v>676</v>
      </c>
      <c r="G1253" s="8" t="s">
        <v>12</v>
      </c>
      <c r="H1253" s="8">
        <v>9.1142230000000009</v>
      </c>
      <c r="I1253" s="8">
        <v>-79.372957999999997</v>
      </c>
      <c r="J1253" s="21"/>
    </row>
    <row r="1254" spans="1:10" hidden="1" x14ac:dyDescent="0.3">
      <c r="A1254" s="20">
        <v>1</v>
      </c>
      <c r="B1254" s="8">
        <v>1634</v>
      </c>
      <c r="C1254" s="8" t="s">
        <v>1745</v>
      </c>
      <c r="D1254" s="8" t="s">
        <v>77</v>
      </c>
      <c r="E1254" s="8" t="s">
        <v>93</v>
      </c>
      <c r="F1254" s="8" t="s">
        <v>103</v>
      </c>
      <c r="G1254" s="8" t="s">
        <v>12</v>
      </c>
      <c r="H1254" s="8">
        <v>8.2767110000000006</v>
      </c>
      <c r="I1254" s="8">
        <v>-82.860833999999997</v>
      </c>
      <c r="J1254" s="21" t="s">
        <v>1737</v>
      </c>
    </row>
    <row r="1255" spans="1:10" x14ac:dyDescent="0.3">
      <c r="A1255" s="20">
        <v>3</v>
      </c>
      <c r="B1255" s="8">
        <v>1635</v>
      </c>
      <c r="C1255" s="8" t="s">
        <v>1746</v>
      </c>
      <c r="D1255" s="8" t="s">
        <v>1223</v>
      </c>
      <c r="E1255" s="8" t="s">
        <v>1223</v>
      </c>
      <c r="F1255" s="8" t="s">
        <v>1249</v>
      </c>
      <c r="G1255" s="8" t="s">
        <v>12</v>
      </c>
      <c r="H1255" s="8">
        <v>7.9376930000000003</v>
      </c>
      <c r="I1255" s="8">
        <v>-80.414053999999993</v>
      </c>
      <c r="J1255" s="21" t="s">
        <v>1747</v>
      </c>
    </row>
    <row r="1256" spans="1:10" x14ac:dyDescent="0.3">
      <c r="A1256" s="20">
        <v>1</v>
      </c>
      <c r="B1256" s="8">
        <v>1636</v>
      </c>
      <c r="C1256" s="8" t="s">
        <v>1748</v>
      </c>
      <c r="D1256" s="8" t="s">
        <v>410</v>
      </c>
      <c r="E1256" s="8" t="s">
        <v>455</v>
      </c>
      <c r="F1256" s="8" t="s">
        <v>499</v>
      </c>
      <c r="G1256" s="8" t="s">
        <v>12</v>
      </c>
      <c r="H1256" s="8">
        <v>8.0958919999999992</v>
      </c>
      <c r="I1256" s="8">
        <v>-80.984097000000006</v>
      </c>
      <c r="J1256" s="21" t="s">
        <v>1749</v>
      </c>
    </row>
    <row r="1257" spans="1:10" x14ac:dyDescent="0.3">
      <c r="A1257" s="20">
        <v>3</v>
      </c>
      <c r="B1257" s="8">
        <v>1637</v>
      </c>
      <c r="C1257" s="8" t="s">
        <v>1750</v>
      </c>
      <c r="D1257" s="8" t="s">
        <v>1167</v>
      </c>
      <c r="E1257" s="8" t="s">
        <v>1168</v>
      </c>
      <c r="F1257" s="8" t="s">
        <v>1191</v>
      </c>
      <c r="G1257" s="8" t="s">
        <v>12</v>
      </c>
      <c r="H1257" s="8">
        <v>7.9797640000000003</v>
      </c>
      <c r="I1257" s="8">
        <v>-80.435891999999996</v>
      </c>
      <c r="J1257" s="21" t="s">
        <v>1734</v>
      </c>
    </row>
    <row r="1258" spans="1:10" hidden="1" x14ac:dyDescent="0.3">
      <c r="A1258" s="20">
        <v>1</v>
      </c>
      <c r="B1258" s="8">
        <v>1638</v>
      </c>
      <c r="C1258" s="8" t="s">
        <v>1751</v>
      </c>
      <c r="D1258" s="8" t="s">
        <v>77</v>
      </c>
      <c r="E1258" s="8" t="s">
        <v>93</v>
      </c>
      <c r="F1258" s="8" t="s">
        <v>98</v>
      </c>
      <c r="G1258" s="8" t="s">
        <v>12</v>
      </c>
      <c r="H1258" s="8">
        <v>8.5560899999999993</v>
      </c>
      <c r="I1258" s="8">
        <v>-82.828846999999996</v>
      </c>
      <c r="J1258" s="21"/>
    </row>
    <row r="1259" spans="1:10" x14ac:dyDescent="0.3">
      <c r="A1259" s="20">
        <v>3</v>
      </c>
      <c r="B1259" s="8">
        <v>1639</v>
      </c>
      <c r="C1259" s="8" t="s">
        <v>1752</v>
      </c>
      <c r="D1259" s="8" t="s">
        <v>1287</v>
      </c>
      <c r="E1259" s="8" t="s">
        <v>1288</v>
      </c>
      <c r="F1259" s="8" t="s">
        <v>1288</v>
      </c>
      <c r="G1259" s="8" t="s">
        <v>12</v>
      </c>
      <c r="H1259" s="8">
        <v>8.9478369999999998</v>
      </c>
      <c r="I1259" s="8">
        <v>-79.634163000000001</v>
      </c>
      <c r="J1259" s="21"/>
    </row>
    <row r="1260" spans="1:10" x14ac:dyDescent="0.3">
      <c r="A1260" s="20">
        <v>2</v>
      </c>
      <c r="B1260" s="8">
        <v>1640</v>
      </c>
      <c r="C1260" s="8" t="s">
        <v>1753</v>
      </c>
      <c r="D1260" s="8" t="s">
        <v>542</v>
      </c>
      <c r="E1260" s="8" t="s">
        <v>542</v>
      </c>
      <c r="F1260" s="8" t="s">
        <v>543</v>
      </c>
      <c r="G1260" s="8" t="s">
        <v>33</v>
      </c>
      <c r="H1260" s="8">
        <v>9.3603769999999997</v>
      </c>
      <c r="I1260" s="8">
        <v>-79.903700999999998</v>
      </c>
      <c r="J1260" s="21"/>
    </row>
    <row r="1261" spans="1:10" x14ac:dyDescent="0.3">
      <c r="A1261" s="20">
        <v>2</v>
      </c>
      <c r="B1261" s="8">
        <v>1641</v>
      </c>
      <c r="C1261" s="8" t="s">
        <v>1754</v>
      </c>
      <c r="D1261" s="8" t="s">
        <v>644</v>
      </c>
      <c r="E1261" s="8" t="s">
        <v>645</v>
      </c>
      <c r="F1261" s="8" t="s">
        <v>1755</v>
      </c>
      <c r="G1261" s="8" t="s">
        <v>12</v>
      </c>
      <c r="H1261" s="8">
        <v>9.2215009999999999</v>
      </c>
      <c r="I1261" s="8">
        <v>-78.965800999999999</v>
      </c>
      <c r="J1261" s="21"/>
    </row>
    <row r="1262" spans="1:10" x14ac:dyDescent="0.3">
      <c r="A1262" s="20">
        <v>2</v>
      </c>
      <c r="B1262" s="8">
        <v>1642</v>
      </c>
      <c r="C1262" s="8" t="s">
        <v>1756</v>
      </c>
      <c r="D1262" s="8" t="s">
        <v>644</v>
      </c>
      <c r="E1262" s="8" t="s">
        <v>645</v>
      </c>
      <c r="F1262" s="8" t="s">
        <v>1757</v>
      </c>
      <c r="G1262" s="8" t="s">
        <v>12</v>
      </c>
      <c r="H1262" s="8">
        <v>9.0510970000000004</v>
      </c>
      <c r="I1262" s="8">
        <v>-78.623948999999996</v>
      </c>
      <c r="J1262" s="21"/>
    </row>
    <row r="1263" spans="1:10" x14ac:dyDescent="0.3">
      <c r="A1263" s="20">
        <v>1</v>
      </c>
      <c r="B1263" s="8">
        <v>1643</v>
      </c>
      <c r="C1263" s="8" t="s">
        <v>1758</v>
      </c>
      <c r="D1263" s="8" t="s">
        <v>410</v>
      </c>
      <c r="E1263" s="8" t="s">
        <v>444</v>
      </c>
      <c r="F1263" s="8" t="s">
        <v>1759</v>
      </c>
      <c r="G1263" s="8" t="s">
        <v>12</v>
      </c>
      <c r="H1263" s="8">
        <v>7.9515229999999999</v>
      </c>
      <c r="I1263" s="8">
        <v>-81.071839999999995</v>
      </c>
      <c r="J1263" s="21" t="s">
        <v>1747</v>
      </c>
    </row>
    <row r="1264" spans="1:10" x14ac:dyDescent="0.3">
      <c r="A1264" s="20">
        <v>3</v>
      </c>
      <c r="B1264" s="8">
        <v>1644</v>
      </c>
      <c r="C1264" s="8" t="s">
        <v>1760</v>
      </c>
      <c r="D1264" s="8" t="s">
        <v>994</v>
      </c>
      <c r="E1264" s="8" t="s">
        <v>1027</v>
      </c>
      <c r="F1264" s="8" t="s">
        <v>1583</v>
      </c>
      <c r="G1264" s="8" t="s">
        <v>12</v>
      </c>
      <c r="H1264" s="8">
        <v>8.5622779999999992</v>
      </c>
      <c r="I1264" s="8">
        <v>-80.176742000000004</v>
      </c>
      <c r="J1264" s="21"/>
    </row>
    <row r="1265" spans="1:10" x14ac:dyDescent="0.3">
      <c r="A1265" s="20">
        <v>3</v>
      </c>
      <c r="B1265" s="8">
        <v>1645</v>
      </c>
      <c r="C1265" s="8" t="s">
        <v>1761</v>
      </c>
      <c r="D1265" s="8" t="s">
        <v>1223</v>
      </c>
      <c r="E1265" s="8" t="s">
        <v>1224</v>
      </c>
      <c r="F1265" s="8" t="s">
        <v>1762</v>
      </c>
      <c r="G1265" s="8" t="s">
        <v>12</v>
      </c>
      <c r="H1265" s="8">
        <v>7.8078960000000004</v>
      </c>
      <c r="I1265" s="8">
        <v>-80.359272000000004</v>
      </c>
      <c r="J1265" s="21" t="s">
        <v>1763</v>
      </c>
    </row>
    <row r="1266" spans="1:10" x14ac:dyDescent="0.3">
      <c r="A1266" s="20">
        <v>2</v>
      </c>
      <c r="B1266" s="8">
        <v>1647</v>
      </c>
      <c r="C1266" s="8" t="s">
        <v>1764</v>
      </c>
      <c r="D1266" s="8" t="s">
        <v>644</v>
      </c>
      <c r="E1266" s="8" t="s">
        <v>645</v>
      </c>
      <c r="F1266" s="8" t="s">
        <v>646</v>
      </c>
      <c r="G1266" s="8" t="s">
        <v>12</v>
      </c>
      <c r="H1266" s="8">
        <v>9.1316919999999993</v>
      </c>
      <c r="I1266" s="8">
        <v>-79.228064000000003</v>
      </c>
      <c r="J1266" s="21"/>
    </row>
    <row r="1267" spans="1:10" x14ac:dyDescent="0.3">
      <c r="A1267" s="20">
        <v>2</v>
      </c>
      <c r="B1267" s="8">
        <v>1648</v>
      </c>
      <c r="C1267" s="8" t="s">
        <v>1765</v>
      </c>
      <c r="D1267" s="8" t="s">
        <v>644</v>
      </c>
      <c r="E1267" s="8" t="s">
        <v>645</v>
      </c>
      <c r="F1267" s="8" t="s">
        <v>662</v>
      </c>
      <c r="G1267" s="8" t="s">
        <v>12</v>
      </c>
      <c r="H1267" s="8">
        <v>9.0361370000000001</v>
      </c>
      <c r="I1267" s="8">
        <v>-78.600668999999996</v>
      </c>
      <c r="J1267" s="21"/>
    </row>
    <row r="1268" spans="1:10" x14ac:dyDescent="0.3">
      <c r="A1268" s="20">
        <v>3</v>
      </c>
      <c r="B1268" s="8">
        <v>1649</v>
      </c>
      <c r="C1268" s="8" t="s">
        <v>1766</v>
      </c>
      <c r="D1268" s="8" t="s">
        <v>1287</v>
      </c>
      <c r="E1268" s="8" t="s">
        <v>1356</v>
      </c>
      <c r="F1268" s="8" t="s">
        <v>1357</v>
      </c>
      <c r="G1268" s="8" t="s">
        <v>12</v>
      </c>
      <c r="H1268" s="8">
        <v>8.8701150000000002</v>
      </c>
      <c r="I1268" s="8">
        <v>-79.784796</v>
      </c>
      <c r="J1268" s="21"/>
    </row>
    <row r="1269" spans="1:10" x14ac:dyDescent="0.3">
      <c r="A1269" s="20">
        <v>1</v>
      </c>
      <c r="B1269" s="8">
        <v>1650</v>
      </c>
      <c r="C1269" s="8" t="s">
        <v>1767</v>
      </c>
      <c r="D1269" s="8" t="s">
        <v>11</v>
      </c>
      <c r="E1269" s="8" t="s">
        <v>28</v>
      </c>
      <c r="F1269" s="8" t="s">
        <v>28</v>
      </c>
      <c r="G1269" s="8" t="s">
        <v>12</v>
      </c>
      <c r="H1269" s="8">
        <v>9.4485499999999991</v>
      </c>
      <c r="I1269" s="8">
        <v>-82.518296000000007</v>
      </c>
      <c r="J1269" s="21"/>
    </row>
    <row r="1270" spans="1:10" x14ac:dyDescent="0.3">
      <c r="A1270" s="20">
        <v>1</v>
      </c>
      <c r="B1270" s="8">
        <v>1651</v>
      </c>
      <c r="C1270" s="8" t="s">
        <v>1768</v>
      </c>
      <c r="D1270" s="8" t="s">
        <v>11</v>
      </c>
      <c r="E1270" s="8" t="s">
        <v>11</v>
      </c>
      <c r="F1270" s="8" t="s">
        <v>11</v>
      </c>
      <c r="G1270" s="8" t="s">
        <v>12</v>
      </c>
      <c r="H1270" s="8">
        <v>9.3605420000000006</v>
      </c>
      <c r="I1270" s="8">
        <v>-82.253090999999998</v>
      </c>
      <c r="J1270" s="21"/>
    </row>
    <row r="1271" spans="1:10" x14ac:dyDescent="0.3">
      <c r="A1271" s="20">
        <v>2</v>
      </c>
      <c r="B1271" s="8">
        <v>1652</v>
      </c>
      <c r="C1271" s="8" t="s">
        <v>1769</v>
      </c>
      <c r="D1271" s="8" t="s">
        <v>605</v>
      </c>
      <c r="E1271" s="8" t="s">
        <v>632</v>
      </c>
      <c r="F1271" s="8" t="s">
        <v>633</v>
      </c>
      <c r="G1271" s="8" t="s">
        <v>12</v>
      </c>
      <c r="H1271" s="8">
        <v>8.4681390000000007</v>
      </c>
      <c r="I1271" s="8">
        <v>-77.942749000000006</v>
      </c>
      <c r="J1271" s="21"/>
    </row>
    <row r="1272" spans="1:10" x14ac:dyDescent="0.3">
      <c r="A1272" s="20">
        <v>2</v>
      </c>
      <c r="B1272" s="8">
        <v>1653</v>
      </c>
      <c r="C1272" s="8" t="s">
        <v>1770</v>
      </c>
      <c r="D1272" s="8" t="s">
        <v>605</v>
      </c>
      <c r="E1272" s="8" t="s">
        <v>606</v>
      </c>
      <c r="F1272" s="8" t="s">
        <v>1771</v>
      </c>
      <c r="G1272" s="8" t="s">
        <v>12</v>
      </c>
      <c r="H1272" s="8">
        <v>8.7981370000000005</v>
      </c>
      <c r="I1272" s="8">
        <v>-78.370531</v>
      </c>
      <c r="J1272" s="21"/>
    </row>
    <row r="1273" spans="1:10" x14ac:dyDescent="0.3">
      <c r="A1273" s="20">
        <v>2</v>
      </c>
      <c r="B1273" s="8">
        <v>1654</v>
      </c>
      <c r="C1273" s="8" t="s">
        <v>1772</v>
      </c>
      <c r="D1273" s="8" t="s">
        <v>605</v>
      </c>
      <c r="E1273" s="8" t="s">
        <v>606</v>
      </c>
      <c r="F1273" s="8" t="s">
        <v>1773</v>
      </c>
      <c r="G1273" s="8" t="s">
        <v>12</v>
      </c>
      <c r="H1273" s="8">
        <v>8.5877949999999998</v>
      </c>
      <c r="I1273" s="8">
        <v>-78.056380000000004</v>
      </c>
      <c r="J1273" s="21"/>
    </row>
    <row r="1274" spans="1:10" x14ac:dyDescent="0.3">
      <c r="A1274" s="20">
        <v>2</v>
      </c>
      <c r="B1274" s="8">
        <v>1657</v>
      </c>
      <c r="C1274" s="8" t="s">
        <v>1774</v>
      </c>
      <c r="D1274" s="8" t="s">
        <v>605</v>
      </c>
      <c r="E1274" s="8" t="s">
        <v>632</v>
      </c>
      <c r="F1274" s="8" t="s">
        <v>633</v>
      </c>
      <c r="G1274" s="8" t="s">
        <v>12</v>
      </c>
      <c r="H1274" s="8">
        <v>8.5266749999999991</v>
      </c>
      <c r="I1274" s="8">
        <v>-77.986232000000001</v>
      </c>
      <c r="J1274" s="21"/>
    </row>
    <row r="1275" spans="1:10" x14ac:dyDescent="0.3">
      <c r="A1275" s="20">
        <v>2</v>
      </c>
      <c r="B1275" s="8">
        <v>1658</v>
      </c>
      <c r="C1275" s="8" t="s">
        <v>1775</v>
      </c>
      <c r="D1275" s="8" t="s">
        <v>542</v>
      </c>
      <c r="E1275" s="8" t="s">
        <v>1564</v>
      </c>
      <c r="F1275" s="8" t="s">
        <v>1776</v>
      </c>
      <c r="G1275" s="8" t="s">
        <v>12</v>
      </c>
      <c r="H1275" s="8">
        <v>9.580209</v>
      </c>
      <c r="I1275" s="8">
        <v>-79.468069999999997</v>
      </c>
      <c r="J1275" s="21"/>
    </row>
    <row r="1276" spans="1:10" x14ac:dyDescent="0.3">
      <c r="A1276" s="20">
        <v>2</v>
      </c>
      <c r="B1276" s="8">
        <v>1659</v>
      </c>
      <c r="C1276" s="8" t="s">
        <v>1777</v>
      </c>
      <c r="D1276" s="8" t="s">
        <v>605</v>
      </c>
      <c r="E1276" s="8" t="s">
        <v>632</v>
      </c>
      <c r="F1276" s="8" t="s">
        <v>633</v>
      </c>
      <c r="G1276" s="8" t="s">
        <v>12</v>
      </c>
      <c r="H1276" s="8">
        <v>8.5661850000000008</v>
      </c>
      <c r="I1276" s="8">
        <v>-78.031988999999996</v>
      </c>
      <c r="J1276" s="21"/>
    </row>
    <row r="1277" spans="1:10" x14ac:dyDescent="0.3">
      <c r="A1277" s="20">
        <v>2</v>
      </c>
      <c r="B1277" s="8">
        <v>1660</v>
      </c>
      <c r="C1277" s="8" t="s">
        <v>1778</v>
      </c>
      <c r="D1277" s="8" t="s">
        <v>542</v>
      </c>
      <c r="E1277" s="8" t="s">
        <v>542</v>
      </c>
      <c r="F1277" s="8" t="s">
        <v>585</v>
      </c>
      <c r="G1277" s="8" t="s">
        <v>12</v>
      </c>
      <c r="H1277" s="8">
        <v>9.2610200000000003</v>
      </c>
      <c r="I1277" s="8">
        <v>-79.681348</v>
      </c>
      <c r="J1277" s="21"/>
    </row>
    <row r="1278" spans="1:10" x14ac:dyDescent="0.3">
      <c r="A1278" s="20">
        <v>3</v>
      </c>
      <c r="B1278" s="8">
        <v>1661</v>
      </c>
      <c r="C1278" s="8" t="s">
        <v>1779</v>
      </c>
      <c r="D1278" s="8" t="s">
        <v>1287</v>
      </c>
      <c r="E1278" s="8" t="s">
        <v>1356</v>
      </c>
      <c r="F1278" s="8" t="s">
        <v>1357</v>
      </c>
      <c r="G1278" s="8" t="s">
        <v>230</v>
      </c>
      <c r="H1278" s="8">
        <v>8.8791039999999999</v>
      </c>
      <c r="I1278" s="8">
        <v>-79.788503000000006</v>
      </c>
      <c r="J1278" s="21"/>
    </row>
    <row r="1279" spans="1:10" x14ac:dyDescent="0.3">
      <c r="A1279" s="20">
        <v>3</v>
      </c>
      <c r="B1279" s="8">
        <v>1662</v>
      </c>
      <c r="C1279" s="8" t="s">
        <v>1780</v>
      </c>
      <c r="D1279" s="8" t="s">
        <v>1287</v>
      </c>
      <c r="E1279" s="8" t="s">
        <v>1345</v>
      </c>
      <c r="F1279" s="8" t="s">
        <v>1781</v>
      </c>
      <c r="G1279" s="8" t="s">
        <v>12</v>
      </c>
      <c r="H1279" s="8">
        <v>8.6462380000000003</v>
      </c>
      <c r="I1279" s="8">
        <v>-79.709395999999998</v>
      </c>
      <c r="J1279" s="21"/>
    </row>
    <row r="1280" spans="1:10" x14ac:dyDescent="0.3">
      <c r="A1280" s="20">
        <v>1</v>
      </c>
      <c r="B1280" s="8">
        <v>1664</v>
      </c>
      <c r="C1280" s="8" t="s">
        <v>1782</v>
      </c>
      <c r="D1280" s="8" t="s">
        <v>410</v>
      </c>
      <c r="E1280" s="8" t="s">
        <v>455</v>
      </c>
      <c r="F1280" s="8" t="s">
        <v>287</v>
      </c>
      <c r="G1280" s="8" t="s">
        <v>12</v>
      </c>
      <c r="H1280" s="8">
        <v>8.0860299999999992</v>
      </c>
      <c r="I1280" s="8">
        <v>-81.086190000000002</v>
      </c>
      <c r="J1280" s="21"/>
    </row>
    <row r="1281" spans="1:10" x14ac:dyDescent="0.3">
      <c r="A1281" s="20">
        <v>2</v>
      </c>
      <c r="B1281" s="8">
        <v>1665</v>
      </c>
      <c r="C1281" s="8" t="s">
        <v>1783</v>
      </c>
      <c r="D1281" s="8" t="s">
        <v>542</v>
      </c>
      <c r="E1281" s="8" t="s">
        <v>592</v>
      </c>
      <c r="F1281" s="8" t="s">
        <v>1784</v>
      </c>
      <c r="G1281" s="8" t="s">
        <v>12</v>
      </c>
      <c r="H1281" s="8">
        <v>9.4434380000000004</v>
      </c>
      <c r="I1281" s="8">
        <v>-79.750679000000005</v>
      </c>
      <c r="J1281" s="21"/>
    </row>
    <row r="1282" spans="1:10" x14ac:dyDescent="0.3">
      <c r="A1282" s="20">
        <v>3</v>
      </c>
      <c r="B1282" s="8">
        <v>1666</v>
      </c>
      <c r="C1282" s="8" t="s">
        <v>1785</v>
      </c>
      <c r="D1282" s="8" t="s">
        <v>994</v>
      </c>
      <c r="E1282" s="8" t="s">
        <v>1027</v>
      </c>
      <c r="F1282" s="8" t="s">
        <v>1027</v>
      </c>
      <c r="G1282" s="8" t="s">
        <v>12</v>
      </c>
      <c r="H1282" s="8">
        <v>8.3966580000000004</v>
      </c>
      <c r="I1282" s="8">
        <v>-80.265196000000003</v>
      </c>
      <c r="J1282" s="21"/>
    </row>
    <row r="1283" spans="1:10" x14ac:dyDescent="0.3">
      <c r="A1283" s="20">
        <v>1</v>
      </c>
      <c r="B1283" s="8">
        <v>1667</v>
      </c>
      <c r="C1283" s="8" t="s">
        <v>1786</v>
      </c>
      <c r="D1283" s="8" t="s">
        <v>410</v>
      </c>
      <c r="E1283" s="8" t="s">
        <v>625</v>
      </c>
      <c r="F1283" s="8" t="s">
        <v>625</v>
      </c>
      <c r="G1283" s="8" t="s">
        <v>12</v>
      </c>
      <c r="H1283" s="8">
        <v>8.4499549999999992</v>
      </c>
      <c r="I1283" s="8">
        <v>-81.060739999999996</v>
      </c>
      <c r="J1283" s="21"/>
    </row>
    <row r="1284" spans="1:10" x14ac:dyDescent="0.3">
      <c r="A1284" s="20">
        <v>1</v>
      </c>
      <c r="B1284" s="8">
        <v>1668</v>
      </c>
      <c r="C1284" s="8" t="s">
        <v>1787</v>
      </c>
      <c r="D1284" s="8" t="s">
        <v>11</v>
      </c>
      <c r="E1284" s="8" t="s">
        <v>11</v>
      </c>
      <c r="F1284" s="8" t="s">
        <v>11</v>
      </c>
      <c r="G1284" s="8" t="s">
        <v>12</v>
      </c>
      <c r="H1284" s="8">
        <v>8.9915389999999995</v>
      </c>
      <c r="I1284" s="8">
        <v>-79.524659</v>
      </c>
      <c r="J1284" s="21"/>
    </row>
    <row r="1285" spans="1:10" x14ac:dyDescent="0.3">
      <c r="A1285" s="20">
        <v>2</v>
      </c>
      <c r="B1285" s="8">
        <v>1669</v>
      </c>
      <c r="C1285" s="8" t="s">
        <v>1788</v>
      </c>
      <c r="D1285" s="8" t="s">
        <v>644</v>
      </c>
      <c r="E1285" s="8" t="s">
        <v>644</v>
      </c>
      <c r="F1285" s="8" t="s">
        <v>792</v>
      </c>
      <c r="G1285" s="8" t="s">
        <v>99</v>
      </c>
      <c r="H1285" s="8">
        <v>9.0455170000000003</v>
      </c>
      <c r="I1285" s="8">
        <v>-79.447106000000005</v>
      </c>
      <c r="J1285" s="21"/>
    </row>
    <row r="1286" spans="1:10" x14ac:dyDescent="0.3">
      <c r="A1286" s="20">
        <v>3</v>
      </c>
      <c r="B1286" s="8">
        <v>1670</v>
      </c>
      <c r="C1286" s="8" t="s">
        <v>1789</v>
      </c>
      <c r="D1286" s="8" t="s">
        <v>994</v>
      </c>
      <c r="E1286" s="8" t="s">
        <v>1091</v>
      </c>
      <c r="F1286" s="8" t="s">
        <v>1091</v>
      </c>
      <c r="G1286" s="8" t="s">
        <v>12</v>
      </c>
      <c r="H1286" s="8">
        <v>8.5279720000000001</v>
      </c>
      <c r="I1286" s="8">
        <v>-80.346558000000002</v>
      </c>
      <c r="J1286" s="21"/>
    </row>
    <row r="1287" spans="1:10" x14ac:dyDescent="0.3">
      <c r="A1287" s="20">
        <v>2</v>
      </c>
      <c r="B1287" s="8">
        <v>1671</v>
      </c>
      <c r="C1287" s="8" t="s">
        <v>1790</v>
      </c>
      <c r="D1287" s="8" t="s">
        <v>542</v>
      </c>
      <c r="E1287" s="8" t="s">
        <v>592</v>
      </c>
      <c r="F1287" s="8" t="s">
        <v>593</v>
      </c>
      <c r="G1287" s="8" t="s">
        <v>12</v>
      </c>
      <c r="H1287" s="8">
        <v>9.5519409999999993</v>
      </c>
      <c r="I1287" s="8">
        <v>-79.654983999999999</v>
      </c>
      <c r="J1287" s="21"/>
    </row>
    <row r="1288" spans="1:10" x14ac:dyDescent="0.3">
      <c r="A1288" s="20">
        <v>2</v>
      </c>
      <c r="B1288" s="8">
        <v>1672</v>
      </c>
      <c r="C1288" s="8" t="s">
        <v>1791</v>
      </c>
      <c r="D1288" s="8" t="s">
        <v>644</v>
      </c>
      <c r="E1288" s="8" t="s">
        <v>644</v>
      </c>
      <c r="F1288" s="8" t="s">
        <v>707</v>
      </c>
      <c r="G1288" s="8" t="s">
        <v>12</v>
      </c>
      <c r="H1288" s="8">
        <v>8.9803090000000001</v>
      </c>
      <c r="I1288" s="8">
        <v>-79.528139999999993</v>
      </c>
      <c r="J1288" s="21"/>
    </row>
    <row r="1289" spans="1:10" x14ac:dyDescent="0.3">
      <c r="A1289" s="20">
        <v>2</v>
      </c>
      <c r="B1289" s="8">
        <v>1673</v>
      </c>
      <c r="C1289" s="8" t="s">
        <v>1792</v>
      </c>
      <c r="D1289" s="8" t="s">
        <v>644</v>
      </c>
      <c r="E1289" s="8" t="s">
        <v>644</v>
      </c>
      <c r="F1289" s="8" t="s">
        <v>707</v>
      </c>
      <c r="G1289" s="8" t="s">
        <v>12</v>
      </c>
      <c r="H1289" s="8">
        <v>8.9803090000000001</v>
      </c>
      <c r="I1289" s="8">
        <v>-79.528139999999993</v>
      </c>
      <c r="J1289" s="21"/>
    </row>
    <row r="1290" spans="1:10" x14ac:dyDescent="0.3">
      <c r="A1290" s="20">
        <v>2</v>
      </c>
      <c r="B1290" s="8">
        <v>1674</v>
      </c>
      <c r="C1290" s="8" t="s">
        <v>1793</v>
      </c>
      <c r="D1290" s="8" t="s">
        <v>601</v>
      </c>
      <c r="E1290" s="8" t="s">
        <v>601</v>
      </c>
      <c r="F1290" s="8" t="s">
        <v>602</v>
      </c>
      <c r="G1290" s="8" t="s">
        <v>53</v>
      </c>
      <c r="H1290" s="8">
        <v>8.9470469999999995</v>
      </c>
      <c r="I1290" s="8">
        <v>-77.751085000000003</v>
      </c>
      <c r="J1290" s="21"/>
    </row>
    <row r="1291" spans="1:10" x14ac:dyDescent="0.3">
      <c r="A1291" s="20">
        <v>3</v>
      </c>
      <c r="B1291" s="8">
        <v>1675</v>
      </c>
      <c r="C1291" s="8" t="s">
        <v>1794</v>
      </c>
      <c r="D1291" s="8" t="s">
        <v>1167</v>
      </c>
      <c r="E1291" s="8" t="s">
        <v>1168</v>
      </c>
      <c r="F1291" s="8" t="s">
        <v>1168</v>
      </c>
      <c r="G1291" s="8" t="s">
        <v>12</v>
      </c>
      <c r="H1291" s="8">
        <v>7.9627470000000002</v>
      </c>
      <c r="I1291" s="8">
        <v>-80.428445999999994</v>
      </c>
      <c r="J1291" s="21"/>
    </row>
    <row r="1292" spans="1:10" x14ac:dyDescent="0.3">
      <c r="A1292" s="20">
        <v>2</v>
      </c>
      <c r="B1292" s="8">
        <v>1676</v>
      </c>
      <c r="C1292" s="8" t="s">
        <v>1795</v>
      </c>
      <c r="D1292" s="8" t="s">
        <v>542</v>
      </c>
      <c r="E1292" s="8" t="s">
        <v>542</v>
      </c>
      <c r="F1292" s="8" t="s">
        <v>543</v>
      </c>
      <c r="G1292" s="8" t="s">
        <v>230</v>
      </c>
      <c r="H1292" s="8">
        <v>9.3575490000000006</v>
      </c>
      <c r="I1292" s="8">
        <v>-79.891019</v>
      </c>
      <c r="J1292" s="21"/>
    </row>
    <row r="1293" spans="1:10" x14ac:dyDescent="0.3">
      <c r="A1293" s="20">
        <v>2</v>
      </c>
      <c r="B1293" s="8">
        <v>1677</v>
      </c>
      <c r="C1293" s="8" t="s">
        <v>1796</v>
      </c>
      <c r="D1293" s="8" t="s">
        <v>644</v>
      </c>
      <c r="E1293" s="8" t="s">
        <v>644</v>
      </c>
      <c r="F1293" s="8" t="s">
        <v>792</v>
      </c>
      <c r="G1293" s="8" t="s">
        <v>230</v>
      </c>
      <c r="H1293" s="8">
        <v>9.0441490000000009</v>
      </c>
      <c r="I1293" s="8">
        <v>-79.449617000000003</v>
      </c>
      <c r="J1293" s="21"/>
    </row>
    <row r="1294" spans="1:10" x14ac:dyDescent="0.3">
      <c r="A1294" s="20">
        <v>2</v>
      </c>
      <c r="B1294" s="8">
        <v>1678</v>
      </c>
      <c r="C1294" s="8" t="s">
        <v>1797</v>
      </c>
      <c r="D1294" s="8" t="s">
        <v>605</v>
      </c>
      <c r="E1294" s="8" t="s">
        <v>606</v>
      </c>
      <c r="F1294" s="8" t="s">
        <v>616</v>
      </c>
      <c r="G1294" s="8" t="s">
        <v>230</v>
      </c>
      <c r="H1294" s="8">
        <v>8.4067019999999992</v>
      </c>
      <c r="I1294" s="8">
        <v>-78.137191000000001</v>
      </c>
      <c r="J1294" s="21"/>
    </row>
    <row r="1295" spans="1:10" x14ac:dyDescent="0.3">
      <c r="A1295" s="20">
        <v>2</v>
      </c>
      <c r="B1295" s="8">
        <v>1679</v>
      </c>
      <c r="C1295" s="8" t="s">
        <v>1798</v>
      </c>
      <c r="D1295" s="8" t="s">
        <v>644</v>
      </c>
      <c r="E1295" s="8" t="s">
        <v>644</v>
      </c>
      <c r="F1295" s="8" t="s">
        <v>809</v>
      </c>
      <c r="G1295" s="8" t="s">
        <v>230</v>
      </c>
      <c r="H1295" s="8">
        <v>8.9537689999999994</v>
      </c>
      <c r="I1295" s="8">
        <v>-79.539125999999996</v>
      </c>
      <c r="J1295" s="21"/>
    </row>
    <row r="1296" spans="1:10" x14ac:dyDescent="0.3">
      <c r="A1296" s="20">
        <v>3</v>
      </c>
      <c r="B1296" s="8">
        <v>1680</v>
      </c>
      <c r="C1296" s="8" t="s">
        <v>1799</v>
      </c>
      <c r="D1296" s="8" t="s">
        <v>1167</v>
      </c>
      <c r="E1296" s="8" t="s">
        <v>1215</v>
      </c>
      <c r="F1296" s="8" t="s">
        <v>1215</v>
      </c>
      <c r="G1296" s="8" t="s">
        <v>12</v>
      </c>
      <c r="H1296" s="8">
        <v>7.9092140000000004</v>
      </c>
      <c r="I1296" s="8">
        <v>-80.614248000000003</v>
      </c>
      <c r="J1296" s="21"/>
    </row>
    <row r="1297" spans="1:10" x14ac:dyDescent="0.3">
      <c r="A1297" s="20">
        <v>3</v>
      </c>
      <c r="B1297" s="8">
        <v>1681</v>
      </c>
      <c r="C1297" s="8" t="s">
        <v>1800</v>
      </c>
      <c r="D1297" s="8" t="s">
        <v>1223</v>
      </c>
      <c r="E1297" s="8" t="s">
        <v>1233</v>
      </c>
      <c r="F1297" s="8" t="s">
        <v>1233</v>
      </c>
      <c r="G1297" s="8" t="s">
        <v>12</v>
      </c>
      <c r="H1297" s="8">
        <v>7.7660660000000004</v>
      </c>
      <c r="I1297" s="8">
        <v>-80.272199999999998</v>
      </c>
      <c r="J1297" s="21"/>
    </row>
    <row r="1298" spans="1:10" x14ac:dyDescent="0.3">
      <c r="A1298" s="20">
        <v>3</v>
      </c>
      <c r="B1298" s="8">
        <v>1682</v>
      </c>
      <c r="C1298" s="8" t="s">
        <v>1801</v>
      </c>
      <c r="D1298" s="8" t="s">
        <v>1167</v>
      </c>
      <c r="E1298" s="8" t="s">
        <v>1203</v>
      </c>
      <c r="F1298" s="8" t="s">
        <v>1205</v>
      </c>
      <c r="G1298" s="8" t="s">
        <v>12</v>
      </c>
      <c r="H1298" s="8">
        <v>7.9582740000000003</v>
      </c>
      <c r="I1298" s="8">
        <v>-80.780664999999999</v>
      </c>
      <c r="J1298" s="21"/>
    </row>
    <row r="1299" spans="1:10" x14ac:dyDescent="0.3">
      <c r="A1299" s="20">
        <v>3</v>
      </c>
      <c r="B1299" s="8">
        <v>1684</v>
      </c>
      <c r="C1299" s="8" t="s">
        <v>1802</v>
      </c>
      <c r="D1299" s="8" t="s">
        <v>1167</v>
      </c>
      <c r="E1299" s="8" t="s">
        <v>1168</v>
      </c>
      <c r="F1299" s="8" t="s">
        <v>1191</v>
      </c>
      <c r="G1299" s="8" t="s">
        <v>12</v>
      </c>
      <c r="H1299" s="8">
        <v>7.9791160000000003</v>
      </c>
      <c r="I1299" s="8">
        <v>-80.437467999999996</v>
      </c>
      <c r="J1299" s="21"/>
    </row>
    <row r="1300" spans="1:10" x14ac:dyDescent="0.3">
      <c r="A1300" s="20">
        <v>2</v>
      </c>
      <c r="B1300" s="8">
        <v>1685</v>
      </c>
      <c r="C1300" s="8" t="s">
        <v>1803</v>
      </c>
      <c r="D1300" s="8" t="s">
        <v>542</v>
      </c>
      <c r="E1300" s="8" t="s">
        <v>542</v>
      </c>
      <c r="F1300" s="8" t="s">
        <v>543</v>
      </c>
      <c r="G1300" s="8" t="s">
        <v>230</v>
      </c>
      <c r="H1300" s="8">
        <v>9.3562580000000004</v>
      </c>
      <c r="I1300" s="8">
        <v>-79.893901</v>
      </c>
      <c r="J1300" s="21"/>
    </row>
    <row r="1301" spans="1:10" x14ac:dyDescent="0.3">
      <c r="A1301" s="20">
        <v>3</v>
      </c>
      <c r="B1301" s="8">
        <v>1686</v>
      </c>
      <c r="C1301" s="8" t="s">
        <v>1804</v>
      </c>
      <c r="D1301" s="8" t="s">
        <v>1167</v>
      </c>
      <c r="E1301" s="8" t="s">
        <v>1168</v>
      </c>
      <c r="F1301" s="8" t="s">
        <v>1184</v>
      </c>
      <c r="G1301" s="8" t="s">
        <v>12</v>
      </c>
      <c r="H1301" s="8">
        <v>7.970377</v>
      </c>
      <c r="I1301" s="8">
        <v>-80.461670999999996</v>
      </c>
      <c r="J1301" s="21"/>
    </row>
    <row r="1302" spans="1:10" x14ac:dyDescent="0.3">
      <c r="A1302" s="20">
        <v>2</v>
      </c>
      <c r="B1302" s="8">
        <v>1688</v>
      </c>
      <c r="C1302" s="8" t="s">
        <v>1805</v>
      </c>
      <c r="D1302" s="8" t="s">
        <v>601</v>
      </c>
      <c r="E1302" s="8" t="s">
        <v>601</v>
      </c>
      <c r="F1302" s="8" t="s">
        <v>1806</v>
      </c>
      <c r="G1302" s="8" t="s">
        <v>12</v>
      </c>
      <c r="H1302" s="8">
        <v>9.3399149999999995</v>
      </c>
      <c r="I1302" s="8">
        <v>-78.993891000000005</v>
      </c>
      <c r="J1302" s="21"/>
    </row>
    <row r="1303" spans="1:10" x14ac:dyDescent="0.3">
      <c r="A1303" s="20">
        <v>3</v>
      </c>
      <c r="B1303" s="8">
        <v>1689</v>
      </c>
      <c r="C1303" s="8" t="s">
        <v>1807</v>
      </c>
      <c r="D1303" s="8" t="s">
        <v>994</v>
      </c>
      <c r="E1303" s="8" t="s">
        <v>995</v>
      </c>
      <c r="F1303" s="8" t="s">
        <v>996</v>
      </c>
      <c r="G1303" s="8" t="s">
        <v>12</v>
      </c>
      <c r="H1303" s="8">
        <v>8.2536959999999997</v>
      </c>
      <c r="I1303" s="8">
        <v>-80.537889000000007</v>
      </c>
      <c r="J1303" s="21"/>
    </row>
    <row r="1304" spans="1:10" x14ac:dyDescent="0.3">
      <c r="A1304" s="20">
        <v>2</v>
      </c>
      <c r="B1304" s="8">
        <v>1690</v>
      </c>
      <c r="C1304" s="8" t="s">
        <v>1808</v>
      </c>
      <c r="D1304" s="8" t="s">
        <v>601</v>
      </c>
      <c r="E1304" s="8" t="s">
        <v>601</v>
      </c>
      <c r="F1304" s="8" t="s">
        <v>1806</v>
      </c>
      <c r="G1304" s="8" t="s">
        <v>12</v>
      </c>
      <c r="H1304" s="8">
        <v>9.4427280000000007</v>
      </c>
      <c r="I1304" s="8">
        <v>-78.979410000000001</v>
      </c>
      <c r="J1304" s="21"/>
    </row>
    <row r="1305" spans="1:10" x14ac:dyDescent="0.3">
      <c r="A1305" s="20">
        <v>2</v>
      </c>
      <c r="B1305" s="8">
        <v>1691</v>
      </c>
      <c r="C1305" s="8" t="s">
        <v>1809</v>
      </c>
      <c r="D1305" s="8" t="s">
        <v>644</v>
      </c>
      <c r="E1305" s="8" t="s">
        <v>644</v>
      </c>
      <c r="F1305" s="8" t="s">
        <v>811</v>
      </c>
      <c r="G1305" s="8" t="s">
        <v>12</v>
      </c>
      <c r="H1305" s="8">
        <v>8.9543680000000005</v>
      </c>
      <c r="I1305" s="8">
        <v>-79.547455999999997</v>
      </c>
      <c r="J1305" s="21"/>
    </row>
    <row r="1306" spans="1:10" x14ac:dyDescent="0.3">
      <c r="A1306" s="20">
        <v>2</v>
      </c>
      <c r="B1306" s="8">
        <v>1692</v>
      </c>
      <c r="C1306" s="8" t="s">
        <v>1810</v>
      </c>
      <c r="D1306" s="8" t="s">
        <v>605</v>
      </c>
      <c r="E1306" s="8" t="s">
        <v>632</v>
      </c>
      <c r="F1306" s="8" t="s">
        <v>633</v>
      </c>
      <c r="G1306" s="8" t="s">
        <v>12</v>
      </c>
      <c r="H1306" s="8">
        <v>8.5488780000000002</v>
      </c>
      <c r="I1306" s="8">
        <v>-78.013520999999997</v>
      </c>
      <c r="J1306" s="21"/>
    </row>
    <row r="1307" spans="1:10" x14ac:dyDescent="0.3">
      <c r="A1307" s="20">
        <v>2</v>
      </c>
      <c r="B1307" s="8">
        <v>1693</v>
      </c>
      <c r="C1307" s="8" t="s">
        <v>1811</v>
      </c>
      <c r="D1307" s="8" t="s">
        <v>644</v>
      </c>
      <c r="E1307" s="8" t="s">
        <v>645</v>
      </c>
      <c r="F1307" s="8" t="s">
        <v>662</v>
      </c>
      <c r="G1307" s="8"/>
      <c r="H1307" s="8"/>
      <c r="I1307" s="8"/>
      <c r="J1307" s="21"/>
    </row>
    <row r="1308" spans="1:10" x14ac:dyDescent="0.3">
      <c r="A1308" s="20">
        <v>2</v>
      </c>
      <c r="B1308" s="8">
        <v>1694</v>
      </c>
      <c r="C1308" s="8" t="s">
        <v>1812</v>
      </c>
      <c r="D1308" s="8" t="s">
        <v>644</v>
      </c>
      <c r="E1308" s="8" t="s">
        <v>645</v>
      </c>
      <c r="F1308" s="8" t="s">
        <v>662</v>
      </c>
      <c r="G1308" s="8" t="s">
        <v>12</v>
      </c>
      <c r="H1308" s="8">
        <v>8.9454589999999996</v>
      </c>
      <c r="I1308" s="8">
        <v>-78.386756000000005</v>
      </c>
      <c r="J1308" s="21"/>
    </row>
    <row r="1309" spans="1:10" x14ac:dyDescent="0.3">
      <c r="A1309" s="20">
        <v>3</v>
      </c>
      <c r="B1309" s="8">
        <v>1695</v>
      </c>
      <c r="C1309" s="8" t="s">
        <v>1813</v>
      </c>
      <c r="D1309" s="8" t="s">
        <v>542</v>
      </c>
      <c r="E1309" s="8" t="s">
        <v>1164</v>
      </c>
      <c r="F1309" s="8" t="s">
        <v>1165</v>
      </c>
      <c r="G1309" s="8" t="s">
        <v>12</v>
      </c>
      <c r="H1309" s="8">
        <v>9.1550670000000007</v>
      </c>
      <c r="I1309" s="8">
        <v>-80.299768999999998</v>
      </c>
      <c r="J1309" s="21"/>
    </row>
    <row r="1310" spans="1:10" x14ac:dyDescent="0.3">
      <c r="A1310" s="20">
        <v>1</v>
      </c>
      <c r="B1310" s="8">
        <v>1696</v>
      </c>
      <c r="C1310" s="8" t="s">
        <v>1814</v>
      </c>
      <c r="D1310" s="8" t="s">
        <v>11</v>
      </c>
      <c r="E1310" s="8" t="s">
        <v>11</v>
      </c>
      <c r="F1310" s="8" t="s">
        <v>11</v>
      </c>
      <c r="G1310" s="8" t="s">
        <v>12</v>
      </c>
      <c r="H1310" s="8">
        <v>9.3394359999999992</v>
      </c>
      <c r="I1310" s="8">
        <v>-82.240497000000005</v>
      </c>
      <c r="J1310" s="21"/>
    </row>
    <row r="1311" spans="1:10" x14ac:dyDescent="0.3">
      <c r="A1311" s="20">
        <v>2</v>
      </c>
      <c r="B1311" s="8">
        <v>1697</v>
      </c>
      <c r="C1311" s="8" t="s">
        <v>1815</v>
      </c>
      <c r="D1311" s="8" t="s">
        <v>644</v>
      </c>
      <c r="E1311" s="8" t="s">
        <v>645</v>
      </c>
      <c r="F1311" s="8" t="s">
        <v>648</v>
      </c>
      <c r="G1311" s="8" t="s">
        <v>12</v>
      </c>
      <c r="H1311" s="8">
        <v>9.2197800000000001</v>
      </c>
      <c r="I1311" s="8">
        <v>-78.890693999999996</v>
      </c>
      <c r="J1311" s="21"/>
    </row>
    <row r="1312" spans="1:10" x14ac:dyDescent="0.3">
      <c r="A1312" s="20">
        <v>2</v>
      </c>
      <c r="B1312" s="8">
        <v>1698</v>
      </c>
      <c r="C1312" s="8" t="s">
        <v>1816</v>
      </c>
      <c r="D1312" s="8" t="s">
        <v>542</v>
      </c>
      <c r="E1312" s="8" t="s">
        <v>542</v>
      </c>
      <c r="F1312" s="8" t="s">
        <v>543</v>
      </c>
      <c r="G1312" s="8" t="s">
        <v>462</v>
      </c>
      <c r="H1312" s="8">
        <v>9.3643350000000005</v>
      </c>
      <c r="I1312" s="8">
        <v>-79.904098000000005</v>
      </c>
      <c r="J1312" s="21"/>
    </row>
    <row r="1313" spans="1:10" hidden="1" x14ac:dyDescent="0.3">
      <c r="A1313" s="20">
        <v>1</v>
      </c>
      <c r="B1313" s="8">
        <v>1699</v>
      </c>
      <c r="C1313" s="8" t="s">
        <v>1817</v>
      </c>
      <c r="D1313" s="8" t="s">
        <v>77</v>
      </c>
      <c r="E1313" s="8" t="s">
        <v>154</v>
      </c>
      <c r="F1313" s="8" t="s">
        <v>154</v>
      </c>
      <c r="G1313" s="8" t="s">
        <v>12</v>
      </c>
      <c r="H1313" s="8">
        <v>8.4870490000000007</v>
      </c>
      <c r="I1313" s="8">
        <v>-82.620356000000001</v>
      </c>
      <c r="J1313" s="21"/>
    </row>
    <row r="1314" spans="1:10" x14ac:dyDescent="0.3">
      <c r="A1314" s="20">
        <v>3</v>
      </c>
      <c r="B1314" s="8">
        <v>1700</v>
      </c>
      <c r="C1314" s="8" t="s">
        <v>1818</v>
      </c>
      <c r="D1314" s="8" t="s">
        <v>1223</v>
      </c>
      <c r="E1314" s="8" t="s">
        <v>1233</v>
      </c>
      <c r="F1314" s="8" t="s">
        <v>1233</v>
      </c>
      <c r="G1314" s="8" t="s">
        <v>12</v>
      </c>
      <c r="H1314" s="8">
        <v>7.7920030000000002</v>
      </c>
      <c r="I1314" s="8">
        <v>-80.272987000000001</v>
      </c>
      <c r="J1314" s="21"/>
    </row>
    <row r="1315" spans="1:10" x14ac:dyDescent="0.3">
      <c r="A1315" s="20">
        <v>3</v>
      </c>
      <c r="B1315" s="8">
        <v>1701</v>
      </c>
      <c r="C1315" s="8" t="s">
        <v>1819</v>
      </c>
      <c r="D1315" s="8" t="s">
        <v>1287</v>
      </c>
      <c r="E1315" s="8" t="s">
        <v>1288</v>
      </c>
      <c r="F1315" s="8" t="s">
        <v>1305</v>
      </c>
      <c r="G1315" s="8" t="s">
        <v>12</v>
      </c>
      <c r="H1315" s="8">
        <v>8.9679669999999998</v>
      </c>
      <c r="I1315" s="8">
        <v>-79.664421000000004</v>
      </c>
      <c r="J1315" s="21"/>
    </row>
    <row r="1316" spans="1:10" x14ac:dyDescent="0.3">
      <c r="A1316" s="20">
        <v>2</v>
      </c>
      <c r="B1316" s="8">
        <v>1702</v>
      </c>
      <c r="C1316" s="8" t="s">
        <v>1820</v>
      </c>
      <c r="D1316" s="8" t="s">
        <v>644</v>
      </c>
      <c r="E1316" s="8" t="s">
        <v>644</v>
      </c>
      <c r="F1316" s="8" t="s">
        <v>906</v>
      </c>
      <c r="G1316" s="8" t="s">
        <v>12</v>
      </c>
      <c r="H1316" s="8"/>
      <c r="I1316" s="8"/>
      <c r="J1316" s="21"/>
    </row>
    <row r="1317" spans="1:10" hidden="1" x14ac:dyDescent="0.3">
      <c r="A1317" s="20">
        <v>1</v>
      </c>
      <c r="B1317" s="8">
        <v>1703</v>
      </c>
      <c r="C1317" s="8" t="s">
        <v>1821</v>
      </c>
      <c r="D1317" s="8" t="s">
        <v>77</v>
      </c>
      <c r="E1317" s="8" t="s">
        <v>220</v>
      </c>
      <c r="F1317" s="8" t="s">
        <v>142</v>
      </c>
      <c r="G1317" s="8" t="s">
        <v>12</v>
      </c>
      <c r="H1317" s="8">
        <v>8.3853790000000004</v>
      </c>
      <c r="I1317" s="8">
        <v>-82.425555000000003</v>
      </c>
      <c r="J1317" s="21"/>
    </row>
    <row r="1318" spans="1:10" x14ac:dyDescent="0.3">
      <c r="A1318" s="20">
        <v>2</v>
      </c>
      <c r="B1318" s="8">
        <v>1704</v>
      </c>
      <c r="C1318" s="8" t="s">
        <v>1822</v>
      </c>
      <c r="D1318" s="8" t="s">
        <v>644</v>
      </c>
      <c r="E1318" s="8" t="s">
        <v>644</v>
      </c>
      <c r="F1318" s="8" t="s">
        <v>906</v>
      </c>
      <c r="G1318" s="8"/>
      <c r="H1318" s="8"/>
      <c r="I1318" s="8"/>
      <c r="J1318" s="21"/>
    </row>
    <row r="1319" spans="1:10" x14ac:dyDescent="0.3">
      <c r="A1319" s="20">
        <v>2</v>
      </c>
      <c r="B1319" s="8">
        <v>1705</v>
      </c>
      <c r="C1319" s="8" t="s">
        <v>1823</v>
      </c>
      <c r="D1319" s="8" t="s">
        <v>644</v>
      </c>
      <c r="E1319" s="8" t="s">
        <v>645</v>
      </c>
      <c r="F1319" s="8" t="s">
        <v>1757</v>
      </c>
      <c r="G1319" s="8"/>
      <c r="H1319" s="8"/>
      <c r="I1319" s="8"/>
      <c r="J1319" s="21"/>
    </row>
    <row r="1320" spans="1:10" x14ac:dyDescent="0.3">
      <c r="A1320" s="20">
        <v>2</v>
      </c>
      <c r="B1320" s="8">
        <v>1706</v>
      </c>
      <c r="C1320" s="8" t="s">
        <v>1824</v>
      </c>
      <c r="D1320" s="8" t="s">
        <v>644</v>
      </c>
      <c r="E1320" s="8" t="s">
        <v>644</v>
      </c>
      <c r="F1320" s="8" t="s">
        <v>906</v>
      </c>
      <c r="G1320" s="8"/>
      <c r="H1320" s="8"/>
      <c r="I1320" s="8"/>
      <c r="J1320" s="21"/>
    </row>
    <row r="1321" spans="1:10" x14ac:dyDescent="0.3">
      <c r="A1321" s="20">
        <v>2</v>
      </c>
      <c r="B1321" s="8">
        <v>1707</v>
      </c>
      <c r="C1321" s="8" t="s">
        <v>1825</v>
      </c>
      <c r="D1321" s="8" t="s">
        <v>644</v>
      </c>
      <c r="E1321" s="8" t="s">
        <v>645</v>
      </c>
      <c r="F1321" s="8" t="s">
        <v>1757</v>
      </c>
      <c r="G1321" s="8"/>
      <c r="H1321" s="8"/>
      <c r="I1321" s="8"/>
      <c r="J1321" s="21"/>
    </row>
    <row r="1322" spans="1:10" x14ac:dyDescent="0.3">
      <c r="A1322" s="22">
        <v>2</v>
      </c>
      <c r="B1322" s="23">
        <v>1708</v>
      </c>
      <c r="C1322" s="23" t="s">
        <v>1826</v>
      </c>
      <c r="D1322" s="23" t="s">
        <v>644</v>
      </c>
      <c r="E1322" s="23" t="s">
        <v>645</v>
      </c>
      <c r="F1322" s="23" t="s">
        <v>648</v>
      </c>
      <c r="G1322" s="23"/>
      <c r="H1322" s="23"/>
      <c r="I1322" s="23"/>
      <c r="J1322" s="24"/>
    </row>
  </sheetData>
  <sheetProtection formatCells="0" formatColumns="0" formatRows="0" insertColumns="0" insertRows="0" insertHyperlinks="0" deleteColumns="0" deleteRows="0" sort="0" autoFilter="0" pivotTables="0"/>
  <pageMargins left="0" right="0" top="0" bottom="0" header="0.3" footer="0.3"/>
  <pageSetup paperSize="9" scale="47" fitToHeight="0" orientation="portrait" r:id="rId1"/>
  <headerFooter>
    <oddHeader>&amp;C&amp;G</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66694-F5CB-44B7-B92C-710FBEBC5F07}">
  <sheetPr>
    <tabColor rgb="FF66FFFF"/>
  </sheetPr>
  <dimension ref="A1:B79"/>
  <sheetViews>
    <sheetView workbookViewId="0">
      <selection activeCell="L16" sqref="L16"/>
    </sheetView>
  </sheetViews>
  <sheetFormatPr baseColWidth="10" defaultRowHeight="14.4" x14ac:dyDescent="0.3"/>
  <cols>
    <col min="1" max="1" width="24.21875" bestFit="1" customWidth="1"/>
    <col min="2" max="2" width="15.21875" bestFit="1" customWidth="1"/>
  </cols>
  <sheetData>
    <row r="1" spans="1:2" x14ac:dyDescent="0.3">
      <c r="A1" s="28" t="s">
        <v>1827</v>
      </c>
      <c r="B1" s="29" t="s">
        <v>9604</v>
      </c>
    </row>
    <row r="2" spans="1:2" x14ac:dyDescent="0.3">
      <c r="A2" s="1" t="s">
        <v>995</v>
      </c>
      <c r="B2" s="25">
        <v>30</v>
      </c>
    </row>
    <row r="3" spans="1:2" x14ac:dyDescent="0.3">
      <c r="A3" s="2" t="s">
        <v>78</v>
      </c>
      <c r="B3" s="26">
        <v>7</v>
      </c>
    </row>
    <row r="4" spans="1:2" x14ac:dyDescent="0.3">
      <c r="A4" s="2" t="s">
        <v>16</v>
      </c>
      <c r="B4" s="26">
        <v>6</v>
      </c>
    </row>
    <row r="5" spans="1:2" x14ac:dyDescent="0.3">
      <c r="A5" s="2" t="s">
        <v>1027</v>
      </c>
      <c r="B5" s="26">
        <v>26</v>
      </c>
    </row>
    <row r="6" spans="1:2" x14ac:dyDescent="0.3">
      <c r="A6" s="2" t="s">
        <v>1288</v>
      </c>
      <c r="B6" s="26">
        <v>43</v>
      </c>
    </row>
    <row r="7" spans="1:2" x14ac:dyDescent="0.3">
      <c r="A7" s="2" t="s">
        <v>411</v>
      </c>
      <c r="B7" s="26">
        <v>3</v>
      </c>
    </row>
    <row r="8" spans="1:2" x14ac:dyDescent="0.3">
      <c r="A8" s="2" t="s">
        <v>93</v>
      </c>
      <c r="B8" s="26">
        <v>38</v>
      </c>
    </row>
    <row r="9" spans="1:2" x14ac:dyDescent="0.3">
      <c r="A9" s="2" t="s">
        <v>366</v>
      </c>
      <c r="B9" s="26">
        <v>1</v>
      </c>
    </row>
    <row r="10" spans="1:2" x14ac:dyDescent="0.3">
      <c r="A10" s="2" t="s">
        <v>11</v>
      </c>
      <c r="B10" s="26">
        <v>6</v>
      </c>
    </row>
    <row r="11" spans="1:2" x14ac:dyDescent="0.3">
      <c r="A11" s="2" t="s">
        <v>137</v>
      </c>
      <c r="B11" s="26">
        <v>8</v>
      </c>
    </row>
    <row r="12" spans="1:2" x14ac:dyDescent="0.3">
      <c r="A12" s="2" t="s">
        <v>144</v>
      </c>
      <c r="B12" s="26">
        <v>7</v>
      </c>
    </row>
    <row r="13" spans="1:2" x14ac:dyDescent="0.3">
      <c r="A13" s="2" t="s">
        <v>154</v>
      </c>
      <c r="B13" s="26">
        <v>45</v>
      </c>
    </row>
    <row r="14" spans="1:2" x14ac:dyDescent="0.3">
      <c r="A14" s="2" t="s">
        <v>415</v>
      </c>
      <c r="B14" s="26">
        <v>2</v>
      </c>
    </row>
    <row r="15" spans="1:2" x14ac:dyDescent="0.3">
      <c r="A15" s="2" t="s">
        <v>418</v>
      </c>
      <c r="B15" s="26">
        <v>1</v>
      </c>
    </row>
    <row r="16" spans="1:2" x14ac:dyDescent="0.3">
      <c r="A16" s="2" t="s">
        <v>1332</v>
      </c>
      <c r="B16" s="26">
        <v>14</v>
      </c>
    </row>
    <row r="17" spans="1:2" x14ac:dyDescent="0.3">
      <c r="A17" s="2" t="s">
        <v>597</v>
      </c>
      <c r="B17" s="26">
        <v>2</v>
      </c>
    </row>
    <row r="18" spans="1:2" x14ac:dyDescent="0.3">
      <c r="A18" s="2" t="s">
        <v>1160</v>
      </c>
      <c r="B18" s="26">
        <v>3</v>
      </c>
    </row>
    <row r="19" spans="1:2" x14ac:dyDescent="0.3">
      <c r="A19" s="2" t="s">
        <v>1345</v>
      </c>
      <c r="B19" s="26">
        <v>13</v>
      </c>
    </row>
    <row r="20" spans="1:2" x14ac:dyDescent="0.3">
      <c r="A20" s="2" t="s">
        <v>28</v>
      </c>
      <c r="B20" s="26">
        <v>35</v>
      </c>
    </row>
    <row r="21" spans="1:2" x14ac:dyDescent="0.3">
      <c r="A21" s="2" t="s">
        <v>606</v>
      </c>
      <c r="B21" s="26">
        <v>22</v>
      </c>
    </row>
    <row r="22" spans="1:2" x14ac:dyDescent="0.3">
      <c r="A22" s="2" t="s">
        <v>645</v>
      </c>
      <c r="B22" s="26">
        <v>38</v>
      </c>
    </row>
    <row r="23" spans="1:2" x14ac:dyDescent="0.3">
      <c r="A23" s="2" t="s">
        <v>70</v>
      </c>
      <c r="B23" s="26">
        <v>7</v>
      </c>
    </row>
    <row r="24" spans="1:2" x14ac:dyDescent="0.3">
      <c r="A24" s="2" t="s">
        <v>1168</v>
      </c>
      <c r="B24" s="26">
        <v>33</v>
      </c>
    </row>
    <row r="25" spans="1:2" x14ac:dyDescent="0.3">
      <c r="A25" s="2" t="s">
        <v>542</v>
      </c>
      <c r="B25" s="26">
        <v>57</v>
      </c>
    </row>
    <row r="26" spans="1:2" x14ac:dyDescent="0.3">
      <c r="A26" s="2" t="s">
        <v>601</v>
      </c>
      <c r="B26" s="26">
        <v>7</v>
      </c>
    </row>
    <row r="27" spans="1:2" x14ac:dyDescent="0.3">
      <c r="A27" s="2" t="s">
        <v>220</v>
      </c>
      <c r="B27" s="26">
        <v>58</v>
      </c>
    </row>
    <row r="28" spans="1:2" x14ac:dyDescent="0.3">
      <c r="A28" s="2" t="s">
        <v>286</v>
      </c>
      <c r="B28" s="26">
        <v>17</v>
      </c>
    </row>
    <row r="29" spans="1:2" x14ac:dyDescent="0.3">
      <c r="A29" s="2" t="s">
        <v>1164</v>
      </c>
      <c r="B29" s="26">
        <v>3</v>
      </c>
    </row>
    <row r="30" spans="1:2" x14ac:dyDescent="0.3">
      <c r="A30" s="2" t="s">
        <v>304</v>
      </c>
      <c r="B30" s="26">
        <v>5</v>
      </c>
    </row>
    <row r="31" spans="1:2" x14ac:dyDescent="0.3">
      <c r="A31" s="2" t="s">
        <v>1224</v>
      </c>
      <c r="B31" s="26">
        <v>11</v>
      </c>
    </row>
    <row r="32" spans="1:2" x14ac:dyDescent="0.3">
      <c r="A32" s="2" t="s">
        <v>1464</v>
      </c>
      <c r="B32" s="26">
        <v>1</v>
      </c>
    </row>
    <row r="33" spans="1:2" x14ac:dyDescent="0.3">
      <c r="A33" s="2" t="s">
        <v>1690</v>
      </c>
      <c r="B33" s="26">
        <v>1</v>
      </c>
    </row>
    <row r="34" spans="1:2" x14ac:dyDescent="0.3">
      <c r="A34" s="2" t="s">
        <v>370</v>
      </c>
      <c r="B34" s="26">
        <v>3</v>
      </c>
    </row>
    <row r="35" spans="1:2" x14ac:dyDescent="0.3">
      <c r="A35" s="2" t="s">
        <v>1356</v>
      </c>
      <c r="B35" s="26">
        <v>27</v>
      </c>
    </row>
    <row r="36" spans="1:2" x14ac:dyDescent="0.3">
      <c r="A36" s="2" t="s">
        <v>421</v>
      </c>
      <c r="B36" s="26">
        <v>8</v>
      </c>
    </row>
    <row r="37" spans="1:2" x14ac:dyDescent="0.3">
      <c r="A37" s="2" t="s">
        <v>1052</v>
      </c>
      <c r="B37" s="26">
        <v>23</v>
      </c>
    </row>
    <row r="38" spans="1:2" x14ac:dyDescent="0.3">
      <c r="A38" s="2" t="s">
        <v>1483</v>
      </c>
      <c r="B38" s="26">
        <v>2</v>
      </c>
    </row>
    <row r="39" spans="1:2" x14ac:dyDescent="0.3">
      <c r="A39" s="2" t="s">
        <v>431</v>
      </c>
      <c r="B39" s="26">
        <v>4</v>
      </c>
    </row>
    <row r="40" spans="1:2" x14ac:dyDescent="0.3">
      <c r="A40" s="2" t="s">
        <v>1233</v>
      </c>
      <c r="B40" s="26">
        <v>21</v>
      </c>
    </row>
    <row r="41" spans="1:2" x14ac:dyDescent="0.3">
      <c r="A41" s="2" t="s">
        <v>1199</v>
      </c>
      <c r="B41" s="26">
        <v>4</v>
      </c>
    </row>
    <row r="42" spans="1:2" x14ac:dyDescent="0.3">
      <c r="A42" s="2" t="s">
        <v>1223</v>
      </c>
      <c r="B42" s="26">
        <v>16</v>
      </c>
    </row>
    <row r="43" spans="1:2" x14ac:dyDescent="0.3">
      <c r="A43" s="2" t="s">
        <v>1263</v>
      </c>
      <c r="B43" s="26">
        <v>4</v>
      </c>
    </row>
    <row r="44" spans="1:2" x14ac:dyDescent="0.3">
      <c r="A44" s="2" t="s">
        <v>439</v>
      </c>
      <c r="B44" s="26">
        <v>4</v>
      </c>
    </row>
    <row r="45" spans="1:2" x14ac:dyDescent="0.3">
      <c r="A45" s="2" t="s">
        <v>376</v>
      </c>
      <c r="B45" s="26">
        <v>1</v>
      </c>
    </row>
    <row r="46" spans="1:2" x14ac:dyDescent="0.3">
      <c r="A46" s="2" t="s">
        <v>444</v>
      </c>
      <c r="B46" s="26">
        <v>3</v>
      </c>
    </row>
    <row r="47" spans="1:2" x14ac:dyDescent="0.3">
      <c r="A47" s="2" t="s">
        <v>379</v>
      </c>
      <c r="B47" s="26">
        <v>8</v>
      </c>
    </row>
    <row r="48" spans="1:2" x14ac:dyDescent="0.3">
      <c r="A48" s="2" t="s">
        <v>1080</v>
      </c>
      <c r="B48" s="26">
        <v>12</v>
      </c>
    </row>
    <row r="49" spans="1:2" x14ac:dyDescent="0.3">
      <c r="A49" s="2" t="s">
        <v>393</v>
      </c>
      <c r="B49" s="26">
        <v>4</v>
      </c>
    </row>
    <row r="50" spans="1:2" x14ac:dyDescent="0.3">
      <c r="A50" s="2" t="s">
        <v>400</v>
      </c>
      <c r="B50" s="26">
        <v>4</v>
      </c>
    </row>
    <row r="51" spans="1:2" x14ac:dyDescent="0.3">
      <c r="A51" s="2" t="s">
        <v>1203</v>
      </c>
      <c r="B51" s="26">
        <v>11</v>
      </c>
    </row>
    <row r="52" spans="1:2" x14ac:dyDescent="0.3">
      <c r="A52" s="2" t="s">
        <v>1578</v>
      </c>
      <c r="B52" s="26">
        <v>4</v>
      </c>
    </row>
    <row r="53" spans="1:2" x14ac:dyDescent="0.3">
      <c r="A53" s="2" t="s">
        <v>644</v>
      </c>
      <c r="B53" s="26">
        <v>276</v>
      </c>
    </row>
    <row r="54" spans="1:2" x14ac:dyDescent="0.3">
      <c r="A54" s="2" t="s">
        <v>1211</v>
      </c>
      <c r="B54" s="26">
        <v>3</v>
      </c>
    </row>
    <row r="55" spans="1:2" x14ac:dyDescent="0.3">
      <c r="A55" s="2" t="s">
        <v>1268</v>
      </c>
      <c r="B55" s="26">
        <v>11</v>
      </c>
    </row>
    <row r="56" spans="1:2" x14ac:dyDescent="0.3">
      <c r="A56" s="2" t="s">
        <v>1091</v>
      </c>
      <c r="B56" s="26">
        <v>65</v>
      </c>
    </row>
    <row r="57" spans="1:2" x14ac:dyDescent="0.3">
      <c r="A57" s="2" t="s">
        <v>1215</v>
      </c>
      <c r="B57" s="26">
        <v>7</v>
      </c>
    </row>
    <row r="58" spans="1:2" x14ac:dyDescent="0.3">
      <c r="A58" s="2" t="s">
        <v>632</v>
      </c>
      <c r="B58" s="26">
        <v>14</v>
      </c>
    </row>
    <row r="59" spans="1:2" x14ac:dyDescent="0.3">
      <c r="A59" s="2" t="s">
        <v>1008</v>
      </c>
      <c r="B59" s="26">
        <v>5</v>
      </c>
    </row>
    <row r="60" spans="1:2" x14ac:dyDescent="0.3">
      <c r="A60" s="2" t="s">
        <v>592</v>
      </c>
      <c r="B60" s="26">
        <v>4</v>
      </c>
    </row>
    <row r="61" spans="1:2" x14ac:dyDescent="0.3">
      <c r="A61" s="2" t="s">
        <v>309</v>
      </c>
      <c r="B61" s="26">
        <v>4</v>
      </c>
    </row>
    <row r="62" spans="1:2" x14ac:dyDescent="0.3">
      <c r="A62" s="2" t="s">
        <v>314</v>
      </c>
      <c r="B62" s="26">
        <v>20</v>
      </c>
    </row>
    <row r="63" spans="1:2" x14ac:dyDescent="0.3">
      <c r="A63" s="2" t="s">
        <v>1437</v>
      </c>
      <c r="B63" s="26">
        <v>3</v>
      </c>
    </row>
    <row r="64" spans="1:2" x14ac:dyDescent="0.3">
      <c r="A64" s="2" t="s">
        <v>274</v>
      </c>
      <c r="B64" s="26">
        <v>8</v>
      </c>
    </row>
    <row r="65" spans="1:2" x14ac:dyDescent="0.3">
      <c r="A65" s="2" t="s">
        <v>341</v>
      </c>
      <c r="B65" s="26">
        <v>6</v>
      </c>
    </row>
    <row r="66" spans="1:2" x14ac:dyDescent="0.3">
      <c r="A66" s="2" t="s">
        <v>447</v>
      </c>
      <c r="B66" s="26">
        <v>4</v>
      </c>
    </row>
    <row r="67" spans="1:2" x14ac:dyDescent="0.3">
      <c r="A67" s="2" t="s">
        <v>348</v>
      </c>
      <c r="B67" s="26">
        <v>7</v>
      </c>
    </row>
    <row r="68" spans="1:2" x14ac:dyDescent="0.3">
      <c r="A68" s="2" t="s">
        <v>925</v>
      </c>
      <c r="B68" s="26">
        <v>63</v>
      </c>
    </row>
    <row r="69" spans="1:2" x14ac:dyDescent="0.3">
      <c r="A69" s="2" t="s">
        <v>1476</v>
      </c>
      <c r="B69" s="26">
        <v>2</v>
      </c>
    </row>
    <row r="70" spans="1:2" x14ac:dyDescent="0.3">
      <c r="A70" s="2" t="s">
        <v>625</v>
      </c>
      <c r="B70" s="26">
        <v>5</v>
      </c>
    </row>
    <row r="71" spans="1:2" x14ac:dyDescent="0.3">
      <c r="A71" s="2" t="s">
        <v>1564</v>
      </c>
      <c r="B71" s="26">
        <v>3</v>
      </c>
    </row>
    <row r="72" spans="1:2" x14ac:dyDescent="0.3">
      <c r="A72" s="2" t="s">
        <v>1219</v>
      </c>
      <c r="B72" s="26">
        <v>5</v>
      </c>
    </row>
    <row r="73" spans="1:2" x14ac:dyDescent="0.3">
      <c r="A73" s="2" t="s">
        <v>455</v>
      </c>
      <c r="B73" s="26">
        <v>51</v>
      </c>
    </row>
    <row r="74" spans="1:2" x14ac:dyDescent="0.3">
      <c r="A74" s="2" t="s">
        <v>515</v>
      </c>
      <c r="B74" s="26">
        <v>23</v>
      </c>
    </row>
    <row r="75" spans="1:2" x14ac:dyDescent="0.3">
      <c r="A75" s="2" t="s">
        <v>990</v>
      </c>
      <c r="B75" s="26">
        <v>2</v>
      </c>
    </row>
    <row r="76" spans="1:2" x14ac:dyDescent="0.3">
      <c r="A76" s="2" t="s">
        <v>172</v>
      </c>
      <c r="B76" s="26">
        <v>9</v>
      </c>
    </row>
    <row r="77" spans="1:2" x14ac:dyDescent="0.3">
      <c r="A77" s="2" t="s">
        <v>361</v>
      </c>
      <c r="B77" s="26">
        <v>5</v>
      </c>
    </row>
    <row r="78" spans="1:2" x14ac:dyDescent="0.3">
      <c r="A78" s="2" t="s">
        <v>1283</v>
      </c>
      <c r="B78" s="26">
        <v>3</v>
      </c>
    </row>
    <row r="79" spans="1:2" x14ac:dyDescent="0.3">
      <c r="A79" s="3" t="s">
        <v>1828</v>
      </c>
      <c r="B79" s="27">
        <v>1321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99"/>
    <pageSetUpPr fitToPage="1"/>
  </sheetPr>
  <dimension ref="A1:U61"/>
  <sheetViews>
    <sheetView tabSelected="1" zoomScale="74" zoomScaleNormal="130" workbookViewId="0">
      <pane xSplit="3" ySplit="1" topLeftCell="D26" activePane="bottomRight" state="frozen"/>
      <selection pane="topRight" activeCell="D1" sqref="D1"/>
      <selection pane="bottomLeft" activeCell="A2" sqref="A2"/>
      <selection pane="bottomRight" activeCell="T38" sqref="T38"/>
    </sheetView>
  </sheetViews>
  <sheetFormatPr baseColWidth="10" defaultColWidth="8.77734375" defaultRowHeight="14.4" x14ac:dyDescent="0.3"/>
  <cols>
    <col min="1" max="1" width="13.77734375" customWidth="1"/>
    <col min="2" max="2" width="11.21875" customWidth="1"/>
    <col min="3" max="3" width="39.33203125" customWidth="1"/>
    <col min="4" max="4" width="27" bestFit="1" customWidth="1"/>
    <col min="5" max="5" width="22.88671875" customWidth="1"/>
    <col min="6" max="6" width="26.33203125" customWidth="1"/>
    <col min="7" max="7" width="15.33203125" customWidth="1"/>
    <col min="8" max="8" width="13.44140625" customWidth="1"/>
    <col min="9" max="9" width="16.33203125" customWidth="1"/>
    <col min="10" max="10" width="23.33203125" customWidth="1"/>
    <col min="11" max="11" width="17.44140625" style="19" customWidth="1"/>
    <col min="12" max="12" width="14.109375" style="19" customWidth="1"/>
    <col min="13" max="13" width="14.88671875" style="19" customWidth="1"/>
    <col min="14" max="14" width="39.21875" customWidth="1"/>
    <col min="15" max="15" width="22.77734375" style="19" customWidth="1"/>
    <col min="16" max="16" width="29.109375" style="19" customWidth="1"/>
    <col min="17" max="17" width="16.44140625" style="19" customWidth="1"/>
    <col min="18" max="18" width="16.6640625" style="19" customWidth="1"/>
    <col min="19" max="19" width="25.6640625" style="19" customWidth="1"/>
    <col min="20" max="20" width="20.88671875" customWidth="1"/>
    <col min="21" max="21" width="27.33203125" customWidth="1"/>
  </cols>
  <sheetData>
    <row r="1" spans="1:21" ht="15.6" x14ac:dyDescent="0.3">
      <c r="A1" s="31" t="s">
        <v>0</v>
      </c>
      <c r="B1" s="32" t="s">
        <v>1</v>
      </c>
      <c r="C1" s="32" t="s">
        <v>2</v>
      </c>
      <c r="D1" s="32" t="s">
        <v>3</v>
      </c>
      <c r="E1" s="32" t="s">
        <v>4</v>
      </c>
      <c r="F1" s="32" t="s">
        <v>5</v>
      </c>
      <c r="G1" s="32" t="s">
        <v>6</v>
      </c>
      <c r="H1" s="32" t="s">
        <v>7</v>
      </c>
      <c r="I1" s="32" t="s">
        <v>8</v>
      </c>
      <c r="J1" s="32" t="s">
        <v>9</v>
      </c>
      <c r="K1" s="33" t="s">
        <v>2230</v>
      </c>
      <c r="L1" s="33" t="s">
        <v>2231</v>
      </c>
      <c r="M1" s="86" t="s">
        <v>2232</v>
      </c>
      <c r="N1" s="34" t="s">
        <v>2235</v>
      </c>
      <c r="O1" s="35" t="s">
        <v>1837</v>
      </c>
      <c r="P1" s="35" t="s">
        <v>2233</v>
      </c>
      <c r="Q1" s="35" t="s">
        <v>1841</v>
      </c>
      <c r="R1" s="35" t="s">
        <v>2234</v>
      </c>
      <c r="S1" s="35" t="s">
        <v>1843</v>
      </c>
      <c r="T1" s="36" t="s">
        <v>9603</v>
      </c>
      <c r="U1" s="34" t="s">
        <v>9605</v>
      </c>
    </row>
    <row r="2" spans="1:21" x14ac:dyDescent="0.3">
      <c r="A2" s="69">
        <v>1</v>
      </c>
      <c r="B2" s="70">
        <v>64</v>
      </c>
      <c r="C2" s="70" t="s">
        <v>92</v>
      </c>
      <c r="D2" s="70" t="s">
        <v>77</v>
      </c>
      <c r="E2" s="70" t="s">
        <v>93</v>
      </c>
      <c r="F2" s="70" t="s">
        <v>94</v>
      </c>
      <c r="G2" s="70" t="s">
        <v>12</v>
      </c>
      <c r="H2" s="70">
        <v>8.4068970000000007</v>
      </c>
      <c r="I2" s="70">
        <v>-82.790057000000004</v>
      </c>
      <c r="J2" s="70" t="s">
        <v>95</v>
      </c>
      <c r="K2" s="73" t="str">
        <f>VLOOKUP(C2,BD_SESIONES_DE_USUARIO!A2:H61,7,FALSE)</f>
        <v>C&amp;W Panamá</v>
      </c>
      <c r="L2" s="73">
        <f>VLOOKUP(C2,BD_SESIONES_DE_USUARIO!A2:H61,5,FALSE)</f>
        <v>1344</v>
      </c>
      <c r="M2" s="75">
        <f>VLOOKUP(C2,BD_DATA_TRANSFERIDA!A2:G61,5,FALSE)</f>
        <v>74</v>
      </c>
      <c r="N2" s="83" t="s">
        <v>2043</v>
      </c>
      <c r="O2" s="77"/>
      <c r="P2" s="77" t="str">
        <f>VLOOKUP(N2,BD_MEDUCA!$A$4583:$M$4587,4,TRUE)</f>
        <v>CULTURA Y DEPORTE</v>
      </c>
      <c r="Q2" s="77" t="str">
        <f>VLOOKUP(N2,BD_MEDUCA!$A$4583:$M$4587,10,TRUE)</f>
        <v>URBANA</v>
      </c>
      <c r="R2" s="77" t="str">
        <f>VLOOKUP(N2,BD_MEDUCA!$A$4583:$M$4587,11,TRUE)</f>
        <v>NO</v>
      </c>
      <c r="S2" s="77" t="str">
        <f>VLOOKUP(N2,BD_MEDUCA!$A$4583:$M$4587,12,TRUE)</f>
        <v xml:space="preserve">No </v>
      </c>
      <c r="T2" s="79"/>
      <c r="U2" s="85" t="str">
        <f>VLOOKUP(N2,BD_MEDUCA!$A$4583:$M$4587,2,TRUE)</f>
        <v>SUBSISTEMA REGULAR</v>
      </c>
    </row>
    <row r="3" spans="1:21" x14ac:dyDescent="0.3">
      <c r="A3" s="69">
        <v>1</v>
      </c>
      <c r="B3" s="70">
        <v>65</v>
      </c>
      <c r="C3" s="70" t="s">
        <v>96</v>
      </c>
      <c r="D3" s="70" t="s">
        <v>77</v>
      </c>
      <c r="E3" s="70" t="s">
        <v>93</v>
      </c>
      <c r="F3" s="70" t="s">
        <v>94</v>
      </c>
      <c r="G3" s="70" t="s">
        <v>12</v>
      </c>
      <c r="H3" s="70">
        <v>8.3652719999999992</v>
      </c>
      <c r="I3" s="70">
        <v>-82.783434999999997</v>
      </c>
      <c r="J3" s="70" t="s">
        <v>95</v>
      </c>
      <c r="K3" s="73" t="str">
        <f>VLOOKUP(C3,BD_SESIONES_DE_USUARIO!A3:H62,7,FALSE)</f>
        <v>C&amp;W Panamá</v>
      </c>
      <c r="L3" s="73">
        <f>VLOOKUP(C3,BD_SESIONES_DE_USUARIO!A3:H62,5,FALSE)</f>
        <v>2053</v>
      </c>
      <c r="M3" s="75">
        <f>VLOOKUP(C3,BD_DATA_TRANSFERIDA!A3:G62,5,FALSE)</f>
        <v>124</v>
      </c>
      <c r="N3" s="83" t="s">
        <v>2122</v>
      </c>
      <c r="O3" s="77" t="str">
        <f>VLOOKUP(N3,BD_MEDUCA!$A$4583:$M$4587,3,TRUE)</f>
        <v>OFICIAL</v>
      </c>
      <c r="P3" s="77" t="str">
        <f>VLOOKUP(N3,BD_MEDUCA!$A$4583:$M$4587,4,TRUE)</f>
        <v>CULTURA Y DEPORTE</v>
      </c>
      <c r="Q3" s="77" t="str">
        <f>VLOOKUP(N3,BD_MEDUCA!$A$4583:$M$4587,10,TRUE)</f>
        <v>URBANA</v>
      </c>
      <c r="R3" s="77" t="str">
        <f>VLOOKUP(N3,BD_MEDUCA!$A$4583:$M$4587,11,TRUE)</f>
        <v>NO</v>
      </c>
      <c r="S3" s="77" t="str">
        <f>VLOOKUP(N3,BD_MEDUCA!$A$4583:$M$4587,12,TRUE)</f>
        <v xml:space="preserve">No </v>
      </c>
      <c r="T3" s="79" t="str">
        <f>VLOOKUP(N3,BD_MEDUCA!$A$4583:$M$4587,13,TRUE)</f>
        <v>NO ESPECIFICADO</v>
      </c>
      <c r="U3" s="80" t="str">
        <f>VLOOKUP(N3,BD_MEDUCA!$A$4583:$M$4587,2,TRUE)</f>
        <v>SUBSISTEMA REGULAR</v>
      </c>
    </row>
    <row r="4" spans="1:21" x14ac:dyDescent="0.3">
      <c r="A4" s="69">
        <v>1</v>
      </c>
      <c r="B4" s="70">
        <v>66</v>
      </c>
      <c r="C4" s="70" t="s">
        <v>97</v>
      </c>
      <c r="D4" s="70" t="s">
        <v>77</v>
      </c>
      <c r="E4" s="70" t="s">
        <v>93</v>
      </c>
      <c r="F4" s="70" t="s">
        <v>98</v>
      </c>
      <c r="G4" s="70" t="s">
        <v>99</v>
      </c>
      <c r="H4" s="70">
        <v>8.4515650000000004</v>
      </c>
      <c r="I4" s="70">
        <v>-82.834551000000005</v>
      </c>
      <c r="J4" s="70" t="s">
        <v>100</v>
      </c>
      <c r="K4" s="73" t="str">
        <f>VLOOKUP(C4,BD_SESIONES_DE_USUARIO!A4:H63,7,FALSE)</f>
        <v>C&amp;W Panamá</v>
      </c>
      <c r="L4" s="73">
        <f>VLOOKUP(C4,BD_SESIONES_DE_USUARIO!A4:H63,5,FALSE)</f>
        <v>1633</v>
      </c>
      <c r="M4" s="75">
        <f>VLOOKUP(C4,BD_DATA_TRANSFERIDA!A4:G63,5,FALSE)</f>
        <v>46</v>
      </c>
      <c r="N4" s="83" t="s">
        <v>1953</v>
      </c>
      <c r="O4" s="77" t="str">
        <f>VLOOKUP(N4,BD_MEDUCA!$A$4583:$M$4587,3,TRUE)</f>
        <v>OFICIAL</v>
      </c>
      <c r="P4" s="77" t="str">
        <f>VLOOKUP(N4,BD_MEDUCA!$A$4583:$M$4587,4,TRUE)</f>
        <v>CULTURA Y DEPORTE</v>
      </c>
      <c r="Q4" s="77" t="str">
        <f>VLOOKUP(N4,BD_MEDUCA!$A$4583:$M$4587,10,TRUE)</f>
        <v>URBANA</v>
      </c>
      <c r="R4" s="77" t="str">
        <f>VLOOKUP(N4,BD_MEDUCA!$A$4583:$M$4587,11,TRUE)</f>
        <v>NO</v>
      </c>
      <c r="S4" s="77" t="str">
        <f>VLOOKUP(N4,BD_MEDUCA!$A$4583:$M$4587,12,TRUE)</f>
        <v xml:space="preserve">No </v>
      </c>
      <c r="T4" s="79" t="str">
        <f>VLOOKUP(N4,BD_MEDUCA!$A$4583:$M$4587,13,TRUE)</f>
        <v>NO ESPECIFICADO</v>
      </c>
      <c r="U4" s="80" t="str">
        <f>VLOOKUP(N4,BD_MEDUCA!$A$4583:$M$4587,2,TRUE)</f>
        <v>SUBSISTEMA REGULAR</v>
      </c>
    </row>
    <row r="5" spans="1:21" x14ac:dyDescent="0.3">
      <c r="A5" s="69">
        <v>1</v>
      </c>
      <c r="B5" s="70">
        <v>68</v>
      </c>
      <c r="C5" s="70" t="s">
        <v>101</v>
      </c>
      <c r="D5" s="70" t="s">
        <v>77</v>
      </c>
      <c r="E5" s="70" t="s">
        <v>93</v>
      </c>
      <c r="F5" s="70" t="s">
        <v>98</v>
      </c>
      <c r="G5" s="70" t="s">
        <v>99</v>
      </c>
      <c r="H5" s="70">
        <v>8.347334</v>
      </c>
      <c r="I5" s="70">
        <v>-82.801157000000003</v>
      </c>
      <c r="J5" s="70" t="s">
        <v>100</v>
      </c>
      <c r="K5" s="73" t="str">
        <f>VLOOKUP(C5,BD_SESIONES_DE_USUARIO!A5:H64,7,FALSE)</f>
        <v>C&amp;W Panamá</v>
      </c>
      <c r="L5" s="73">
        <f>VLOOKUP(C5,BD_SESIONES_DE_USUARIO!A5:H64,5,FALSE)</f>
        <v>2114</v>
      </c>
      <c r="M5" s="75">
        <f>VLOOKUP(C5,BD_DATA_TRANSFERIDA!A5:G64,5,FALSE)</f>
        <v>191</v>
      </c>
      <c r="N5" s="83" t="s">
        <v>1959</v>
      </c>
      <c r="O5" s="77" t="str">
        <f>VLOOKUP(N5,BD_MEDUCA!$A$4583:$M$4587,3,TRUE)</f>
        <v>OFICIAL</v>
      </c>
      <c r="P5" s="77" t="str">
        <f>VLOOKUP(N5,BD_MEDUCA!$A$4583:$M$4587,4,TRUE)</f>
        <v>CULTURA Y DEPORTE</v>
      </c>
      <c r="Q5" s="77" t="str">
        <f>VLOOKUP(N5,BD_MEDUCA!$A$4583:$M$4587,10,TRUE)</f>
        <v>URBANA</v>
      </c>
      <c r="R5" s="77" t="str">
        <f>VLOOKUP(N5,BD_MEDUCA!$A$4583:$M$4587,11,TRUE)</f>
        <v>NO</v>
      </c>
      <c r="S5" s="77" t="str">
        <f>VLOOKUP(N5,BD_MEDUCA!$A$4583:$M$4587,12,TRUE)</f>
        <v xml:space="preserve">No </v>
      </c>
      <c r="T5" s="79" t="str">
        <f>VLOOKUP(N5,BD_MEDUCA!$A$4583:$M$4587,13,TRUE)</f>
        <v>NO ESPECIFICADO</v>
      </c>
      <c r="U5" s="80" t="str">
        <f>VLOOKUP(N5,BD_MEDUCA!$A$4583:$M$4587,2,TRUE)</f>
        <v>SUBSISTEMA REGULAR</v>
      </c>
    </row>
    <row r="6" spans="1:21" x14ac:dyDescent="0.3">
      <c r="A6" s="69">
        <v>1</v>
      </c>
      <c r="B6" s="70">
        <v>69</v>
      </c>
      <c r="C6" s="70" t="s">
        <v>102</v>
      </c>
      <c r="D6" s="70" t="s">
        <v>77</v>
      </c>
      <c r="E6" s="70" t="s">
        <v>93</v>
      </c>
      <c r="F6" s="70" t="s">
        <v>103</v>
      </c>
      <c r="G6" s="70" t="s">
        <v>12</v>
      </c>
      <c r="H6" s="70">
        <v>8.2779190000000007</v>
      </c>
      <c r="I6" s="70">
        <v>-82.864166999999995</v>
      </c>
      <c r="J6" s="70" t="s">
        <v>104</v>
      </c>
      <c r="K6" s="73" t="str">
        <f>VLOOKUP(C6,BD_SESIONES_DE_USUARIO!A6:H65,7,FALSE)</f>
        <v>C&amp;W Panamá</v>
      </c>
      <c r="L6" s="73">
        <f>VLOOKUP(C6,BD_SESIONES_DE_USUARIO!A6:H65,5,FALSE)</f>
        <v>552</v>
      </c>
      <c r="M6" s="75">
        <f>VLOOKUP(C6,BD_DATA_TRANSFERIDA!A6:G65,5,FALSE)</f>
        <v>48</v>
      </c>
      <c r="N6" s="80"/>
      <c r="O6" s="77" t="e">
        <f>VLOOKUP(N6,BD_MEDUCA!$A$4583:$M$4587,3,TRUE)</f>
        <v>#N/A</v>
      </c>
      <c r="P6" s="77" t="e">
        <f>VLOOKUP(N6,BD_MEDUCA!$A$4583:$M$4587,4,TRUE)</f>
        <v>#N/A</v>
      </c>
      <c r="Q6" s="77" t="e">
        <f>VLOOKUP(N6,BD_MEDUCA!$A$4583:$M$4587,10,TRUE)</f>
        <v>#N/A</v>
      </c>
      <c r="R6" s="77" t="e">
        <f>VLOOKUP(N6,BD_MEDUCA!$A$4583:$M$4587,11,TRUE)</f>
        <v>#N/A</v>
      </c>
      <c r="S6" s="77" t="e">
        <f>VLOOKUP(N6,BD_MEDUCA!$A$4583:$M$4587,12,TRUE)</f>
        <v>#N/A</v>
      </c>
      <c r="T6" s="79" t="e">
        <f>VLOOKUP(N6,BD_MEDUCA!$A$4583:$M$4587,13,TRUE)</f>
        <v>#N/A</v>
      </c>
      <c r="U6" s="80" t="e">
        <f>VLOOKUP(N6,BD_MEDUCA!$A$4583:$M$4587,2,TRUE)</f>
        <v>#N/A</v>
      </c>
    </row>
    <row r="7" spans="1:21" x14ac:dyDescent="0.3">
      <c r="A7" s="69">
        <v>1</v>
      </c>
      <c r="B7" s="70">
        <v>70</v>
      </c>
      <c r="C7" s="70" t="s">
        <v>105</v>
      </c>
      <c r="D7" s="70" t="s">
        <v>77</v>
      </c>
      <c r="E7" s="70" t="s">
        <v>93</v>
      </c>
      <c r="F7" s="70" t="s">
        <v>103</v>
      </c>
      <c r="G7" s="70" t="s">
        <v>12</v>
      </c>
      <c r="H7" s="70">
        <v>8.2713520000000003</v>
      </c>
      <c r="I7" s="70">
        <v>-82.863630999999998</v>
      </c>
      <c r="J7" s="70" t="s">
        <v>104</v>
      </c>
      <c r="K7" s="73" t="str">
        <f>VLOOKUP(C7,BD_SESIONES_DE_USUARIO!A7:H66,7,FALSE)</f>
        <v>C&amp;W Panamá</v>
      </c>
      <c r="L7" s="73">
        <f>VLOOKUP(C7,BD_SESIONES_DE_USUARIO!A7:H66,5,FALSE)</f>
        <v>878</v>
      </c>
      <c r="M7" s="75">
        <f>VLOOKUP(C7,BD_DATA_TRANSFERIDA!A7:G66,5,FALSE)</f>
        <v>49</v>
      </c>
      <c r="N7" s="80"/>
      <c r="O7" s="77" t="e">
        <f>VLOOKUP(N7,BD_MEDUCA!$A$4583:$M$4587,3,TRUE)</f>
        <v>#N/A</v>
      </c>
      <c r="P7" s="77" t="e">
        <f>VLOOKUP(N7,BD_MEDUCA!$A$4583:$M$4587,4,TRUE)</f>
        <v>#N/A</v>
      </c>
      <c r="Q7" s="77" t="e">
        <f>VLOOKUP(N7,BD_MEDUCA!$A$4583:$M$4587,10,TRUE)</f>
        <v>#N/A</v>
      </c>
      <c r="R7" s="77" t="e">
        <f>VLOOKUP(N7,BD_MEDUCA!$A$4583:$M$4587,11,TRUE)</f>
        <v>#N/A</v>
      </c>
      <c r="S7" s="77" t="e">
        <f>VLOOKUP(N7,BD_MEDUCA!$A$4583:$M$4587,12,TRUE)</f>
        <v>#N/A</v>
      </c>
      <c r="T7" s="79" t="e">
        <f>VLOOKUP(N7,BD_MEDUCA!$A$4583:$M$4587,13,TRUE)</f>
        <v>#N/A</v>
      </c>
      <c r="U7" s="80" t="e">
        <f>VLOOKUP(N7,BD_MEDUCA!$A$4583:$M$4587,2,TRUE)</f>
        <v>#N/A</v>
      </c>
    </row>
    <row r="8" spans="1:21" x14ac:dyDescent="0.3">
      <c r="A8" s="69">
        <v>1</v>
      </c>
      <c r="B8" s="70">
        <v>71</v>
      </c>
      <c r="C8" s="70" t="s">
        <v>106</v>
      </c>
      <c r="D8" s="70" t="s">
        <v>77</v>
      </c>
      <c r="E8" s="70" t="s">
        <v>93</v>
      </c>
      <c r="F8" s="70" t="s">
        <v>103</v>
      </c>
      <c r="G8" s="70" t="s">
        <v>12</v>
      </c>
      <c r="H8" s="70">
        <v>8.2729680000000005</v>
      </c>
      <c r="I8" s="70">
        <v>-82.861328</v>
      </c>
      <c r="J8" s="70" t="s">
        <v>107</v>
      </c>
      <c r="K8" s="73" t="str">
        <f>VLOOKUP(C8,BD_SESIONES_DE_USUARIO!A8:H67,7,FALSE)</f>
        <v>C&amp;W Panamá</v>
      </c>
      <c r="L8" s="73">
        <f>VLOOKUP(C8,BD_SESIONES_DE_USUARIO!A8:H67,5,FALSE)</f>
        <v>1083</v>
      </c>
      <c r="M8" s="75">
        <f>VLOOKUP(C8,BD_DATA_TRANSFERIDA!A8:G67,5,FALSE)</f>
        <v>113</v>
      </c>
      <c r="N8" s="83" t="s">
        <v>2063</v>
      </c>
      <c r="O8" s="77" t="str">
        <f>VLOOKUP(N8,BD_MEDUCA!$A$4583:$M$4587,3,TRUE)</f>
        <v>OFICIAL</v>
      </c>
      <c r="P8" s="77" t="str">
        <f>VLOOKUP(N8,BD_MEDUCA!$A$4583:$M$4587,4,TRUE)</f>
        <v>CULTURA Y DEPORTE</v>
      </c>
      <c r="Q8" s="77" t="str">
        <f>VLOOKUP(N8,BD_MEDUCA!$A$4583:$M$4587,10,TRUE)</f>
        <v>URBANA</v>
      </c>
      <c r="R8" s="77" t="str">
        <f>VLOOKUP(N8,BD_MEDUCA!$A$4583:$M$4587,11,TRUE)</f>
        <v>NO</v>
      </c>
      <c r="S8" s="77" t="str">
        <f>VLOOKUP(N8,BD_MEDUCA!$A$4583:$M$4587,12,TRUE)</f>
        <v xml:space="preserve">No </v>
      </c>
      <c r="T8" s="79" t="str">
        <f>VLOOKUP(N8,BD_MEDUCA!$A$4583:$M$4587,13,TRUE)</f>
        <v>NO ESPECIFICADO</v>
      </c>
      <c r="U8" s="80" t="str">
        <f>VLOOKUP(N8,BD_MEDUCA!$A$4583:$M$4587,2,TRUE)</f>
        <v>SUBSISTEMA REGULAR</v>
      </c>
    </row>
    <row r="9" spans="1:21" x14ac:dyDescent="0.3">
      <c r="A9" s="69">
        <v>1</v>
      </c>
      <c r="B9" s="70">
        <v>72</v>
      </c>
      <c r="C9" s="70" t="s">
        <v>108</v>
      </c>
      <c r="D9" s="70" t="s">
        <v>77</v>
      </c>
      <c r="E9" s="70" t="s">
        <v>93</v>
      </c>
      <c r="F9" s="70" t="s">
        <v>103</v>
      </c>
      <c r="G9" s="70" t="s">
        <v>12</v>
      </c>
      <c r="H9" s="70">
        <v>8.2728429999999999</v>
      </c>
      <c r="I9" s="70">
        <v>-82.894507000000004</v>
      </c>
      <c r="J9" s="70" t="s">
        <v>107</v>
      </c>
      <c r="K9" s="73" t="str">
        <f>VLOOKUP(C9,BD_SESIONES_DE_USUARIO!A9:H68,7,FALSE)</f>
        <v>C&amp;W Panamá</v>
      </c>
      <c r="L9" s="73">
        <f>VLOOKUP(C9,BD_SESIONES_DE_USUARIO!A9:H68,5,FALSE)</f>
        <v>3110</v>
      </c>
      <c r="M9" s="75">
        <f>VLOOKUP(C9,BD_DATA_TRANSFERIDA!A9:G68,5,FALSE)</f>
        <v>586</v>
      </c>
      <c r="N9" s="83" t="s">
        <v>2085</v>
      </c>
      <c r="O9" s="77" t="str">
        <f>VLOOKUP(N9,BD_MEDUCA!$A$4583:$M$4587,3,TRUE)</f>
        <v>OFICIAL</v>
      </c>
      <c r="P9" s="77" t="str">
        <f>VLOOKUP(N9,BD_MEDUCA!$A$4583:$M$4587,4,TRUE)</f>
        <v>CULTURA Y DEPORTE</v>
      </c>
      <c r="Q9" s="77" t="str">
        <f>VLOOKUP(N9,BD_MEDUCA!$A$4583:$M$4587,10,TRUE)</f>
        <v>URBANA</v>
      </c>
      <c r="R9" s="77" t="str">
        <f>VLOOKUP(N9,BD_MEDUCA!$A$4583:$M$4587,11,TRUE)</f>
        <v>NO</v>
      </c>
      <c r="S9" s="77" t="str">
        <f>VLOOKUP(N9,BD_MEDUCA!$A$4583:$M$4587,12,TRUE)</f>
        <v xml:space="preserve">No </v>
      </c>
      <c r="T9" s="79" t="str">
        <f>VLOOKUP(N9,BD_MEDUCA!$A$4583:$M$4587,13,TRUE)</f>
        <v>NO ESPECIFICADO</v>
      </c>
      <c r="U9" s="80" t="str">
        <f>VLOOKUP(N9,BD_MEDUCA!$A$4583:$M$4587,2,TRUE)</f>
        <v>SUBSISTEMA REGULAR</v>
      </c>
    </row>
    <row r="10" spans="1:21" x14ac:dyDescent="0.3">
      <c r="A10" s="69">
        <v>1</v>
      </c>
      <c r="B10" s="70">
        <v>74</v>
      </c>
      <c r="C10" s="70" t="s">
        <v>109</v>
      </c>
      <c r="D10" s="70" t="s">
        <v>77</v>
      </c>
      <c r="E10" s="70" t="s">
        <v>93</v>
      </c>
      <c r="F10" s="70" t="s">
        <v>103</v>
      </c>
      <c r="G10" s="70" t="s">
        <v>12</v>
      </c>
      <c r="H10" s="70">
        <v>8.2845770000000005</v>
      </c>
      <c r="I10" s="70">
        <v>-82.863122000000004</v>
      </c>
      <c r="J10" s="70" t="s">
        <v>104</v>
      </c>
      <c r="K10" s="73" t="str">
        <f>VLOOKUP(C10,BD_SESIONES_DE_USUARIO!A10:H69,7,FALSE)</f>
        <v>C&amp;W Panamá</v>
      </c>
      <c r="L10" s="73">
        <f>VLOOKUP(C10,BD_SESIONES_DE_USUARIO!A10:H69,5,FALSE)</f>
        <v>3045</v>
      </c>
      <c r="M10" s="75">
        <f>VLOOKUP(C10,BD_DATA_TRANSFERIDA!A10:G69,5,FALSE)</f>
        <v>81</v>
      </c>
      <c r="N10" s="83" t="s">
        <v>1984</v>
      </c>
      <c r="O10" s="77" t="str">
        <f>VLOOKUP(N10,BD_MEDUCA!$A$4583:$M$4587,3,TRUE)</f>
        <v>OFICIAL</v>
      </c>
      <c r="P10" s="77" t="str">
        <f>VLOOKUP(N10,BD_MEDUCA!$A$4583:$M$4587,4,TRUE)</f>
        <v>CULTURA Y DEPORTE</v>
      </c>
      <c r="Q10" s="77" t="str">
        <f>VLOOKUP(N10,BD_MEDUCA!$A$4583:$M$4587,10,TRUE)</f>
        <v>URBANA</v>
      </c>
      <c r="R10" s="77" t="str">
        <f>VLOOKUP(N10,BD_MEDUCA!$A$4583:$M$4587,11,TRUE)</f>
        <v>NO</v>
      </c>
      <c r="S10" s="77" t="str">
        <f>VLOOKUP(N10,BD_MEDUCA!$A$4583:$M$4587,12,TRUE)</f>
        <v xml:space="preserve">No </v>
      </c>
      <c r="T10" s="79" t="str">
        <f>VLOOKUP(N10,BD_MEDUCA!$A$4583:$M$4587,13,TRUE)</f>
        <v>NO ESPECIFICADO</v>
      </c>
      <c r="U10" s="80" t="str">
        <f>VLOOKUP(N10,BD_MEDUCA!$A$4583:$M$4587,2,TRUE)</f>
        <v>SUBSISTEMA REGULAR</v>
      </c>
    </row>
    <row r="11" spans="1:21" x14ac:dyDescent="0.3">
      <c r="A11" s="69">
        <v>1</v>
      </c>
      <c r="B11" s="70">
        <v>75</v>
      </c>
      <c r="C11" s="70" t="s">
        <v>110</v>
      </c>
      <c r="D11" s="70" t="s">
        <v>77</v>
      </c>
      <c r="E11" s="70" t="s">
        <v>93</v>
      </c>
      <c r="F11" s="70" t="s">
        <v>103</v>
      </c>
      <c r="G11" s="70" t="s">
        <v>99</v>
      </c>
      <c r="H11" s="70">
        <v>8.2709550000000007</v>
      </c>
      <c r="I11" s="70">
        <v>-82.859720999999993</v>
      </c>
      <c r="J11" s="70" t="s">
        <v>107</v>
      </c>
      <c r="K11" s="73" t="str">
        <f>VLOOKUP(C11,BD_SESIONES_DE_USUARIO!A11:H70,7,FALSE)</f>
        <v>C&amp;W Panamá</v>
      </c>
      <c r="L11" s="73">
        <f>VLOOKUP(C11,BD_SESIONES_DE_USUARIO!A11:H70,5,FALSE)</f>
        <v>1707</v>
      </c>
      <c r="M11" s="75">
        <f>VLOOKUP(C11,BD_DATA_TRANSFERIDA!A11:G70,5,FALSE)</f>
        <v>188</v>
      </c>
      <c r="N11" s="83" t="s">
        <v>2128</v>
      </c>
      <c r="O11" s="77" t="str">
        <f>VLOOKUP(N11,BD_MEDUCA!$A$4583:$M$4587,3,TRUE)</f>
        <v>OFICIAL</v>
      </c>
      <c r="P11" s="77" t="str">
        <f>VLOOKUP(N11,BD_MEDUCA!$A$4583:$M$4587,4,TRUE)</f>
        <v>CULTURA Y DEPORTE</v>
      </c>
      <c r="Q11" s="77" t="str">
        <f>VLOOKUP(N11,BD_MEDUCA!$A$4583:$M$4587,10,TRUE)</f>
        <v>URBANA</v>
      </c>
      <c r="R11" s="77" t="str">
        <f>VLOOKUP(N11,BD_MEDUCA!$A$4583:$M$4587,11,TRUE)</f>
        <v>NO</v>
      </c>
      <c r="S11" s="77" t="str">
        <f>VLOOKUP(N11,BD_MEDUCA!$A$4583:$M$4587,12,TRUE)</f>
        <v xml:space="preserve">No </v>
      </c>
      <c r="T11" s="79" t="str">
        <f>VLOOKUP(N11,BD_MEDUCA!$A$4583:$M$4587,13,TRUE)</f>
        <v>NO ESPECIFICADO</v>
      </c>
      <c r="U11" s="80" t="str">
        <f>VLOOKUP(N11,BD_MEDUCA!$A$4583:$M$4587,2,TRUE)</f>
        <v>SUBSISTEMA REGULAR</v>
      </c>
    </row>
    <row r="12" spans="1:21" x14ac:dyDescent="0.3">
      <c r="A12" s="69">
        <v>1</v>
      </c>
      <c r="B12" s="70">
        <v>77</v>
      </c>
      <c r="C12" s="70" t="s">
        <v>111</v>
      </c>
      <c r="D12" s="70" t="s">
        <v>77</v>
      </c>
      <c r="E12" s="70" t="s">
        <v>93</v>
      </c>
      <c r="F12" s="70" t="s">
        <v>103</v>
      </c>
      <c r="G12" s="70" t="s">
        <v>12</v>
      </c>
      <c r="H12" s="70">
        <v>8.2736689999999999</v>
      </c>
      <c r="I12" s="70">
        <v>-82.860183000000006</v>
      </c>
      <c r="J12" s="70" t="s">
        <v>104</v>
      </c>
      <c r="K12" s="73" t="str">
        <f>VLOOKUP(C12,BD_SESIONES_DE_USUARIO!A12:H71,7,FALSE)</f>
        <v>C&amp;W Panamá</v>
      </c>
      <c r="L12" s="73">
        <f>VLOOKUP(C12,BD_SESIONES_DE_USUARIO!A12:H71,5,FALSE)</f>
        <v>2776</v>
      </c>
      <c r="M12" s="75">
        <f>VLOOKUP(C12,BD_DATA_TRANSFERIDA!A12:G71,5,FALSE)</f>
        <v>70</v>
      </c>
      <c r="N12" s="80"/>
      <c r="O12" s="77" t="e">
        <f>VLOOKUP(N12,BD_MEDUCA!$A$4583:$M$4587,3,TRUE)</f>
        <v>#N/A</v>
      </c>
      <c r="P12" s="77" t="e">
        <f>VLOOKUP(N12,BD_MEDUCA!$A$4583:$M$4587,4,TRUE)</f>
        <v>#N/A</v>
      </c>
      <c r="Q12" s="77" t="e">
        <f>VLOOKUP(N12,BD_MEDUCA!$A$4583:$M$4587,10,TRUE)</f>
        <v>#N/A</v>
      </c>
      <c r="R12" s="77" t="e">
        <f>VLOOKUP(N12,BD_MEDUCA!$A$4583:$M$4587,11,TRUE)</f>
        <v>#N/A</v>
      </c>
      <c r="S12" s="77" t="e">
        <f>VLOOKUP(N12,BD_MEDUCA!$A$4583:$M$4587,12,TRUE)</f>
        <v>#N/A</v>
      </c>
      <c r="T12" s="79" t="e">
        <f>VLOOKUP(N12,BD_MEDUCA!$A$4583:$M$4587,13,TRUE)</f>
        <v>#N/A</v>
      </c>
      <c r="U12" s="80" t="e">
        <f>VLOOKUP(N12,BD_MEDUCA!$A$4583:$M$4587,2,TRUE)</f>
        <v>#N/A</v>
      </c>
    </row>
    <row r="13" spans="1:21" x14ac:dyDescent="0.3">
      <c r="A13" s="69">
        <v>1</v>
      </c>
      <c r="B13" s="70">
        <v>78</v>
      </c>
      <c r="C13" s="70" t="s">
        <v>112</v>
      </c>
      <c r="D13" s="70" t="s">
        <v>77</v>
      </c>
      <c r="E13" s="70" t="s">
        <v>93</v>
      </c>
      <c r="F13" s="70" t="s">
        <v>103</v>
      </c>
      <c r="G13" s="70" t="s">
        <v>12</v>
      </c>
      <c r="H13" s="70">
        <v>8.2715619999999994</v>
      </c>
      <c r="I13" s="70">
        <v>-82.860129999999998</v>
      </c>
      <c r="J13" s="70" t="s">
        <v>104</v>
      </c>
      <c r="K13" s="73" t="str">
        <f>VLOOKUP(C13,BD_SESIONES_DE_USUARIO!A13:H72,7,FALSE)</f>
        <v>C&amp;W Panamá</v>
      </c>
      <c r="L13" s="73">
        <f>VLOOKUP(C13,BD_SESIONES_DE_USUARIO!A13:H72,5,FALSE)</f>
        <v>3470</v>
      </c>
      <c r="M13" s="75">
        <f>VLOOKUP(C13,BD_DATA_TRANSFERIDA!A13:G72,5,FALSE)</f>
        <v>248</v>
      </c>
      <c r="N13" s="80"/>
      <c r="O13" s="77" t="e">
        <f>VLOOKUP(N13,BD_MEDUCA!$A$4583:$M$4587,3,TRUE)</f>
        <v>#N/A</v>
      </c>
      <c r="P13" s="77" t="e">
        <f>VLOOKUP(N13,BD_MEDUCA!$A$4583:$M$4587,4,TRUE)</f>
        <v>#N/A</v>
      </c>
      <c r="Q13" s="77" t="e">
        <f>VLOOKUP(N13,BD_MEDUCA!$A$4583:$M$4587,10,TRUE)</f>
        <v>#N/A</v>
      </c>
      <c r="R13" s="77" t="e">
        <f>VLOOKUP(N13,BD_MEDUCA!$A$4583:$M$4587,11,TRUE)</f>
        <v>#N/A</v>
      </c>
      <c r="S13" s="77" t="e">
        <f>VLOOKUP(N13,BD_MEDUCA!$A$4583:$M$4587,12,TRUE)</f>
        <v>#N/A</v>
      </c>
      <c r="T13" s="79" t="e">
        <f>VLOOKUP(N13,BD_MEDUCA!$A$4583:$M$4587,13,TRUE)</f>
        <v>#N/A</v>
      </c>
      <c r="U13" s="80" t="e">
        <f>VLOOKUP(N13,BD_MEDUCA!$A$4583:$M$4587,2,TRUE)</f>
        <v>#N/A</v>
      </c>
    </row>
    <row r="14" spans="1:21" x14ac:dyDescent="0.3">
      <c r="A14" s="69">
        <v>1</v>
      </c>
      <c r="B14" s="70">
        <v>79</v>
      </c>
      <c r="C14" s="70" t="s">
        <v>113</v>
      </c>
      <c r="D14" s="70" t="s">
        <v>77</v>
      </c>
      <c r="E14" s="70" t="s">
        <v>93</v>
      </c>
      <c r="F14" s="70" t="s">
        <v>103</v>
      </c>
      <c r="G14" s="70" t="s">
        <v>12</v>
      </c>
      <c r="H14" s="70">
        <v>8.3028429999999993</v>
      </c>
      <c r="I14" s="70">
        <v>-82.872246000000004</v>
      </c>
      <c r="J14" s="70" t="s">
        <v>104</v>
      </c>
      <c r="K14" s="73" t="str">
        <f>VLOOKUP(C14,BD_SESIONES_DE_USUARIO!A14:H73,7,FALSE)</f>
        <v>C&amp;W Panamá</v>
      </c>
      <c r="L14" s="73">
        <f>VLOOKUP(C14,BD_SESIONES_DE_USUARIO!A14:H73,5,FALSE)</f>
        <v>502</v>
      </c>
      <c r="M14" s="75">
        <f>VLOOKUP(C14,BD_DATA_TRANSFERIDA!A14:G73,5,FALSE)</f>
        <v>55</v>
      </c>
      <c r="N14" s="83" t="s">
        <v>1896</v>
      </c>
      <c r="O14" s="77" t="str">
        <f>VLOOKUP(N14,BD_MEDUCA!$A$4583:$M$4587,3,TRUE)</f>
        <v>OFICIAL</v>
      </c>
      <c r="P14" s="77" t="str">
        <f>VLOOKUP(N14,BD_MEDUCA!$A$4583:$M$4587,4,TRUE)</f>
        <v>CULTURA Y DEPORTE</v>
      </c>
      <c r="Q14" s="77" t="str">
        <f>VLOOKUP(N14,BD_MEDUCA!$A$4583:$M$4587,10,TRUE)</f>
        <v>URBANA</v>
      </c>
      <c r="R14" s="77" t="str">
        <f>VLOOKUP(N14,BD_MEDUCA!$A$4583:$M$4587,11,TRUE)</f>
        <v>NO</v>
      </c>
      <c r="S14" s="77" t="str">
        <f>VLOOKUP(N14,BD_MEDUCA!$A$4583:$M$4587,12,TRUE)</f>
        <v xml:space="preserve">No </v>
      </c>
      <c r="T14" s="79" t="str">
        <f>VLOOKUP(N14,BD_MEDUCA!$A$4583:$M$4587,13,TRUE)</f>
        <v>NO ESPECIFICADO</v>
      </c>
      <c r="U14" s="80" t="str">
        <f>VLOOKUP(N14,BD_MEDUCA!$A$4583:$M$4587,2,TRUE)</f>
        <v>SUBSISTEMA REGULAR</v>
      </c>
    </row>
    <row r="15" spans="1:21" x14ac:dyDescent="0.3">
      <c r="A15" s="69">
        <v>1</v>
      </c>
      <c r="B15" s="70">
        <v>80</v>
      </c>
      <c r="C15" s="70" t="s">
        <v>114</v>
      </c>
      <c r="D15" s="70" t="s">
        <v>77</v>
      </c>
      <c r="E15" s="70" t="s">
        <v>93</v>
      </c>
      <c r="F15" s="70" t="s">
        <v>103</v>
      </c>
      <c r="G15" s="70" t="s">
        <v>12</v>
      </c>
      <c r="H15" s="70">
        <v>8.3089569999999995</v>
      </c>
      <c r="I15" s="70">
        <v>-82.840717999999995</v>
      </c>
      <c r="J15" s="70" t="s">
        <v>100</v>
      </c>
      <c r="K15" s="73" t="str">
        <f>VLOOKUP(C15,BD_SESIONES_DE_USUARIO!A15:H74,7,FALSE)</f>
        <v>C&amp;W Panamá</v>
      </c>
      <c r="L15" s="73">
        <f>VLOOKUP(C15,BD_SESIONES_DE_USUARIO!A15:H74,5,FALSE)</f>
        <v>2651</v>
      </c>
      <c r="M15" s="75">
        <f>VLOOKUP(C15,BD_DATA_TRANSFERIDA!A15:G74,5,FALSE)</f>
        <v>191</v>
      </c>
      <c r="N15" s="83" t="s">
        <v>1993</v>
      </c>
      <c r="O15" s="77" t="str">
        <f>VLOOKUP(N15,BD_MEDUCA!$A$4583:$M$4587,3,TRUE)</f>
        <v>OFICIAL</v>
      </c>
      <c r="P15" s="77" t="str">
        <f>VLOOKUP(N15,BD_MEDUCA!$A$4583:$M$4587,4,TRUE)</f>
        <v>CULTURA Y DEPORTE</v>
      </c>
      <c r="Q15" s="77" t="str">
        <f>VLOOKUP(N15,BD_MEDUCA!$A$4583:$M$4587,10,TRUE)</f>
        <v>URBANA</v>
      </c>
      <c r="R15" s="77" t="str">
        <f>VLOOKUP(N15,BD_MEDUCA!$A$4583:$M$4587,11,TRUE)</f>
        <v>NO</v>
      </c>
      <c r="S15" s="77" t="str">
        <f>VLOOKUP(N15,BD_MEDUCA!$A$4583:$M$4587,12,TRUE)</f>
        <v xml:space="preserve">No </v>
      </c>
      <c r="T15" s="79" t="str">
        <f>VLOOKUP(N15,BD_MEDUCA!$A$4583:$M$4587,13,TRUE)</f>
        <v>NO ESPECIFICADO</v>
      </c>
      <c r="U15" s="80" t="str">
        <f>VLOOKUP(N15,BD_MEDUCA!$A$4583:$M$4587,2,TRUE)</f>
        <v>SUBSISTEMA REGULAR</v>
      </c>
    </row>
    <row r="16" spans="1:21" x14ac:dyDescent="0.3">
      <c r="A16" s="69">
        <v>1</v>
      </c>
      <c r="B16" s="70">
        <v>81</v>
      </c>
      <c r="C16" s="70" t="s">
        <v>115</v>
      </c>
      <c r="D16" s="70" t="s">
        <v>77</v>
      </c>
      <c r="E16" s="70" t="s">
        <v>93</v>
      </c>
      <c r="F16" s="70" t="s">
        <v>103</v>
      </c>
      <c r="G16" s="70" t="s">
        <v>12</v>
      </c>
      <c r="H16" s="70">
        <v>8.2944589999999998</v>
      </c>
      <c r="I16" s="70">
        <v>-82.857206000000005</v>
      </c>
      <c r="J16" s="70" t="s">
        <v>107</v>
      </c>
      <c r="K16" s="73" t="str">
        <f>VLOOKUP(C16,BD_SESIONES_DE_USUARIO!A16:H75,7,FALSE)</f>
        <v>C&amp;W Panamá</v>
      </c>
      <c r="L16" s="73">
        <f>VLOOKUP(C16,BD_SESIONES_DE_USUARIO!A16:H75,5,FALSE)</f>
        <v>886</v>
      </c>
      <c r="M16" s="75">
        <f>VLOOKUP(C16,BD_DATA_TRANSFERIDA!A16:G75,5,FALSE)</f>
        <v>99</v>
      </c>
      <c r="N16" s="83" t="s">
        <v>2010</v>
      </c>
      <c r="O16" s="77" t="str">
        <f>VLOOKUP(N16,BD_MEDUCA!$A$4583:$M$4587,3,TRUE)</f>
        <v>OFICIAL</v>
      </c>
      <c r="P16" s="77" t="str">
        <f>VLOOKUP(N16,BD_MEDUCA!$A$4583:$M$4587,4,TRUE)</f>
        <v>CULTURA Y DEPORTE</v>
      </c>
      <c r="Q16" s="77" t="str">
        <f>VLOOKUP(N16,BD_MEDUCA!$A$4583:$M$4587,10,TRUE)</f>
        <v>URBANA</v>
      </c>
      <c r="R16" s="77" t="str">
        <f>VLOOKUP(N16,BD_MEDUCA!$A$4583:$M$4587,11,TRUE)</f>
        <v>NO</v>
      </c>
      <c r="S16" s="77" t="str">
        <f>VLOOKUP(N16,BD_MEDUCA!$A$4583:$M$4587,12,TRUE)</f>
        <v xml:space="preserve">No </v>
      </c>
      <c r="T16" s="79" t="str">
        <f>VLOOKUP(N16,BD_MEDUCA!$A$4583:$M$4587,13,TRUE)</f>
        <v>NO ESPECIFICADO</v>
      </c>
      <c r="U16" s="80" t="str">
        <f>VLOOKUP(N16,BD_MEDUCA!$A$4583:$M$4587,2,TRUE)</f>
        <v>SUBSISTEMA REGULAR</v>
      </c>
    </row>
    <row r="17" spans="1:21" x14ac:dyDescent="0.3">
      <c r="A17" s="69">
        <v>1</v>
      </c>
      <c r="B17" s="70">
        <v>83</v>
      </c>
      <c r="C17" s="70" t="s">
        <v>116</v>
      </c>
      <c r="D17" s="70" t="s">
        <v>77</v>
      </c>
      <c r="E17" s="70" t="s">
        <v>93</v>
      </c>
      <c r="F17" s="70" t="s">
        <v>117</v>
      </c>
      <c r="G17" s="70" t="s">
        <v>12</v>
      </c>
      <c r="H17" s="70">
        <v>8.3475839999999994</v>
      </c>
      <c r="I17" s="70">
        <v>-82.801081999999994</v>
      </c>
      <c r="J17" s="70" t="s">
        <v>95</v>
      </c>
      <c r="K17" s="73" t="str">
        <f>VLOOKUP(C17,BD_SESIONES_DE_USUARIO!A17:H76,7,FALSE)</f>
        <v>C&amp;W Panamá</v>
      </c>
      <c r="L17" s="73">
        <f>VLOOKUP(C17,BD_SESIONES_DE_USUARIO!A17:H76,5,FALSE)</f>
        <v>218</v>
      </c>
      <c r="M17" s="75">
        <f>VLOOKUP(C17,BD_DATA_TRANSFERIDA!A17:G76,5,FALSE)</f>
        <v>18</v>
      </c>
      <c r="N17" s="83" t="s">
        <v>1899</v>
      </c>
      <c r="O17" s="77" t="str">
        <f>VLOOKUP(N17,BD_MEDUCA!$A$4583:$M$4587,3,TRUE)</f>
        <v>OFICIAL</v>
      </c>
      <c r="P17" s="77" t="str">
        <f>VLOOKUP(N17,BD_MEDUCA!$A$4583:$M$4587,4,TRUE)</f>
        <v>CULTURA Y DEPORTE</v>
      </c>
      <c r="Q17" s="77" t="str">
        <f>VLOOKUP(N17,BD_MEDUCA!$A$4583:$M$4587,10,TRUE)</f>
        <v>URBANA</v>
      </c>
      <c r="R17" s="77" t="str">
        <f>VLOOKUP(N17,BD_MEDUCA!$A$4583:$M$4587,11,TRUE)</f>
        <v>NO</v>
      </c>
      <c r="S17" s="77" t="str">
        <f>VLOOKUP(N17,BD_MEDUCA!$A$4583:$M$4587,12,TRUE)</f>
        <v xml:space="preserve">No </v>
      </c>
      <c r="T17" s="79" t="str">
        <f>VLOOKUP(N17,BD_MEDUCA!$A$4583:$M$4587,13,TRUE)</f>
        <v>NO ESPECIFICADO</v>
      </c>
      <c r="U17" s="80" t="str">
        <f>VLOOKUP(N17,BD_MEDUCA!$A$4583:$M$4587,2,TRUE)</f>
        <v>SUBSISTEMA REGULAR</v>
      </c>
    </row>
    <row r="18" spans="1:21" x14ac:dyDescent="0.3">
      <c r="A18" s="69">
        <v>1</v>
      </c>
      <c r="B18" s="70">
        <v>84</v>
      </c>
      <c r="C18" s="70" t="s">
        <v>118</v>
      </c>
      <c r="D18" s="70" t="s">
        <v>77</v>
      </c>
      <c r="E18" s="70" t="s">
        <v>93</v>
      </c>
      <c r="F18" s="70" t="s">
        <v>117</v>
      </c>
      <c r="G18" s="70" t="s">
        <v>12</v>
      </c>
      <c r="H18" s="70">
        <v>8.4283090000000005</v>
      </c>
      <c r="I18" s="70">
        <v>-82.895268999999999</v>
      </c>
      <c r="J18" s="70" t="s">
        <v>119</v>
      </c>
      <c r="K18" s="73" t="str">
        <f>VLOOKUP(C18,BD_SESIONES_DE_USUARIO!A18:H77,7,FALSE)</f>
        <v>C&amp;W Panamá</v>
      </c>
      <c r="L18" s="73">
        <f>VLOOKUP(C18,BD_SESIONES_DE_USUARIO!A18:H77,5,FALSE)</f>
        <v>2262</v>
      </c>
      <c r="M18" s="75">
        <f>VLOOKUP(C18,BD_DATA_TRANSFERIDA!A18:G77,5,FALSE)</f>
        <v>437</v>
      </c>
      <c r="N18" s="83" t="s">
        <v>1909</v>
      </c>
      <c r="O18" s="77" t="str">
        <f>VLOOKUP(N18,BD_MEDUCA!$A$4583:$M$4587,3,TRUE)</f>
        <v>OFICIAL</v>
      </c>
      <c r="P18" s="77" t="str">
        <f>VLOOKUP(N18,BD_MEDUCA!$A$4583:$M$4587,4,TRUE)</f>
        <v>CULTURA Y DEPORTE</v>
      </c>
      <c r="Q18" s="77" t="str">
        <f>VLOOKUP(N18,BD_MEDUCA!$A$4583:$M$4587,10,TRUE)</f>
        <v>URBANA</v>
      </c>
      <c r="R18" s="77" t="str">
        <f>VLOOKUP(N18,BD_MEDUCA!$A$4583:$M$4587,11,TRUE)</f>
        <v>NO</v>
      </c>
      <c r="S18" s="77" t="str">
        <f>VLOOKUP(N18,BD_MEDUCA!$A$4583:$M$4587,12,TRUE)</f>
        <v xml:space="preserve">No </v>
      </c>
      <c r="T18" s="79" t="str">
        <f>VLOOKUP(N18,BD_MEDUCA!$A$4583:$M$4587,13,TRUE)</f>
        <v>NO ESPECIFICADO</v>
      </c>
      <c r="U18" s="80" t="str">
        <f>VLOOKUP(N18,BD_MEDUCA!$A$4583:$M$4587,2,TRUE)</f>
        <v>SUBSISTEMA REGULAR</v>
      </c>
    </row>
    <row r="19" spans="1:21" x14ac:dyDescent="0.3">
      <c r="A19" s="69">
        <v>1</v>
      </c>
      <c r="B19" s="70">
        <v>85</v>
      </c>
      <c r="C19" s="70" t="s">
        <v>120</v>
      </c>
      <c r="D19" s="70" t="s">
        <v>77</v>
      </c>
      <c r="E19" s="70" t="s">
        <v>93</v>
      </c>
      <c r="F19" s="70" t="s">
        <v>117</v>
      </c>
      <c r="G19" s="70" t="s">
        <v>99</v>
      </c>
      <c r="H19" s="70">
        <v>8.3910509999999991</v>
      </c>
      <c r="I19" s="70">
        <v>-82.903278999999998</v>
      </c>
      <c r="J19" s="70" t="s">
        <v>100</v>
      </c>
      <c r="K19" s="73" t="str">
        <f>VLOOKUP(C19,BD_SESIONES_DE_USUARIO!A19:H78,7,FALSE)</f>
        <v>C&amp;W Panamá</v>
      </c>
      <c r="L19" s="73">
        <f>VLOOKUP(C19,BD_SESIONES_DE_USUARIO!A19:H78,5,FALSE)</f>
        <v>1272</v>
      </c>
      <c r="M19" s="75">
        <f>VLOOKUP(C19,BD_DATA_TRANSFERIDA!A19:G78,5,FALSE)</f>
        <v>173</v>
      </c>
      <c r="N19" s="83" t="s">
        <v>1928</v>
      </c>
      <c r="O19" s="77" t="str">
        <f>VLOOKUP(N19,BD_MEDUCA!$A$4583:$M$4587,3,TRUE)</f>
        <v>OFICIAL</v>
      </c>
      <c r="P19" s="77" t="str">
        <f>VLOOKUP(N19,BD_MEDUCA!$A$4583:$M$4587,4,TRUE)</f>
        <v>CULTURA Y DEPORTE</v>
      </c>
      <c r="Q19" s="77" t="str">
        <f>VLOOKUP(N19,BD_MEDUCA!$A$4583:$M$4587,10,TRUE)</f>
        <v>URBANA</v>
      </c>
      <c r="R19" s="77" t="str">
        <f>VLOOKUP(N19,BD_MEDUCA!$A$4583:$M$4587,11,TRUE)</f>
        <v>NO</v>
      </c>
      <c r="S19" s="77" t="str">
        <f>VLOOKUP(N19,BD_MEDUCA!$A$4583:$M$4587,12,TRUE)</f>
        <v xml:space="preserve">No </v>
      </c>
      <c r="T19" s="79" t="str">
        <f>VLOOKUP(N19,BD_MEDUCA!$A$4583:$M$4587,13,TRUE)</f>
        <v>NO ESPECIFICADO</v>
      </c>
      <c r="U19" s="80" t="str">
        <f>VLOOKUP(N19,BD_MEDUCA!$A$4583:$M$4587,2,TRUE)</f>
        <v>SUBSISTEMA REGULAR</v>
      </c>
    </row>
    <row r="20" spans="1:21" x14ac:dyDescent="0.3">
      <c r="A20" s="69">
        <v>1</v>
      </c>
      <c r="B20" s="70">
        <v>86</v>
      </c>
      <c r="C20" s="70" t="s">
        <v>121</v>
      </c>
      <c r="D20" s="70" t="s">
        <v>77</v>
      </c>
      <c r="E20" s="70" t="s">
        <v>93</v>
      </c>
      <c r="F20" s="70" t="s">
        <v>117</v>
      </c>
      <c r="G20" s="70" t="s">
        <v>12</v>
      </c>
      <c r="H20" s="70">
        <v>8.4152129999999996</v>
      </c>
      <c r="I20" s="70">
        <v>-82.931434999999993</v>
      </c>
      <c r="J20" s="70" t="s">
        <v>122</v>
      </c>
      <c r="K20" s="73" t="str">
        <f>VLOOKUP(C20,BD_SESIONES_DE_USUARIO!A20:H79,7,FALSE)</f>
        <v>C&amp;W Panamá</v>
      </c>
      <c r="L20" s="73">
        <f>VLOOKUP(C20,BD_SESIONES_DE_USUARIO!A20:H79,5,FALSE)</f>
        <v>1504</v>
      </c>
      <c r="M20" s="75">
        <f>VLOOKUP(C20,BD_DATA_TRANSFERIDA!A20:G79,5,FALSE)</f>
        <v>259</v>
      </c>
      <c r="N20" s="83" t="s">
        <v>2152</v>
      </c>
      <c r="O20" s="77" t="str">
        <f>VLOOKUP(N20,BD_MEDUCA!$A$4583:$M$4587,3,TRUE)</f>
        <v>OFICIAL</v>
      </c>
      <c r="P20" s="77" t="str">
        <f>VLOOKUP(N20,BD_MEDUCA!$A$4583:$M$4587,4,TRUE)</f>
        <v>CULTURA Y DEPORTE</v>
      </c>
      <c r="Q20" s="77" t="str">
        <f>VLOOKUP(N20,BD_MEDUCA!$A$4583:$M$4587,10,TRUE)</f>
        <v>URBANA</v>
      </c>
      <c r="R20" s="77" t="str">
        <f>VLOOKUP(N20,BD_MEDUCA!$A$4583:$M$4587,11,TRUE)</f>
        <v>NO</v>
      </c>
      <c r="S20" s="77" t="str">
        <f>VLOOKUP(N20,BD_MEDUCA!$A$4583:$M$4587,12,TRUE)</f>
        <v xml:space="preserve">No </v>
      </c>
      <c r="T20" s="79" t="str">
        <f>VLOOKUP(N20,BD_MEDUCA!$A$4583:$M$4587,13,TRUE)</f>
        <v>NO ESPECIFICADO</v>
      </c>
      <c r="U20" s="80" t="str">
        <f>VLOOKUP(N20,BD_MEDUCA!$A$4583:$M$4587,2,TRUE)</f>
        <v>SUBSISTEMA REGULAR</v>
      </c>
    </row>
    <row r="21" spans="1:21" x14ac:dyDescent="0.3">
      <c r="A21" s="69">
        <v>1</v>
      </c>
      <c r="B21" s="70">
        <v>87</v>
      </c>
      <c r="C21" s="70" t="s">
        <v>123</v>
      </c>
      <c r="D21" s="70" t="s">
        <v>77</v>
      </c>
      <c r="E21" s="70" t="s">
        <v>93</v>
      </c>
      <c r="F21" s="70" t="s">
        <v>117</v>
      </c>
      <c r="G21" s="70" t="s">
        <v>12</v>
      </c>
      <c r="H21" s="70">
        <v>8.384487</v>
      </c>
      <c r="I21" s="70">
        <v>-82.875077000000005</v>
      </c>
      <c r="J21" s="70" t="s">
        <v>124</v>
      </c>
      <c r="K21" s="73" t="str">
        <f>VLOOKUP(C21,BD_SESIONES_DE_USUARIO!A21:H80,7,FALSE)</f>
        <v>C&amp;W Panamá</v>
      </c>
      <c r="L21" s="73">
        <f>VLOOKUP(C21,BD_SESIONES_DE_USUARIO!A21:H80,5,FALSE)</f>
        <v>1340</v>
      </c>
      <c r="M21" s="75">
        <f>VLOOKUP(C21,BD_DATA_TRANSFERIDA!A21:G80,5,FALSE)</f>
        <v>81</v>
      </c>
      <c r="N21" s="83" t="s">
        <v>2006</v>
      </c>
      <c r="O21" s="77" t="str">
        <f>VLOOKUP(N21,BD_MEDUCA!$A$4583:$M$4587,3,TRUE)</f>
        <v>OFICIAL</v>
      </c>
      <c r="P21" s="77" t="str">
        <f>VLOOKUP(N21,BD_MEDUCA!$A$4583:$M$4587,4,TRUE)</f>
        <v>CULTURA Y DEPORTE</v>
      </c>
      <c r="Q21" s="77" t="str">
        <f>VLOOKUP(N21,BD_MEDUCA!$A$4583:$M$4587,10,TRUE)</f>
        <v>URBANA</v>
      </c>
      <c r="R21" s="77" t="str">
        <f>VLOOKUP(N21,BD_MEDUCA!$A$4583:$M$4587,11,TRUE)</f>
        <v>NO</v>
      </c>
      <c r="S21" s="77" t="str">
        <f>VLOOKUP(N21,BD_MEDUCA!$A$4583:$M$4587,12,TRUE)</f>
        <v xml:space="preserve">No </v>
      </c>
      <c r="T21" s="79" t="str">
        <f>VLOOKUP(N21,BD_MEDUCA!$A$4583:$M$4587,13,TRUE)</f>
        <v>NO ESPECIFICADO</v>
      </c>
      <c r="U21" s="80" t="str">
        <f>VLOOKUP(N21,BD_MEDUCA!$A$4583:$M$4587,2,TRUE)</f>
        <v>SUBSISTEMA REGULAR</v>
      </c>
    </row>
    <row r="22" spans="1:21" x14ac:dyDescent="0.3">
      <c r="A22" s="69">
        <v>1</v>
      </c>
      <c r="B22" s="70">
        <v>88</v>
      </c>
      <c r="C22" s="70" t="s">
        <v>125</v>
      </c>
      <c r="D22" s="70" t="s">
        <v>77</v>
      </c>
      <c r="E22" s="70" t="s">
        <v>93</v>
      </c>
      <c r="F22" s="70" t="s">
        <v>117</v>
      </c>
      <c r="G22" s="70" t="s">
        <v>12</v>
      </c>
      <c r="H22" s="70">
        <v>8.4063839999999992</v>
      </c>
      <c r="I22" s="70">
        <v>-82.904103000000006</v>
      </c>
      <c r="J22" s="70" t="s">
        <v>95</v>
      </c>
      <c r="K22" s="73" t="str">
        <f>VLOOKUP(C22,BD_SESIONES_DE_USUARIO!A22:H81,7,FALSE)</f>
        <v>C&amp;W Panamá</v>
      </c>
      <c r="L22" s="73">
        <f>VLOOKUP(C22,BD_SESIONES_DE_USUARIO!A22:H81,5,FALSE)</f>
        <v>1738</v>
      </c>
      <c r="M22" s="75">
        <f>VLOOKUP(C22,BD_DATA_TRANSFERIDA!A22:G81,5,FALSE)</f>
        <v>360</v>
      </c>
      <c r="N22" s="83" t="s">
        <v>1894</v>
      </c>
      <c r="O22" s="77" t="str">
        <f>VLOOKUP(N22,BD_MEDUCA!$A$4583:$M$4587,3,TRUE)</f>
        <v>OFICIAL</v>
      </c>
      <c r="P22" s="77" t="str">
        <f>VLOOKUP(N22,BD_MEDUCA!$A$4583:$M$4587,4,TRUE)</f>
        <v>CULTURA Y DEPORTE</v>
      </c>
      <c r="Q22" s="77" t="str">
        <f>VLOOKUP(N22,BD_MEDUCA!$A$4583:$M$4587,10,TRUE)</f>
        <v>URBANA</v>
      </c>
      <c r="R22" s="77" t="str">
        <f>VLOOKUP(N22,BD_MEDUCA!$A$4583:$M$4587,11,TRUE)</f>
        <v>NO</v>
      </c>
      <c r="S22" s="77" t="str">
        <f>VLOOKUP(N22,BD_MEDUCA!$A$4583:$M$4587,12,TRUE)</f>
        <v xml:space="preserve">No </v>
      </c>
      <c r="T22" s="79" t="str">
        <f>VLOOKUP(N22,BD_MEDUCA!$A$4583:$M$4587,13,TRUE)</f>
        <v>NO ESPECIFICADO</v>
      </c>
      <c r="U22" s="80" t="str">
        <f>VLOOKUP(N22,BD_MEDUCA!$A$4583:$M$4587,2,TRUE)</f>
        <v>SUBSISTEMA REGULAR</v>
      </c>
    </row>
    <row r="23" spans="1:21" x14ac:dyDescent="0.3">
      <c r="A23" s="69">
        <v>1</v>
      </c>
      <c r="B23" s="70">
        <v>89</v>
      </c>
      <c r="C23" s="70" t="s">
        <v>126</v>
      </c>
      <c r="D23" s="70" t="s">
        <v>77</v>
      </c>
      <c r="E23" s="70" t="s">
        <v>93</v>
      </c>
      <c r="F23" s="70" t="s">
        <v>117</v>
      </c>
      <c r="G23" s="70" t="s">
        <v>12</v>
      </c>
      <c r="H23" s="70">
        <v>8.3973420000000001</v>
      </c>
      <c r="I23" s="70">
        <v>-82.891425999999996</v>
      </c>
      <c r="J23" s="70" t="s">
        <v>95</v>
      </c>
      <c r="K23" s="73" t="str">
        <f>VLOOKUP(C23,BD_SESIONES_DE_USUARIO!A23:H82,7,FALSE)</f>
        <v>C&amp;W Panamá</v>
      </c>
      <c r="L23" s="73">
        <f>VLOOKUP(C23,BD_SESIONES_DE_USUARIO!A23:H82,5,FALSE)</f>
        <v>2852</v>
      </c>
      <c r="M23" s="75">
        <f>VLOOKUP(C23,BD_DATA_TRANSFERIDA!A23:G82,5,FALSE)</f>
        <v>328</v>
      </c>
      <c r="N23" s="83" t="s">
        <v>2134</v>
      </c>
      <c r="O23" s="77" t="str">
        <f>VLOOKUP(N23,BD_MEDUCA!$A$4583:$M$4587,3,TRUE)</f>
        <v>OFICIAL</v>
      </c>
      <c r="P23" s="77" t="str">
        <f>VLOOKUP(N23,BD_MEDUCA!$A$4583:$M$4587,4,TRUE)</f>
        <v>CULTURA Y DEPORTE</v>
      </c>
      <c r="Q23" s="77" t="str">
        <f>VLOOKUP(N23,BD_MEDUCA!$A$4583:$M$4587,10,TRUE)</f>
        <v>URBANA</v>
      </c>
      <c r="R23" s="77" t="str">
        <f>VLOOKUP(N23,BD_MEDUCA!$A$4583:$M$4587,11,TRUE)</f>
        <v>NO</v>
      </c>
      <c r="S23" s="77" t="str">
        <f>VLOOKUP(N23,BD_MEDUCA!$A$4583:$M$4587,12,TRUE)</f>
        <v xml:space="preserve">No </v>
      </c>
      <c r="T23" s="79" t="str">
        <f>VLOOKUP(N23,BD_MEDUCA!$A$4583:$M$4587,13,TRUE)</f>
        <v>NO ESPECIFICADO</v>
      </c>
      <c r="U23" s="80" t="str">
        <f>VLOOKUP(N23,BD_MEDUCA!$A$4583:$M$4587,2,TRUE)</f>
        <v>SUBSISTEMA REGULAR</v>
      </c>
    </row>
    <row r="24" spans="1:21" x14ac:dyDescent="0.3">
      <c r="A24" s="69">
        <v>1</v>
      </c>
      <c r="B24" s="70">
        <v>90</v>
      </c>
      <c r="C24" s="70" t="s">
        <v>127</v>
      </c>
      <c r="D24" s="70" t="s">
        <v>77</v>
      </c>
      <c r="E24" s="70" t="s">
        <v>93</v>
      </c>
      <c r="F24" s="70" t="s">
        <v>117</v>
      </c>
      <c r="G24" s="70" t="s">
        <v>12</v>
      </c>
      <c r="H24" s="70">
        <v>8.349596</v>
      </c>
      <c r="I24" s="70">
        <v>-82.833843999999999</v>
      </c>
      <c r="J24" s="70" t="s">
        <v>95</v>
      </c>
      <c r="K24" s="73" t="str">
        <f>VLOOKUP(C24,BD_SESIONES_DE_USUARIO!A24:H83,7,FALSE)</f>
        <v>C&amp;W Panamá</v>
      </c>
      <c r="L24" s="73">
        <f>VLOOKUP(C24,BD_SESIONES_DE_USUARIO!A24:H83,5,FALSE)</f>
        <v>3589</v>
      </c>
      <c r="M24" s="75">
        <f>VLOOKUP(C24,BD_DATA_TRANSFERIDA!A24:G83,5,FALSE)</f>
        <v>592</v>
      </c>
      <c r="N24" s="83" t="s">
        <v>1870</v>
      </c>
      <c r="O24" s="77" t="str">
        <f>VLOOKUP(N24,BD_MEDUCA!$A$4583:$M$4587,3,TRUE)</f>
        <v>OFICIAL</v>
      </c>
      <c r="P24" s="77" t="str">
        <f>VLOOKUP(N24,BD_MEDUCA!$A$4583:$M$4587,4,TRUE)</f>
        <v>CULTURA Y DEPORTE</v>
      </c>
      <c r="Q24" s="77" t="str">
        <f>VLOOKUP(N24,BD_MEDUCA!$A$4583:$M$4587,10,TRUE)</f>
        <v>URBANA</v>
      </c>
      <c r="R24" s="77" t="str">
        <f>VLOOKUP(N24,BD_MEDUCA!$A$4583:$M$4587,11,TRUE)</f>
        <v>NO</v>
      </c>
      <c r="S24" s="77" t="str">
        <f>VLOOKUP(N24,BD_MEDUCA!$A$4583:$M$4587,12,TRUE)</f>
        <v xml:space="preserve">No </v>
      </c>
      <c r="T24" s="79" t="str">
        <f>VLOOKUP(N24,BD_MEDUCA!$A$4583:$M$4587,13,TRUE)</f>
        <v>NO ESPECIFICADO</v>
      </c>
      <c r="U24" s="80" t="str">
        <f>VLOOKUP(N24,BD_MEDUCA!$A$4583:$M$4587,2,TRUE)</f>
        <v>SUBSISTEMA REGULAR</v>
      </c>
    </row>
    <row r="25" spans="1:21" x14ac:dyDescent="0.3">
      <c r="A25" s="69">
        <v>1</v>
      </c>
      <c r="B25" s="70">
        <v>91</v>
      </c>
      <c r="C25" s="70" t="s">
        <v>128</v>
      </c>
      <c r="D25" s="70" t="s">
        <v>77</v>
      </c>
      <c r="E25" s="70" t="s">
        <v>93</v>
      </c>
      <c r="F25" s="70" t="s">
        <v>117</v>
      </c>
      <c r="G25" s="70" t="s">
        <v>99</v>
      </c>
      <c r="H25" s="70">
        <v>8.4071890000000007</v>
      </c>
      <c r="I25" s="70">
        <v>-82.888166999999996</v>
      </c>
      <c r="J25" s="70" t="s">
        <v>100</v>
      </c>
      <c r="K25" s="73" t="str">
        <f>VLOOKUP(C25,BD_SESIONES_DE_USUARIO!A25:H84,7,FALSE)</f>
        <v>C&amp;W Panamá</v>
      </c>
      <c r="L25" s="73">
        <f>VLOOKUP(C25,BD_SESIONES_DE_USUARIO!A25:H84,5,FALSE)</f>
        <v>2174</v>
      </c>
      <c r="M25" s="75">
        <f>VLOOKUP(C25,BD_DATA_TRANSFERIDA!A25:G84,5,FALSE)</f>
        <v>265</v>
      </c>
      <c r="N25" s="83" t="s">
        <v>2017</v>
      </c>
      <c r="O25" s="77" t="str">
        <f>VLOOKUP(N25,BD_MEDUCA!$A$4583:$M$4587,3,TRUE)</f>
        <v>OFICIAL</v>
      </c>
      <c r="P25" s="77" t="str">
        <f>VLOOKUP(N25,BD_MEDUCA!$A$4583:$M$4587,4,TRUE)</f>
        <v>CULTURA Y DEPORTE</v>
      </c>
      <c r="Q25" s="77" t="str">
        <f>VLOOKUP(N25,BD_MEDUCA!$A$4583:$M$4587,10,TRUE)</f>
        <v>URBANA</v>
      </c>
      <c r="R25" s="77" t="str">
        <f>VLOOKUP(N25,BD_MEDUCA!$A$4583:$M$4587,11,TRUE)</f>
        <v>NO</v>
      </c>
      <c r="S25" s="77" t="str">
        <f>VLOOKUP(N25,BD_MEDUCA!$A$4583:$M$4587,12,TRUE)</f>
        <v xml:space="preserve">No </v>
      </c>
      <c r="T25" s="79" t="str">
        <f>VLOOKUP(N25,BD_MEDUCA!$A$4583:$M$4587,13,TRUE)</f>
        <v>NO ESPECIFICADO</v>
      </c>
      <c r="U25" s="80" t="str">
        <f>VLOOKUP(N25,BD_MEDUCA!$A$4583:$M$4587,2,TRUE)</f>
        <v>SUBSISTEMA REGULAR</v>
      </c>
    </row>
    <row r="26" spans="1:21" x14ac:dyDescent="0.3">
      <c r="A26" s="69">
        <v>1</v>
      </c>
      <c r="B26" s="70">
        <v>92</v>
      </c>
      <c r="C26" s="70" t="s">
        <v>129</v>
      </c>
      <c r="D26" s="70" t="s">
        <v>77</v>
      </c>
      <c r="E26" s="70" t="s">
        <v>93</v>
      </c>
      <c r="F26" s="70" t="s">
        <v>117</v>
      </c>
      <c r="G26" s="70" t="s">
        <v>12</v>
      </c>
      <c r="H26" s="70">
        <v>8.4003610000000002</v>
      </c>
      <c r="I26" s="70">
        <v>-82.950248999999999</v>
      </c>
      <c r="J26" s="70" t="s">
        <v>119</v>
      </c>
      <c r="K26" s="73" t="str">
        <f>VLOOKUP(C26,BD_SESIONES_DE_USUARIO!A26:H85,7,FALSE)</f>
        <v>C&amp;W Panamá</v>
      </c>
      <c r="L26" s="73">
        <f>VLOOKUP(C26,BD_SESIONES_DE_USUARIO!A26:H85,5,FALSE)</f>
        <v>4308</v>
      </c>
      <c r="M26" s="75">
        <f>VLOOKUP(C26,BD_DATA_TRANSFERIDA!A26:G85,5,FALSE)</f>
        <v>769</v>
      </c>
      <c r="N26" s="83" t="s">
        <v>2046</v>
      </c>
      <c r="O26" s="77" t="str">
        <f>VLOOKUP(N26,BD_MEDUCA!$A$4583:$M$4587,3,TRUE)</f>
        <v>OFICIAL</v>
      </c>
      <c r="P26" s="77" t="str">
        <f>VLOOKUP(N26,BD_MEDUCA!$A$4583:$M$4587,4,TRUE)</f>
        <v>CULTURA Y DEPORTE</v>
      </c>
      <c r="Q26" s="77" t="str">
        <f>VLOOKUP(N26,BD_MEDUCA!$A$4583:$M$4587,10,TRUE)</f>
        <v>URBANA</v>
      </c>
      <c r="R26" s="77" t="str">
        <f>VLOOKUP(N26,BD_MEDUCA!$A$4583:$M$4587,11,TRUE)</f>
        <v>NO</v>
      </c>
      <c r="S26" s="77" t="str">
        <f>VLOOKUP(N26,BD_MEDUCA!$A$4583:$M$4587,12,TRUE)</f>
        <v xml:space="preserve">No </v>
      </c>
      <c r="T26" s="79" t="str">
        <f>VLOOKUP(N26,BD_MEDUCA!$A$4583:$M$4587,13,TRUE)</f>
        <v>NO ESPECIFICADO</v>
      </c>
      <c r="U26" s="80" t="str">
        <f>VLOOKUP(N26,BD_MEDUCA!$A$4583:$M$4587,2,TRUE)</f>
        <v>SUBSISTEMA REGULAR</v>
      </c>
    </row>
    <row r="27" spans="1:21" x14ac:dyDescent="0.3">
      <c r="A27" s="69">
        <v>1</v>
      </c>
      <c r="B27" s="70">
        <v>93</v>
      </c>
      <c r="C27" s="70" t="s">
        <v>130</v>
      </c>
      <c r="D27" s="70" t="s">
        <v>77</v>
      </c>
      <c r="E27" s="70" t="s">
        <v>93</v>
      </c>
      <c r="F27" s="70" t="s">
        <v>117</v>
      </c>
      <c r="G27" s="70" t="s">
        <v>12</v>
      </c>
      <c r="H27" s="70">
        <v>8.3258810000000008</v>
      </c>
      <c r="I27" s="70">
        <v>-82.817966999999996</v>
      </c>
      <c r="J27" s="70" t="s">
        <v>95</v>
      </c>
      <c r="K27" s="73" t="str">
        <f>VLOOKUP(C27,BD_SESIONES_DE_USUARIO!A27:H86,7,FALSE)</f>
        <v>C&amp;W Panamá</v>
      </c>
      <c r="L27" s="73">
        <f>VLOOKUP(C27,BD_SESIONES_DE_USUARIO!A27:H86,5,FALSE)</f>
        <v>1800</v>
      </c>
      <c r="M27" s="75">
        <f>VLOOKUP(C27,BD_DATA_TRANSFERIDA!A27:G86,5,FALSE)</f>
        <v>127</v>
      </c>
      <c r="N27" s="83" t="s">
        <v>2080</v>
      </c>
      <c r="O27" s="77" t="str">
        <f>VLOOKUP(N27,BD_MEDUCA!$A$4583:$M$4587,3,TRUE)</f>
        <v>OFICIAL</v>
      </c>
      <c r="P27" s="77" t="str">
        <f>VLOOKUP(N27,BD_MEDUCA!$A$4583:$M$4587,4,TRUE)</f>
        <v>CULTURA Y DEPORTE</v>
      </c>
      <c r="Q27" s="77" t="str">
        <f>VLOOKUP(N27,BD_MEDUCA!$A$4583:$M$4587,10,TRUE)</f>
        <v>URBANA</v>
      </c>
      <c r="R27" s="77" t="str">
        <f>VLOOKUP(N27,BD_MEDUCA!$A$4583:$M$4587,11,TRUE)</f>
        <v>NO</v>
      </c>
      <c r="S27" s="77" t="str">
        <f>VLOOKUP(N27,BD_MEDUCA!$A$4583:$M$4587,12,TRUE)</f>
        <v xml:space="preserve">No </v>
      </c>
      <c r="T27" s="79" t="str">
        <f>VLOOKUP(N27,BD_MEDUCA!$A$4583:$M$4587,13,TRUE)</f>
        <v>NO ESPECIFICADO</v>
      </c>
      <c r="U27" s="80" t="str">
        <f>VLOOKUP(N27,BD_MEDUCA!$A$4583:$M$4587,2,TRUE)</f>
        <v>SUBSISTEMA REGULAR</v>
      </c>
    </row>
    <row r="28" spans="1:21" x14ac:dyDescent="0.3">
      <c r="A28" s="69">
        <v>1</v>
      </c>
      <c r="B28" s="70">
        <v>94</v>
      </c>
      <c r="C28" s="70" t="s">
        <v>131</v>
      </c>
      <c r="D28" s="70" t="s">
        <v>77</v>
      </c>
      <c r="E28" s="70" t="s">
        <v>93</v>
      </c>
      <c r="F28" s="70" t="s">
        <v>117</v>
      </c>
      <c r="G28" s="70" t="s">
        <v>12</v>
      </c>
      <c r="H28" s="70">
        <v>8.3392379999999999</v>
      </c>
      <c r="I28" s="70">
        <v>-82.806692999999996</v>
      </c>
      <c r="J28" s="70" t="s">
        <v>95</v>
      </c>
      <c r="K28" s="73" t="str">
        <f>VLOOKUP(C28,BD_SESIONES_DE_USUARIO!A28:H87,7,FALSE)</f>
        <v>C&amp;W Panamá</v>
      </c>
      <c r="L28" s="73">
        <f>VLOOKUP(C28,BD_SESIONES_DE_USUARIO!A28:H87,5,FALSE)</f>
        <v>705</v>
      </c>
      <c r="M28" s="75">
        <f>VLOOKUP(C28,BD_DATA_TRANSFERIDA!A28:G87,5,FALSE)</f>
        <v>39</v>
      </c>
      <c r="N28" s="83" t="s">
        <v>2083</v>
      </c>
      <c r="O28" s="77" t="str">
        <f>VLOOKUP(N28,BD_MEDUCA!$A$4583:$M$4587,3,TRUE)</f>
        <v>OFICIAL</v>
      </c>
      <c r="P28" s="77" t="str">
        <f>VLOOKUP(N28,BD_MEDUCA!$A$4583:$M$4587,4,TRUE)</f>
        <v>CULTURA Y DEPORTE</v>
      </c>
      <c r="Q28" s="77" t="str">
        <f>VLOOKUP(N28,BD_MEDUCA!$A$4583:$M$4587,10,TRUE)</f>
        <v>URBANA</v>
      </c>
      <c r="R28" s="77" t="str">
        <f>VLOOKUP(N28,BD_MEDUCA!$A$4583:$M$4587,11,TRUE)</f>
        <v>NO</v>
      </c>
      <c r="S28" s="77" t="str">
        <f>VLOOKUP(N28,BD_MEDUCA!$A$4583:$M$4587,12,TRUE)</f>
        <v xml:space="preserve">No </v>
      </c>
      <c r="T28" s="79" t="str">
        <f>VLOOKUP(N28,BD_MEDUCA!$A$4583:$M$4587,13,TRUE)</f>
        <v>NO ESPECIFICADO</v>
      </c>
      <c r="U28" s="80" t="str">
        <f>VLOOKUP(N28,BD_MEDUCA!$A$4583:$M$4587,2,TRUE)</f>
        <v>SUBSISTEMA REGULAR</v>
      </c>
    </row>
    <row r="29" spans="1:21" x14ac:dyDescent="0.3">
      <c r="A29" s="69">
        <v>1</v>
      </c>
      <c r="B29" s="70">
        <v>95</v>
      </c>
      <c r="C29" s="70" t="s">
        <v>132</v>
      </c>
      <c r="D29" s="70" t="s">
        <v>77</v>
      </c>
      <c r="E29" s="70" t="s">
        <v>93</v>
      </c>
      <c r="F29" s="70" t="s">
        <v>117</v>
      </c>
      <c r="G29" s="70" t="s">
        <v>12</v>
      </c>
      <c r="H29" s="70">
        <v>8.3713619999999995</v>
      </c>
      <c r="I29" s="70">
        <v>-82.887193999999994</v>
      </c>
      <c r="J29" s="70" t="s">
        <v>100</v>
      </c>
      <c r="K29" s="73" t="str">
        <f>VLOOKUP(C29,BD_SESIONES_DE_USUARIO!A29:H88,7,FALSE)</f>
        <v>C&amp;W Panamá</v>
      </c>
      <c r="L29" s="73">
        <f>VLOOKUP(C29,BD_SESIONES_DE_USUARIO!A29:H88,5,FALSE)</f>
        <v>2207</v>
      </c>
      <c r="M29" s="75">
        <f>VLOOKUP(C29,BD_DATA_TRANSFERIDA!A29:G88,5,FALSE)</f>
        <v>501</v>
      </c>
      <c r="N29" s="83" t="s">
        <v>2119</v>
      </c>
      <c r="O29" s="77" t="str">
        <f>VLOOKUP(N29,BD_MEDUCA!$A$4583:$M$4587,3,TRUE)</f>
        <v>OFICIAL</v>
      </c>
      <c r="P29" s="77" t="str">
        <f>VLOOKUP(N29,BD_MEDUCA!$A$4583:$M$4587,4,TRUE)</f>
        <v>CULTURA Y DEPORTE</v>
      </c>
      <c r="Q29" s="77" t="str">
        <f>VLOOKUP(N29,BD_MEDUCA!$A$4583:$M$4587,10,TRUE)</f>
        <v>URBANA</v>
      </c>
      <c r="R29" s="77" t="str">
        <f>VLOOKUP(N29,BD_MEDUCA!$A$4583:$M$4587,11,TRUE)</f>
        <v>NO</v>
      </c>
      <c r="S29" s="77" t="str">
        <f>VLOOKUP(N29,BD_MEDUCA!$A$4583:$M$4587,12,TRUE)</f>
        <v xml:space="preserve">No </v>
      </c>
      <c r="T29" s="79" t="str">
        <f>VLOOKUP(N29,BD_MEDUCA!$A$4583:$M$4587,13,TRUE)</f>
        <v>NO ESPECIFICADO</v>
      </c>
      <c r="U29" s="80" t="str">
        <f>VLOOKUP(N29,BD_MEDUCA!$A$4583:$M$4587,2,TRUE)</f>
        <v>SUBSISTEMA REGULAR</v>
      </c>
    </row>
    <row r="30" spans="1:21" x14ac:dyDescent="0.3">
      <c r="A30" s="69">
        <v>1</v>
      </c>
      <c r="B30" s="70">
        <v>96</v>
      </c>
      <c r="C30" s="70" t="s">
        <v>133</v>
      </c>
      <c r="D30" s="70" t="s">
        <v>77</v>
      </c>
      <c r="E30" s="70" t="s">
        <v>93</v>
      </c>
      <c r="F30" s="70" t="s">
        <v>117</v>
      </c>
      <c r="G30" s="70" t="s">
        <v>12</v>
      </c>
      <c r="H30" s="70">
        <v>8.3831389999999999</v>
      </c>
      <c r="I30" s="70">
        <v>-82.876480000000001</v>
      </c>
      <c r="J30" s="70" t="s">
        <v>124</v>
      </c>
      <c r="K30" s="73" t="str">
        <f>VLOOKUP(C30,BD_SESIONES_DE_USUARIO!A30:H89,7,FALSE)</f>
        <v>C&amp;W Panamá</v>
      </c>
      <c r="L30" s="73">
        <f>VLOOKUP(C30,BD_SESIONES_DE_USUARIO!A30:H89,5,FALSE)</f>
        <v>1419</v>
      </c>
      <c r="M30" s="75">
        <f>VLOOKUP(C30,BD_DATA_TRANSFERIDA!A30:G89,5,FALSE)</f>
        <v>124</v>
      </c>
      <c r="N30" s="83" t="s">
        <v>1987</v>
      </c>
      <c r="O30" s="77" t="str">
        <f>VLOOKUP(N30,BD_MEDUCA!$A$4583:$M$4587,3,TRUE)</f>
        <v>OFICIAL</v>
      </c>
      <c r="P30" s="77" t="str">
        <f>VLOOKUP(N30,BD_MEDUCA!$A$4583:$M$4587,4,TRUE)</f>
        <v>CULTURA Y DEPORTE</v>
      </c>
      <c r="Q30" s="77" t="str">
        <f>VLOOKUP(N30,BD_MEDUCA!$A$4583:$M$4587,10,TRUE)</f>
        <v>URBANA</v>
      </c>
      <c r="R30" s="77" t="str">
        <f>VLOOKUP(N30,BD_MEDUCA!$A$4583:$M$4587,11,TRUE)</f>
        <v>NO</v>
      </c>
      <c r="S30" s="77" t="str">
        <f>VLOOKUP(N30,BD_MEDUCA!$A$4583:$M$4587,12,TRUE)</f>
        <v xml:space="preserve">No </v>
      </c>
      <c r="T30" s="79" t="str">
        <f>VLOOKUP(N30,BD_MEDUCA!$A$4583:$M$4587,13,TRUE)</f>
        <v>NO ESPECIFICADO</v>
      </c>
      <c r="U30" s="80" t="str">
        <f>VLOOKUP(N30,BD_MEDUCA!$A$4583:$M$4587,2,TRUE)</f>
        <v>SUBSISTEMA REGULAR</v>
      </c>
    </row>
    <row r="31" spans="1:21" x14ac:dyDescent="0.3">
      <c r="A31" s="69">
        <v>1</v>
      </c>
      <c r="B31" s="70">
        <v>97</v>
      </c>
      <c r="C31" s="70" t="s">
        <v>134</v>
      </c>
      <c r="D31" s="70" t="s">
        <v>77</v>
      </c>
      <c r="E31" s="70" t="s">
        <v>93</v>
      </c>
      <c r="F31" s="70" t="s">
        <v>117</v>
      </c>
      <c r="G31" s="70" t="s">
        <v>12</v>
      </c>
      <c r="H31" s="70">
        <v>8.3392499999999998</v>
      </c>
      <c r="I31" s="70">
        <v>-82.806915000000004</v>
      </c>
      <c r="J31" s="70" t="s">
        <v>95</v>
      </c>
      <c r="K31" s="73" t="str">
        <f>VLOOKUP(C31,BD_SESIONES_DE_USUARIO!A31:H90,7,FALSE)</f>
        <v>C&amp;W Panamá</v>
      </c>
      <c r="L31" s="73">
        <f>VLOOKUP(C31,BD_SESIONES_DE_USUARIO!A31:H90,5,FALSE)</f>
        <v>2516</v>
      </c>
      <c r="M31" s="75">
        <f>VLOOKUP(C31,BD_DATA_TRANSFERIDA!A31:G90,5,FALSE)</f>
        <v>104</v>
      </c>
      <c r="N31" s="83" t="s">
        <v>2023</v>
      </c>
      <c r="O31" s="77" t="str">
        <f>VLOOKUP(N31,BD_MEDUCA!$A$4583:$M$4587,3,TRUE)</f>
        <v>OFICIAL</v>
      </c>
      <c r="P31" s="77" t="str">
        <f>VLOOKUP(N31,BD_MEDUCA!$A$4583:$M$4587,4,TRUE)</f>
        <v>CULTURA Y DEPORTE</v>
      </c>
      <c r="Q31" s="77" t="str">
        <f>VLOOKUP(N31,BD_MEDUCA!$A$4583:$M$4587,10,TRUE)</f>
        <v>URBANA</v>
      </c>
      <c r="R31" s="77" t="str">
        <f>VLOOKUP(N31,BD_MEDUCA!$A$4583:$M$4587,11,TRUE)</f>
        <v>NO</v>
      </c>
      <c r="S31" s="77" t="str">
        <f>VLOOKUP(N31,BD_MEDUCA!$A$4583:$M$4587,12,TRUE)</f>
        <v xml:space="preserve">No </v>
      </c>
      <c r="T31" s="79" t="str">
        <f>VLOOKUP(N31,BD_MEDUCA!$A$4583:$M$4587,13,TRUE)</f>
        <v>NO ESPECIFICADO</v>
      </c>
      <c r="U31" s="80" t="str">
        <f>VLOOKUP(N31,BD_MEDUCA!$A$4583:$M$4587,2,TRUE)</f>
        <v>SUBSISTEMA REGULAR</v>
      </c>
    </row>
    <row r="32" spans="1:21" x14ac:dyDescent="0.3">
      <c r="A32" s="69">
        <v>1</v>
      </c>
      <c r="B32" s="70">
        <v>98</v>
      </c>
      <c r="C32" s="70" t="s">
        <v>135</v>
      </c>
      <c r="D32" s="70" t="s">
        <v>77</v>
      </c>
      <c r="E32" s="70" t="s">
        <v>93</v>
      </c>
      <c r="F32" s="70" t="s">
        <v>117</v>
      </c>
      <c r="G32" s="70" t="s">
        <v>12</v>
      </c>
      <c r="H32" s="70">
        <v>8.4153739999999999</v>
      </c>
      <c r="I32" s="70">
        <v>-82.930785999999998</v>
      </c>
      <c r="J32" s="70" t="s">
        <v>119</v>
      </c>
      <c r="K32" s="73" t="str">
        <f>VLOOKUP(C32,BD_SESIONES_DE_USUARIO!A32:H91,7,FALSE)</f>
        <v>C&amp;W Panamá</v>
      </c>
      <c r="L32" s="73">
        <f>VLOOKUP(C32,BD_SESIONES_DE_USUARIO!A32:H91,5,FALSE)</f>
        <v>1014</v>
      </c>
      <c r="M32" s="75">
        <f>VLOOKUP(C32,BD_DATA_TRANSFERIDA!A32:G91,5,FALSE)</f>
        <v>193</v>
      </c>
      <c r="N32" s="83" t="s">
        <v>2101</v>
      </c>
      <c r="O32" s="77" t="str">
        <f>VLOOKUP(N32,BD_MEDUCA!$A$4583:$M$4587,3,TRUE)</f>
        <v>OFICIAL</v>
      </c>
      <c r="P32" s="77" t="str">
        <f>VLOOKUP(N32,BD_MEDUCA!$A$4583:$M$4587,4,TRUE)</f>
        <v>CULTURA Y DEPORTE</v>
      </c>
      <c r="Q32" s="77" t="str">
        <f>VLOOKUP(N32,BD_MEDUCA!$A$4583:$M$4587,10,TRUE)</f>
        <v>URBANA</v>
      </c>
      <c r="R32" s="77" t="str">
        <f>VLOOKUP(N32,BD_MEDUCA!$A$4583:$M$4587,11,TRUE)</f>
        <v>NO</v>
      </c>
      <c r="S32" s="77" t="str">
        <f>VLOOKUP(N32,BD_MEDUCA!$A$4583:$M$4587,12,TRUE)</f>
        <v xml:space="preserve">No </v>
      </c>
      <c r="T32" s="79" t="str">
        <f>VLOOKUP(N32,BD_MEDUCA!$A$4583:$M$4587,13,TRUE)</f>
        <v>NO ESPECIFICADO</v>
      </c>
      <c r="U32" s="80" t="str">
        <f>VLOOKUP(N32,BD_MEDUCA!$A$4583:$M$4587,2,TRUE)</f>
        <v>SUBSISTEMA REGULAR</v>
      </c>
    </row>
    <row r="33" spans="1:21" x14ac:dyDescent="0.3">
      <c r="A33" s="69">
        <v>1</v>
      </c>
      <c r="B33" s="70">
        <v>218</v>
      </c>
      <c r="C33" s="70" t="s">
        <v>285</v>
      </c>
      <c r="D33" s="70" t="s">
        <v>77</v>
      </c>
      <c r="E33" s="70" t="s">
        <v>286</v>
      </c>
      <c r="F33" s="70" t="s">
        <v>287</v>
      </c>
      <c r="G33" s="70" t="s">
        <v>12</v>
      </c>
      <c r="H33" s="70">
        <v>8.5172799999999995</v>
      </c>
      <c r="I33" s="70">
        <v>-82.619337000000002</v>
      </c>
      <c r="J33" s="70" t="s">
        <v>288</v>
      </c>
      <c r="K33" s="73" t="str">
        <f>VLOOKUP(C33,BD_SESIONES_DE_USUARIO!A33:H92,7,FALSE)</f>
        <v>C&amp;W Panamá</v>
      </c>
      <c r="L33" s="73">
        <f>VLOOKUP(C33,BD_SESIONES_DE_USUARIO!A33:H92,5,FALSE)</f>
        <v>212</v>
      </c>
      <c r="M33" s="75">
        <f>VLOOKUP(C33,BD_DATA_TRANSFERIDA!A33:G92,5,FALSE)</f>
        <v>5</v>
      </c>
      <c r="N33" s="83" t="s">
        <v>2056</v>
      </c>
      <c r="O33" s="77" t="str">
        <f>VLOOKUP(N33,BD_MEDUCA!$A$4583:$M$4587,3,TRUE)</f>
        <v>OFICIAL</v>
      </c>
      <c r="P33" s="77" t="str">
        <f>VLOOKUP(N33,BD_MEDUCA!$A$4583:$M$4587,4,TRUE)</f>
        <v>CULTURA Y DEPORTE</v>
      </c>
      <c r="Q33" s="77" t="str">
        <f>VLOOKUP(N33,BD_MEDUCA!$A$4583:$M$4587,10,TRUE)</f>
        <v>URBANA</v>
      </c>
      <c r="R33" s="77" t="str">
        <f>VLOOKUP(N33,BD_MEDUCA!$A$4583:$M$4587,11,TRUE)</f>
        <v>NO</v>
      </c>
      <c r="S33" s="77" t="str">
        <f>VLOOKUP(N33,BD_MEDUCA!$A$4583:$M$4587,12,TRUE)</f>
        <v xml:space="preserve">No </v>
      </c>
      <c r="T33" s="79" t="str">
        <f>VLOOKUP(N33,BD_MEDUCA!$A$4583:$M$4587,13,TRUE)</f>
        <v>NO ESPECIFICADO</v>
      </c>
      <c r="U33" s="80" t="str">
        <f>VLOOKUP(N33,BD_MEDUCA!$A$4583:$M$4587,2,TRUE)</f>
        <v>SUBSISTEMA REGULAR</v>
      </c>
    </row>
    <row r="34" spans="1:21" x14ac:dyDescent="0.3">
      <c r="A34" s="69">
        <v>1</v>
      </c>
      <c r="B34" s="70">
        <v>219</v>
      </c>
      <c r="C34" s="70" t="s">
        <v>289</v>
      </c>
      <c r="D34" s="70" t="s">
        <v>77</v>
      </c>
      <c r="E34" s="70" t="s">
        <v>286</v>
      </c>
      <c r="F34" s="70" t="s">
        <v>287</v>
      </c>
      <c r="G34" s="70" t="s">
        <v>33</v>
      </c>
      <c r="H34" s="70">
        <v>8.5756379999999996</v>
      </c>
      <c r="I34" s="70">
        <v>-82.443582000000006</v>
      </c>
      <c r="J34" s="70" t="s">
        <v>146</v>
      </c>
      <c r="K34" s="73" t="str">
        <f>VLOOKUP(C34,BD_SESIONES_DE_USUARIO!A34:H93,7,FALSE)</f>
        <v>C&amp;W Panamá</v>
      </c>
      <c r="L34" s="73">
        <f>VLOOKUP(C34,BD_SESIONES_DE_USUARIO!A34:H93,5,FALSE)</f>
        <v>150</v>
      </c>
      <c r="M34" s="75">
        <f>VLOOKUP(C34,BD_DATA_TRANSFERIDA!A34:G93,5,FALSE)</f>
        <v>9</v>
      </c>
      <c r="N34" s="83" t="s">
        <v>1977</v>
      </c>
      <c r="O34" s="77" t="str">
        <f>VLOOKUP(N34,BD_MEDUCA!$A$4583:$M$4587,3,TRUE)</f>
        <v>OFICIAL</v>
      </c>
      <c r="P34" s="77" t="str">
        <f>VLOOKUP(N34,BD_MEDUCA!$A$4583:$M$4587,4,TRUE)</f>
        <v>CULTURA Y DEPORTE</v>
      </c>
      <c r="Q34" s="77" t="str">
        <f>VLOOKUP(N34,BD_MEDUCA!$A$4583:$M$4587,10,TRUE)</f>
        <v>URBANA</v>
      </c>
      <c r="R34" s="77" t="str">
        <f>VLOOKUP(N34,BD_MEDUCA!$A$4583:$M$4587,11,TRUE)</f>
        <v>NO</v>
      </c>
      <c r="S34" s="77" t="str">
        <f>VLOOKUP(N34,BD_MEDUCA!$A$4583:$M$4587,12,TRUE)</f>
        <v xml:space="preserve">No </v>
      </c>
      <c r="T34" s="79" t="str">
        <f>VLOOKUP(N34,BD_MEDUCA!$A$4583:$M$4587,13,TRUE)</f>
        <v>NO ESPECIFICADO</v>
      </c>
      <c r="U34" s="80" t="str">
        <f>VLOOKUP(N34,BD_MEDUCA!$A$4583:$M$4587,2,TRUE)</f>
        <v>SUBSISTEMA REGULAR</v>
      </c>
    </row>
    <row r="35" spans="1:21" x14ac:dyDescent="0.3">
      <c r="A35" s="69">
        <v>1</v>
      </c>
      <c r="B35" s="70">
        <v>220</v>
      </c>
      <c r="C35" s="70" t="s">
        <v>290</v>
      </c>
      <c r="D35" s="70" t="s">
        <v>77</v>
      </c>
      <c r="E35" s="70" t="s">
        <v>286</v>
      </c>
      <c r="F35" s="70" t="s">
        <v>287</v>
      </c>
      <c r="G35" s="70" t="s">
        <v>33</v>
      </c>
      <c r="H35" s="70">
        <v>8.5669579999999996</v>
      </c>
      <c r="I35" s="70">
        <v>-82.416613999999996</v>
      </c>
      <c r="J35" s="70" t="s">
        <v>148</v>
      </c>
      <c r="K35" s="73" t="str">
        <f>VLOOKUP(C35,BD_SESIONES_DE_USUARIO!A35:H94,7,FALSE)</f>
        <v>C&amp;W Panamá</v>
      </c>
      <c r="L35" s="73">
        <f>VLOOKUP(C35,BD_SESIONES_DE_USUARIO!A35:H94,5,FALSE)</f>
        <v>664</v>
      </c>
      <c r="M35" s="75">
        <f>VLOOKUP(C35,BD_DATA_TRANSFERIDA!A35:G94,5,FALSE)</f>
        <v>23</v>
      </c>
      <c r="N35" s="83"/>
      <c r="O35" s="77" t="e">
        <f>VLOOKUP(N35,BD_MEDUCA!$A$4583:$M$4587,3,TRUE)</f>
        <v>#N/A</v>
      </c>
      <c r="P35" s="77" t="e">
        <f>VLOOKUP(N35,BD_MEDUCA!$A$4583:$M$4587,4,TRUE)</f>
        <v>#N/A</v>
      </c>
      <c r="Q35" s="77" t="e">
        <f>VLOOKUP(N35,BD_MEDUCA!$A$4583:$M$4587,10,TRUE)</f>
        <v>#N/A</v>
      </c>
      <c r="R35" s="77" t="e">
        <f>VLOOKUP(N35,BD_MEDUCA!$A$4583:$M$4587,11,TRUE)</f>
        <v>#N/A</v>
      </c>
      <c r="S35" s="77" t="e">
        <f>VLOOKUP(N35,BD_MEDUCA!$A$4583:$M$4587,12,TRUE)</f>
        <v>#N/A</v>
      </c>
      <c r="T35" s="79" t="e">
        <f>VLOOKUP(N35,BD_MEDUCA!$A$4583:$M$4587,13,TRUE)</f>
        <v>#N/A</v>
      </c>
      <c r="U35" s="80" t="e">
        <f>VLOOKUP(N35,BD_MEDUCA!$A$4583:$M$4587,2,TRUE)</f>
        <v>#N/A</v>
      </c>
    </row>
    <row r="36" spans="1:21" x14ac:dyDescent="0.3">
      <c r="A36" s="69">
        <v>1</v>
      </c>
      <c r="B36" s="70">
        <v>221</v>
      </c>
      <c r="C36" s="70" t="s">
        <v>291</v>
      </c>
      <c r="D36" s="70" t="s">
        <v>77</v>
      </c>
      <c r="E36" s="70" t="s">
        <v>286</v>
      </c>
      <c r="F36" s="70" t="s">
        <v>287</v>
      </c>
      <c r="G36" s="70" t="s">
        <v>12</v>
      </c>
      <c r="H36" s="70">
        <v>8.5645799999999994</v>
      </c>
      <c r="I36" s="70">
        <v>-82.449579999999997</v>
      </c>
      <c r="J36" s="70" t="s">
        <v>288</v>
      </c>
      <c r="K36" s="73" t="str">
        <f>VLOOKUP(C36,BD_SESIONES_DE_USUARIO!A36:H95,7,FALSE)</f>
        <v>C&amp;W Panamá</v>
      </c>
      <c r="L36" s="73">
        <f>VLOOKUP(C36,BD_SESIONES_DE_USUARIO!A36:H95,5,FALSE)</f>
        <v>613</v>
      </c>
      <c r="M36" s="75">
        <f>VLOOKUP(C36,BD_DATA_TRANSFERIDA!A36:G95,5,FALSE)</f>
        <v>40</v>
      </c>
      <c r="N36" s="83" t="s">
        <v>2048</v>
      </c>
      <c r="O36" s="77" t="str">
        <f>VLOOKUP(N36,BD_MEDUCA!$A$4583:$M$4587,3,TRUE)</f>
        <v>OFICIAL</v>
      </c>
      <c r="P36" s="77" t="str">
        <f>VLOOKUP(N36,BD_MEDUCA!$A$4583:$M$4587,4,TRUE)</f>
        <v>CULTURA Y DEPORTE</v>
      </c>
      <c r="Q36" s="77" t="str">
        <f>VLOOKUP(N36,BD_MEDUCA!$A$4583:$M$4587,10,TRUE)</f>
        <v>URBANA</v>
      </c>
      <c r="R36" s="77" t="str">
        <f>VLOOKUP(N36,BD_MEDUCA!$A$4583:$M$4587,11,TRUE)</f>
        <v>NO</v>
      </c>
      <c r="S36" s="77" t="str">
        <f>VLOOKUP(N36,BD_MEDUCA!$A$4583:$M$4587,12,TRUE)</f>
        <v xml:space="preserve">No </v>
      </c>
      <c r="T36" s="79" t="str">
        <f>VLOOKUP(N36,BD_MEDUCA!$A$4583:$M$4587,13,TRUE)</f>
        <v>NO ESPECIFICADO</v>
      </c>
      <c r="U36" s="80" t="str">
        <f>VLOOKUP(N36,BD_MEDUCA!$A$4583:$M$4587,2,TRUE)</f>
        <v>SUBSISTEMA REGULAR</v>
      </c>
    </row>
    <row r="37" spans="1:21" x14ac:dyDescent="0.3">
      <c r="A37" s="69">
        <v>1</v>
      </c>
      <c r="B37" s="70">
        <v>223</v>
      </c>
      <c r="C37" s="70" t="s">
        <v>292</v>
      </c>
      <c r="D37" s="70" t="s">
        <v>77</v>
      </c>
      <c r="E37" s="70" t="s">
        <v>286</v>
      </c>
      <c r="F37" s="70" t="s">
        <v>287</v>
      </c>
      <c r="G37" s="70" t="s">
        <v>53</v>
      </c>
      <c r="H37" s="70">
        <v>8.5855680000000003</v>
      </c>
      <c r="I37" s="70">
        <v>-82.462704000000002</v>
      </c>
      <c r="J37" s="70" t="s">
        <v>222</v>
      </c>
      <c r="K37" s="73" t="str">
        <f>VLOOKUP(C37,BD_SESIONES_DE_USUARIO!A37:H96,7,FALSE)</f>
        <v>C&amp;W Panamá</v>
      </c>
      <c r="L37" s="73">
        <f>VLOOKUP(C37,BD_SESIONES_DE_USUARIO!A37:H96,5,FALSE)</f>
        <v>45</v>
      </c>
      <c r="M37" s="75">
        <f>VLOOKUP(C37,BD_DATA_TRANSFERIDA!A37:G96,5,FALSE)</f>
        <v>0</v>
      </c>
      <c r="N37" s="83" t="s">
        <v>2064</v>
      </c>
      <c r="O37" s="77" t="str">
        <f>VLOOKUP(N37,BD_MEDUCA!$A$4583:$M$4587,3,TRUE)</f>
        <v>OFICIAL</v>
      </c>
      <c r="P37" s="77" t="str">
        <f>VLOOKUP(N37,BD_MEDUCA!$A$4583:$M$4587,4,TRUE)</f>
        <v>CULTURA Y DEPORTE</v>
      </c>
      <c r="Q37" s="77" t="str">
        <f>VLOOKUP(N37,BD_MEDUCA!$A$4583:$M$4587,10,TRUE)</f>
        <v>URBANA</v>
      </c>
      <c r="R37" s="77" t="str">
        <f>VLOOKUP(N37,BD_MEDUCA!$A$4583:$M$4587,11,TRUE)</f>
        <v>NO</v>
      </c>
      <c r="S37" s="77" t="str">
        <f>VLOOKUP(N37,BD_MEDUCA!$A$4583:$M$4587,12,TRUE)</f>
        <v xml:space="preserve">No </v>
      </c>
      <c r="T37" s="79" t="str">
        <f>VLOOKUP(N37,BD_MEDUCA!$A$4583:$M$4587,13,TRUE)</f>
        <v>NO ESPECIFICADO</v>
      </c>
      <c r="U37" s="80" t="str">
        <f>VLOOKUP(N37,BD_MEDUCA!$A$4583:$M$4587,2,TRUE)</f>
        <v>SUBSISTEMA REGULAR</v>
      </c>
    </row>
    <row r="38" spans="1:21" x14ac:dyDescent="0.3">
      <c r="A38" s="69">
        <v>1</v>
      </c>
      <c r="B38" s="70">
        <v>225</v>
      </c>
      <c r="C38" s="70" t="s">
        <v>293</v>
      </c>
      <c r="D38" s="70" t="s">
        <v>77</v>
      </c>
      <c r="E38" s="70" t="s">
        <v>286</v>
      </c>
      <c r="F38" s="70" t="s">
        <v>294</v>
      </c>
      <c r="G38" s="70" t="s">
        <v>12</v>
      </c>
      <c r="H38" s="70">
        <v>8.5321739999999995</v>
      </c>
      <c r="I38" s="70">
        <v>-82.420760999999999</v>
      </c>
      <c r="J38" s="70" t="s">
        <v>295</v>
      </c>
      <c r="K38" s="73" t="str">
        <f>VLOOKUP(C38,BD_SESIONES_DE_USUARIO!A38:H97,7,FALSE)</f>
        <v>C&amp;W Panamá</v>
      </c>
      <c r="L38" s="73">
        <f>VLOOKUP(C38,BD_SESIONES_DE_USUARIO!A38:H97,5,FALSE)</f>
        <v>1415</v>
      </c>
      <c r="M38" s="75">
        <f>VLOOKUP(C38,BD_DATA_TRANSFERIDA!A38:G97,5,FALSE)</f>
        <v>160</v>
      </c>
      <c r="N38" s="83"/>
      <c r="O38" s="77" t="e">
        <f>VLOOKUP(N38,BD_MEDUCA!$A$4583:$M$4587,3,TRUE)</f>
        <v>#N/A</v>
      </c>
      <c r="P38" s="77" t="e">
        <f>VLOOKUP(N38,BD_MEDUCA!$A$4583:$M$4587,4,TRUE)</f>
        <v>#N/A</v>
      </c>
      <c r="Q38" s="77" t="e">
        <f>VLOOKUP(N38,BD_MEDUCA!$A$4583:$M$4587,10,TRUE)</f>
        <v>#N/A</v>
      </c>
      <c r="R38" s="77" t="e">
        <f>VLOOKUP(N38,BD_MEDUCA!$A$4583:$M$4587,11,TRUE)</f>
        <v>#N/A</v>
      </c>
      <c r="S38" s="77" t="e">
        <f>VLOOKUP(N38,BD_MEDUCA!$A$4583:$M$4587,12,TRUE)</f>
        <v>#N/A</v>
      </c>
      <c r="T38" s="79" t="e">
        <f>VLOOKUP(N38,BD_MEDUCA!$A$4583:$M$4587,13,TRUE)</f>
        <v>#N/A</v>
      </c>
      <c r="U38" s="80" t="e">
        <f>VLOOKUP(N38,BD_MEDUCA!$A$4583:$M$4587,2,TRUE)</f>
        <v>#N/A</v>
      </c>
    </row>
    <row r="39" spans="1:21" x14ac:dyDescent="0.3">
      <c r="A39" s="69">
        <v>1</v>
      </c>
      <c r="B39" s="70">
        <v>226</v>
      </c>
      <c r="C39" s="70" t="s">
        <v>296</v>
      </c>
      <c r="D39" s="70" t="s">
        <v>77</v>
      </c>
      <c r="E39" s="70" t="s">
        <v>286</v>
      </c>
      <c r="F39" s="70" t="s">
        <v>294</v>
      </c>
      <c r="G39" s="70" t="s">
        <v>12</v>
      </c>
      <c r="H39" s="70">
        <v>8.529598</v>
      </c>
      <c r="I39" s="70">
        <v>-82.409977999999995</v>
      </c>
      <c r="J39" s="70" t="s">
        <v>297</v>
      </c>
      <c r="K39" s="73" t="str">
        <f>VLOOKUP(C39,BD_SESIONES_DE_USUARIO!A39:H98,7,FALSE)</f>
        <v>C&amp;W Panamá</v>
      </c>
      <c r="L39" s="73">
        <f>VLOOKUP(C39,BD_SESIONES_DE_USUARIO!A39:H98,5,FALSE)</f>
        <v>549</v>
      </c>
      <c r="M39" s="75">
        <f>VLOOKUP(C39,BD_DATA_TRANSFERIDA!A39:G98,5,FALSE)</f>
        <v>26</v>
      </c>
      <c r="N39" s="83" t="s">
        <v>2111</v>
      </c>
      <c r="O39" s="77" t="str">
        <f>VLOOKUP(N39,BD_MEDUCA!$A$4583:$M$4587,3,TRUE)</f>
        <v>OFICIAL</v>
      </c>
      <c r="P39" s="77" t="str">
        <f>VLOOKUP(N39,BD_MEDUCA!$A$4583:$M$4587,4,TRUE)</f>
        <v>CULTURA Y DEPORTE</v>
      </c>
      <c r="Q39" s="77" t="str">
        <f>VLOOKUP(N39,BD_MEDUCA!$A$4583:$M$4587,10,TRUE)</f>
        <v>URBANA</v>
      </c>
      <c r="R39" s="77" t="str">
        <f>VLOOKUP(N39,BD_MEDUCA!$A$4583:$M$4587,11,TRUE)</f>
        <v>NO</v>
      </c>
      <c r="S39" s="77" t="str">
        <f>VLOOKUP(N39,BD_MEDUCA!$A$4583:$M$4587,12,TRUE)</f>
        <v xml:space="preserve">No </v>
      </c>
      <c r="T39" s="79" t="str">
        <f>VLOOKUP(N39,BD_MEDUCA!$A$4583:$M$4587,13,TRUE)</f>
        <v>NO ESPECIFICADO</v>
      </c>
      <c r="U39" s="80" t="str">
        <f>VLOOKUP(N39,BD_MEDUCA!$A$4583:$M$4587,2,TRUE)</f>
        <v>SUBSISTEMA REGULAR</v>
      </c>
    </row>
    <row r="40" spans="1:21" x14ac:dyDescent="0.3">
      <c r="A40" s="69">
        <v>1</v>
      </c>
      <c r="B40" s="70">
        <v>227</v>
      </c>
      <c r="C40" s="70" t="s">
        <v>298</v>
      </c>
      <c r="D40" s="70" t="s">
        <v>77</v>
      </c>
      <c r="E40" s="70" t="s">
        <v>286</v>
      </c>
      <c r="F40" s="70" t="s">
        <v>294</v>
      </c>
      <c r="G40" s="70" t="s">
        <v>12</v>
      </c>
      <c r="H40" s="70">
        <v>8.5304780000000004</v>
      </c>
      <c r="I40" s="70">
        <v>-82.417758000000006</v>
      </c>
      <c r="J40" s="70" t="s">
        <v>284</v>
      </c>
      <c r="K40" s="73" t="str">
        <f>VLOOKUP(C40,BD_SESIONES_DE_USUARIO!A40:H99,7,FALSE)</f>
        <v>C&amp;W Panamá</v>
      </c>
      <c r="L40" s="73">
        <f>VLOOKUP(C40,BD_SESIONES_DE_USUARIO!A40:H99,5,FALSE)</f>
        <v>1383</v>
      </c>
      <c r="M40" s="75">
        <f>VLOOKUP(C40,BD_DATA_TRANSFERIDA!A40:G99,5,FALSE)</f>
        <v>70</v>
      </c>
      <c r="N40" s="83" t="s">
        <v>2061</v>
      </c>
      <c r="O40" s="77" t="str">
        <f>VLOOKUP(N40,BD_MEDUCA!$A$4583:$M$4587,3,TRUE)</f>
        <v>OFICIAL</v>
      </c>
      <c r="P40" s="77" t="str">
        <f>VLOOKUP(N40,BD_MEDUCA!$A$4583:$M$4587,4,TRUE)</f>
        <v>CULTURA Y DEPORTE</v>
      </c>
      <c r="Q40" s="77" t="str">
        <f>VLOOKUP(N40,BD_MEDUCA!$A$4583:$M$4587,10,TRUE)</f>
        <v>URBANA</v>
      </c>
      <c r="R40" s="77" t="str">
        <f>VLOOKUP(N40,BD_MEDUCA!$A$4583:$M$4587,11,TRUE)</f>
        <v>NO</v>
      </c>
      <c r="S40" s="77" t="str">
        <f>VLOOKUP(N40,BD_MEDUCA!$A$4583:$M$4587,12,TRUE)</f>
        <v xml:space="preserve">No </v>
      </c>
      <c r="T40" s="79" t="str">
        <f>VLOOKUP(N40,BD_MEDUCA!$A$4583:$M$4587,13,TRUE)</f>
        <v>NO ESPECIFICADO</v>
      </c>
      <c r="U40" s="80" t="str">
        <f>VLOOKUP(N40,BD_MEDUCA!$A$4583:$M$4587,2,TRUE)</f>
        <v>SUBSISTEMA REGULAR</v>
      </c>
    </row>
    <row r="41" spans="1:21" x14ac:dyDescent="0.3">
      <c r="A41" s="69">
        <v>1</v>
      </c>
      <c r="B41" s="70">
        <v>228</v>
      </c>
      <c r="C41" s="70" t="s">
        <v>299</v>
      </c>
      <c r="D41" s="70" t="s">
        <v>77</v>
      </c>
      <c r="E41" s="70" t="s">
        <v>286</v>
      </c>
      <c r="F41" s="70" t="s">
        <v>294</v>
      </c>
      <c r="G41" s="70" t="s">
        <v>33</v>
      </c>
      <c r="H41" s="70">
        <v>8.5329960000000007</v>
      </c>
      <c r="I41" s="70">
        <v>-82.428818000000007</v>
      </c>
      <c r="J41" s="70" t="s">
        <v>168</v>
      </c>
      <c r="K41" s="73" t="str">
        <f>VLOOKUP(C41,BD_SESIONES_DE_USUARIO!A41:H100,7,FALSE)</f>
        <v>C&amp;W Panamá</v>
      </c>
      <c r="L41" s="73">
        <f>VLOOKUP(C41,BD_SESIONES_DE_USUARIO!A41:H100,5,FALSE)</f>
        <v>1016</v>
      </c>
      <c r="M41" s="75">
        <f>VLOOKUP(C41,BD_DATA_TRANSFERIDA!A41:G100,5,FALSE)</f>
        <v>89</v>
      </c>
      <c r="N41" s="83" t="s">
        <v>2123</v>
      </c>
      <c r="O41" s="77" t="str">
        <f>VLOOKUP(N41,BD_MEDUCA!$A$4583:$M$4587,3,TRUE)</f>
        <v>OFICIAL</v>
      </c>
      <c r="P41" s="77" t="str">
        <f>VLOOKUP(N41,BD_MEDUCA!$A$4583:$M$4587,4,TRUE)</f>
        <v>CULTURA Y DEPORTE</v>
      </c>
      <c r="Q41" s="77" t="str">
        <f>VLOOKUP(N41,BD_MEDUCA!$A$4583:$M$4587,10,TRUE)</f>
        <v>URBANA</v>
      </c>
      <c r="R41" s="77" t="str">
        <f>VLOOKUP(N41,BD_MEDUCA!$A$4583:$M$4587,11,TRUE)</f>
        <v>NO</v>
      </c>
      <c r="S41" s="77" t="str">
        <f>VLOOKUP(N41,BD_MEDUCA!$A$4583:$M$4587,12,TRUE)</f>
        <v xml:space="preserve">No </v>
      </c>
      <c r="T41" s="79" t="str">
        <f>VLOOKUP(N41,BD_MEDUCA!$A$4583:$M$4587,13,TRUE)</f>
        <v>NO ESPECIFICADO</v>
      </c>
      <c r="U41" s="80" t="str">
        <f>VLOOKUP(N41,BD_MEDUCA!$A$4583:$M$4587,2,TRUE)</f>
        <v>SUBSISTEMA REGULAR</v>
      </c>
    </row>
    <row r="42" spans="1:21" x14ac:dyDescent="0.3">
      <c r="A42" s="69">
        <v>1</v>
      </c>
      <c r="B42" s="70">
        <v>230</v>
      </c>
      <c r="C42" s="70" t="s">
        <v>300</v>
      </c>
      <c r="D42" s="70" t="s">
        <v>77</v>
      </c>
      <c r="E42" s="70" t="s">
        <v>286</v>
      </c>
      <c r="F42" s="70" t="s">
        <v>294</v>
      </c>
      <c r="G42" s="70" t="s">
        <v>12</v>
      </c>
      <c r="H42" s="70">
        <v>8.5327110000000008</v>
      </c>
      <c r="I42" s="70">
        <v>-82.419055999999998</v>
      </c>
      <c r="J42" s="70" t="s">
        <v>288</v>
      </c>
      <c r="K42" s="73" t="str">
        <f>VLOOKUP(C42,BD_SESIONES_DE_USUARIO!A42:H101,7,FALSE)</f>
        <v>C&amp;W Panamá</v>
      </c>
      <c r="L42" s="73">
        <f>VLOOKUP(C42,BD_SESIONES_DE_USUARIO!A42:H101,5,FALSE)</f>
        <v>1838</v>
      </c>
      <c r="M42" s="75">
        <f>VLOOKUP(C42,BD_DATA_TRANSFERIDA!A42:G101,5,FALSE)</f>
        <v>110</v>
      </c>
      <c r="N42" s="83"/>
      <c r="O42" s="77" t="e">
        <f>VLOOKUP(N42,BD_MEDUCA!$A$4583:$M$4587,3,TRUE)</f>
        <v>#N/A</v>
      </c>
      <c r="P42" s="77" t="e">
        <f>VLOOKUP(N42,BD_MEDUCA!$A$4583:$M$4587,4,TRUE)</f>
        <v>#N/A</v>
      </c>
      <c r="Q42" s="77" t="e">
        <f>VLOOKUP(N42,BD_MEDUCA!$A$4583:$M$4587,10,TRUE)</f>
        <v>#N/A</v>
      </c>
      <c r="R42" s="77" t="e">
        <f>VLOOKUP(N42,BD_MEDUCA!$A$4583:$M$4587,11,TRUE)</f>
        <v>#N/A</v>
      </c>
      <c r="S42" s="77" t="e">
        <f>VLOOKUP(N42,BD_MEDUCA!$A$4583:$M$4587,12,TRUE)</f>
        <v>#N/A</v>
      </c>
      <c r="T42" s="79" t="e">
        <f>VLOOKUP(N42,BD_MEDUCA!$A$4583:$M$4587,13,TRUE)</f>
        <v>#N/A</v>
      </c>
      <c r="U42" s="80" t="e">
        <f>VLOOKUP(N42,BD_MEDUCA!$A$4583:$M$4587,2,TRUE)</f>
        <v>#N/A</v>
      </c>
    </row>
    <row r="43" spans="1:21" x14ac:dyDescent="0.3">
      <c r="A43" s="69">
        <v>1</v>
      </c>
      <c r="B43" s="70">
        <v>231</v>
      </c>
      <c r="C43" s="70" t="s">
        <v>301</v>
      </c>
      <c r="D43" s="70" t="s">
        <v>77</v>
      </c>
      <c r="E43" s="70" t="s">
        <v>286</v>
      </c>
      <c r="F43" s="70" t="s">
        <v>294</v>
      </c>
      <c r="G43" s="70" t="s">
        <v>12</v>
      </c>
      <c r="H43" s="70">
        <v>8.5206959999999992</v>
      </c>
      <c r="I43" s="70">
        <v>-82.424133999999995</v>
      </c>
      <c r="J43" s="70" t="s">
        <v>295</v>
      </c>
      <c r="K43" s="73" t="str">
        <f>VLOOKUP(C43,BD_SESIONES_DE_USUARIO!A43:H102,7,FALSE)</f>
        <v>C&amp;W Panamá</v>
      </c>
      <c r="L43" s="73">
        <f>VLOOKUP(C43,BD_SESIONES_DE_USUARIO!A43:H102,5,FALSE)</f>
        <v>287</v>
      </c>
      <c r="M43" s="75">
        <f>VLOOKUP(C43,BD_DATA_TRANSFERIDA!A43:G102,5,FALSE)</f>
        <v>4</v>
      </c>
      <c r="N43" s="83"/>
      <c r="O43" s="77" t="e">
        <f>VLOOKUP(N43,BD_MEDUCA!$A$4583:$M$4587,3,TRUE)</f>
        <v>#N/A</v>
      </c>
      <c r="P43" s="77" t="e">
        <f>VLOOKUP(N43,BD_MEDUCA!$A$4583:$M$4587,4,TRUE)</f>
        <v>#N/A</v>
      </c>
      <c r="Q43" s="77" t="e">
        <f>VLOOKUP(N43,BD_MEDUCA!$A$4583:$M$4587,10,TRUE)</f>
        <v>#N/A</v>
      </c>
      <c r="R43" s="77" t="e">
        <f>VLOOKUP(N43,BD_MEDUCA!$A$4583:$M$4587,11,TRUE)</f>
        <v>#N/A</v>
      </c>
      <c r="S43" s="77" t="e">
        <f>VLOOKUP(N43,BD_MEDUCA!$A$4583:$M$4587,12,TRUE)</f>
        <v>#N/A</v>
      </c>
      <c r="T43" s="79" t="e">
        <f>VLOOKUP(N43,BD_MEDUCA!$A$4583:$M$4587,13,TRUE)</f>
        <v>#N/A</v>
      </c>
      <c r="U43" s="80" t="e">
        <f>VLOOKUP(N43,BD_MEDUCA!$A$4583:$M$4587,2,TRUE)</f>
        <v>#N/A</v>
      </c>
    </row>
    <row r="44" spans="1:21" x14ac:dyDescent="0.3">
      <c r="A44" s="69">
        <v>1</v>
      </c>
      <c r="B44" s="70">
        <v>232</v>
      </c>
      <c r="C44" s="70" t="s">
        <v>302</v>
      </c>
      <c r="D44" s="70" t="s">
        <v>77</v>
      </c>
      <c r="E44" s="70" t="s">
        <v>286</v>
      </c>
      <c r="F44" s="70" t="s">
        <v>294</v>
      </c>
      <c r="G44" s="70" t="s">
        <v>33</v>
      </c>
      <c r="H44" s="70">
        <v>8.4995410000000007</v>
      </c>
      <c r="I44" s="70">
        <v>-82.425670999999994</v>
      </c>
      <c r="J44" s="70" t="s">
        <v>288</v>
      </c>
      <c r="K44" s="73" t="str">
        <f>VLOOKUP(C44,BD_SESIONES_DE_USUARIO!A44:H103,7,FALSE)</f>
        <v>C&amp;W Panamá</v>
      </c>
      <c r="L44" s="73">
        <f>VLOOKUP(C44,BD_SESIONES_DE_USUARIO!A44:H103,5,FALSE)</f>
        <v>580</v>
      </c>
      <c r="M44" s="75">
        <f>VLOOKUP(C44,BD_DATA_TRANSFERIDA!A44:G103,5,FALSE)</f>
        <v>34</v>
      </c>
      <c r="N44" s="83"/>
      <c r="O44" s="77" t="e">
        <f>VLOOKUP(N44,BD_MEDUCA!$A$4583:$M$4587,3,TRUE)</f>
        <v>#N/A</v>
      </c>
      <c r="P44" s="77" t="e">
        <f>VLOOKUP(N44,BD_MEDUCA!$A$4583:$M$4587,4,TRUE)</f>
        <v>#N/A</v>
      </c>
      <c r="Q44" s="77" t="e">
        <f>VLOOKUP(N44,BD_MEDUCA!$A$4583:$M$4587,10,TRUE)</f>
        <v>#N/A</v>
      </c>
      <c r="R44" s="77" t="e">
        <f>VLOOKUP(N44,BD_MEDUCA!$A$4583:$M$4587,11,TRUE)</f>
        <v>#N/A</v>
      </c>
      <c r="S44" s="77" t="e">
        <f>VLOOKUP(N44,BD_MEDUCA!$A$4583:$M$4587,12,TRUE)</f>
        <v>#N/A</v>
      </c>
      <c r="T44" s="79" t="e">
        <f>VLOOKUP(N44,BD_MEDUCA!$A$4583:$M$4587,13,TRUE)</f>
        <v>#N/A</v>
      </c>
      <c r="U44" s="80" t="e">
        <f>VLOOKUP(N44,BD_MEDUCA!$A$4583:$M$4587,2,TRUE)</f>
        <v>#N/A</v>
      </c>
    </row>
    <row r="45" spans="1:21" x14ac:dyDescent="0.3">
      <c r="A45" s="69">
        <v>1</v>
      </c>
      <c r="B45" s="70">
        <v>233</v>
      </c>
      <c r="C45" s="70" t="s">
        <v>303</v>
      </c>
      <c r="D45" s="70" t="s">
        <v>77</v>
      </c>
      <c r="E45" s="70" t="s">
        <v>304</v>
      </c>
      <c r="F45" s="70" t="s">
        <v>304</v>
      </c>
      <c r="G45" s="70" t="s">
        <v>12</v>
      </c>
      <c r="H45" s="70">
        <v>8.4989690000000007</v>
      </c>
      <c r="I45" s="70">
        <v>-82.285015000000001</v>
      </c>
      <c r="J45" s="70" t="s">
        <v>295</v>
      </c>
      <c r="K45" s="73" t="str">
        <f>VLOOKUP(C45,BD_SESIONES_DE_USUARIO!A45:H104,7,FALSE)</f>
        <v>C&amp;W Panamá</v>
      </c>
      <c r="L45" s="73">
        <f>VLOOKUP(C45,BD_SESIONES_DE_USUARIO!A45:H104,5,FALSE)</f>
        <v>1504</v>
      </c>
      <c r="M45" s="75">
        <f>VLOOKUP(C45,BD_DATA_TRANSFERIDA!A45:G104,5,FALSE)</f>
        <v>54</v>
      </c>
      <c r="N45" s="83" t="s">
        <v>2014</v>
      </c>
      <c r="O45" s="77" t="str">
        <f>VLOOKUP(N45,BD_MEDUCA!$A$4583:$M$4587,3,TRUE)</f>
        <v>OFICIAL</v>
      </c>
      <c r="P45" s="77" t="str">
        <f>VLOOKUP(N45,BD_MEDUCA!$A$4583:$M$4587,4,TRUE)</f>
        <v>CULTURA Y DEPORTE</v>
      </c>
      <c r="Q45" s="77" t="str">
        <f>VLOOKUP(N45,BD_MEDUCA!$A$4583:$M$4587,10,TRUE)</f>
        <v>URBANA</v>
      </c>
      <c r="R45" s="77" t="str">
        <f>VLOOKUP(N45,BD_MEDUCA!$A$4583:$M$4587,11,TRUE)</f>
        <v>NO</v>
      </c>
      <c r="S45" s="77" t="str">
        <f>VLOOKUP(N45,BD_MEDUCA!$A$4583:$M$4587,12,TRUE)</f>
        <v xml:space="preserve">No </v>
      </c>
      <c r="T45" s="79" t="str">
        <f>VLOOKUP(N45,BD_MEDUCA!$A$4583:$M$4587,13,TRUE)</f>
        <v>NO ESPECIFICADO</v>
      </c>
      <c r="U45" s="80" t="str">
        <f>VLOOKUP(N45,BD_MEDUCA!$A$4583:$M$4587,2,TRUE)</f>
        <v>SUBSISTEMA REGULAR</v>
      </c>
    </row>
    <row r="46" spans="1:21" x14ac:dyDescent="0.3">
      <c r="A46" s="69">
        <v>1</v>
      </c>
      <c r="B46" s="70">
        <v>234</v>
      </c>
      <c r="C46" s="70" t="s">
        <v>305</v>
      </c>
      <c r="D46" s="70" t="s">
        <v>77</v>
      </c>
      <c r="E46" s="70" t="s">
        <v>304</v>
      </c>
      <c r="F46" s="70" t="s">
        <v>304</v>
      </c>
      <c r="G46" s="70" t="s">
        <v>12</v>
      </c>
      <c r="H46" s="70">
        <v>8.5323910000000005</v>
      </c>
      <c r="I46" s="70">
        <v>-82.299513000000005</v>
      </c>
      <c r="J46" s="70" t="s">
        <v>295</v>
      </c>
      <c r="K46" s="73" t="str">
        <f>VLOOKUP(C46,BD_SESIONES_DE_USUARIO!A46:H105,7,FALSE)</f>
        <v>C&amp;W Panamá</v>
      </c>
      <c r="L46" s="73">
        <f>VLOOKUP(C46,BD_SESIONES_DE_USUARIO!A46:H105,5,FALSE)</f>
        <v>1099</v>
      </c>
      <c r="M46" s="75">
        <f>VLOOKUP(C46,BD_DATA_TRANSFERIDA!A46:G105,5,FALSE)</f>
        <v>33</v>
      </c>
      <c r="N46" s="83"/>
      <c r="O46" s="77" t="e">
        <f>VLOOKUP(N46,BD_MEDUCA!$A$4583:$M$4587,3,TRUE)</f>
        <v>#N/A</v>
      </c>
      <c r="P46" s="77" t="e">
        <f>VLOOKUP(N46,BD_MEDUCA!$A$4583:$M$4587,4,TRUE)</f>
        <v>#N/A</v>
      </c>
      <c r="Q46" s="77" t="e">
        <f>VLOOKUP(N46,BD_MEDUCA!$A$4583:$M$4587,10,TRUE)</f>
        <v>#N/A</v>
      </c>
      <c r="R46" s="77" t="e">
        <f>VLOOKUP(N46,BD_MEDUCA!$A$4583:$M$4587,11,TRUE)</f>
        <v>#N/A</v>
      </c>
      <c r="S46" s="77" t="e">
        <f>VLOOKUP(N46,BD_MEDUCA!$A$4583:$M$4587,12,TRUE)</f>
        <v>#N/A</v>
      </c>
      <c r="T46" s="79" t="e">
        <f>VLOOKUP(N46,BD_MEDUCA!$A$4583:$M$4587,13,TRUE)</f>
        <v>#N/A</v>
      </c>
      <c r="U46" s="80" t="e">
        <f>VLOOKUP(N46,BD_MEDUCA!$A$4583:$M$4587,2,TRUE)</f>
        <v>#N/A</v>
      </c>
    </row>
    <row r="47" spans="1:21" x14ac:dyDescent="0.3">
      <c r="A47" s="69">
        <v>1</v>
      </c>
      <c r="B47" s="70">
        <v>235</v>
      </c>
      <c r="C47" s="70" t="s">
        <v>306</v>
      </c>
      <c r="D47" s="70" t="s">
        <v>77</v>
      </c>
      <c r="E47" s="70" t="s">
        <v>304</v>
      </c>
      <c r="F47" s="70" t="s">
        <v>304</v>
      </c>
      <c r="G47" s="70" t="s">
        <v>12</v>
      </c>
      <c r="H47" s="70">
        <v>8.5332109999999997</v>
      </c>
      <c r="I47" s="70">
        <v>-82.299683999999999</v>
      </c>
      <c r="J47" s="70" t="s">
        <v>295</v>
      </c>
      <c r="K47" s="73" t="str">
        <f>VLOOKUP(C47,BD_SESIONES_DE_USUARIO!A47:H106,7,FALSE)</f>
        <v>C&amp;W Panamá</v>
      </c>
      <c r="L47" s="73">
        <f>VLOOKUP(C47,BD_SESIONES_DE_USUARIO!A47:H106,5,FALSE)</f>
        <v>3656</v>
      </c>
      <c r="M47" s="75">
        <f>VLOOKUP(C47,BD_DATA_TRANSFERIDA!A47:G106,5,FALSE)</f>
        <v>231</v>
      </c>
      <c r="N47" s="83"/>
      <c r="O47" s="77" t="e">
        <f>VLOOKUP(N47,BD_MEDUCA!$A$4583:$M$4587,3,TRUE)</f>
        <v>#N/A</v>
      </c>
      <c r="P47" s="77" t="e">
        <f>VLOOKUP(N47,BD_MEDUCA!$A$4583:$M$4587,4,TRUE)</f>
        <v>#N/A</v>
      </c>
      <c r="Q47" s="77" t="e">
        <f>VLOOKUP(N47,BD_MEDUCA!$A$4583:$M$4587,10,TRUE)</f>
        <v>#N/A</v>
      </c>
      <c r="R47" s="77" t="e">
        <f>VLOOKUP(N47,BD_MEDUCA!$A$4583:$M$4587,11,TRUE)</f>
        <v>#N/A</v>
      </c>
      <c r="S47" s="77" t="e">
        <f>VLOOKUP(N47,BD_MEDUCA!$A$4583:$M$4587,12,TRUE)</f>
        <v>#N/A</v>
      </c>
      <c r="T47" s="79" t="e">
        <f>VLOOKUP(N47,BD_MEDUCA!$A$4583:$M$4587,13,TRUE)</f>
        <v>#N/A</v>
      </c>
      <c r="U47" s="80" t="e">
        <f>VLOOKUP(N47,BD_MEDUCA!$A$4583:$M$4587,2,TRUE)</f>
        <v>#N/A</v>
      </c>
    </row>
    <row r="48" spans="1:21" x14ac:dyDescent="0.3">
      <c r="A48" s="69">
        <v>1</v>
      </c>
      <c r="B48" s="70">
        <v>236</v>
      </c>
      <c r="C48" s="70" t="s">
        <v>307</v>
      </c>
      <c r="D48" s="70" t="s">
        <v>77</v>
      </c>
      <c r="E48" s="70" t="s">
        <v>304</v>
      </c>
      <c r="F48" s="70" t="s">
        <v>304</v>
      </c>
      <c r="G48" s="70" t="s">
        <v>12</v>
      </c>
      <c r="H48" s="70">
        <v>8.5228699999999993</v>
      </c>
      <c r="I48" s="70">
        <v>-82.300129999999996</v>
      </c>
      <c r="J48" s="70" t="s">
        <v>295</v>
      </c>
      <c r="K48" s="73" t="str">
        <f>VLOOKUP(C48,BD_SESIONES_DE_USUARIO!A48:H107,7,FALSE)</f>
        <v>C&amp;W Panamá</v>
      </c>
      <c r="L48" s="73">
        <f>VLOOKUP(C48,BD_SESIONES_DE_USUARIO!A48:H107,5,FALSE)</f>
        <v>1586</v>
      </c>
      <c r="M48" s="75">
        <f>VLOOKUP(C48,BD_DATA_TRANSFERIDA!A48:G107,5,FALSE)</f>
        <v>34</v>
      </c>
      <c r="N48" s="83" t="s">
        <v>2031</v>
      </c>
      <c r="O48" s="77" t="str">
        <f>VLOOKUP(N48,BD_MEDUCA!$A$4583:$M$4587,3,TRUE)</f>
        <v>OFICIAL</v>
      </c>
      <c r="P48" s="77" t="str">
        <f>VLOOKUP(N48,BD_MEDUCA!$A$4583:$M$4587,4,TRUE)</f>
        <v>CULTURA Y DEPORTE</v>
      </c>
      <c r="Q48" s="77" t="str">
        <f>VLOOKUP(N48,BD_MEDUCA!$A$4583:$M$4587,10,TRUE)</f>
        <v>URBANA</v>
      </c>
      <c r="R48" s="77" t="str">
        <f>VLOOKUP(N48,BD_MEDUCA!$A$4583:$M$4587,11,TRUE)</f>
        <v>NO</v>
      </c>
      <c r="S48" s="77" t="str">
        <f>VLOOKUP(N48,BD_MEDUCA!$A$4583:$M$4587,12,TRUE)</f>
        <v xml:space="preserve">No </v>
      </c>
      <c r="T48" s="79" t="str">
        <f>VLOOKUP(N48,BD_MEDUCA!$A$4583:$M$4587,13,TRUE)</f>
        <v>NO ESPECIFICADO</v>
      </c>
      <c r="U48" s="80" t="str">
        <f>VLOOKUP(N48,BD_MEDUCA!$A$4583:$M$4587,2,TRUE)</f>
        <v>SUBSISTEMA REGULAR</v>
      </c>
    </row>
    <row r="49" spans="1:21" x14ac:dyDescent="0.3">
      <c r="A49" s="69">
        <v>1</v>
      </c>
      <c r="B49" s="70">
        <v>1357</v>
      </c>
      <c r="C49" s="70" t="s">
        <v>1397</v>
      </c>
      <c r="D49" s="70" t="s">
        <v>77</v>
      </c>
      <c r="E49" s="70" t="s">
        <v>93</v>
      </c>
      <c r="F49" s="70" t="s">
        <v>103</v>
      </c>
      <c r="G49" s="70" t="s">
        <v>12</v>
      </c>
      <c r="H49" s="70">
        <v>8.3125339999999994</v>
      </c>
      <c r="I49" s="70">
        <v>-82.855827000000005</v>
      </c>
      <c r="J49" s="70" t="s">
        <v>100</v>
      </c>
      <c r="K49" s="73" t="str">
        <f>VLOOKUP(C49,BD_SESIONES_DE_USUARIO!A49:H108,7,FALSE)</f>
        <v>C&amp;W Panamá</v>
      </c>
      <c r="L49" s="73">
        <f>VLOOKUP(C49,BD_SESIONES_DE_USUARIO!A49:H108,5,FALSE)</f>
        <v>1210</v>
      </c>
      <c r="M49" s="75">
        <f>VLOOKUP(C49,BD_DATA_TRANSFERIDA!A49:G108,5,FALSE)</f>
        <v>107</v>
      </c>
      <c r="N49" s="83" t="s">
        <v>1998</v>
      </c>
      <c r="O49" s="77" t="str">
        <f>VLOOKUP(N49,BD_MEDUCA!$A$4583:$M$4587,3,TRUE)</f>
        <v>OFICIAL</v>
      </c>
      <c r="P49" s="77" t="str">
        <f>VLOOKUP(N49,BD_MEDUCA!$A$4583:$M$4587,4,TRUE)</f>
        <v>CULTURA Y DEPORTE</v>
      </c>
      <c r="Q49" s="77" t="str">
        <f>VLOOKUP(N49,BD_MEDUCA!$A$4583:$M$4587,10,TRUE)</f>
        <v>URBANA</v>
      </c>
      <c r="R49" s="77" t="str">
        <f>VLOOKUP(N49,BD_MEDUCA!$A$4583:$M$4587,11,TRUE)</f>
        <v>NO</v>
      </c>
      <c r="S49" s="77" t="str">
        <f>VLOOKUP(N49,BD_MEDUCA!$A$4583:$M$4587,12,TRUE)</f>
        <v xml:space="preserve">No </v>
      </c>
      <c r="T49" s="79" t="str">
        <f>VLOOKUP(N49,BD_MEDUCA!$A$4583:$M$4587,13,TRUE)</f>
        <v>NO ESPECIFICADO</v>
      </c>
      <c r="U49" s="80" t="str">
        <f>VLOOKUP(N49,BD_MEDUCA!$A$4583:$M$4587,2,TRUE)</f>
        <v>SUBSISTEMA REGULAR</v>
      </c>
    </row>
    <row r="50" spans="1:21" x14ac:dyDescent="0.3">
      <c r="A50" s="69">
        <v>1</v>
      </c>
      <c r="B50" s="70">
        <v>1359</v>
      </c>
      <c r="C50" s="70" t="s">
        <v>1399</v>
      </c>
      <c r="D50" s="70" t="s">
        <v>77</v>
      </c>
      <c r="E50" s="70" t="s">
        <v>286</v>
      </c>
      <c r="F50" s="70" t="s">
        <v>287</v>
      </c>
      <c r="G50" s="70" t="s">
        <v>33</v>
      </c>
      <c r="H50" s="70">
        <v>8.4982699999999998</v>
      </c>
      <c r="I50" s="70">
        <v>-82.425511999999998</v>
      </c>
      <c r="J50" s="70" t="s">
        <v>168</v>
      </c>
      <c r="K50" s="73" t="str">
        <f>VLOOKUP(C50,BD_SESIONES_DE_USUARIO!A50:H109,7,FALSE)</f>
        <v>C&amp;W Panamá</v>
      </c>
      <c r="L50" s="73">
        <f>VLOOKUP(C50,BD_SESIONES_DE_USUARIO!A50:H109,5,FALSE)</f>
        <v>255</v>
      </c>
      <c r="M50" s="75">
        <f>VLOOKUP(C50,BD_DATA_TRANSFERIDA!A50:G109,5,FALSE)</f>
        <v>10</v>
      </c>
      <c r="N50" s="83" t="s">
        <v>2035</v>
      </c>
      <c r="O50" s="77" t="str">
        <f>VLOOKUP(N50,BD_MEDUCA!$A$4583:$M$4587,3,TRUE)</f>
        <v>OFICIAL</v>
      </c>
      <c r="P50" s="77" t="str">
        <f>VLOOKUP(N50,BD_MEDUCA!$A$4583:$M$4587,4,TRUE)</f>
        <v>CULTURA Y DEPORTE</v>
      </c>
      <c r="Q50" s="77" t="str">
        <f>VLOOKUP(N50,BD_MEDUCA!$A$4583:$M$4587,10,TRUE)</f>
        <v>URBANA</v>
      </c>
      <c r="R50" s="77" t="str">
        <f>VLOOKUP(N50,BD_MEDUCA!$A$4583:$M$4587,11,TRUE)</f>
        <v>NO</v>
      </c>
      <c r="S50" s="77" t="str">
        <f>VLOOKUP(N50,BD_MEDUCA!$A$4583:$M$4587,12,TRUE)</f>
        <v xml:space="preserve">No </v>
      </c>
      <c r="T50" s="79" t="str">
        <f>VLOOKUP(N50,BD_MEDUCA!$A$4583:$M$4587,13,TRUE)</f>
        <v>NO ESPECIFICADO</v>
      </c>
      <c r="U50" s="80" t="str">
        <f>VLOOKUP(N50,BD_MEDUCA!$A$4583:$M$4587,2,TRUE)</f>
        <v>SUBSISTEMA REGULAR</v>
      </c>
    </row>
    <row r="51" spans="1:21" x14ac:dyDescent="0.3">
      <c r="A51" s="69">
        <v>1</v>
      </c>
      <c r="B51" s="70">
        <v>1416</v>
      </c>
      <c r="C51" s="70" t="s">
        <v>1460</v>
      </c>
      <c r="D51" s="70" t="s">
        <v>77</v>
      </c>
      <c r="E51" s="70" t="s">
        <v>286</v>
      </c>
      <c r="F51" s="70" t="s">
        <v>287</v>
      </c>
      <c r="G51" s="70" t="s">
        <v>12</v>
      </c>
      <c r="H51" s="70">
        <v>8.5182330000000004</v>
      </c>
      <c r="I51" s="70">
        <v>-82.425715999999994</v>
      </c>
      <c r="J51" s="70" t="s">
        <v>1104</v>
      </c>
      <c r="K51" s="73" t="str">
        <f>VLOOKUP(C51,BD_SESIONES_DE_USUARIO!A51:H110,7,FALSE)</f>
        <v>C&amp;W Panamá</v>
      </c>
      <c r="L51" s="73">
        <f>VLOOKUP(C51,BD_SESIONES_DE_USUARIO!A51:H110,5,FALSE)</f>
        <v>935</v>
      </c>
      <c r="M51" s="75">
        <f>VLOOKUP(C51,BD_DATA_TRANSFERIDA!A51:G110,5,FALSE)</f>
        <v>155</v>
      </c>
      <c r="N51" s="83" t="s">
        <v>2059</v>
      </c>
      <c r="O51" s="77" t="str">
        <f>VLOOKUP(N51,BD_MEDUCA!$A$4583:$M$4587,3,TRUE)</f>
        <v>OFICIAL</v>
      </c>
      <c r="P51" s="77" t="str">
        <f>VLOOKUP(N51,BD_MEDUCA!$A$4583:$M$4587,4,TRUE)</f>
        <v>CULTURA Y DEPORTE</v>
      </c>
      <c r="Q51" s="77" t="str">
        <f>VLOOKUP(N51,BD_MEDUCA!$A$4583:$M$4587,10,TRUE)</f>
        <v>URBANA</v>
      </c>
      <c r="R51" s="77" t="str">
        <f>VLOOKUP(N51,BD_MEDUCA!$A$4583:$M$4587,11,TRUE)</f>
        <v>NO</v>
      </c>
      <c r="S51" s="77" t="str">
        <f>VLOOKUP(N51,BD_MEDUCA!$A$4583:$M$4587,12,TRUE)</f>
        <v xml:space="preserve">No </v>
      </c>
      <c r="T51" s="79" t="str">
        <f>VLOOKUP(N51,BD_MEDUCA!$A$4583:$M$4587,13,TRUE)</f>
        <v>NO ESPECIFICADO</v>
      </c>
      <c r="U51" s="80" t="str">
        <f>VLOOKUP(N51,BD_MEDUCA!$A$4583:$M$4587,2,TRUE)</f>
        <v>SUBSISTEMA REGULAR</v>
      </c>
    </row>
    <row r="52" spans="1:21" x14ac:dyDescent="0.3">
      <c r="A52" s="69">
        <v>1</v>
      </c>
      <c r="B52" s="70">
        <v>1418</v>
      </c>
      <c r="C52" s="70" t="s">
        <v>1461</v>
      </c>
      <c r="D52" s="70" t="s">
        <v>77</v>
      </c>
      <c r="E52" s="70" t="s">
        <v>93</v>
      </c>
      <c r="F52" s="70" t="s">
        <v>98</v>
      </c>
      <c r="G52" s="70" t="s">
        <v>12</v>
      </c>
      <c r="H52" s="70">
        <v>8.4502380000000006</v>
      </c>
      <c r="I52" s="70">
        <v>-82.836330000000004</v>
      </c>
      <c r="J52" s="70" t="s">
        <v>1462</v>
      </c>
      <c r="K52" s="73" t="str">
        <f>VLOOKUP(C52,BD_SESIONES_DE_USUARIO!A52:H111,7,FALSE)</f>
        <v>C&amp;W Panamá</v>
      </c>
      <c r="L52" s="73">
        <f>VLOOKUP(C52,BD_SESIONES_DE_USUARIO!A52:H111,5,FALSE)</f>
        <v>0</v>
      </c>
      <c r="M52" s="75">
        <f>VLOOKUP(C52,BD_DATA_TRANSFERIDA!A52:G111,5,FALSE)</f>
        <v>0</v>
      </c>
      <c r="N52" s="83"/>
      <c r="O52" s="77" t="e">
        <f>VLOOKUP(N52,BD_MEDUCA!$A$4583:$M$4587,3,TRUE)</f>
        <v>#N/A</v>
      </c>
      <c r="P52" s="77" t="e">
        <f>VLOOKUP(N52,BD_MEDUCA!$A$4583:$M$4587,4,TRUE)</f>
        <v>#N/A</v>
      </c>
      <c r="Q52" s="77" t="e">
        <f>VLOOKUP(N52,BD_MEDUCA!$A$4583:$M$4587,10,TRUE)</f>
        <v>#N/A</v>
      </c>
      <c r="R52" s="77" t="e">
        <f>VLOOKUP(N52,BD_MEDUCA!$A$4583:$M$4587,11,TRUE)</f>
        <v>#N/A</v>
      </c>
      <c r="S52" s="77" t="e">
        <f>VLOOKUP(N52,BD_MEDUCA!$A$4583:$M$4587,12,TRUE)</f>
        <v>#N/A</v>
      </c>
      <c r="T52" s="79" t="e">
        <f>VLOOKUP(N52,BD_MEDUCA!$A$4583:$M$4587,13,TRUE)</f>
        <v>#N/A</v>
      </c>
      <c r="U52" s="80" t="e">
        <f>VLOOKUP(N52,BD_MEDUCA!$A$4583:$M$4587,2,TRUE)</f>
        <v>#N/A</v>
      </c>
    </row>
    <row r="53" spans="1:21" x14ac:dyDescent="0.3">
      <c r="A53" s="69">
        <v>1</v>
      </c>
      <c r="B53" s="70">
        <v>1441</v>
      </c>
      <c r="C53" s="70" t="s">
        <v>1490</v>
      </c>
      <c r="D53" s="70" t="s">
        <v>77</v>
      </c>
      <c r="E53" s="70" t="s">
        <v>286</v>
      </c>
      <c r="F53" s="70" t="s">
        <v>294</v>
      </c>
      <c r="G53" s="70" t="s">
        <v>12</v>
      </c>
      <c r="H53" s="70">
        <v>8.5475390000000004</v>
      </c>
      <c r="I53" s="70">
        <v>-82.421272000000002</v>
      </c>
      <c r="J53" s="70" t="s">
        <v>1491</v>
      </c>
      <c r="K53" s="73" t="str">
        <f>VLOOKUP(C53,BD_SESIONES_DE_USUARIO!A53:H112,7,FALSE)</f>
        <v>C&amp;W Panamá</v>
      </c>
      <c r="L53" s="73">
        <f>VLOOKUP(C53,BD_SESIONES_DE_USUARIO!A53:H112,5,FALSE)</f>
        <v>2688</v>
      </c>
      <c r="M53" s="75">
        <f>VLOOKUP(C53,BD_DATA_TRANSFERIDA!A53:G112,5,FALSE)</f>
        <v>171</v>
      </c>
      <c r="N53" s="83"/>
      <c r="O53" s="77" t="e">
        <f>VLOOKUP(N53,BD_MEDUCA!$A$4583:$M$4587,3,TRUE)</f>
        <v>#N/A</v>
      </c>
      <c r="P53" s="77" t="e">
        <f>VLOOKUP(N53,BD_MEDUCA!$A$4583:$M$4587,4,TRUE)</f>
        <v>#N/A</v>
      </c>
      <c r="Q53" s="77" t="e">
        <f>VLOOKUP(N53,BD_MEDUCA!$A$4583:$M$4587,10,TRUE)</f>
        <v>#N/A</v>
      </c>
      <c r="R53" s="77" t="e">
        <f>VLOOKUP(N53,BD_MEDUCA!$A$4583:$M$4587,11,TRUE)</f>
        <v>#N/A</v>
      </c>
      <c r="S53" s="77" t="e">
        <f>VLOOKUP(N53,BD_MEDUCA!$A$4583:$M$4587,12,TRUE)</f>
        <v>#N/A</v>
      </c>
      <c r="T53" s="79" t="e">
        <f>VLOOKUP(N53,BD_MEDUCA!$A$4583:$M$4587,13,TRUE)</f>
        <v>#N/A</v>
      </c>
      <c r="U53" s="80" t="e">
        <f>VLOOKUP(N53,BD_MEDUCA!$A$4583:$M$4587,2,TRUE)</f>
        <v>#N/A</v>
      </c>
    </row>
    <row r="54" spans="1:21" x14ac:dyDescent="0.3">
      <c r="A54" s="69">
        <v>1</v>
      </c>
      <c r="B54" s="70">
        <v>1511</v>
      </c>
      <c r="C54" s="70" t="s">
        <v>1570</v>
      </c>
      <c r="D54" s="70" t="s">
        <v>77</v>
      </c>
      <c r="E54" s="70" t="s">
        <v>286</v>
      </c>
      <c r="F54" s="70" t="s">
        <v>294</v>
      </c>
      <c r="G54" s="70" t="s">
        <v>12</v>
      </c>
      <c r="H54" s="70">
        <v>8.5340089999999993</v>
      </c>
      <c r="I54" s="70">
        <v>-82.420703000000003</v>
      </c>
      <c r="J54" s="70" t="s">
        <v>1491</v>
      </c>
      <c r="K54" s="73" t="str">
        <f>VLOOKUP(C54,BD_SESIONES_DE_USUARIO!A54:H113,7,FALSE)</f>
        <v>C&amp;W Panamá</v>
      </c>
      <c r="L54" s="73">
        <f>VLOOKUP(C54,BD_SESIONES_DE_USUARIO!A54:H113,5,FALSE)</f>
        <v>2624</v>
      </c>
      <c r="M54" s="75">
        <f>VLOOKUP(C54,BD_DATA_TRANSFERIDA!A54:G113,5,FALSE)</f>
        <v>110</v>
      </c>
      <c r="N54" s="83"/>
      <c r="O54" s="77" t="e">
        <f>VLOOKUP(N54,BD_MEDUCA!$A$4583:$M$4587,3,TRUE)</f>
        <v>#N/A</v>
      </c>
      <c r="P54" s="77" t="e">
        <f>VLOOKUP(N54,BD_MEDUCA!$A$4583:$M$4587,4,TRUE)</f>
        <v>#N/A</v>
      </c>
      <c r="Q54" s="77" t="e">
        <f>VLOOKUP(N54,BD_MEDUCA!$A$4583:$M$4587,10,TRUE)</f>
        <v>#N/A</v>
      </c>
      <c r="R54" s="77" t="e">
        <f>VLOOKUP(N54,BD_MEDUCA!$A$4583:$M$4587,11,TRUE)</f>
        <v>#N/A</v>
      </c>
      <c r="S54" s="77" t="e">
        <f>VLOOKUP(N54,BD_MEDUCA!$A$4583:$M$4587,12,TRUE)</f>
        <v>#N/A</v>
      </c>
      <c r="T54" s="79" t="e">
        <f>VLOOKUP(N54,BD_MEDUCA!$A$4583:$M$4587,13,TRUE)</f>
        <v>#N/A</v>
      </c>
      <c r="U54" s="80" t="e">
        <f>VLOOKUP(N54,BD_MEDUCA!$A$4583:$M$4587,2,TRUE)</f>
        <v>#N/A</v>
      </c>
    </row>
    <row r="55" spans="1:21" x14ac:dyDescent="0.3">
      <c r="A55" s="69">
        <v>1</v>
      </c>
      <c r="B55" s="70">
        <v>1554</v>
      </c>
      <c r="C55" s="70" t="s">
        <v>1642</v>
      </c>
      <c r="D55" s="70" t="s">
        <v>77</v>
      </c>
      <c r="E55" s="70" t="s">
        <v>286</v>
      </c>
      <c r="F55" s="70" t="s">
        <v>1643</v>
      </c>
      <c r="G55" s="70" t="s">
        <v>12</v>
      </c>
      <c r="H55" s="70">
        <v>8.5611660000000001</v>
      </c>
      <c r="I55" s="70">
        <v>-82.413228000000004</v>
      </c>
      <c r="J55" s="70" t="s">
        <v>1637</v>
      </c>
      <c r="K55" s="73" t="str">
        <f>VLOOKUP(C55,BD_SESIONES_DE_USUARIO!A55:H114,7,FALSE)</f>
        <v>C&amp;W Panamá</v>
      </c>
      <c r="L55" s="73">
        <f>VLOOKUP(C55,BD_SESIONES_DE_USUARIO!A55:H114,5,FALSE)</f>
        <v>2203</v>
      </c>
      <c r="M55" s="75">
        <f>VLOOKUP(C55,BD_DATA_TRANSFERIDA!A55:G114,5,FALSE)</f>
        <v>137</v>
      </c>
      <c r="N55" s="83" t="s">
        <v>1642</v>
      </c>
      <c r="O55" s="77" t="str">
        <f>VLOOKUP(N55,BD_MEDUCA!$A$4583:$M$4587,3,TRUE)</f>
        <v>OFICIAL</v>
      </c>
      <c r="P55" s="77" t="str">
        <f>VLOOKUP(N55,BD_MEDUCA!$A$4583:$M$4587,4,TRUE)</f>
        <v>CULTURA Y DEPORTE</v>
      </c>
      <c r="Q55" s="77" t="str">
        <f>VLOOKUP(N55,BD_MEDUCA!$A$4583:$M$4587,10,TRUE)</f>
        <v>URBANA</v>
      </c>
      <c r="R55" s="77" t="str">
        <f>VLOOKUP(N55,BD_MEDUCA!$A$4583:$M$4587,11,TRUE)</f>
        <v>NO</v>
      </c>
      <c r="S55" s="77" t="str">
        <f>VLOOKUP(N55,BD_MEDUCA!$A$4583:$M$4587,12,TRUE)</f>
        <v xml:space="preserve">No </v>
      </c>
      <c r="T55" s="79" t="str">
        <f>VLOOKUP(N55,BD_MEDUCA!$A$4583:$M$4587,13,TRUE)</f>
        <v>NO ESPECIFICADO</v>
      </c>
      <c r="U55" s="80" t="str">
        <f>VLOOKUP(N55,BD_MEDUCA!$A$4583:$M$4587,2,TRUE)</f>
        <v>SUBSISTEMA REGULAR</v>
      </c>
    </row>
    <row r="56" spans="1:21" x14ac:dyDescent="0.3">
      <c r="A56" s="69">
        <v>1</v>
      </c>
      <c r="B56" s="70">
        <v>1561</v>
      </c>
      <c r="C56" s="70" t="s">
        <v>1654</v>
      </c>
      <c r="D56" s="70" t="s">
        <v>77</v>
      </c>
      <c r="E56" s="70" t="s">
        <v>93</v>
      </c>
      <c r="F56" s="70" t="s">
        <v>103</v>
      </c>
      <c r="G56" s="70" t="s">
        <v>12</v>
      </c>
      <c r="H56" s="70">
        <v>8.2799639999999997</v>
      </c>
      <c r="I56" s="70">
        <v>-82.857381000000004</v>
      </c>
      <c r="J56" s="70" t="s">
        <v>1634</v>
      </c>
      <c r="K56" s="73" t="str">
        <f>VLOOKUP(C56,BD_SESIONES_DE_USUARIO!A56:H115,7,FALSE)</f>
        <v>C&amp;W Panamá</v>
      </c>
      <c r="L56" s="73">
        <f>VLOOKUP(C56,BD_SESIONES_DE_USUARIO!A56:H115,5,FALSE)</f>
        <v>1935</v>
      </c>
      <c r="M56" s="75">
        <f>VLOOKUP(C56,BD_DATA_TRANSFERIDA!A56:G115,5,FALSE)</f>
        <v>219</v>
      </c>
      <c r="N56" s="83" t="s">
        <v>2113</v>
      </c>
      <c r="O56" s="77" t="str">
        <f>VLOOKUP(N56,BD_MEDUCA!$A$4583:$M$4587,3,TRUE)</f>
        <v>OFICIAL</v>
      </c>
      <c r="P56" s="77" t="str">
        <f>VLOOKUP(N56,BD_MEDUCA!$A$4583:$M$4587,4,TRUE)</f>
        <v>CULTURA Y DEPORTE</v>
      </c>
      <c r="Q56" s="77" t="str">
        <f>VLOOKUP(N56,BD_MEDUCA!$A$4583:$M$4587,10,TRUE)</f>
        <v>URBANA</v>
      </c>
      <c r="R56" s="77" t="str">
        <f>VLOOKUP(N56,BD_MEDUCA!$A$4583:$M$4587,11,TRUE)</f>
        <v>NO</v>
      </c>
      <c r="S56" s="77" t="str">
        <f>VLOOKUP(N56,BD_MEDUCA!$A$4583:$M$4587,12,TRUE)</f>
        <v xml:space="preserve">No </v>
      </c>
      <c r="T56" s="79" t="str">
        <f>VLOOKUP(N56,BD_MEDUCA!$A$4583:$M$4587,13,TRUE)</f>
        <v>NO ESPECIFICADO</v>
      </c>
      <c r="U56" s="80" t="str">
        <f>VLOOKUP(N56,BD_MEDUCA!$A$4583:$M$4587,2,TRUE)</f>
        <v>SUBSISTEMA REGULAR</v>
      </c>
    </row>
    <row r="57" spans="1:21" x14ac:dyDescent="0.3">
      <c r="A57" s="69">
        <v>1</v>
      </c>
      <c r="B57" s="70">
        <v>1565</v>
      </c>
      <c r="C57" s="70" t="s">
        <v>1660</v>
      </c>
      <c r="D57" s="70" t="s">
        <v>77</v>
      </c>
      <c r="E57" s="70" t="s">
        <v>304</v>
      </c>
      <c r="F57" s="70" t="s">
        <v>304</v>
      </c>
      <c r="G57" s="70" t="s">
        <v>12</v>
      </c>
      <c r="H57" s="70">
        <v>8.5259160000000005</v>
      </c>
      <c r="I57" s="70">
        <v>-82.299642000000006</v>
      </c>
      <c r="J57" s="70" t="s">
        <v>1641</v>
      </c>
      <c r="K57" s="73" t="str">
        <f>VLOOKUP(C57,BD_SESIONES_DE_USUARIO!A57:H116,7,FALSE)</f>
        <v>C&amp;W Panamá</v>
      </c>
      <c r="L57" s="73">
        <f>VLOOKUP(C57,BD_SESIONES_DE_USUARIO!A57:H116,5,FALSE)</f>
        <v>4104</v>
      </c>
      <c r="M57" s="75">
        <f>VLOOKUP(C57,BD_DATA_TRANSFERIDA!A57:G116,5,FALSE)</f>
        <v>233</v>
      </c>
      <c r="N57" s="83" t="s">
        <v>1990</v>
      </c>
      <c r="O57" s="77" t="str">
        <f>VLOOKUP(N57,BD_MEDUCA!$A$4583:$M$4587,3,TRUE)</f>
        <v>OFICIAL</v>
      </c>
      <c r="P57" s="77" t="str">
        <f>VLOOKUP(N57,BD_MEDUCA!$A$4583:$M$4587,4,TRUE)</f>
        <v>CULTURA Y DEPORTE</v>
      </c>
      <c r="Q57" s="77" t="str">
        <f>VLOOKUP(N57,BD_MEDUCA!$A$4583:$M$4587,10,TRUE)</f>
        <v>URBANA</v>
      </c>
      <c r="R57" s="77" t="str">
        <f>VLOOKUP(N57,BD_MEDUCA!$A$4583:$M$4587,11,TRUE)</f>
        <v>NO</v>
      </c>
      <c r="S57" s="77" t="str">
        <f>VLOOKUP(N57,BD_MEDUCA!$A$4583:$M$4587,12,TRUE)</f>
        <v xml:space="preserve">No </v>
      </c>
      <c r="T57" s="79" t="str">
        <f>VLOOKUP(N57,BD_MEDUCA!$A$4583:$M$4587,13,TRUE)</f>
        <v>NO ESPECIFICADO</v>
      </c>
      <c r="U57" s="80" t="str">
        <f>VLOOKUP(N57,BD_MEDUCA!$A$4583:$M$4587,2,TRUE)</f>
        <v>SUBSISTEMA REGULAR</v>
      </c>
    </row>
    <row r="58" spans="1:21" x14ac:dyDescent="0.3">
      <c r="A58" s="69">
        <v>1</v>
      </c>
      <c r="B58" s="70">
        <v>1566</v>
      </c>
      <c r="C58" s="70" t="s">
        <v>1661</v>
      </c>
      <c r="D58" s="70" t="s">
        <v>77</v>
      </c>
      <c r="E58" s="70" t="s">
        <v>93</v>
      </c>
      <c r="F58" s="70" t="s">
        <v>98</v>
      </c>
      <c r="G58" s="70" t="s">
        <v>12</v>
      </c>
      <c r="H58" s="70">
        <v>8.5373359999999998</v>
      </c>
      <c r="I58" s="70">
        <v>-82.838453000000001</v>
      </c>
      <c r="J58" s="70" t="s">
        <v>1634</v>
      </c>
      <c r="K58" s="73" t="str">
        <f>VLOOKUP(C58,BD_SESIONES_DE_USUARIO!A58:H117,7,FALSE)</f>
        <v>C&amp;W Panamá</v>
      </c>
      <c r="L58" s="73">
        <f>VLOOKUP(C58,BD_SESIONES_DE_USUARIO!A58:H117,5,FALSE)</f>
        <v>5857</v>
      </c>
      <c r="M58" s="75">
        <f>VLOOKUP(C58,BD_DATA_TRANSFERIDA!A58:G117,5,FALSE)</f>
        <v>230</v>
      </c>
      <c r="N58" s="83" t="s">
        <v>2099</v>
      </c>
      <c r="O58" s="77" t="str">
        <f>VLOOKUP(N58,BD_MEDUCA!$A$4583:$M$4587,3,TRUE)</f>
        <v>OFICIAL</v>
      </c>
      <c r="P58" s="77" t="str">
        <f>VLOOKUP(N58,BD_MEDUCA!$A$4583:$M$4587,4,TRUE)</f>
        <v>CULTURA Y DEPORTE</v>
      </c>
      <c r="Q58" s="77" t="str">
        <f>VLOOKUP(N58,BD_MEDUCA!$A$4583:$M$4587,10,TRUE)</f>
        <v>URBANA</v>
      </c>
      <c r="R58" s="77" t="str">
        <f>VLOOKUP(N58,BD_MEDUCA!$A$4583:$M$4587,11,TRUE)</f>
        <v>NO</v>
      </c>
      <c r="S58" s="77" t="str">
        <f>VLOOKUP(N58,BD_MEDUCA!$A$4583:$M$4587,12,TRUE)</f>
        <v xml:space="preserve">No </v>
      </c>
      <c r="T58" s="79" t="str">
        <f>VLOOKUP(N58,BD_MEDUCA!$A$4583:$M$4587,13,TRUE)</f>
        <v>NO ESPECIFICADO</v>
      </c>
      <c r="U58" s="80" t="str">
        <f>VLOOKUP(N58,BD_MEDUCA!$A$4583:$M$4587,2,TRUE)</f>
        <v>SUBSISTEMA REGULAR</v>
      </c>
    </row>
    <row r="59" spans="1:21" x14ac:dyDescent="0.3">
      <c r="A59" s="69">
        <v>1</v>
      </c>
      <c r="B59" s="70">
        <v>1623</v>
      </c>
      <c r="C59" s="70" t="s">
        <v>1736</v>
      </c>
      <c r="D59" s="70" t="s">
        <v>77</v>
      </c>
      <c r="E59" s="70" t="s">
        <v>93</v>
      </c>
      <c r="F59" s="70" t="s">
        <v>103</v>
      </c>
      <c r="G59" s="70" t="s">
        <v>12</v>
      </c>
      <c r="H59" s="70">
        <v>8.3125909999999994</v>
      </c>
      <c r="I59" s="70">
        <v>-82.855694</v>
      </c>
      <c r="J59" s="70" t="s">
        <v>1737</v>
      </c>
      <c r="K59" s="73" t="str">
        <f>VLOOKUP(C59,BD_SESIONES_DE_USUARIO!A59:H118,7,FALSE)</f>
        <v>C&amp;W Panamá</v>
      </c>
      <c r="L59" s="73">
        <f>VLOOKUP(C59,BD_SESIONES_DE_USUARIO!A59:H118,5,FALSE)</f>
        <v>2657</v>
      </c>
      <c r="M59" s="75">
        <f>VLOOKUP(C59,BD_DATA_TRANSFERIDA!A59:G118,5,FALSE)</f>
        <v>389</v>
      </c>
      <c r="N59" s="83" t="s">
        <v>1919</v>
      </c>
      <c r="O59" s="77" t="str">
        <f>VLOOKUP(N59,BD_MEDUCA!$A$4583:$M$4587,3,TRUE)</f>
        <v>OFICIAL</v>
      </c>
      <c r="P59" s="77" t="str">
        <f>VLOOKUP(N59,BD_MEDUCA!$A$4583:$M$4587,4,TRUE)</f>
        <v>CULTURA Y DEPORTE</v>
      </c>
      <c r="Q59" s="77" t="str">
        <f>VLOOKUP(N59,BD_MEDUCA!$A$4583:$M$4587,10,TRUE)</f>
        <v>URBANA</v>
      </c>
      <c r="R59" s="77" t="str">
        <f>VLOOKUP(N59,BD_MEDUCA!$A$4583:$M$4587,11,TRUE)</f>
        <v>NO</v>
      </c>
      <c r="S59" s="77" t="str">
        <f>VLOOKUP(N59,BD_MEDUCA!$A$4583:$M$4587,12,TRUE)</f>
        <v xml:space="preserve">No </v>
      </c>
      <c r="T59" s="79" t="str">
        <f>VLOOKUP(N59,BD_MEDUCA!$A$4583:$M$4587,13,TRUE)</f>
        <v>NO ESPECIFICADO</v>
      </c>
      <c r="U59" s="80" t="str">
        <f>VLOOKUP(N59,BD_MEDUCA!$A$4583:$M$4587,2,TRUE)</f>
        <v>SUBSISTEMA REGULAR</v>
      </c>
    </row>
    <row r="60" spans="1:21" x14ac:dyDescent="0.3">
      <c r="A60" s="69">
        <v>1</v>
      </c>
      <c r="B60" s="70">
        <v>1634</v>
      </c>
      <c r="C60" s="70" t="s">
        <v>1745</v>
      </c>
      <c r="D60" s="70" t="s">
        <v>77</v>
      </c>
      <c r="E60" s="70" t="s">
        <v>93</v>
      </c>
      <c r="F60" s="70" t="s">
        <v>103</v>
      </c>
      <c r="G60" s="70" t="s">
        <v>12</v>
      </c>
      <c r="H60" s="70">
        <v>8.2767110000000006</v>
      </c>
      <c r="I60" s="70">
        <v>-82.860833999999997</v>
      </c>
      <c r="J60" s="70" t="s">
        <v>1737</v>
      </c>
      <c r="K60" s="73" t="str">
        <f>VLOOKUP(C60,BD_SESIONES_DE_USUARIO!A60:H119,7,FALSE)</f>
        <v>C&amp;W Panamá</v>
      </c>
      <c r="L60" s="73">
        <f>VLOOKUP(C60,BD_SESIONES_DE_USUARIO!A60:H119,5,FALSE)</f>
        <v>7697</v>
      </c>
      <c r="M60" s="75">
        <f>VLOOKUP(C60,BD_DATA_TRANSFERIDA!A60:G119,5,FALSE)</f>
        <v>427</v>
      </c>
      <c r="N60" s="83"/>
      <c r="O60" s="77" t="e">
        <f>VLOOKUP(N60,BD_MEDUCA!$A$4583:$M$4587,3,TRUE)</f>
        <v>#N/A</v>
      </c>
      <c r="P60" s="77" t="e">
        <f>VLOOKUP(N60,BD_MEDUCA!$A$4583:$M$4587,4,TRUE)</f>
        <v>#N/A</v>
      </c>
      <c r="Q60" s="77" t="e">
        <f>VLOOKUP(N60,BD_MEDUCA!$A$4583:$M$4587,10,TRUE)</f>
        <v>#N/A</v>
      </c>
      <c r="R60" s="77" t="e">
        <f>VLOOKUP(N60,BD_MEDUCA!$A$4583:$M$4587,11,TRUE)</f>
        <v>#N/A</v>
      </c>
      <c r="S60" s="77" t="e">
        <f>VLOOKUP(N60,BD_MEDUCA!$A$4583:$M$4587,12,TRUE)</f>
        <v>#N/A</v>
      </c>
      <c r="T60" s="79" t="e">
        <f>VLOOKUP(N60,BD_MEDUCA!$A$4583:$M$4587,13,TRUE)</f>
        <v>#N/A</v>
      </c>
      <c r="U60" s="80" t="e">
        <f>VLOOKUP(N60,BD_MEDUCA!$A$4583:$M$4587,2,TRUE)</f>
        <v>#N/A</v>
      </c>
    </row>
    <row r="61" spans="1:21" x14ac:dyDescent="0.3">
      <c r="A61" s="71">
        <v>1</v>
      </c>
      <c r="B61" s="72">
        <v>1638</v>
      </c>
      <c r="C61" s="72" t="s">
        <v>1751</v>
      </c>
      <c r="D61" s="72" t="s">
        <v>77</v>
      </c>
      <c r="E61" s="72" t="s">
        <v>93</v>
      </c>
      <c r="F61" s="72" t="s">
        <v>98</v>
      </c>
      <c r="G61" s="72" t="s">
        <v>12</v>
      </c>
      <c r="H61" s="72">
        <v>8.5560899999999993</v>
      </c>
      <c r="I61" s="72">
        <v>-82.828846999999996</v>
      </c>
      <c r="J61" s="72"/>
      <c r="K61" s="74" t="str">
        <f>VLOOKUP(C61,BD_SESIONES_DE_USUARIO!A61:H120,7,FALSE)</f>
        <v>C&amp;W Panamá</v>
      </c>
      <c r="L61" s="74">
        <f>VLOOKUP(C61,BD_SESIONES_DE_USUARIO!A61:H120,5,FALSE)</f>
        <v>639</v>
      </c>
      <c r="M61" s="76">
        <f>VLOOKUP(C61,BD_DATA_TRANSFERIDA!A61:G120,5,FALSE)</f>
        <v>89</v>
      </c>
      <c r="N61" s="84" t="s">
        <v>1947</v>
      </c>
      <c r="O61" s="78" t="str">
        <f>VLOOKUP(N61,BD_MEDUCA!$A$4583:$M$4587,3,TRUE)</f>
        <v>OFICIAL</v>
      </c>
      <c r="P61" s="78" t="str">
        <f>VLOOKUP(N61,BD_MEDUCA!$A$4583:$M$4587,4,TRUE)</f>
        <v>CULTURA Y DEPORTE</v>
      </c>
      <c r="Q61" s="78" t="str">
        <f>VLOOKUP(N61,BD_MEDUCA!$A$4583:$M$4587,10,TRUE)</f>
        <v>URBANA</v>
      </c>
      <c r="R61" s="78" t="str">
        <f>VLOOKUP(N61,BD_MEDUCA!$A$4583:$M$4587,11,TRUE)</f>
        <v>NO</v>
      </c>
      <c r="S61" s="78" t="str">
        <f>VLOOKUP(N61,BD_MEDUCA!$A$4583:$M$4587,12,TRUE)</f>
        <v xml:space="preserve">No </v>
      </c>
      <c r="T61" s="81" t="str">
        <f>VLOOKUP(N61,BD_MEDUCA!$A$4583:$M$4587,13,TRUE)</f>
        <v>NO ESPECIFICADO</v>
      </c>
      <c r="U61" s="82" t="str">
        <f>VLOOKUP(N61,BD_MEDUCA!$A$4583:$M$4587,2,TRUE)</f>
        <v>SUBSISTEMA REGULAR</v>
      </c>
    </row>
  </sheetData>
  <sheetProtection formatCells="0" formatColumns="0" formatRows="0" insertColumns="0" insertRows="0" insertHyperlinks="0" deleteColumns="0" deleteRows="0" sort="0" autoFilter="0" pivotTables="0"/>
  <pageMargins left="0" right="0" top="0" bottom="0" header="0.3" footer="0.3"/>
  <pageSetup paperSize="9" scale="47" fitToHeight="0" orientation="portrait" r:id="rId1"/>
  <headerFooter>
    <oddHeader>&amp;C&amp;G</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2B198-B907-47D8-805B-1ADD450CCD9A}">
  <sheetPr>
    <tabColor rgb="FF00FF00"/>
  </sheetPr>
  <dimension ref="A1:H61"/>
  <sheetViews>
    <sheetView workbookViewId="0">
      <pane xSplit="1" ySplit="1" topLeftCell="C38" activePane="bottomRight" state="frozen"/>
      <selection pane="topRight" activeCell="B1" sqref="B1"/>
      <selection pane="bottomLeft" activeCell="A2" sqref="A2"/>
      <selection pane="bottomRight" activeCell="I41" sqref="I41"/>
    </sheetView>
  </sheetViews>
  <sheetFormatPr baseColWidth="10" defaultRowHeight="14.4" x14ac:dyDescent="0.3"/>
  <cols>
    <col min="1" max="1" width="45.21875" style="4" customWidth="1"/>
    <col min="2" max="2" width="18.21875" style="4" customWidth="1"/>
    <col min="3" max="3" width="15" style="4" customWidth="1"/>
    <col min="4" max="4" width="21.5546875" style="4" customWidth="1"/>
    <col min="5" max="6" width="11.5546875" style="4"/>
    <col min="7" max="7" width="18" style="4" customWidth="1"/>
    <col min="8" max="16384" width="11.5546875" style="4"/>
  </cols>
  <sheetData>
    <row r="1" spans="1:8" ht="15.6" x14ac:dyDescent="0.3">
      <c r="A1" s="39" t="s">
        <v>2</v>
      </c>
      <c r="B1" s="40" t="s">
        <v>3</v>
      </c>
      <c r="C1" s="40" t="s">
        <v>4</v>
      </c>
      <c r="D1" s="40" t="s">
        <v>5</v>
      </c>
      <c r="E1" s="40" t="s">
        <v>1830</v>
      </c>
      <c r="F1" s="40" t="s">
        <v>0</v>
      </c>
      <c r="G1" s="40" t="s">
        <v>1829</v>
      </c>
      <c r="H1" s="41" t="s">
        <v>1</v>
      </c>
    </row>
    <row r="2" spans="1:8" x14ac:dyDescent="0.3">
      <c r="A2" s="37" t="s">
        <v>92</v>
      </c>
      <c r="B2" s="5" t="s">
        <v>77</v>
      </c>
      <c r="C2" s="5" t="s">
        <v>93</v>
      </c>
      <c r="D2" s="5" t="s">
        <v>94</v>
      </c>
      <c r="E2" s="5">
        <v>1344</v>
      </c>
      <c r="F2" s="5">
        <v>1</v>
      </c>
      <c r="G2" s="5" t="s">
        <v>1831</v>
      </c>
      <c r="H2" s="38">
        <v>64</v>
      </c>
    </row>
    <row r="3" spans="1:8" x14ac:dyDescent="0.3">
      <c r="A3" s="37" t="s">
        <v>96</v>
      </c>
      <c r="B3" s="5" t="s">
        <v>77</v>
      </c>
      <c r="C3" s="5" t="s">
        <v>93</v>
      </c>
      <c r="D3" s="5" t="s">
        <v>94</v>
      </c>
      <c r="E3" s="5">
        <v>2053</v>
      </c>
      <c r="F3" s="5">
        <v>1</v>
      </c>
      <c r="G3" s="5" t="s">
        <v>1831</v>
      </c>
      <c r="H3" s="38">
        <v>65</v>
      </c>
    </row>
    <row r="4" spans="1:8" x14ac:dyDescent="0.3">
      <c r="A4" s="37" t="s">
        <v>97</v>
      </c>
      <c r="B4" s="5" t="s">
        <v>77</v>
      </c>
      <c r="C4" s="5" t="s">
        <v>93</v>
      </c>
      <c r="D4" s="5" t="s">
        <v>98</v>
      </c>
      <c r="E4" s="5">
        <v>1633</v>
      </c>
      <c r="F4" s="5">
        <v>1</v>
      </c>
      <c r="G4" s="5" t="s">
        <v>1831</v>
      </c>
      <c r="H4" s="38">
        <v>66</v>
      </c>
    </row>
    <row r="5" spans="1:8" x14ac:dyDescent="0.3">
      <c r="A5" s="37" t="s">
        <v>101</v>
      </c>
      <c r="B5" s="5" t="s">
        <v>77</v>
      </c>
      <c r="C5" s="5" t="s">
        <v>93</v>
      </c>
      <c r="D5" s="5" t="s">
        <v>98</v>
      </c>
      <c r="E5" s="5">
        <v>2114</v>
      </c>
      <c r="F5" s="5">
        <v>1</v>
      </c>
      <c r="G5" s="5" t="s">
        <v>1831</v>
      </c>
      <c r="H5" s="38">
        <v>68</v>
      </c>
    </row>
    <row r="6" spans="1:8" x14ac:dyDescent="0.3">
      <c r="A6" s="37" t="s">
        <v>102</v>
      </c>
      <c r="B6" s="5" t="s">
        <v>77</v>
      </c>
      <c r="C6" s="5" t="s">
        <v>93</v>
      </c>
      <c r="D6" s="5" t="s">
        <v>103</v>
      </c>
      <c r="E6" s="5">
        <v>552</v>
      </c>
      <c r="F6" s="5">
        <v>1</v>
      </c>
      <c r="G6" s="5" t="s">
        <v>1831</v>
      </c>
      <c r="H6" s="38">
        <v>69</v>
      </c>
    </row>
    <row r="7" spans="1:8" x14ac:dyDescent="0.3">
      <c r="A7" s="37" t="s">
        <v>105</v>
      </c>
      <c r="B7" s="5" t="s">
        <v>77</v>
      </c>
      <c r="C7" s="5" t="s">
        <v>93</v>
      </c>
      <c r="D7" s="5" t="s">
        <v>103</v>
      </c>
      <c r="E7" s="5">
        <v>878</v>
      </c>
      <c r="F7" s="5">
        <v>1</v>
      </c>
      <c r="G7" s="5" t="s">
        <v>1831</v>
      </c>
      <c r="H7" s="38">
        <v>70</v>
      </c>
    </row>
    <row r="8" spans="1:8" x14ac:dyDescent="0.3">
      <c r="A8" s="37" t="s">
        <v>106</v>
      </c>
      <c r="B8" s="5" t="s">
        <v>77</v>
      </c>
      <c r="C8" s="5" t="s">
        <v>93</v>
      </c>
      <c r="D8" s="5" t="s">
        <v>103</v>
      </c>
      <c r="E8" s="5">
        <v>1083</v>
      </c>
      <c r="F8" s="5">
        <v>1</v>
      </c>
      <c r="G8" s="5" t="s">
        <v>1831</v>
      </c>
      <c r="H8" s="38">
        <v>71</v>
      </c>
    </row>
    <row r="9" spans="1:8" x14ac:dyDescent="0.3">
      <c r="A9" s="37" t="s">
        <v>108</v>
      </c>
      <c r="B9" s="5" t="s">
        <v>77</v>
      </c>
      <c r="C9" s="5" t="s">
        <v>93</v>
      </c>
      <c r="D9" s="5" t="s">
        <v>103</v>
      </c>
      <c r="E9" s="5">
        <v>3110</v>
      </c>
      <c r="F9" s="5">
        <v>1</v>
      </c>
      <c r="G9" s="5" t="s">
        <v>1831</v>
      </c>
      <c r="H9" s="38">
        <v>72</v>
      </c>
    </row>
    <row r="10" spans="1:8" x14ac:dyDescent="0.3">
      <c r="A10" s="37" t="s">
        <v>109</v>
      </c>
      <c r="B10" s="5" t="s">
        <v>77</v>
      </c>
      <c r="C10" s="5" t="s">
        <v>93</v>
      </c>
      <c r="D10" s="5" t="s">
        <v>103</v>
      </c>
      <c r="E10" s="5">
        <v>3045</v>
      </c>
      <c r="F10" s="5">
        <v>1</v>
      </c>
      <c r="G10" s="5" t="s">
        <v>1831</v>
      </c>
      <c r="H10" s="38">
        <v>74</v>
      </c>
    </row>
    <row r="11" spans="1:8" x14ac:dyDescent="0.3">
      <c r="A11" s="37" t="s">
        <v>110</v>
      </c>
      <c r="B11" s="5" t="s">
        <v>77</v>
      </c>
      <c r="C11" s="5" t="s">
        <v>93</v>
      </c>
      <c r="D11" s="5" t="s">
        <v>103</v>
      </c>
      <c r="E11" s="5">
        <v>1707</v>
      </c>
      <c r="F11" s="5">
        <v>1</v>
      </c>
      <c r="G11" s="5" t="s">
        <v>1831</v>
      </c>
      <c r="H11" s="38">
        <v>75</v>
      </c>
    </row>
    <row r="12" spans="1:8" x14ac:dyDescent="0.3">
      <c r="A12" s="37" t="s">
        <v>111</v>
      </c>
      <c r="B12" s="5" t="s">
        <v>77</v>
      </c>
      <c r="C12" s="5" t="s">
        <v>93</v>
      </c>
      <c r="D12" s="5" t="s">
        <v>103</v>
      </c>
      <c r="E12" s="5">
        <v>2776</v>
      </c>
      <c r="F12" s="5">
        <v>1</v>
      </c>
      <c r="G12" s="5" t="s">
        <v>1831</v>
      </c>
      <c r="H12" s="38">
        <v>77</v>
      </c>
    </row>
    <row r="13" spans="1:8" x14ac:dyDescent="0.3">
      <c r="A13" s="37" t="s">
        <v>112</v>
      </c>
      <c r="B13" s="5" t="s">
        <v>77</v>
      </c>
      <c r="C13" s="5" t="s">
        <v>93</v>
      </c>
      <c r="D13" s="5" t="s">
        <v>103</v>
      </c>
      <c r="E13" s="5">
        <v>3470</v>
      </c>
      <c r="F13" s="5">
        <v>1</v>
      </c>
      <c r="G13" s="5" t="s">
        <v>1831</v>
      </c>
      <c r="H13" s="38">
        <v>78</v>
      </c>
    </row>
    <row r="14" spans="1:8" x14ac:dyDescent="0.3">
      <c r="A14" s="37" t="s">
        <v>113</v>
      </c>
      <c r="B14" s="5" t="s">
        <v>77</v>
      </c>
      <c r="C14" s="5" t="s">
        <v>93</v>
      </c>
      <c r="D14" s="5" t="s">
        <v>103</v>
      </c>
      <c r="E14" s="5">
        <v>502</v>
      </c>
      <c r="F14" s="5">
        <v>1</v>
      </c>
      <c r="G14" s="5" t="s">
        <v>1831</v>
      </c>
      <c r="H14" s="38">
        <v>79</v>
      </c>
    </row>
    <row r="15" spans="1:8" x14ac:dyDescent="0.3">
      <c r="A15" s="37" t="s">
        <v>114</v>
      </c>
      <c r="B15" s="5" t="s">
        <v>77</v>
      </c>
      <c r="C15" s="5" t="s">
        <v>93</v>
      </c>
      <c r="D15" s="5" t="s">
        <v>103</v>
      </c>
      <c r="E15" s="5">
        <v>2651</v>
      </c>
      <c r="F15" s="5">
        <v>1</v>
      </c>
      <c r="G15" s="5" t="s">
        <v>1831</v>
      </c>
      <c r="H15" s="38">
        <v>80</v>
      </c>
    </row>
    <row r="16" spans="1:8" x14ac:dyDescent="0.3">
      <c r="A16" s="37" t="s">
        <v>115</v>
      </c>
      <c r="B16" s="5" t="s">
        <v>77</v>
      </c>
      <c r="C16" s="5" t="s">
        <v>93</v>
      </c>
      <c r="D16" s="5" t="s">
        <v>103</v>
      </c>
      <c r="E16" s="5">
        <v>886</v>
      </c>
      <c r="F16" s="5">
        <v>1</v>
      </c>
      <c r="G16" s="5" t="s">
        <v>1831</v>
      </c>
      <c r="H16" s="38">
        <v>81</v>
      </c>
    </row>
    <row r="17" spans="1:8" x14ac:dyDescent="0.3">
      <c r="A17" s="37" t="s">
        <v>116</v>
      </c>
      <c r="B17" s="5" t="s">
        <v>77</v>
      </c>
      <c r="C17" s="5" t="s">
        <v>93</v>
      </c>
      <c r="D17" s="5" t="s">
        <v>117</v>
      </c>
      <c r="E17" s="5">
        <v>218</v>
      </c>
      <c r="F17" s="5">
        <v>1</v>
      </c>
      <c r="G17" s="5" t="s">
        <v>1831</v>
      </c>
      <c r="H17" s="38">
        <v>83</v>
      </c>
    </row>
    <row r="18" spans="1:8" x14ac:dyDescent="0.3">
      <c r="A18" s="37" t="s">
        <v>118</v>
      </c>
      <c r="B18" s="5" t="s">
        <v>77</v>
      </c>
      <c r="C18" s="5" t="s">
        <v>93</v>
      </c>
      <c r="D18" s="5" t="s">
        <v>117</v>
      </c>
      <c r="E18" s="5">
        <v>2262</v>
      </c>
      <c r="F18" s="5">
        <v>1</v>
      </c>
      <c r="G18" s="5" t="s">
        <v>1831</v>
      </c>
      <c r="H18" s="38">
        <v>84</v>
      </c>
    </row>
    <row r="19" spans="1:8" x14ac:dyDescent="0.3">
      <c r="A19" s="37" t="s">
        <v>120</v>
      </c>
      <c r="B19" s="5" t="s">
        <v>77</v>
      </c>
      <c r="C19" s="5" t="s">
        <v>93</v>
      </c>
      <c r="D19" s="5" t="s">
        <v>117</v>
      </c>
      <c r="E19" s="5">
        <v>1272</v>
      </c>
      <c r="F19" s="5">
        <v>1</v>
      </c>
      <c r="G19" s="5" t="s">
        <v>1831</v>
      </c>
      <c r="H19" s="38">
        <v>85</v>
      </c>
    </row>
    <row r="20" spans="1:8" x14ac:dyDescent="0.3">
      <c r="A20" s="37" t="s">
        <v>121</v>
      </c>
      <c r="B20" s="5" t="s">
        <v>77</v>
      </c>
      <c r="C20" s="5" t="s">
        <v>93</v>
      </c>
      <c r="D20" s="5" t="s">
        <v>117</v>
      </c>
      <c r="E20" s="5">
        <v>1504</v>
      </c>
      <c r="F20" s="5">
        <v>1</v>
      </c>
      <c r="G20" s="5" t="s">
        <v>1831</v>
      </c>
      <c r="H20" s="38">
        <v>86</v>
      </c>
    </row>
    <row r="21" spans="1:8" x14ac:dyDescent="0.3">
      <c r="A21" s="37" t="s">
        <v>123</v>
      </c>
      <c r="B21" s="5" t="s">
        <v>77</v>
      </c>
      <c r="C21" s="5" t="s">
        <v>93</v>
      </c>
      <c r="D21" s="5" t="s">
        <v>117</v>
      </c>
      <c r="E21" s="5">
        <v>1340</v>
      </c>
      <c r="F21" s="5">
        <v>1</v>
      </c>
      <c r="G21" s="5" t="s">
        <v>1831</v>
      </c>
      <c r="H21" s="38">
        <v>87</v>
      </c>
    </row>
    <row r="22" spans="1:8" x14ac:dyDescent="0.3">
      <c r="A22" s="37" t="s">
        <v>125</v>
      </c>
      <c r="B22" s="5" t="s">
        <v>77</v>
      </c>
      <c r="C22" s="5" t="s">
        <v>93</v>
      </c>
      <c r="D22" s="5" t="s">
        <v>117</v>
      </c>
      <c r="E22" s="5">
        <v>1738</v>
      </c>
      <c r="F22" s="5">
        <v>1</v>
      </c>
      <c r="G22" s="5" t="s">
        <v>1831</v>
      </c>
      <c r="H22" s="38">
        <v>88</v>
      </c>
    </row>
    <row r="23" spans="1:8" x14ac:dyDescent="0.3">
      <c r="A23" s="37" t="s">
        <v>126</v>
      </c>
      <c r="B23" s="5" t="s">
        <v>77</v>
      </c>
      <c r="C23" s="5" t="s">
        <v>93</v>
      </c>
      <c r="D23" s="5" t="s">
        <v>117</v>
      </c>
      <c r="E23" s="5">
        <v>2852</v>
      </c>
      <c r="F23" s="5">
        <v>1</v>
      </c>
      <c r="G23" s="5" t="s">
        <v>1831</v>
      </c>
      <c r="H23" s="38">
        <v>89</v>
      </c>
    </row>
    <row r="24" spans="1:8" x14ac:dyDescent="0.3">
      <c r="A24" s="37" t="s">
        <v>127</v>
      </c>
      <c r="B24" s="5" t="s">
        <v>77</v>
      </c>
      <c r="C24" s="5" t="s">
        <v>93</v>
      </c>
      <c r="D24" s="5" t="s">
        <v>117</v>
      </c>
      <c r="E24" s="5">
        <v>3589</v>
      </c>
      <c r="F24" s="5">
        <v>1</v>
      </c>
      <c r="G24" s="5" t="s">
        <v>1831</v>
      </c>
      <c r="H24" s="38">
        <v>90</v>
      </c>
    </row>
    <row r="25" spans="1:8" x14ac:dyDescent="0.3">
      <c r="A25" s="37" t="s">
        <v>128</v>
      </c>
      <c r="B25" s="5" t="s">
        <v>77</v>
      </c>
      <c r="C25" s="5" t="s">
        <v>93</v>
      </c>
      <c r="D25" s="5" t="s">
        <v>117</v>
      </c>
      <c r="E25" s="5">
        <v>2174</v>
      </c>
      <c r="F25" s="5">
        <v>1</v>
      </c>
      <c r="G25" s="5" t="s">
        <v>1831</v>
      </c>
      <c r="H25" s="38">
        <v>91</v>
      </c>
    </row>
    <row r="26" spans="1:8" x14ac:dyDescent="0.3">
      <c r="A26" s="37" t="s">
        <v>129</v>
      </c>
      <c r="B26" s="5" t="s">
        <v>77</v>
      </c>
      <c r="C26" s="5" t="s">
        <v>93</v>
      </c>
      <c r="D26" s="5" t="s">
        <v>117</v>
      </c>
      <c r="E26" s="5">
        <v>4308</v>
      </c>
      <c r="F26" s="5">
        <v>1</v>
      </c>
      <c r="G26" s="5" t="s">
        <v>1831</v>
      </c>
      <c r="H26" s="38">
        <v>92</v>
      </c>
    </row>
    <row r="27" spans="1:8" x14ac:dyDescent="0.3">
      <c r="A27" s="37" t="s">
        <v>130</v>
      </c>
      <c r="B27" s="5" t="s">
        <v>77</v>
      </c>
      <c r="C27" s="5" t="s">
        <v>93</v>
      </c>
      <c r="D27" s="5" t="s">
        <v>117</v>
      </c>
      <c r="E27" s="5">
        <v>1800</v>
      </c>
      <c r="F27" s="5">
        <v>1</v>
      </c>
      <c r="G27" s="5" t="s">
        <v>1831</v>
      </c>
      <c r="H27" s="38">
        <v>93</v>
      </c>
    </row>
    <row r="28" spans="1:8" x14ac:dyDescent="0.3">
      <c r="A28" s="37" t="s">
        <v>131</v>
      </c>
      <c r="B28" s="5" t="s">
        <v>77</v>
      </c>
      <c r="C28" s="5" t="s">
        <v>93</v>
      </c>
      <c r="D28" s="5" t="s">
        <v>117</v>
      </c>
      <c r="E28" s="5">
        <v>705</v>
      </c>
      <c r="F28" s="5">
        <v>1</v>
      </c>
      <c r="G28" s="5" t="s">
        <v>1831</v>
      </c>
      <c r="H28" s="38">
        <v>94</v>
      </c>
    </row>
    <row r="29" spans="1:8" x14ac:dyDescent="0.3">
      <c r="A29" s="37" t="s">
        <v>132</v>
      </c>
      <c r="B29" s="5" t="s">
        <v>77</v>
      </c>
      <c r="C29" s="5" t="s">
        <v>93</v>
      </c>
      <c r="D29" s="5" t="s">
        <v>117</v>
      </c>
      <c r="E29" s="5">
        <v>2207</v>
      </c>
      <c r="F29" s="5">
        <v>1</v>
      </c>
      <c r="G29" s="5" t="s">
        <v>1831</v>
      </c>
      <c r="H29" s="38">
        <v>95</v>
      </c>
    </row>
    <row r="30" spans="1:8" x14ac:dyDescent="0.3">
      <c r="A30" s="37" t="s">
        <v>133</v>
      </c>
      <c r="B30" s="5" t="s">
        <v>77</v>
      </c>
      <c r="C30" s="5" t="s">
        <v>93</v>
      </c>
      <c r="D30" s="5" t="s">
        <v>117</v>
      </c>
      <c r="E30" s="5">
        <v>1419</v>
      </c>
      <c r="F30" s="5">
        <v>1</v>
      </c>
      <c r="G30" s="5" t="s">
        <v>1831</v>
      </c>
      <c r="H30" s="38">
        <v>96</v>
      </c>
    </row>
    <row r="31" spans="1:8" x14ac:dyDescent="0.3">
      <c r="A31" s="37" t="s">
        <v>134</v>
      </c>
      <c r="B31" s="5" t="s">
        <v>77</v>
      </c>
      <c r="C31" s="5" t="s">
        <v>93</v>
      </c>
      <c r="D31" s="5" t="s">
        <v>117</v>
      </c>
      <c r="E31" s="5">
        <v>2516</v>
      </c>
      <c r="F31" s="5">
        <v>1</v>
      </c>
      <c r="G31" s="5" t="s">
        <v>1831</v>
      </c>
      <c r="H31" s="38">
        <v>97</v>
      </c>
    </row>
    <row r="32" spans="1:8" x14ac:dyDescent="0.3">
      <c r="A32" s="37" t="s">
        <v>135</v>
      </c>
      <c r="B32" s="5" t="s">
        <v>77</v>
      </c>
      <c r="C32" s="5" t="s">
        <v>93</v>
      </c>
      <c r="D32" s="5" t="s">
        <v>117</v>
      </c>
      <c r="E32" s="5">
        <v>1014</v>
      </c>
      <c r="F32" s="5">
        <v>1</v>
      </c>
      <c r="G32" s="5" t="s">
        <v>1831</v>
      </c>
      <c r="H32" s="38">
        <v>98</v>
      </c>
    </row>
    <row r="33" spans="1:8" x14ac:dyDescent="0.3">
      <c r="A33" s="37" t="s">
        <v>285</v>
      </c>
      <c r="B33" s="5" t="s">
        <v>77</v>
      </c>
      <c r="C33" s="5" t="s">
        <v>286</v>
      </c>
      <c r="D33" s="5" t="s">
        <v>287</v>
      </c>
      <c r="E33" s="5">
        <v>212</v>
      </c>
      <c r="F33" s="5">
        <v>1</v>
      </c>
      <c r="G33" s="5" t="s">
        <v>1831</v>
      </c>
      <c r="H33" s="38">
        <v>218</v>
      </c>
    </row>
    <row r="34" spans="1:8" x14ac:dyDescent="0.3">
      <c r="A34" s="37" t="s">
        <v>289</v>
      </c>
      <c r="B34" s="5" t="s">
        <v>77</v>
      </c>
      <c r="C34" s="5" t="s">
        <v>286</v>
      </c>
      <c r="D34" s="5" t="s">
        <v>287</v>
      </c>
      <c r="E34" s="5">
        <v>150</v>
      </c>
      <c r="F34" s="5">
        <v>1</v>
      </c>
      <c r="G34" s="5" t="s">
        <v>1831</v>
      </c>
      <c r="H34" s="38">
        <v>219</v>
      </c>
    </row>
    <row r="35" spans="1:8" x14ac:dyDescent="0.3">
      <c r="A35" s="37" t="s">
        <v>290</v>
      </c>
      <c r="B35" s="5" t="s">
        <v>77</v>
      </c>
      <c r="C35" s="5" t="s">
        <v>286</v>
      </c>
      <c r="D35" s="5" t="s">
        <v>287</v>
      </c>
      <c r="E35" s="5">
        <v>664</v>
      </c>
      <c r="F35" s="5">
        <v>1</v>
      </c>
      <c r="G35" s="5" t="s">
        <v>1831</v>
      </c>
      <c r="H35" s="38">
        <v>220</v>
      </c>
    </row>
    <row r="36" spans="1:8" x14ac:dyDescent="0.3">
      <c r="A36" s="37" t="s">
        <v>291</v>
      </c>
      <c r="B36" s="5" t="s">
        <v>77</v>
      </c>
      <c r="C36" s="5" t="s">
        <v>286</v>
      </c>
      <c r="D36" s="5" t="s">
        <v>287</v>
      </c>
      <c r="E36" s="5">
        <v>613</v>
      </c>
      <c r="F36" s="5">
        <v>1</v>
      </c>
      <c r="G36" s="5" t="s">
        <v>1831</v>
      </c>
      <c r="H36" s="38">
        <v>221</v>
      </c>
    </row>
    <row r="37" spans="1:8" x14ac:dyDescent="0.3">
      <c r="A37" s="37" t="s">
        <v>292</v>
      </c>
      <c r="B37" s="5" t="s">
        <v>77</v>
      </c>
      <c r="C37" s="5" t="s">
        <v>286</v>
      </c>
      <c r="D37" s="5" t="s">
        <v>287</v>
      </c>
      <c r="E37" s="5">
        <v>45</v>
      </c>
      <c r="F37" s="5">
        <v>1</v>
      </c>
      <c r="G37" s="5" t="s">
        <v>1831</v>
      </c>
      <c r="H37" s="38">
        <v>223</v>
      </c>
    </row>
    <row r="38" spans="1:8" x14ac:dyDescent="0.3">
      <c r="A38" s="37" t="s">
        <v>293</v>
      </c>
      <c r="B38" s="5" t="s">
        <v>77</v>
      </c>
      <c r="C38" s="5" t="s">
        <v>286</v>
      </c>
      <c r="D38" s="5" t="s">
        <v>294</v>
      </c>
      <c r="E38" s="5">
        <v>1415</v>
      </c>
      <c r="F38" s="5">
        <v>1</v>
      </c>
      <c r="G38" s="5" t="s">
        <v>1831</v>
      </c>
      <c r="H38" s="38">
        <v>225</v>
      </c>
    </row>
    <row r="39" spans="1:8" x14ac:dyDescent="0.3">
      <c r="A39" s="37" t="s">
        <v>296</v>
      </c>
      <c r="B39" s="5" t="s">
        <v>77</v>
      </c>
      <c r="C39" s="5" t="s">
        <v>286</v>
      </c>
      <c r="D39" s="5" t="s">
        <v>294</v>
      </c>
      <c r="E39" s="5">
        <v>549</v>
      </c>
      <c r="F39" s="5">
        <v>1</v>
      </c>
      <c r="G39" s="5" t="s">
        <v>1831</v>
      </c>
      <c r="H39" s="38">
        <v>226</v>
      </c>
    </row>
    <row r="40" spans="1:8" x14ac:dyDescent="0.3">
      <c r="A40" s="37" t="s">
        <v>298</v>
      </c>
      <c r="B40" s="5" t="s">
        <v>77</v>
      </c>
      <c r="C40" s="5" t="s">
        <v>286</v>
      </c>
      <c r="D40" s="5" t="s">
        <v>294</v>
      </c>
      <c r="E40" s="5">
        <v>1383</v>
      </c>
      <c r="F40" s="5">
        <v>1</v>
      </c>
      <c r="G40" s="5" t="s">
        <v>1831</v>
      </c>
      <c r="H40" s="38">
        <v>227</v>
      </c>
    </row>
    <row r="41" spans="1:8" x14ac:dyDescent="0.3">
      <c r="A41" s="37" t="s">
        <v>299</v>
      </c>
      <c r="B41" s="5" t="s">
        <v>77</v>
      </c>
      <c r="C41" s="5" t="s">
        <v>286</v>
      </c>
      <c r="D41" s="5" t="s">
        <v>294</v>
      </c>
      <c r="E41" s="5">
        <v>1016</v>
      </c>
      <c r="F41" s="5">
        <v>1</v>
      </c>
      <c r="G41" s="5" t="s">
        <v>1831</v>
      </c>
      <c r="H41" s="38">
        <v>228</v>
      </c>
    </row>
    <row r="42" spans="1:8" x14ac:dyDescent="0.3">
      <c r="A42" s="37" t="s">
        <v>300</v>
      </c>
      <c r="B42" s="5" t="s">
        <v>77</v>
      </c>
      <c r="C42" s="5" t="s">
        <v>286</v>
      </c>
      <c r="D42" s="5" t="s">
        <v>294</v>
      </c>
      <c r="E42" s="5">
        <v>1838</v>
      </c>
      <c r="F42" s="5">
        <v>1</v>
      </c>
      <c r="G42" s="5" t="s">
        <v>1831</v>
      </c>
      <c r="H42" s="38">
        <v>230</v>
      </c>
    </row>
    <row r="43" spans="1:8" x14ac:dyDescent="0.3">
      <c r="A43" s="37" t="s">
        <v>301</v>
      </c>
      <c r="B43" s="5" t="s">
        <v>77</v>
      </c>
      <c r="C43" s="5" t="s">
        <v>286</v>
      </c>
      <c r="D43" s="5" t="s">
        <v>294</v>
      </c>
      <c r="E43" s="5">
        <v>287</v>
      </c>
      <c r="F43" s="5">
        <v>1</v>
      </c>
      <c r="G43" s="5" t="s">
        <v>1831</v>
      </c>
      <c r="H43" s="38">
        <v>231</v>
      </c>
    </row>
    <row r="44" spans="1:8" x14ac:dyDescent="0.3">
      <c r="A44" s="37" t="s">
        <v>302</v>
      </c>
      <c r="B44" s="5" t="s">
        <v>77</v>
      </c>
      <c r="C44" s="5" t="s">
        <v>286</v>
      </c>
      <c r="D44" s="5" t="s">
        <v>294</v>
      </c>
      <c r="E44" s="5">
        <v>580</v>
      </c>
      <c r="F44" s="5">
        <v>1</v>
      </c>
      <c r="G44" s="5" t="s">
        <v>1831</v>
      </c>
      <c r="H44" s="38">
        <v>232</v>
      </c>
    </row>
    <row r="45" spans="1:8" x14ac:dyDescent="0.3">
      <c r="A45" s="37" t="s">
        <v>303</v>
      </c>
      <c r="B45" s="5" t="s">
        <v>77</v>
      </c>
      <c r="C45" s="5" t="s">
        <v>304</v>
      </c>
      <c r="D45" s="5" t="s">
        <v>304</v>
      </c>
      <c r="E45" s="5">
        <v>1504</v>
      </c>
      <c r="F45" s="5">
        <v>1</v>
      </c>
      <c r="G45" s="5" t="s">
        <v>1831</v>
      </c>
      <c r="H45" s="38">
        <v>233</v>
      </c>
    </row>
    <row r="46" spans="1:8" x14ac:dyDescent="0.3">
      <c r="A46" s="37" t="s">
        <v>305</v>
      </c>
      <c r="B46" s="5" t="s">
        <v>77</v>
      </c>
      <c r="C46" s="5" t="s">
        <v>304</v>
      </c>
      <c r="D46" s="5" t="s">
        <v>304</v>
      </c>
      <c r="E46" s="5">
        <v>1099</v>
      </c>
      <c r="F46" s="5">
        <v>1</v>
      </c>
      <c r="G46" s="5" t="s">
        <v>1831</v>
      </c>
      <c r="H46" s="38">
        <v>234</v>
      </c>
    </row>
    <row r="47" spans="1:8" x14ac:dyDescent="0.3">
      <c r="A47" s="37" t="s">
        <v>306</v>
      </c>
      <c r="B47" s="5" t="s">
        <v>77</v>
      </c>
      <c r="C47" s="5" t="s">
        <v>304</v>
      </c>
      <c r="D47" s="5" t="s">
        <v>304</v>
      </c>
      <c r="E47" s="5">
        <v>3656</v>
      </c>
      <c r="F47" s="5">
        <v>1</v>
      </c>
      <c r="G47" s="5" t="s">
        <v>1831</v>
      </c>
      <c r="H47" s="38">
        <v>235</v>
      </c>
    </row>
    <row r="48" spans="1:8" x14ac:dyDescent="0.3">
      <c r="A48" s="37" t="s">
        <v>307</v>
      </c>
      <c r="B48" s="5" t="s">
        <v>77</v>
      </c>
      <c r="C48" s="5" t="s">
        <v>304</v>
      </c>
      <c r="D48" s="5" t="s">
        <v>304</v>
      </c>
      <c r="E48" s="5">
        <v>1586</v>
      </c>
      <c r="F48" s="5">
        <v>1</v>
      </c>
      <c r="G48" s="5" t="s">
        <v>1831</v>
      </c>
      <c r="H48" s="38">
        <v>236</v>
      </c>
    </row>
    <row r="49" spans="1:8" x14ac:dyDescent="0.3">
      <c r="A49" s="37" t="s">
        <v>1397</v>
      </c>
      <c r="B49" s="5" t="s">
        <v>77</v>
      </c>
      <c r="C49" s="5" t="s">
        <v>93</v>
      </c>
      <c r="D49" s="5" t="s">
        <v>103</v>
      </c>
      <c r="E49" s="5">
        <v>1210</v>
      </c>
      <c r="F49" s="5">
        <v>1</v>
      </c>
      <c r="G49" s="5" t="s">
        <v>1831</v>
      </c>
      <c r="H49" s="38">
        <v>1357</v>
      </c>
    </row>
    <row r="50" spans="1:8" x14ac:dyDescent="0.3">
      <c r="A50" s="37" t="s">
        <v>1399</v>
      </c>
      <c r="B50" s="5" t="s">
        <v>77</v>
      </c>
      <c r="C50" s="5" t="s">
        <v>286</v>
      </c>
      <c r="D50" s="5" t="s">
        <v>287</v>
      </c>
      <c r="E50" s="5">
        <v>255</v>
      </c>
      <c r="F50" s="5">
        <v>1</v>
      </c>
      <c r="G50" s="5" t="s">
        <v>1831</v>
      </c>
      <c r="H50" s="38">
        <v>1359</v>
      </c>
    </row>
    <row r="51" spans="1:8" x14ac:dyDescent="0.3">
      <c r="A51" s="37" t="s">
        <v>1460</v>
      </c>
      <c r="B51" s="5" t="s">
        <v>77</v>
      </c>
      <c r="C51" s="5" t="s">
        <v>286</v>
      </c>
      <c r="D51" s="5" t="s">
        <v>287</v>
      </c>
      <c r="E51" s="5">
        <v>935</v>
      </c>
      <c r="F51" s="5">
        <v>1</v>
      </c>
      <c r="G51" s="5" t="s">
        <v>1831</v>
      </c>
      <c r="H51" s="38">
        <v>1416</v>
      </c>
    </row>
    <row r="52" spans="1:8" x14ac:dyDescent="0.3">
      <c r="A52" s="37" t="s">
        <v>1461</v>
      </c>
      <c r="B52" s="5" t="s">
        <v>77</v>
      </c>
      <c r="C52" s="5" t="s">
        <v>93</v>
      </c>
      <c r="D52" s="5" t="s">
        <v>98</v>
      </c>
      <c r="E52" s="5">
        <v>0</v>
      </c>
      <c r="F52" s="5">
        <v>1</v>
      </c>
      <c r="G52" s="5" t="s">
        <v>1831</v>
      </c>
      <c r="H52" s="38">
        <v>1418</v>
      </c>
    </row>
    <row r="53" spans="1:8" x14ac:dyDescent="0.3">
      <c r="A53" s="37" t="s">
        <v>1490</v>
      </c>
      <c r="B53" s="5" t="s">
        <v>77</v>
      </c>
      <c r="C53" s="5" t="s">
        <v>286</v>
      </c>
      <c r="D53" s="5" t="s">
        <v>294</v>
      </c>
      <c r="E53" s="5">
        <v>2688</v>
      </c>
      <c r="F53" s="5">
        <v>1</v>
      </c>
      <c r="G53" s="5" t="s">
        <v>1831</v>
      </c>
      <c r="H53" s="38">
        <v>1441</v>
      </c>
    </row>
    <row r="54" spans="1:8" x14ac:dyDescent="0.3">
      <c r="A54" s="37" t="s">
        <v>1570</v>
      </c>
      <c r="B54" s="5" t="s">
        <v>77</v>
      </c>
      <c r="C54" s="5" t="s">
        <v>286</v>
      </c>
      <c r="D54" s="5" t="s">
        <v>294</v>
      </c>
      <c r="E54" s="5">
        <v>2624</v>
      </c>
      <c r="F54" s="5">
        <v>1</v>
      </c>
      <c r="G54" s="5" t="s">
        <v>1831</v>
      </c>
      <c r="H54" s="38">
        <v>1511</v>
      </c>
    </row>
    <row r="55" spans="1:8" x14ac:dyDescent="0.3">
      <c r="A55" s="37" t="s">
        <v>1642</v>
      </c>
      <c r="B55" s="5" t="s">
        <v>77</v>
      </c>
      <c r="C55" s="5" t="s">
        <v>286</v>
      </c>
      <c r="D55" s="5" t="s">
        <v>1643</v>
      </c>
      <c r="E55" s="5">
        <v>2203</v>
      </c>
      <c r="F55" s="5">
        <v>1</v>
      </c>
      <c r="G55" s="5" t="s">
        <v>1831</v>
      </c>
      <c r="H55" s="38">
        <v>1554</v>
      </c>
    </row>
    <row r="56" spans="1:8" x14ac:dyDescent="0.3">
      <c r="A56" s="37" t="s">
        <v>1654</v>
      </c>
      <c r="B56" s="5" t="s">
        <v>77</v>
      </c>
      <c r="C56" s="5" t="s">
        <v>93</v>
      </c>
      <c r="D56" s="5" t="s">
        <v>103</v>
      </c>
      <c r="E56" s="5">
        <v>1935</v>
      </c>
      <c r="F56" s="5">
        <v>1</v>
      </c>
      <c r="G56" s="5" t="s">
        <v>1831</v>
      </c>
      <c r="H56" s="38">
        <v>1561</v>
      </c>
    </row>
    <row r="57" spans="1:8" x14ac:dyDescent="0.3">
      <c r="A57" s="37" t="s">
        <v>1660</v>
      </c>
      <c r="B57" s="5" t="s">
        <v>77</v>
      </c>
      <c r="C57" s="5" t="s">
        <v>304</v>
      </c>
      <c r="D57" s="5" t="s">
        <v>304</v>
      </c>
      <c r="E57" s="5">
        <v>4104</v>
      </c>
      <c r="F57" s="5">
        <v>1</v>
      </c>
      <c r="G57" s="5" t="s">
        <v>1831</v>
      </c>
      <c r="H57" s="38">
        <v>1565</v>
      </c>
    </row>
    <row r="58" spans="1:8" x14ac:dyDescent="0.3">
      <c r="A58" s="37" t="s">
        <v>1661</v>
      </c>
      <c r="B58" s="5" t="s">
        <v>77</v>
      </c>
      <c r="C58" s="5" t="s">
        <v>93</v>
      </c>
      <c r="D58" s="5" t="s">
        <v>98</v>
      </c>
      <c r="E58" s="5">
        <v>5857</v>
      </c>
      <c r="F58" s="5">
        <v>1</v>
      </c>
      <c r="G58" s="5" t="s">
        <v>1831</v>
      </c>
      <c r="H58" s="38">
        <v>1566</v>
      </c>
    </row>
    <row r="59" spans="1:8" x14ac:dyDescent="0.3">
      <c r="A59" s="37" t="s">
        <v>1736</v>
      </c>
      <c r="B59" s="5" t="s">
        <v>77</v>
      </c>
      <c r="C59" s="5" t="s">
        <v>93</v>
      </c>
      <c r="D59" s="5" t="s">
        <v>103</v>
      </c>
      <c r="E59" s="5">
        <v>2657</v>
      </c>
      <c r="F59" s="5">
        <v>1</v>
      </c>
      <c r="G59" s="5" t="s">
        <v>1831</v>
      </c>
      <c r="H59" s="38">
        <v>1623</v>
      </c>
    </row>
    <row r="60" spans="1:8" x14ac:dyDescent="0.3">
      <c r="A60" s="37" t="s">
        <v>1745</v>
      </c>
      <c r="B60" s="5" t="s">
        <v>77</v>
      </c>
      <c r="C60" s="5" t="s">
        <v>93</v>
      </c>
      <c r="D60" s="5" t="s">
        <v>103</v>
      </c>
      <c r="E60" s="5">
        <v>7697</v>
      </c>
      <c r="F60" s="5">
        <v>1</v>
      </c>
      <c r="G60" s="5" t="s">
        <v>1831</v>
      </c>
      <c r="H60" s="38">
        <v>1634</v>
      </c>
    </row>
    <row r="61" spans="1:8" x14ac:dyDescent="0.3">
      <c r="A61" s="42" t="s">
        <v>1751</v>
      </c>
      <c r="B61" s="43" t="s">
        <v>77</v>
      </c>
      <c r="C61" s="43" t="s">
        <v>93</v>
      </c>
      <c r="D61" s="43" t="s">
        <v>98</v>
      </c>
      <c r="E61" s="43">
        <v>639</v>
      </c>
      <c r="F61" s="43">
        <v>1</v>
      </c>
      <c r="G61" s="43" t="s">
        <v>1831</v>
      </c>
      <c r="H61" s="44">
        <v>1638</v>
      </c>
    </row>
  </sheetData>
  <pageMargins left="0.7" right="0.7" top="0.75" bottom="0.75" header="0.3" footer="0.3"/>
  <headerFooter>
    <oddHeader>&amp;C&amp;"Calibri"&amp;10&amp;KFF0000 CONFIDENCIAL&amp;1#_x000D_&amp;G</oddHeader>
  </headerFooter>
  <legacyDrawingHF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35DA0-443F-43C9-B439-8FAFA3D304FE}">
  <sheetPr>
    <tabColor rgb="FF3399FF"/>
  </sheetPr>
  <dimension ref="A1:G61"/>
  <sheetViews>
    <sheetView workbookViewId="0">
      <pane xSplit="1" ySplit="1" topLeftCell="B38" activePane="bottomRight" state="frozen"/>
      <selection pane="topRight" activeCell="B1" sqref="B1"/>
      <selection pane="bottomLeft" activeCell="A2" sqref="A2"/>
      <selection pane="bottomRight" activeCell="I41" sqref="I41"/>
    </sheetView>
  </sheetViews>
  <sheetFormatPr baseColWidth="10" defaultRowHeight="14.4" x14ac:dyDescent="0.3"/>
  <cols>
    <col min="1" max="1" width="42.77734375" style="4" customWidth="1"/>
    <col min="2" max="2" width="21.33203125" style="4" customWidth="1"/>
    <col min="3" max="3" width="23.33203125" style="4" customWidth="1"/>
    <col min="4" max="4" width="20" style="4" customWidth="1"/>
    <col min="5" max="16384" width="11.5546875" style="4"/>
  </cols>
  <sheetData>
    <row r="1" spans="1:7" ht="15.6" x14ac:dyDescent="0.3">
      <c r="A1" s="45" t="s">
        <v>2</v>
      </c>
      <c r="B1" s="46" t="s">
        <v>3</v>
      </c>
      <c r="C1" s="46" t="s">
        <v>4</v>
      </c>
      <c r="D1" s="46" t="s">
        <v>5</v>
      </c>
      <c r="E1" s="46" t="s">
        <v>1830</v>
      </c>
      <c r="F1" s="46" t="s">
        <v>0</v>
      </c>
      <c r="G1" s="47" t="s">
        <v>1</v>
      </c>
    </row>
    <row r="2" spans="1:7" x14ac:dyDescent="0.3">
      <c r="A2" s="37" t="s">
        <v>92</v>
      </c>
      <c r="B2" s="5" t="s">
        <v>77</v>
      </c>
      <c r="C2" s="5" t="s">
        <v>93</v>
      </c>
      <c r="D2" s="5" t="s">
        <v>94</v>
      </c>
      <c r="E2" s="5">
        <v>74</v>
      </c>
      <c r="F2" s="5">
        <v>1</v>
      </c>
      <c r="G2" s="38">
        <v>64</v>
      </c>
    </row>
    <row r="3" spans="1:7" x14ac:dyDescent="0.3">
      <c r="A3" s="37" t="s">
        <v>96</v>
      </c>
      <c r="B3" s="5" t="s">
        <v>77</v>
      </c>
      <c r="C3" s="5" t="s">
        <v>93</v>
      </c>
      <c r="D3" s="5" t="s">
        <v>94</v>
      </c>
      <c r="E3" s="5">
        <v>124</v>
      </c>
      <c r="F3" s="5">
        <v>1</v>
      </c>
      <c r="G3" s="38">
        <v>65</v>
      </c>
    </row>
    <row r="4" spans="1:7" x14ac:dyDescent="0.3">
      <c r="A4" s="37" t="s">
        <v>97</v>
      </c>
      <c r="B4" s="5" t="s">
        <v>77</v>
      </c>
      <c r="C4" s="5" t="s">
        <v>93</v>
      </c>
      <c r="D4" s="5" t="s">
        <v>98</v>
      </c>
      <c r="E4" s="5">
        <v>46</v>
      </c>
      <c r="F4" s="5">
        <v>1</v>
      </c>
      <c r="G4" s="38">
        <v>66</v>
      </c>
    </row>
    <row r="5" spans="1:7" x14ac:dyDescent="0.3">
      <c r="A5" s="37" t="s">
        <v>101</v>
      </c>
      <c r="B5" s="5" t="s">
        <v>77</v>
      </c>
      <c r="C5" s="5" t="s">
        <v>93</v>
      </c>
      <c r="D5" s="5" t="s">
        <v>98</v>
      </c>
      <c r="E5" s="5">
        <v>191</v>
      </c>
      <c r="F5" s="5">
        <v>1</v>
      </c>
      <c r="G5" s="38">
        <v>68</v>
      </c>
    </row>
    <row r="6" spans="1:7" x14ac:dyDescent="0.3">
      <c r="A6" s="37" t="s">
        <v>102</v>
      </c>
      <c r="B6" s="5" t="s">
        <v>77</v>
      </c>
      <c r="C6" s="5" t="s">
        <v>93</v>
      </c>
      <c r="D6" s="5" t="s">
        <v>103</v>
      </c>
      <c r="E6" s="5">
        <v>48</v>
      </c>
      <c r="F6" s="5">
        <v>1</v>
      </c>
      <c r="G6" s="38">
        <v>69</v>
      </c>
    </row>
    <row r="7" spans="1:7" x14ac:dyDescent="0.3">
      <c r="A7" s="37" t="s">
        <v>105</v>
      </c>
      <c r="B7" s="5" t="s">
        <v>77</v>
      </c>
      <c r="C7" s="5" t="s">
        <v>93</v>
      </c>
      <c r="D7" s="5" t="s">
        <v>103</v>
      </c>
      <c r="E7" s="5">
        <v>49</v>
      </c>
      <c r="F7" s="5">
        <v>1</v>
      </c>
      <c r="G7" s="38">
        <v>70</v>
      </c>
    </row>
    <row r="8" spans="1:7" x14ac:dyDescent="0.3">
      <c r="A8" s="37" t="s">
        <v>106</v>
      </c>
      <c r="B8" s="5" t="s">
        <v>77</v>
      </c>
      <c r="C8" s="5" t="s">
        <v>93</v>
      </c>
      <c r="D8" s="5" t="s">
        <v>103</v>
      </c>
      <c r="E8" s="5">
        <v>113</v>
      </c>
      <c r="F8" s="5">
        <v>1</v>
      </c>
      <c r="G8" s="38">
        <v>71</v>
      </c>
    </row>
    <row r="9" spans="1:7" x14ac:dyDescent="0.3">
      <c r="A9" s="37" t="s">
        <v>108</v>
      </c>
      <c r="B9" s="5" t="s">
        <v>77</v>
      </c>
      <c r="C9" s="5" t="s">
        <v>93</v>
      </c>
      <c r="D9" s="5" t="s">
        <v>103</v>
      </c>
      <c r="E9" s="5">
        <v>586</v>
      </c>
      <c r="F9" s="5">
        <v>1</v>
      </c>
      <c r="G9" s="38">
        <v>72</v>
      </c>
    </row>
    <row r="10" spans="1:7" x14ac:dyDescent="0.3">
      <c r="A10" s="37" t="s">
        <v>109</v>
      </c>
      <c r="B10" s="5" t="s">
        <v>77</v>
      </c>
      <c r="C10" s="5" t="s">
        <v>93</v>
      </c>
      <c r="D10" s="5" t="s">
        <v>103</v>
      </c>
      <c r="E10" s="5">
        <v>81</v>
      </c>
      <c r="F10" s="5">
        <v>1</v>
      </c>
      <c r="G10" s="38">
        <v>74</v>
      </c>
    </row>
    <row r="11" spans="1:7" x14ac:dyDescent="0.3">
      <c r="A11" s="37" t="s">
        <v>110</v>
      </c>
      <c r="B11" s="5" t="s">
        <v>77</v>
      </c>
      <c r="C11" s="5" t="s">
        <v>93</v>
      </c>
      <c r="D11" s="5" t="s">
        <v>103</v>
      </c>
      <c r="E11" s="5">
        <v>188</v>
      </c>
      <c r="F11" s="5">
        <v>1</v>
      </c>
      <c r="G11" s="38">
        <v>75</v>
      </c>
    </row>
    <row r="12" spans="1:7" x14ac:dyDescent="0.3">
      <c r="A12" s="37" t="s">
        <v>111</v>
      </c>
      <c r="B12" s="5" t="s">
        <v>77</v>
      </c>
      <c r="C12" s="5" t="s">
        <v>93</v>
      </c>
      <c r="D12" s="5" t="s">
        <v>103</v>
      </c>
      <c r="E12" s="5">
        <v>70</v>
      </c>
      <c r="F12" s="5">
        <v>1</v>
      </c>
      <c r="G12" s="38">
        <v>77</v>
      </c>
    </row>
    <row r="13" spans="1:7" x14ac:dyDescent="0.3">
      <c r="A13" s="37" t="s">
        <v>112</v>
      </c>
      <c r="B13" s="5" t="s">
        <v>77</v>
      </c>
      <c r="C13" s="5" t="s">
        <v>93</v>
      </c>
      <c r="D13" s="5" t="s">
        <v>103</v>
      </c>
      <c r="E13" s="5">
        <v>248</v>
      </c>
      <c r="F13" s="5">
        <v>1</v>
      </c>
      <c r="G13" s="38">
        <v>78</v>
      </c>
    </row>
    <row r="14" spans="1:7" x14ac:dyDescent="0.3">
      <c r="A14" s="37" t="s">
        <v>113</v>
      </c>
      <c r="B14" s="5" t="s">
        <v>77</v>
      </c>
      <c r="C14" s="5" t="s">
        <v>93</v>
      </c>
      <c r="D14" s="5" t="s">
        <v>103</v>
      </c>
      <c r="E14" s="5">
        <v>55</v>
      </c>
      <c r="F14" s="5">
        <v>1</v>
      </c>
      <c r="G14" s="38">
        <v>79</v>
      </c>
    </row>
    <row r="15" spans="1:7" x14ac:dyDescent="0.3">
      <c r="A15" s="37" t="s">
        <v>114</v>
      </c>
      <c r="B15" s="5" t="s">
        <v>77</v>
      </c>
      <c r="C15" s="5" t="s">
        <v>93</v>
      </c>
      <c r="D15" s="5" t="s">
        <v>103</v>
      </c>
      <c r="E15" s="5">
        <v>191</v>
      </c>
      <c r="F15" s="5">
        <v>1</v>
      </c>
      <c r="G15" s="38">
        <v>80</v>
      </c>
    </row>
    <row r="16" spans="1:7" x14ac:dyDescent="0.3">
      <c r="A16" s="37" t="s">
        <v>115</v>
      </c>
      <c r="B16" s="5" t="s">
        <v>77</v>
      </c>
      <c r="C16" s="5" t="s">
        <v>93</v>
      </c>
      <c r="D16" s="5" t="s">
        <v>103</v>
      </c>
      <c r="E16" s="5">
        <v>99</v>
      </c>
      <c r="F16" s="5">
        <v>1</v>
      </c>
      <c r="G16" s="38">
        <v>81</v>
      </c>
    </row>
    <row r="17" spans="1:7" x14ac:dyDescent="0.3">
      <c r="A17" s="37" t="s">
        <v>116</v>
      </c>
      <c r="B17" s="5" t="s">
        <v>77</v>
      </c>
      <c r="C17" s="5" t="s">
        <v>93</v>
      </c>
      <c r="D17" s="5" t="s">
        <v>117</v>
      </c>
      <c r="E17" s="5">
        <v>18</v>
      </c>
      <c r="F17" s="5">
        <v>1</v>
      </c>
      <c r="G17" s="38">
        <v>83</v>
      </c>
    </row>
    <row r="18" spans="1:7" x14ac:dyDescent="0.3">
      <c r="A18" s="37" t="s">
        <v>118</v>
      </c>
      <c r="B18" s="5" t="s">
        <v>77</v>
      </c>
      <c r="C18" s="5" t="s">
        <v>93</v>
      </c>
      <c r="D18" s="5" t="s">
        <v>117</v>
      </c>
      <c r="E18" s="5">
        <v>437</v>
      </c>
      <c r="F18" s="5">
        <v>1</v>
      </c>
      <c r="G18" s="38">
        <v>84</v>
      </c>
    </row>
    <row r="19" spans="1:7" x14ac:dyDescent="0.3">
      <c r="A19" s="37" t="s">
        <v>120</v>
      </c>
      <c r="B19" s="5" t="s">
        <v>77</v>
      </c>
      <c r="C19" s="5" t="s">
        <v>93</v>
      </c>
      <c r="D19" s="5" t="s">
        <v>117</v>
      </c>
      <c r="E19" s="5">
        <v>173</v>
      </c>
      <c r="F19" s="5">
        <v>1</v>
      </c>
      <c r="G19" s="38">
        <v>85</v>
      </c>
    </row>
    <row r="20" spans="1:7" x14ac:dyDescent="0.3">
      <c r="A20" s="37" t="s">
        <v>121</v>
      </c>
      <c r="B20" s="5" t="s">
        <v>77</v>
      </c>
      <c r="C20" s="5" t="s">
        <v>93</v>
      </c>
      <c r="D20" s="5" t="s">
        <v>117</v>
      </c>
      <c r="E20" s="5">
        <v>259</v>
      </c>
      <c r="F20" s="5">
        <v>1</v>
      </c>
      <c r="G20" s="38">
        <v>86</v>
      </c>
    </row>
    <row r="21" spans="1:7" x14ac:dyDescent="0.3">
      <c r="A21" s="37" t="s">
        <v>123</v>
      </c>
      <c r="B21" s="5" t="s">
        <v>77</v>
      </c>
      <c r="C21" s="5" t="s">
        <v>93</v>
      </c>
      <c r="D21" s="5" t="s">
        <v>117</v>
      </c>
      <c r="E21" s="5">
        <v>81</v>
      </c>
      <c r="F21" s="5">
        <v>1</v>
      </c>
      <c r="G21" s="38">
        <v>87</v>
      </c>
    </row>
    <row r="22" spans="1:7" x14ac:dyDescent="0.3">
      <c r="A22" s="37" t="s">
        <v>125</v>
      </c>
      <c r="B22" s="5" t="s">
        <v>77</v>
      </c>
      <c r="C22" s="5" t="s">
        <v>93</v>
      </c>
      <c r="D22" s="5" t="s">
        <v>117</v>
      </c>
      <c r="E22" s="5">
        <v>360</v>
      </c>
      <c r="F22" s="5">
        <v>1</v>
      </c>
      <c r="G22" s="38">
        <v>88</v>
      </c>
    </row>
    <row r="23" spans="1:7" x14ac:dyDescent="0.3">
      <c r="A23" s="37" t="s">
        <v>126</v>
      </c>
      <c r="B23" s="5" t="s">
        <v>77</v>
      </c>
      <c r="C23" s="5" t="s">
        <v>93</v>
      </c>
      <c r="D23" s="5" t="s">
        <v>117</v>
      </c>
      <c r="E23" s="5">
        <v>328</v>
      </c>
      <c r="F23" s="5">
        <v>1</v>
      </c>
      <c r="G23" s="38">
        <v>89</v>
      </c>
    </row>
    <row r="24" spans="1:7" x14ac:dyDescent="0.3">
      <c r="A24" s="37" t="s">
        <v>127</v>
      </c>
      <c r="B24" s="5" t="s">
        <v>77</v>
      </c>
      <c r="C24" s="5" t="s">
        <v>93</v>
      </c>
      <c r="D24" s="5" t="s">
        <v>117</v>
      </c>
      <c r="E24" s="5">
        <v>592</v>
      </c>
      <c r="F24" s="5">
        <v>1</v>
      </c>
      <c r="G24" s="38">
        <v>90</v>
      </c>
    </row>
    <row r="25" spans="1:7" x14ac:dyDescent="0.3">
      <c r="A25" s="37" t="s">
        <v>128</v>
      </c>
      <c r="B25" s="5" t="s">
        <v>77</v>
      </c>
      <c r="C25" s="5" t="s">
        <v>93</v>
      </c>
      <c r="D25" s="5" t="s">
        <v>117</v>
      </c>
      <c r="E25" s="5">
        <v>265</v>
      </c>
      <c r="F25" s="5">
        <v>1</v>
      </c>
      <c r="G25" s="38">
        <v>91</v>
      </c>
    </row>
    <row r="26" spans="1:7" x14ac:dyDescent="0.3">
      <c r="A26" s="37" t="s">
        <v>129</v>
      </c>
      <c r="B26" s="5" t="s">
        <v>77</v>
      </c>
      <c r="C26" s="5" t="s">
        <v>93</v>
      </c>
      <c r="D26" s="5" t="s">
        <v>117</v>
      </c>
      <c r="E26" s="5">
        <v>769</v>
      </c>
      <c r="F26" s="5">
        <v>1</v>
      </c>
      <c r="G26" s="38">
        <v>92</v>
      </c>
    </row>
    <row r="27" spans="1:7" x14ac:dyDescent="0.3">
      <c r="A27" s="37" t="s">
        <v>130</v>
      </c>
      <c r="B27" s="5" t="s">
        <v>77</v>
      </c>
      <c r="C27" s="5" t="s">
        <v>93</v>
      </c>
      <c r="D27" s="5" t="s">
        <v>117</v>
      </c>
      <c r="E27" s="5">
        <v>127</v>
      </c>
      <c r="F27" s="5">
        <v>1</v>
      </c>
      <c r="G27" s="38">
        <v>93</v>
      </c>
    </row>
    <row r="28" spans="1:7" x14ac:dyDescent="0.3">
      <c r="A28" s="37" t="s">
        <v>131</v>
      </c>
      <c r="B28" s="5" t="s">
        <v>77</v>
      </c>
      <c r="C28" s="5" t="s">
        <v>93</v>
      </c>
      <c r="D28" s="5" t="s">
        <v>117</v>
      </c>
      <c r="E28" s="5">
        <v>39</v>
      </c>
      <c r="F28" s="5">
        <v>1</v>
      </c>
      <c r="G28" s="38">
        <v>94</v>
      </c>
    </row>
    <row r="29" spans="1:7" x14ac:dyDescent="0.3">
      <c r="A29" s="37" t="s">
        <v>132</v>
      </c>
      <c r="B29" s="5" t="s">
        <v>77</v>
      </c>
      <c r="C29" s="5" t="s">
        <v>93</v>
      </c>
      <c r="D29" s="5" t="s">
        <v>117</v>
      </c>
      <c r="E29" s="5">
        <v>501</v>
      </c>
      <c r="F29" s="5">
        <v>1</v>
      </c>
      <c r="G29" s="38">
        <v>95</v>
      </c>
    </row>
    <row r="30" spans="1:7" x14ac:dyDescent="0.3">
      <c r="A30" s="37" t="s">
        <v>133</v>
      </c>
      <c r="B30" s="5" t="s">
        <v>77</v>
      </c>
      <c r="C30" s="5" t="s">
        <v>93</v>
      </c>
      <c r="D30" s="5" t="s">
        <v>117</v>
      </c>
      <c r="E30" s="5">
        <v>124</v>
      </c>
      <c r="F30" s="5">
        <v>1</v>
      </c>
      <c r="G30" s="38">
        <v>96</v>
      </c>
    </row>
    <row r="31" spans="1:7" x14ac:dyDescent="0.3">
      <c r="A31" s="37" t="s">
        <v>134</v>
      </c>
      <c r="B31" s="5" t="s">
        <v>77</v>
      </c>
      <c r="C31" s="5" t="s">
        <v>93</v>
      </c>
      <c r="D31" s="5" t="s">
        <v>117</v>
      </c>
      <c r="E31" s="5">
        <v>104</v>
      </c>
      <c r="F31" s="5">
        <v>1</v>
      </c>
      <c r="G31" s="38">
        <v>97</v>
      </c>
    </row>
    <row r="32" spans="1:7" x14ac:dyDescent="0.3">
      <c r="A32" s="37" t="s">
        <v>135</v>
      </c>
      <c r="B32" s="5" t="s">
        <v>77</v>
      </c>
      <c r="C32" s="5" t="s">
        <v>93</v>
      </c>
      <c r="D32" s="5" t="s">
        <v>117</v>
      </c>
      <c r="E32" s="5">
        <v>193</v>
      </c>
      <c r="F32" s="5">
        <v>1</v>
      </c>
      <c r="G32" s="38">
        <v>98</v>
      </c>
    </row>
    <row r="33" spans="1:7" x14ac:dyDescent="0.3">
      <c r="A33" s="37" t="s">
        <v>285</v>
      </c>
      <c r="B33" s="5" t="s">
        <v>77</v>
      </c>
      <c r="C33" s="5" t="s">
        <v>286</v>
      </c>
      <c r="D33" s="5" t="s">
        <v>287</v>
      </c>
      <c r="E33" s="5">
        <v>5</v>
      </c>
      <c r="F33" s="5">
        <v>1</v>
      </c>
      <c r="G33" s="38">
        <v>218</v>
      </c>
    </row>
    <row r="34" spans="1:7" x14ac:dyDescent="0.3">
      <c r="A34" s="37" t="s">
        <v>289</v>
      </c>
      <c r="B34" s="5" t="s">
        <v>77</v>
      </c>
      <c r="C34" s="5" t="s">
        <v>286</v>
      </c>
      <c r="D34" s="5" t="s">
        <v>287</v>
      </c>
      <c r="E34" s="5">
        <v>9</v>
      </c>
      <c r="F34" s="5">
        <v>1</v>
      </c>
      <c r="G34" s="38">
        <v>219</v>
      </c>
    </row>
    <row r="35" spans="1:7" x14ac:dyDescent="0.3">
      <c r="A35" s="37" t="s">
        <v>290</v>
      </c>
      <c r="B35" s="5" t="s">
        <v>77</v>
      </c>
      <c r="C35" s="5" t="s">
        <v>286</v>
      </c>
      <c r="D35" s="5" t="s">
        <v>287</v>
      </c>
      <c r="E35" s="5">
        <v>23</v>
      </c>
      <c r="F35" s="5">
        <v>1</v>
      </c>
      <c r="G35" s="38">
        <v>220</v>
      </c>
    </row>
    <row r="36" spans="1:7" x14ac:dyDescent="0.3">
      <c r="A36" s="37" t="s">
        <v>291</v>
      </c>
      <c r="B36" s="5" t="s">
        <v>77</v>
      </c>
      <c r="C36" s="5" t="s">
        <v>286</v>
      </c>
      <c r="D36" s="5" t="s">
        <v>287</v>
      </c>
      <c r="E36" s="5">
        <v>40</v>
      </c>
      <c r="F36" s="5">
        <v>1</v>
      </c>
      <c r="G36" s="38">
        <v>221</v>
      </c>
    </row>
    <row r="37" spans="1:7" x14ac:dyDescent="0.3">
      <c r="A37" s="37" t="s">
        <v>292</v>
      </c>
      <c r="B37" s="5" t="s">
        <v>77</v>
      </c>
      <c r="C37" s="5" t="s">
        <v>286</v>
      </c>
      <c r="D37" s="5" t="s">
        <v>287</v>
      </c>
      <c r="E37" s="5">
        <v>0</v>
      </c>
      <c r="F37" s="5">
        <v>1</v>
      </c>
      <c r="G37" s="38">
        <v>223</v>
      </c>
    </row>
    <row r="38" spans="1:7" x14ac:dyDescent="0.3">
      <c r="A38" s="37" t="s">
        <v>293</v>
      </c>
      <c r="B38" s="5" t="s">
        <v>77</v>
      </c>
      <c r="C38" s="5" t="s">
        <v>286</v>
      </c>
      <c r="D38" s="5" t="s">
        <v>294</v>
      </c>
      <c r="E38" s="5">
        <v>160</v>
      </c>
      <c r="F38" s="5">
        <v>1</v>
      </c>
      <c r="G38" s="38">
        <v>225</v>
      </c>
    </row>
    <row r="39" spans="1:7" x14ac:dyDescent="0.3">
      <c r="A39" s="37" t="s">
        <v>296</v>
      </c>
      <c r="B39" s="5" t="s">
        <v>77</v>
      </c>
      <c r="C39" s="5" t="s">
        <v>286</v>
      </c>
      <c r="D39" s="5" t="s">
        <v>294</v>
      </c>
      <c r="E39" s="5">
        <v>26</v>
      </c>
      <c r="F39" s="5">
        <v>1</v>
      </c>
      <c r="G39" s="38">
        <v>226</v>
      </c>
    </row>
    <row r="40" spans="1:7" x14ac:dyDescent="0.3">
      <c r="A40" s="37" t="s">
        <v>298</v>
      </c>
      <c r="B40" s="5" t="s">
        <v>77</v>
      </c>
      <c r="C40" s="5" t="s">
        <v>286</v>
      </c>
      <c r="D40" s="5" t="s">
        <v>294</v>
      </c>
      <c r="E40" s="5">
        <v>70</v>
      </c>
      <c r="F40" s="5">
        <v>1</v>
      </c>
      <c r="G40" s="38">
        <v>227</v>
      </c>
    </row>
    <row r="41" spans="1:7" x14ac:dyDescent="0.3">
      <c r="A41" s="37" t="s">
        <v>299</v>
      </c>
      <c r="B41" s="5" t="s">
        <v>77</v>
      </c>
      <c r="C41" s="5" t="s">
        <v>286</v>
      </c>
      <c r="D41" s="5" t="s">
        <v>294</v>
      </c>
      <c r="E41" s="5">
        <v>89</v>
      </c>
      <c r="F41" s="5">
        <v>1</v>
      </c>
      <c r="G41" s="38">
        <v>228</v>
      </c>
    </row>
    <row r="42" spans="1:7" x14ac:dyDescent="0.3">
      <c r="A42" s="37" t="s">
        <v>300</v>
      </c>
      <c r="B42" s="5" t="s">
        <v>77</v>
      </c>
      <c r="C42" s="5" t="s">
        <v>286</v>
      </c>
      <c r="D42" s="5" t="s">
        <v>294</v>
      </c>
      <c r="E42" s="5">
        <v>110</v>
      </c>
      <c r="F42" s="5">
        <v>1</v>
      </c>
      <c r="G42" s="38">
        <v>230</v>
      </c>
    </row>
    <row r="43" spans="1:7" x14ac:dyDescent="0.3">
      <c r="A43" s="37" t="s">
        <v>301</v>
      </c>
      <c r="B43" s="5" t="s">
        <v>77</v>
      </c>
      <c r="C43" s="5" t="s">
        <v>286</v>
      </c>
      <c r="D43" s="5" t="s">
        <v>294</v>
      </c>
      <c r="E43" s="5">
        <v>4</v>
      </c>
      <c r="F43" s="5">
        <v>1</v>
      </c>
      <c r="G43" s="38">
        <v>231</v>
      </c>
    </row>
    <row r="44" spans="1:7" x14ac:dyDescent="0.3">
      <c r="A44" s="37" t="s">
        <v>302</v>
      </c>
      <c r="B44" s="5" t="s">
        <v>77</v>
      </c>
      <c r="C44" s="5" t="s">
        <v>286</v>
      </c>
      <c r="D44" s="5" t="s">
        <v>294</v>
      </c>
      <c r="E44" s="5">
        <v>34</v>
      </c>
      <c r="F44" s="5">
        <v>1</v>
      </c>
      <c r="G44" s="38">
        <v>232</v>
      </c>
    </row>
    <row r="45" spans="1:7" x14ac:dyDescent="0.3">
      <c r="A45" s="37" t="s">
        <v>303</v>
      </c>
      <c r="B45" s="5" t="s">
        <v>77</v>
      </c>
      <c r="C45" s="5" t="s">
        <v>304</v>
      </c>
      <c r="D45" s="5" t="s">
        <v>304</v>
      </c>
      <c r="E45" s="5">
        <v>54</v>
      </c>
      <c r="F45" s="5">
        <v>1</v>
      </c>
      <c r="G45" s="38">
        <v>233</v>
      </c>
    </row>
    <row r="46" spans="1:7" x14ac:dyDescent="0.3">
      <c r="A46" s="37" t="s">
        <v>305</v>
      </c>
      <c r="B46" s="5" t="s">
        <v>77</v>
      </c>
      <c r="C46" s="5" t="s">
        <v>304</v>
      </c>
      <c r="D46" s="5" t="s">
        <v>304</v>
      </c>
      <c r="E46" s="5">
        <v>33</v>
      </c>
      <c r="F46" s="5">
        <v>1</v>
      </c>
      <c r="G46" s="38">
        <v>234</v>
      </c>
    </row>
    <row r="47" spans="1:7" x14ac:dyDescent="0.3">
      <c r="A47" s="37" t="s">
        <v>306</v>
      </c>
      <c r="B47" s="5" t="s">
        <v>77</v>
      </c>
      <c r="C47" s="5" t="s">
        <v>304</v>
      </c>
      <c r="D47" s="5" t="s">
        <v>304</v>
      </c>
      <c r="E47" s="5">
        <v>231</v>
      </c>
      <c r="F47" s="5">
        <v>1</v>
      </c>
      <c r="G47" s="38">
        <v>235</v>
      </c>
    </row>
    <row r="48" spans="1:7" x14ac:dyDescent="0.3">
      <c r="A48" s="37" t="s">
        <v>307</v>
      </c>
      <c r="B48" s="5" t="s">
        <v>77</v>
      </c>
      <c r="C48" s="5" t="s">
        <v>304</v>
      </c>
      <c r="D48" s="5" t="s">
        <v>304</v>
      </c>
      <c r="E48" s="5">
        <v>34</v>
      </c>
      <c r="F48" s="5">
        <v>1</v>
      </c>
      <c r="G48" s="38">
        <v>236</v>
      </c>
    </row>
    <row r="49" spans="1:7" x14ac:dyDescent="0.3">
      <c r="A49" s="37" t="s">
        <v>1397</v>
      </c>
      <c r="B49" s="5" t="s">
        <v>77</v>
      </c>
      <c r="C49" s="5" t="s">
        <v>93</v>
      </c>
      <c r="D49" s="5" t="s">
        <v>103</v>
      </c>
      <c r="E49" s="5">
        <v>107</v>
      </c>
      <c r="F49" s="5">
        <v>1</v>
      </c>
      <c r="G49" s="38">
        <v>1357</v>
      </c>
    </row>
    <row r="50" spans="1:7" x14ac:dyDescent="0.3">
      <c r="A50" s="37" t="s">
        <v>1399</v>
      </c>
      <c r="B50" s="5" t="s">
        <v>77</v>
      </c>
      <c r="C50" s="5" t="s">
        <v>286</v>
      </c>
      <c r="D50" s="5" t="s">
        <v>287</v>
      </c>
      <c r="E50" s="5">
        <v>10</v>
      </c>
      <c r="F50" s="5">
        <v>1</v>
      </c>
      <c r="G50" s="38">
        <v>1359</v>
      </c>
    </row>
    <row r="51" spans="1:7" x14ac:dyDescent="0.3">
      <c r="A51" s="37" t="s">
        <v>1460</v>
      </c>
      <c r="B51" s="5" t="s">
        <v>77</v>
      </c>
      <c r="C51" s="5" t="s">
        <v>286</v>
      </c>
      <c r="D51" s="5" t="s">
        <v>287</v>
      </c>
      <c r="E51" s="5">
        <v>155</v>
      </c>
      <c r="F51" s="5">
        <v>1</v>
      </c>
      <c r="G51" s="38">
        <v>1416</v>
      </c>
    </row>
    <row r="52" spans="1:7" x14ac:dyDescent="0.3">
      <c r="A52" s="37" t="s">
        <v>1461</v>
      </c>
      <c r="B52" s="5" t="s">
        <v>77</v>
      </c>
      <c r="C52" s="5" t="s">
        <v>93</v>
      </c>
      <c r="D52" s="5" t="s">
        <v>98</v>
      </c>
      <c r="E52" s="5">
        <v>0</v>
      </c>
      <c r="F52" s="5">
        <v>1</v>
      </c>
      <c r="G52" s="38">
        <v>1418</v>
      </c>
    </row>
    <row r="53" spans="1:7" x14ac:dyDescent="0.3">
      <c r="A53" s="37" t="s">
        <v>1490</v>
      </c>
      <c r="B53" s="5" t="s">
        <v>77</v>
      </c>
      <c r="C53" s="5" t="s">
        <v>286</v>
      </c>
      <c r="D53" s="5" t="s">
        <v>294</v>
      </c>
      <c r="E53" s="5">
        <v>171</v>
      </c>
      <c r="F53" s="5">
        <v>1</v>
      </c>
      <c r="G53" s="38">
        <v>1441</v>
      </c>
    </row>
    <row r="54" spans="1:7" x14ac:dyDescent="0.3">
      <c r="A54" s="37" t="s">
        <v>1570</v>
      </c>
      <c r="B54" s="5" t="s">
        <v>77</v>
      </c>
      <c r="C54" s="5" t="s">
        <v>286</v>
      </c>
      <c r="D54" s="5" t="s">
        <v>294</v>
      </c>
      <c r="E54" s="5">
        <v>110</v>
      </c>
      <c r="F54" s="5">
        <v>1</v>
      </c>
      <c r="G54" s="38">
        <v>1511</v>
      </c>
    </row>
    <row r="55" spans="1:7" x14ac:dyDescent="0.3">
      <c r="A55" s="37" t="s">
        <v>1642</v>
      </c>
      <c r="B55" s="5" t="s">
        <v>77</v>
      </c>
      <c r="C55" s="5" t="s">
        <v>286</v>
      </c>
      <c r="D55" s="5" t="s">
        <v>1643</v>
      </c>
      <c r="E55" s="5">
        <v>137</v>
      </c>
      <c r="F55" s="5">
        <v>1</v>
      </c>
      <c r="G55" s="38">
        <v>1554</v>
      </c>
    </row>
    <row r="56" spans="1:7" x14ac:dyDescent="0.3">
      <c r="A56" s="37" t="s">
        <v>1654</v>
      </c>
      <c r="B56" s="5" t="s">
        <v>77</v>
      </c>
      <c r="C56" s="5" t="s">
        <v>93</v>
      </c>
      <c r="D56" s="5" t="s">
        <v>103</v>
      </c>
      <c r="E56" s="5">
        <v>219</v>
      </c>
      <c r="F56" s="5">
        <v>1</v>
      </c>
      <c r="G56" s="38">
        <v>1561</v>
      </c>
    </row>
    <row r="57" spans="1:7" x14ac:dyDescent="0.3">
      <c r="A57" s="37" t="s">
        <v>1660</v>
      </c>
      <c r="B57" s="5" t="s">
        <v>77</v>
      </c>
      <c r="C57" s="5" t="s">
        <v>304</v>
      </c>
      <c r="D57" s="5" t="s">
        <v>304</v>
      </c>
      <c r="E57" s="5">
        <v>233</v>
      </c>
      <c r="F57" s="5">
        <v>1</v>
      </c>
      <c r="G57" s="38">
        <v>1565</v>
      </c>
    </row>
    <row r="58" spans="1:7" x14ac:dyDescent="0.3">
      <c r="A58" s="37" t="s">
        <v>1661</v>
      </c>
      <c r="B58" s="5" t="s">
        <v>77</v>
      </c>
      <c r="C58" s="5" t="s">
        <v>93</v>
      </c>
      <c r="D58" s="5" t="s">
        <v>98</v>
      </c>
      <c r="E58" s="5">
        <v>230</v>
      </c>
      <c r="F58" s="5">
        <v>1</v>
      </c>
      <c r="G58" s="38">
        <v>1566</v>
      </c>
    </row>
    <row r="59" spans="1:7" x14ac:dyDescent="0.3">
      <c r="A59" s="37" t="s">
        <v>1736</v>
      </c>
      <c r="B59" s="5" t="s">
        <v>77</v>
      </c>
      <c r="C59" s="5" t="s">
        <v>93</v>
      </c>
      <c r="D59" s="5" t="s">
        <v>103</v>
      </c>
      <c r="E59" s="5">
        <v>389</v>
      </c>
      <c r="F59" s="5">
        <v>1</v>
      </c>
      <c r="G59" s="38">
        <v>1623</v>
      </c>
    </row>
    <row r="60" spans="1:7" x14ac:dyDescent="0.3">
      <c r="A60" s="37" t="s">
        <v>1745</v>
      </c>
      <c r="B60" s="5" t="s">
        <v>77</v>
      </c>
      <c r="C60" s="5" t="s">
        <v>93</v>
      </c>
      <c r="D60" s="5" t="s">
        <v>103</v>
      </c>
      <c r="E60" s="5">
        <v>427</v>
      </c>
      <c r="F60" s="5">
        <v>1</v>
      </c>
      <c r="G60" s="38">
        <v>1634</v>
      </c>
    </row>
    <row r="61" spans="1:7" x14ac:dyDescent="0.3">
      <c r="A61" s="42" t="s">
        <v>1751</v>
      </c>
      <c r="B61" s="43" t="s">
        <v>77</v>
      </c>
      <c r="C61" s="43" t="s">
        <v>93</v>
      </c>
      <c r="D61" s="43" t="s">
        <v>98</v>
      </c>
      <c r="E61" s="43">
        <v>89</v>
      </c>
      <c r="F61" s="43">
        <v>1</v>
      </c>
      <c r="G61" s="44">
        <v>1638</v>
      </c>
    </row>
  </sheetData>
  <pageMargins left="0.7" right="0.7" top="0.75" bottom="0.75" header="0.3" footer="0.3"/>
  <headerFooter>
    <oddHeader>&amp;C&amp;"Calibri"&amp;10&amp;KFF0000 CONFIDENCIAL&amp;1#_x000D_&amp;G</oddHeader>
  </headerFooter>
  <legacyDrawingHF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718D7-F3D5-4CD3-9204-09B7E1D43443}">
  <sheetPr>
    <tabColor rgb="FFFFFFCC"/>
  </sheetPr>
  <dimension ref="A1:P4595"/>
  <sheetViews>
    <sheetView zoomScaleNormal="100" workbookViewId="0">
      <pane xSplit="1" ySplit="4" topLeftCell="M5" activePane="bottomRight" state="frozen"/>
      <selection activeCell="CJ1" sqref="CJ1"/>
      <selection pane="topRight" activeCell="CJ1" sqref="CJ1"/>
      <selection pane="bottomLeft" activeCell="CJ1" sqref="CJ1"/>
      <selection pane="bottomRight" activeCell="E9" sqref="E9"/>
    </sheetView>
  </sheetViews>
  <sheetFormatPr baseColWidth="10" defaultColWidth="11.44140625" defaultRowHeight="11.4" x14ac:dyDescent="0.2"/>
  <cols>
    <col min="1" max="1" width="13.44140625" style="9" customWidth="1"/>
    <col min="2" max="2" width="29.77734375" style="9" customWidth="1"/>
    <col min="3" max="3" width="13" style="9" customWidth="1"/>
    <col min="4" max="4" width="11" style="9" customWidth="1"/>
    <col min="5" max="5" width="18.5546875" style="18" customWidth="1"/>
    <col min="6" max="6" width="16.5546875" style="10" customWidth="1"/>
    <col min="7" max="7" width="16" style="10" customWidth="1"/>
    <col min="8" max="8" width="17.5546875" style="10" customWidth="1"/>
    <col min="9" max="9" width="39.88671875" style="10" customWidth="1"/>
    <col min="10" max="10" width="16" style="10" customWidth="1"/>
    <col min="11" max="11" width="11.6640625" style="10" customWidth="1"/>
    <col min="12" max="12" width="16.5546875" style="10" customWidth="1"/>
    <col min="13" max="13" width="52.88671875" style="10" customWidth="1"/>
    <col min="14" max="14" width="54.5546875" style="10" customWidth="1"/>
    <col min="15" max="15" width="37.88671875" style="10" customWidth="1"/>
    <col min="16" max="16" width="32.44140625" style="10" customWidth="1"/>
    <col min="17" max="16384" width="11.44140625" style="10"/>
  </cols>
  <sheetData>
    <row r="1" spans="1:16" ht="18" customHeight="1" x14ac:dyDescent="0.3">
      <c r="A1" s="87"/>
      <c r="B1" s="87" t="s">
        <v>1832</v>
      </c>
      <c r="C1" s="88"/>
      <c r="D1" s="88"/>
      <c r="E1" s="89"/>
      <c r="F1" s="90"/>
      <c r="G1" s="89"/>
      <c r="H1" s="89"/>
      <c r="I1" s="89"/>
      <c r="J1" s="89"/>
      <c r="K1" s="89"/>
      <c r="L1" s="89"/>
      <c r="M1" s="89"/>
      <c r="N1" s="91"/>
      <c r="O1" s="89"/>
      <c r="P1" s="89"/>
    </row>
    <row r="2" spans="1:16" ht="17.399999999999999" x14ac:dyDescent="0.3">
      <c r="A2" s="87"/>
      <c r="B2" s="87" t="s">
        <v>1833</v>
      </c>
      <c r="C2" s="88"/>
      <c r="D2" s="88"/>
      <c r="E2" s="89"/>
      <c r="F2" s="89"/>
      <c r="G2" s="89"/>
      <c r="H2" s="89"/>
      <c r="I2" s="89"/>
      <c r="J2" s="89"/>
      <c r="K2" s="89"/>
      <c r="L2" s="89"/>
      <c r="M2" s="89"/>
      <c r="N2" s="91"/>
      <c r="O2" s="89"/>
      <c r="P2" s="89"/>
    </row>
    <row r="3" spans="1:16" ht="21" customHeight="1" x14ac:dyDescent="0.3">
      <c r="A3" s="87"/>
      <c r="B3" s="87" t="s">
        <v>1834</v>
      </c>
      <c r="C3" s="88"/>
      <c r="D3" s="88"/>
      <c r="E3" s="89"/>
      <c r="F3" s="89"/>
      <c r="G3" s="89"/>
      <c r="H3" s="89"/>
      <c r="I3" s="89"/>
      <c r="J3" s="89"/>
      <c r="K3" s="89"/>
      <c r="L3" s="89"/>
      <c r="M3" s="89"/>
      <c r="N3" s="89"/>
      <c r="O3" s="89"/>
      <c r="P3" s="89"/>
    </row>
    <row r="4" spans="1:16" ht="44.4" customHeight="1" x14ac:dyDescent="0.2">
      <c r="A4" s="92" t="s">
        <v>1835</v>
      </c>
      <c r="B4" s="93" t="s">
        <v>1836</v>
      </c>
      <c r="C4" s="94" t="s">
        <v>1837</v>
      </c>
      <c r="D4" s="94" t="s">
        <v>1838</v>
      </c>
      <c r="E4" s="95" t="s">
        <v>3</v>
      </c>
      <c r="F4" s="93" t="s">
        <v>1839</v>
      </c>
      <c r="G4" s="93" t="s">
        <v>4</v>
      </c>
      <c r="H4" s="93" t="s">
        <v>5</v>
      </c>
      <c r="I4" s="94" t="s">
        <v>1840</v>
      </c>
      <c r="J4" s="93" t="s">
        <v>1841</v>
      </c>
      <c r="K4" s="93" t="s">
        <v>1842</v>
      </c>
      <c r="L4" s="93" t="s">
        <v>1843</v>
      </c>
      <c r="M4" s="96" t="s">
        <v>1844</v>
      </c>
      <c r="N4" s="93" t="s">
        <v>1845</v>
      </c>
      <c r="O4" s="93" t="s">
        <v>1846</v>
      </c>
      <c r="P4" s="97" t="s">
        <v>1847</v>
      </c>
    </row>
    <row r="5" spans="1:16" ht="15.75" customHeight="1" x14ac:dyDescent="0.2">
      <c r="A5" s="48">
        <v>124</v>
      </c>
      <c r="B5" s="11" t="s">
        <v>1848</v>
      </c>
      <c r="C5" s="11" t="s">
        <v>1849</v>
      </c>
      <c r="D5" s="6" t="s">
        <v>1850</v>
      </c>
      <c r="E5" s="11" t="s">
        <v>2236</v>
      </c>
      <c r="F5" s="12" t="s">
        <v>2236</v>
      </c>
      <c r="G5" s="12" t="s">
        <v>2236</v>
      </c>
      <c r="H5" s="12" t="s">
        <v>2236</v>
      </c>
      <c r="I5" s="12" t="s">
        <v>2237</v>
      </c>
      <c r="J5" s="11" t="s">
        <v>1851</v>
      </c>
      <c r="K5" s="11" t="s">
        <v>1852</v>
      </c>
      <c r="L5" s="11" t="s">
        <v>1853</v>
      </c>
      <c r="M5" s="11" t="s">
        <v>1854</v>
      </c>
      <c r="N5" s="12"/>
      <c r="O5" s="11" t="s">
        <v>1855</v>
      </c>
      <c r="P5" s="56"/>
    </row>
    <row r="6" spans="1:16" ht="19.5" customHeight="1" x14ac:dyDescent="0.2">
      <c r="A6" s="49">
        <v>16085</v>
      </c>
      <c r="B6" s="11" t="s">
        <v>1848</v>
      </c>
      <c r="C6" s="11" t="s">
        <v>1849</v>
      </c>
      <c r="D6" s="6" t="s">
        <v>1850</v>
      </c>
      <c r="E6" s="12" t="s">
        <v>2236</v>
      </c>
      <c r="F6" s="12" t="s">
        <v>2236</v>
      </c>
      <c r="G6" s="12" t="s">
        <v>2238</v>
      </c>
      <c r="H6" s="12" t="s">
        <v>2238</v>
      </c>
      <c r="I6" s="12" t="s">
        <v>2239</v>
      </c>
      <c r="J6" s="11" t="s">
        <v>1856</v>
      </c>
      <c r="K6" s="11" t="s">
        <v>1852</v>
      </c>
      <c r="L6" s="11" t="s">
        <v>1853</v>
      </c>
      <c r="M6" s="11" t="s">
        <v>1854</v>
      </c>
      <c r="N6" s="12"/>
      <c r="O6" s="11" t="s">
        <v>1855</v>
      </c>
      <c r="P6" s="56"/>
    </row>
    <row r="7" spans="1:16" ht="18" customHeight="1" x14ac:dyDescent="0.2">
      <c r="A7" s="49">
        <v>226</v>
      </c>
      <c r="B7" s="11" t="s">
        <v>2240</v>
      </c>
      <c r="C7" s="11" t="s">
        <v>1849</v>
      </c>
      <c r="D7" s="6" t="s">
        <v>1850</v>
      </c>
      <c r="E7" s="11" t="s">
        <v>2236</v>
      </c>
      <c r="F7" s="12" t="s">
        <v>2236</v>
      </c>
      <c r="G7" s="12" t="s">
        <v>2238</v>
      </c>
      <c r="H7" s="12" t="s">
        <v>2238</v>
      </c>
      <c r="I7" s="12" t="s">
        <v>2241</v>
      </c>
      <c r="J7" s="11" t="s">
        <v>1851</v>
      </c>
      <c r="K7" s="11" t="s">
        <v>1852</v>
      </c>
      <c r="L7" s="11" t="s">
        <v>1853</v>
      </c>
      <c r="M7" s="11" t="s">
        <v>1854</v>
      </c>
      <c r="N7" s="12"/>
      <c r="O7" s="11" t="s">
        <v>1855</v>
      </c>
      <c r="P7" s="56"/>
    </row>
    <row r="8" spans="1:16" ht="15.75" customHeight="1" x14ac:dyDescent="0.2">
      <c r="A8" s="49">
        <v>5566</v>
      </c>
      <c r="B8" s="11" t="s">
        <v>1857</v>
      </c>
      <c r="C8" s="11" t="s">
        <v>1849</v>
      </c>
      <c r="D8" s="6" t="s">
        <v>1850</v>
      </c>
      <c r="E8" s="11" t="s">
        <v>2236</v>
      </c>
      <c r="F8" s="12" t="s">
        <v>2236</v>
      </c>
      <c r="G8" s="12" t="s">
        <v>2238</v>
      </c>
      <c r="H8" s="12" t="s">
        <v>2242</v>
      </c>
      <c r="I8" s="12" t="s">
        <v>2243</v>
      </c>
      <c r="J8" s="11" t="s">
        <v>1851</v>
      </c>
      <c r="K8" s="11" t="s">
        <v>1852</v>
      </c>
      <c r="L8" s="11" t="s">
        <v>1853</v>
      </c>
      <c r="M8" s="11" t="s">
        <v>2244</v>
      </c>
      <c r="N8" s="12"/>
      <c r="O8" s="11" t="s">
        <v>1858</v>
      </c>
      <c r="P8" s="56"/>
    </row>
    <row r="9" spans="1:16" ht="15.75" customHeight="1" x14ac:dyDescent="0.2">
      <c r="A9" s="49">
        <v>109</v>
      </c>
      <c r="B9" s="11" t="s">
        <v>1857</v>
      </c>
      <c r="C9" s="11" t="s">
        <v>1849</v>
      </c>
      <c r="D9" s="6" t="s">
        <v>1850</v>
      </c>
      <c r="E9" s="11" t="s">
        <v>2236</v>
      </c>
      <c r="F9" s="12" t="s">
        <v>2236</v>
      </c>
      <c r="G9" s="12" t="s">
        <v>2236</v>
      </c>
      <c r="H9" s="12" t="s">
        <v>2245</v>
      </c>
      <c r="I9" s="12" t="s">
        <v>1667</v>
      </c>
      <c r="J9" s="11" t="s">
        <v>2246</v>
      </c>
      <c r="K9" s="11" t="s">
        <v>2247</v>
      </c>
      <c r="L9" s="11" t="s">
        <v>1853</v>
      </c>
      <c r="M9" s="11" t="s">
        <v>2248</v>
      </c>
      <c r="N9" s="12"/>
      <c r="O9" s="11" t="s">
        <v>1859</v>
      </c>
      <c r="P9" s="56"/>
    </row>
    <row r="10" spans="1:16" ht="15.75" customHeight="1" x14ac:dyDescent="0.2">
      <c r="A10" s="49">
        <v>281</v>
      </c>
      <c r="B10" s="11" t="s">
        <v>1857</v>
      </c>
      <c r="C10" s="11" t="s">
        <v>1849</v>
      </c>
      <c r="D10" s="6" t="s">
        <v>1850</v>
      </c>
      <c r="E10" s="11" t="s">
        <v>2236</v>
      </c>
      <c r="F10" s="12" t="s">
        <v>2236</v>
      </c>
      <c r="G10" s="12" t="s">
        <v>2249</v>
      </c>
      <c r="H10" s="12" t="s">
        <v>2249</v>
      </c>
      <c r="I10" s="12" t="s">
        <v>2250</v>
      </c>
      <c r="J10" s="11" t="s">
        <v>1851</v>
      </c>
      <c r="K10" s="11" t="s">
        <v>1852</v>
      </c>
      <c r="L10" s="11" t="s">
        <v>1853</v>
      </c>
      <c r="M10" s="11" t="s">
        <v>2251</v>
      </c>
      <c r="N10" s="12"/>
      <c r="O10" s="11" t="s">
        <v>1858</v>
      </c>
      <c r="P10" s="56"/>
    </row>
    <row r="11" spans="1:16" ht="15.75" customHeight="1" x14ac:dyDescent="0.2">
      <c r="A11" s="49">
        <v>6351</v>
      </c>
      <c r="B11" s="11" t="s">
        <v>1857</v>
      </c>
      <c r="C11" s="11" t="s">
        <v>1849</v>
      </c>
      <c r="D11" s="6" t="s">
        <v>1850</v>
      </c>
      <c r="E11" s="11" t="s">
        <v>2236</v>
      </c>
      <c r="F11" s="12" t="s">
        <v>2236</v>
      </c>
      <c r="G11" s="12" t="s">
        <v>2249</v>
      </c>
      <c r="H11" s="12" t="s">
        <v>2252</v>
      </c>
      <c r="I11" s="12" t="s">
        <v>2253</v>
      </c>
      <c r="J11" s="11" t="s">
        <v>2246</v>
      </c>
      <c r="K11" s="11" t="s">
        <v>2247</v>
      </c>
      <c r="L11" s="11" t="s">
        <v>1853</v>
      </c>
      <c r="M11" s="11" t="s">
        <v>2254</v>
      </c>
      <c r="N11" s="12"/>
      <c r="O11" s="11" t="s">
        <v>1859</v>
      </c>
      <c r="P11" s="56"/>
    </row>
    <row r="12" spans="1:16" ht="15.75" customHeight="1" x14ac:dyDescent="0.2">
      <c r="A12" s="49">
        <v>315</v>
      </c>
      <c r="B12" s="11" t="s">
        <v>1857</v>
      </c>
      <c r="C12" s="11" t="s">
        <v>1849</v>
      </c>
      <c r="D12" s="6" t="s">
        <v>1850</v>
      </c>
      <c r="E12" s="11" t="s">
        <v>2236</v>
      </c>
      <c r="F12" s="12" t="s">
        <v>2236</v>
      </c>
      <c r="G12" s="12" t="s">
        <v>2238</v>
      </c>
      <c r="H12" s="12" t="s">
        <v>2255</v>
      </c>
      <c r="I12" s="12" t="s">
        <v>2256</v>
      </c>
      <c r="J12" s="11" t="s">
        <v>2246</v>
      </c>
      <c r="K12" s="11" t="s">
        <v>2247</v>
      </c>
      <c r="L12" s="11" t="s">
        <v>1853</v>
      </c>
      <c r="M12" s="11" t="s">
        <v>1854</v>
      </c>
      <c r="N12" s="12"/>
      <c r="O12" s="11" t="s">
        <v>1858</v>
      </c>
      <c r="P12" s="56"/>
    </row>
    <row r="13" spans="1:16" ht="15.75" customHeight="1" x14ac:dyDescent="0.2">
      <c r="A13" s="49">
        <v>233</v>
      </c>
      <c r="B13" s="11" t="s">
        <v>1857</v>
      </c>
      <c r="C13" s="11" t="s">
        <v>1849</v>
      </c>
      <c r="D13" s="6" t="s">
        <v>1850</v>
      </c>
      <c r="E13" s="11" t="s">
        <v>2236</v>
      </c>
      <c r="F13" s="12" t="s">
        <v>2236</v>
      </c>
      <c r="G13" s="12" t="s">
        <v>2238</v>
      </c>
      <c r="H13" s="12" t="s">
        <v>2257</v>
      </c>
      <c r="I13" s="12" t="s">
        <v>2258</v>
      </c>
      <c r="J13" s="11" t="s">
        <v>2246</v>
      </c>
      <c r="K13" s="11" t="s">
        <v>2247</v>
      </c>
      <c r="L13" s="11" t="s">
        <v>1853</v>
      </c>
      <c r="M13" s="11" t="s">
        <v>1854</v>
      </c>
      <c r="N13" s="12"/>
      <c r="O13" s="11" t="s">
        <v>1859</v>
      </c>
      <c r="P13" s="56"/>
    </row>
    <row r="14" spans="1:16" ht="15.75" customHeight="1" x14ac:dyDescent="0.2">
      <c r="A14" s="49">
        <v>5326</v>
      </c>
      <c r="B14" s="11" t="s">
        <v>1857</v>
      </c>
      <c r="C14" s="11" t="s">
        <v>1849</v>
      </c>
      <c r="D14" s="6" t="s">
        <v>1850</v>
      </c>
      <c r="E14" s="11" t="s">
        <v>2236</v>
      </c>
      <c r="F14" s="12" t="s">
        <v>2236</v>
      </c>
      <c r="G14" s="12" t="s">
        <v>2249</v>
      </c>
      <c r="H14" s="12" t="s">
        <v>2252</v>
      </c>
      <c r="I14" s="12" t="s">
        <v>2259</v>
      </c>
      <c r="J14" s="11" t="s">
        <v>2246</v>
      </c>
      <c r="K14" s="11" t="s">
        <v>2247</v>
      </c>
      <c r="L14" s="11" t="s">
        <v>1853</v>
      </c>
      <c r="M14" s="11" t="s">
        <v>1854</v>
      </c>
      <c r="N14" s="12"/>
      <c r="O14" s="11" t="s">
        <v>1859</v>
      </c>
      <c r="P14" s="56"/>
    </row>
    <row r="15" spans="1:16" ht="15.75" customHeight="1" x14ac:dyDescent="0.2">
      <c r="A15" s="49">
        <v>5874</v>
      </c>
      <c r="B15" s="11" t="s">
        <v>1857</v>
      </c>
      <c r="C15" s="11" t="s">
        <v>1849</v>
      </c>
      <c r="D15" s="6" t="s">
        <v>1850</v>
      </c>
      <c r="E15" s="11" t="s">
        <v>2236</v>
      </c>
      <c r="F15" s="12" t="s">
        <v>2236</v>
      </c>
      <c r="G15" s="12" t="s">
        <v>2238</v>
      </c>
      <c r="H15" s="12" t="s">
        <v>2257</v>
      </c>
      <c r="I15" s="12" t="s">
        <v>2260</v>
      </c>
      <c r="J15" s="11" t="s">
        <v>2246</v>
      </c>
      <c r="K15" s="11" t="s">
        <v>2247</v>
      </c>
      <c r="L15" s="11" t="s">
        <v>1853</v>
      </c>
      <c r="M15" s="11" t="s">
        <v>1854</v>
      </c>
      <c r="N15" s="12"/>
      <c r="O15" s="11" t="s">
        <v>1859</v>
      </c>
      <c r="P15" s="56"/>
    </row>
    <row r="16" spans="1:16" ht="15.75" customHeight="1" x14ac:dyDescent="0.2">
      <c r="A16" s="49">
        <v>125</v>
      </c>
      <c r="B16" s="11" t="s">
        <v>1857</v>
      </c>
      <c r="C16" s="11" t="s">
        <v>1849</v>
      </c>
      <c r="D16" s="6" t="s">
        <v>1850</v>
      </c>
      <c r="E16" s="11" t="s">
        <v>2236</v>
      </c>
      <c r="F16" s="12" t="s">
        <v>2236</v>
      </c>
      <c r="G16" s="12" t="s">
        <v>2249</v>
      </c>
      <c r="H16" s="12" t="s">
        <v>2252</v>
      </c>
      <c r="I16" s="12" t="s">
        <v>2261</v>
      </c>
      <c r="J16" s="11" t="s">
        <v>2246</v>
      </c>
      <c r="K16" s="11" t="s">
        <v>2247</v>
      </c>
      <c r="L16" s="11" t="s">
        <v>1853</v>
      </c>
      <c r="M16" s="11" t="s">
        <v>2262</v>
      </c>
      <c r="N16" s="12" t="s">
        <v>2263</v>
      </c>
      <c r="O16" s="11" t="s">
        <v>1859</v>
      </c>
      <c r="P16" s="56"/>
    </row>
    <row r="17" spans="1:16" ht="15.75" customHeight="1" x14ac:dyDescent="0.2">
      <c r="A17" s="49">
        <v>101</v>
      </c>
      <c r="B17" s="11" t="s">
        <v>1857</v>
      </c>
      <c r="C17" s="11" t="s">
        <v>1849</v>
      </c>
      <c r="D17" s="6" t="s">
        <v>1850</v>
      </c>
      <c r="E17" s="11" t="s">
        <v>2236</v>
      </c>
      <c r="F17" s="12" t="s">
        <v>2236</v>
      </c>
      <c r="G17" s="12" t="s">
        <v>2236</v>
      </c>
      <c r="H17" s="12" t="s">
        <v>2264</v>
      </c>
      <c r="I17" s="12" t="s">
        <v>2265</v>
      </c>
      <c r="J17" s="11" t="s">
        <v>1856</v>
      </c>
      <c r="K17" s="11" t="s">
        <v>1852</v>
      </c>
      <c r="L17" s="11" t="s">
        <v>1853</v>
      </c>
      <c r="M17" s="11" t="s">
        <v>1854</v>
      </c>
      <c r="N17" s="12"/>
      <c r="O17" s="11" t="s">
        <v>1859</v>
      </c>
      <c r="P17" s="56"/>
    </row>
    <row r="18" spans="1:16" ht="15.75" customHeight="1" x14ac:dyDescent="0.2">
      <c r="A18" s="49">
        <v>375</v>
      </c>
      <c r="B18" s="11" t="s">
        <v>1857</v>
      </c>
      <c r="C18" s="11" t="s">
        <v>1849</v>
      </c>
      <c r="D18" s="6" t="s">
        <v>1850</v>
      </c>
      <c r="E18" s="11" t="s">
        <v>2236</v>
      </c>
      <c r="F18" s="12" t="s">
        <v>2236</v>
      </c>
      <c r="G18" s="12" t="s">
        <v>2266</v>
      </c>
      <c r="H18" s="12" t="s">
        <v>2266</v>
      </c>
      <c r="I18" s="12" t="s">
        <v>2267</v>
      </c>
      <c r="J18" s="11" t="s">
        <v>2246</v>
      </c>
      <c r="K18" s="11" t="s">
        <v>2247</v>
      </c>
      <c r="L18" s="11" t="s">
        <v>1853</v>
      </c>
      <c r="M18" s="11" t="s">
        <v>1854</v>
      </c>
      <c r="N18" s="12"/>
      <c r="O18" s="11" t="s">
        <v>1860</v>
      </c>
      <c r="P18" s="56"/>
    </row>
    <row r="19" spans="1:16" ht="15.75" customHeight="1" x14ac:dyDescent="0.2">
      <c r="A19" s="49">
        <v>6350</v>
      </c>
      <c r="B19" s="11" t="s">
        <v>1857</v>
      </c>
      <c r="C19" s="11" t="s">
        <v>1849</v>
      </c>
      <c r="D19" s="6" t="s">
        <v>1850</v>
      </c>
      <c r="E19" s="11" t="s">
        <v>2236</v>
      </c>
      <c r="F19" s="12" t="s">
        <v>2236</v>
      </c>
      <c r="G19" s="12" t="s">
        <v>2236</v>
      </c>
      <c r="H19" s="12" t="s">
        <v>2264</v>
      </c>
      <c r="I19" s="12" t="s">
        <v>2268</v>
      </c>
      <c r="J19" s="11" t="s">
        <v>2246</v>
      </c>
      <c r="K19" s="11" t="s">
        <v>2247</v>
      </c>
      <c r="L19" s="11" t="s">
        <v>1853</v>
      </c>
      <c r="M19" s="11" t="s">
        <v>1854</v>
      </c>
      <c r="N19" s="12"/>
      <c r="O19" s="11" t="s">
        <v>1859</v>
      </c>
      <c r="P19" s="56"/>
    </row>
    <row r="20" spans="1:16" ht="15.75" customHeight="1" x14ac:dyDescent="0.2">
      <c r="A20" s="49">
        <v>343</v>
      </c>
      <c r="B20" s="11" t="s">
        <v>1857</v>
      </c>
      <c r="C20" s="11" t="s">
        <v>1849</v>
      </c>
      <c r="D20" s="6" t="s">
        <v>1850</v>
      </c>
      <c r="E20" s="11" t="s">
        <v>2236</v>
      </c>
      <c r="F20" s="12" t="s">
        <v>2236</v>
      </c>
      <c r="G20" s="12" t="s">
        <v>2238</v>
      </c>
      <c r="H20" s="12" t="s">
        <v>2269</v>
      </c>
      <c r="I20" s="12" t="s">
        <v>2270</v>
      </c>
      <c r="J20" s="11" t="s">
        <v>2246</v>
      </c>
      <c r="K20" s="11" t="s">
        <v>2247</v>
      </c>
      <c r="L20" s="11" t="s">
        <v>1853</v>
      </c>
      <c r="M20" s="11" t="s">
        <v>1854</v>
      </c>
      <c r="N20" s="12"/>
      <c r="O20" s="11" t="s">
        <v>1858</v>
      </c>
      <c r="P20" s="56"/>
    </row>
    <row r="21" spans="1:16" ht="15.75" customHeight="1" x14ac:dyDescent="0.2">
      <c r="A21" s="49">
        <v>5563</v>
      </c>
      <c r="B21" s="11" t="s">
        <v>1857</v>
      </c>
      <c r="C21" s="11" t="s">
        <v>1849</v>
      </c>
      <c r="D21" s="6" t="s">
        <v>1850</v>
      </c>
      <c r="E21" s="11" t="s">
        <v>2236</v>
      </c>
      <c r="F21" s="12" t="s">
        <v>2236</v>
      </c>
      <c r="G21" s="12" t="s">
        <v>2249</v>
      </c>
      <c r="H21" s="12" t="s">
        <v>2271</v>
      </c>
      <c r="I21" s="12" t="s">
        <v>2272</v>
      </c>
      <c r="J21" s="11" t="s">
        <v>1851</v>
      </c>
      <c r="K21" s="11" t="s">
        <v>1852</v>
      </c>
      <c r="L21" s="11" t="s">
        <v>1853</v>
      </c>
      <c r="M21" s="11" t="s">
        <v>1854</v>
      </c>
      <c r="N21" s="12"/>
      <c r="O21" s="11" t="s">
        <v>1858</v>
      </c>
      <c r="P21" s="56"/>
    </row>
    <row r="22" spans="1:16" ht="15.75" customHeight="1" x14ac:dyDescent="0.2">
      <c r="A22" s="49">
        <v>154</v>
      </c>
      <c r="B22" s="11" t="s">
        <v>1857</v>
      </c>
      <c r="C22" s="11" t="s">
        <v>1849</v>
      </c>
      <c r="D22" s="6" t="s">
        <v>1850</v>
      </c>
      <c r="E22" s="11" t="s">
        <v>2236</v>
      </c>
      <c r="F22" s="12" t="s">
        <v>2236</v>
      </c>
      <c r="G22" s="12" t="s">
        <v>2236</v>
      </c>
      <c r="H22" s="12" t="s">
        <v>2264</v>
      </c>
      <c r="I22" s="12" t="s">
        <v>2273</v>
      </c>
      <c r="J22" s="11" t="s">
        <v>1856</v>
      </c>
      <c r="K22" s="11" t="s">
        <v>1852</v>
      </c>
      <c r="L22" s="11" t="s">
        <v>1853</v>
      </c>
      <c r="M22" s="11" t="s">
        <v>2251</v>
      </c>
      <c r="N22" s="12"/>
      <c r="O22" s="11" t="s">
        <v>1860</v>
      </c>
      <c r="P22" s="56"/>
    </row>
    <row r="23" spans="1:16" ht="15.75" customHeight="1" x14ac:dyDescent="0.2">
      <c r="A23" s="49">
        <v>312</v>
      </c>
      <c r="B23" s="11" t="s">
        <v>1857</v>
      </c>
      <c r="C23" s="11" t="s">
        <v>1849</v>
      </c>
      <c r="D23" s="6" t="s">
        <v>1850</v>
      </c>
      <c r="E23" s="11" t="s">
        <v>2236</v>
      </c>
      <c r="F23" s="12" t="s">
        <v>2236</v>
      </c>
      <c r="G23" s="12" t="s">
        <v>2238</v>
      </c>
      <c r="H23" s="12" t="s">
        <v>2274</v>
      </c>
      <c r="I23" s="12" t="s">
        <v>2275</v>
      </c>
      <c r="J23" s="11" t="s">
        <v>2246</v>
      </c>
      <c r="K23" s="11" t="s">
        <v>2247</v>
      </c>
      <c r="L23" s="11" t="s">
        <v>1853</v>
      </c>
      <c r="M23" s="11" t="s">
        <v>2276</v>
      </c>
      <c r="N23" s="12"/>
      <c r="O23" s="11" t="s">
        <v>1858</v>
      </c>
      <c r="P23" s="56"/>
    </row>
    <row r="24" spans="1:16" ht="15.75" customHeight="1" x14ac:dyDescent="0.2">
      <c r="A24" s="49">
        <v>99</v>
      </c>
      <c r="B24" s="11" t="s">
        <v>1857</v>
      </c>
      <c r="C24" s="11" t="s">
        <v>1849</v>
      </c>
      <c r="D24" s="6" t="s">
        <v>1850</v>
      </c>
      <c r="E24" s="11" t="s">
        <v>2236</v>
      </c>
      <c r="F24" s="12" t="s">
        <v>2236</v>
      </c>
      <c r="G24" s="12" t="s">
        <v>2236</v>
      </c>
      <c r="H24" s="12" t="s">
        <v>2236</v>
      </c>
      <c r="I24" s="12" t="s">
        <v>2277</v>
      </c>
      <c r="J24" s="11" t="s">
        <v>1856</v>
      </c>
      <c r="K24" s="11" t="s">
        <v>1852</v>
      </c>
      <c r="L24" s="11" t="s">
        <v>1853</v>
      </c>
      <c r="M24" s="11" t="s">
        <v>2251</v>
      </c>
      <c r="N24" s="12" t="s">
        <v>2278</v>
      </c>
      <c r="O24" s="11" t="s">
        <v>1858</v>
      </c>
      <c r="P24" s="56"/>
    </row>
    <row r="25" spans="1:16" ht="15.75" customHeight="1" x14ac:dyDescent="0.2">
      <c r="A25" s="49">
        <v>262</v>
      </c>
      <c r="B25" s="11" t="s">
        <v>1857</v>
      </c>
      <c r="C25" s="11" t="s">
        <v>1849</v>
      </c>
      <c r="D25" s="6" t="s">
        <v>1850</v>
      </c>
      <c r="E25" s="11" t="s">
        <v>2236</v>
      </c>
      <c r="F25" s="12" t="s">
        <v>2236</v>
      </c>
      <c r="G25" s="12" t="s">
        <v>2238</v>
      </c>
      <c r="H25" s="12" t="s">
        <v>2238</v>
      </c>
      <c r="I25" s="12" t="s">
        <v>2279</v>
      </c>
      <c r="J25" s="11" t="s">
        <v>1851</v>
      </c>
      <c r="K25" s="11" t="s">
        <v>1852</v>
      </c>
      <c r="L25" s="11" t="s">
        <v>1853</v>
      </c>
      <c r="M25" s="11" t="s">
        <v>2280</v>
      </c>
      <c r="N25" s="12" t="s">
        <v>2281</v>
      </c>
      <c r="O25" s="11" t="s">
        <v>1858</v>
      </c>
      <c r="P25" s="56"/>
    </row>
    <row r="26" spans="1:16" ht="15.75" customHeight="1" x14ac:dyDescent="0.2">
      <c r="A26" s="49">
        <v>478</v>
      </c>
      <c r="B26" s="11" t="s">
        <v>1857</v>
      </c>
      <c r="C26" s="11" t="s">
        <v>1849</v>
      </c>
      <c r="D26" s="6" t="s">
        <v>1850</v>
      </c>
      <c r="E26" s="11" t="s">
        <v>2236</v>
      </c>
      <c r="F26" s="12" t="s">
        <v>2236</v>
      </c>
      <c r="G26" s="12" t="s">
        <v>2266</v>
      </c>
      <c r="H26" s="12" t="s">
        <v>2282</v>
      </c>
      <c r="I26" s="12" t="s">
        <v>2283</v>
      </c>
      <c r="J26" s="11" t="s">
        <v>1856</v>
      </c>
      <c r="K26" s="11" t="s">
        <v>1852</v>
      </c>
      <c r="L26" s="11" t="s">
        <v>1853</v>
      </c>
      <c r="M26" s="11" t="s">
        <v>2284</v>
      </c>
      <c r="N26" s="12" t="s">
        <v>2285</v>
      </c>
      <c r="O26" s="11" t="s">
        <v>1860</v>
      </c>
      <c r="P26" s="56"/>
    </row>
    <row r="27" spans="1:16" ht="15.75" customHeight="1" x14ac:dyDescent="0.2">
      <c r="A27" s="49">
        <v>338</v>
      </c>
      <c r="B27" s="11" t="s">
        <v>1857</v>
      </c>
      <c r="C27" s="11" t="s">
        <v>1849</v>
      </c>
      <c r="D27" s="6" t="s">
        <v>1850</v>
      </c>
      <c r="E27" s="11" t="s">
        <v>2236</v>
      </c>
      <c r="F27" s="12" t="s">
        <v>2236</v>
      </c>
      <c r="G27" s="12" t="s">
        <v>2238</v>
      </c>
      <c r="H27" s="12" t="s">
        <v>2255</v>
      </c>
      <c r="I27" s="12" t="s">
        <v>2286</v>
      </c>
      <c r="J27" s="11" t="s">
        <v>1856</v>
      </c>
      <c r="K27" s="11" t="s">
        <v>1852</v>
      </c>
      <c r="L27" s="11" t="s">
        <v>1853</v>
      </c>
      <c r="M27" s="11" t="s">
        <v>2287</v>
      </c>
      <c r="N27" s="12" t="s">
        <v>2288</v>
      </c>
      <c r="O27" s="11" t="s">
        <v>1860</v>
      </c>
      <c r="P27" s="56"/>
    </row>
    <row r="28" spans="1:16" ht="15.75" customHeight="1" x14ac:dyDescent="0.2">
      <c r="A28" s="49">
        <v>5320</v>
      </c>
      <c r="B28" s="11" t="s">
        <v>1857</v>
      </c>
      <c r="C28" s="11" t="s">
        <v>1849</v>
      </c>
      <c r="D28" s="6" t="s">
        <v>1850</v>
      </c>
      <c r="E28" s="11" t="s">
        <v>2236</v>
      </c>
      <c r="F28" s="12" t="s">
        <v>2236</v>
      </c>
      <c r="G28" s="12" t="s">
        <v>2238</v>
      </c>
      <c r="H28" s="12" t="s">
        <v>2289</v>
      </c>
      <c r="I28" s="12" t="s">
        <v>2290</v>
      </c>
      <c r="J28" s="11" t="s">
        <v>1851</v>
      </c>
      <c r="K28" s="11" t="s">
        <v>1852</v>
      </c>
      <c r="L28" s="11" t="s">
        <v>1853</v>
      </c>
      <c r="M28" s="11" t="s">
        <v>1861</v>
      </c>
      <c r="N28" s="12"/>
      <c r="O28" s="11" t="s">
        <v>1860</v>
      </c>
      <c r="P28" s="56"/>
    </row>
    <row r="29" spans="1:16" ht="15.75" customHeight="1" x14ac:dyDescent="0.2">
      <c r="A29" s="49">
        <v>276</v>
      </c>
      <c r="B29" s="11" t="s">
        <v>1857</v>
      </c>
      <c r="C29" s="11" t="s">
        <v>1849</v>
      </c>
      <c r="D29" s="6" t="s">
        <v>1850</v>
      </c>
      <c r="E29" s="11" t="s">
        <v>2236</v>
      </c>
      <c r="F29" s="12" t="s">
        <v>2236</v>
      </c>
      <c r="G29" s="12" t="s">
        <v>2238</v>
      </c>
      <c r="H29" s="12" t="s">
        <v>2291</v>
      </c>
      <c r="I29" s="12" t="s">
        <v>2292</v>
      </c>
      <c r="J29" s="11" t="s">
        <v>1856</v>
      </c>
      <c r="K29" s="11" t="s">
        <v>1852</v>
      </c>
      <c r="L29" s="11" t="s">
        <v>1853</v>
      </c>
      <c r="M29" s="11" t="s">
        <v>2293</v>
      </c>
      <c r="N29" s="12" t="s">
        <v>2294</v>
      </c>
      <c r="O29" s="11" t="s">
        <v>1860</v>
      </c>
      <c r="P29" s="56"/>
    </row>
    <row r="30" spans="1:16" ht="15.75" customHeight="1" x14ac:dyDescent="0.2">
      <c r="A30" s="49">
        <v>231</v>
      </c>
      <c r="B30" s="11" t="s">
        <v>1857</v>
      </c>
      <c r="C30" s="11" t="s">
        <v>1849</v>
      </c>
      <c r="D30" s="6" t="s">
        <v>1850</v>
      </c>
      <c r="E30" s="11" t="s">
        <v>2236</v>
      </c>
      <c r="F30" s="12" t="s">
        <v>2236</v>
      </c>
      <c r="G30" s="12" t="s">
        <v>2238</v>
      </c>
      <c r="H30" s="12" t="s">
        <v>2295</v>
      </c>
      <c r="I30" s="12" t="s">
        <v>2296</v>
      </c>
      <c r="J30" s="11" t="s">
        <v>1851</v>
      </c>
      <c r="K30" s="11" t="s">
        <v>1852</v>
      </c>
      <c r="L30" s="11" t="s">
        <v>1853</v>
      </c>
      <c r="M30" s="11" t="s">
        <v>2297</v>
      </c>
      <c r="N30" s="12" t="s">
        <v>2298</v>
      </c>
      <c r="O30" s="11" t="s">
        <v>1860</v>
      </c>
      <c r="P30" s="56"/>
    </row>
    <row r="31" spans="1:16" ht="15.75" customHeight="1" x14ac:dyDescent="0.2">
      <c r="A31" s="49">
        <v>321</v>
      </c>
      <c r="B31" s="11" t="s">
        <v>1857</v>
      </c>
      <c r="C31" s="11" t="s">
        <v>1849</v>
      </c>
      <c r="D31" s="6" t="s">
        <v>1850</v>
      </c>
      <c r="E31" s="11" t="s">
        <v>2236</v>
      </c>
      <c r="F31" s="12" t="s">
        <v>2236</v>
      </c>
      <c r="G31" s="12" t="s">
        <v>2238</v>
      </c>
      <c r="H31" s="12" t="s">
        <v>2299</v>
      </c>
      <c r="I31" s="12" t="s">
        <v>2300</v>
      </c>
      <c r="J31" s="11" t="s">
        <v>1856</v>
      </c>
      <c r="K31" s="11" t="s">
        <v>1852</v>
      </c>
      <c r="L31" s="11" t="s">
        <v>1853</v>
      </c>
      <c r="M31" s="11" t="s">
        <v>2301</v>
      </c>
      <c r="N31" s="12" t="s">
        <v>2302</v>
      </c>
      <c r="O31" s="11" t="s">
        <v>1860</v>
      </c>
      <c r="P31" s="56"/>
    </row>
    <row r="32" spans="1:16" ht="15.75" customHeight="1" x14ac:dyDescent="0.2">
      <c r="A32" s="49">
        <v>288</v>
      </c>
      <c r="B32" s="11" t="s">
        <v>1857</v>
      </c>
      <c r="C32" s="11" t="s">
        <v>1849</v>
      </c>
      <c r="D32" s="6" t="s">
        <v>1850</v>
      </c>
      <c r="E32" s="11" t="s">
        <v>2236</v>
      </c>
      <c r="F32" s="12" t="s">
        <v>2236</v>
      </c>
      <c r="G32" s="12" t="s">
        <v>2249</v>
      </c>
      <c r="H32" s="12" t="s">
        <v>2303</v>
      </c>
      <c r="I32" s="12" t="s">
        <v>2304</v>
      </c>
      <c r="J32" s="11" t="s">
        <v>1856</v>
      </c>
      <c r="K32" s="11" t="s">
        <v>1852</v>
      </c>
      <c r="L32" s="11" t="s">
        <v>1853</v>
      </c>
      <c r="M32" s="11" t="s">
        <v>2305</v>
      </c>
      <c r="N32" s="12" t="s">
        <v>2306</v>
      </c>
      <c r="O32" s="11" t="s">
        <v>2307</v>
      </c>
      <c r="P32" s="56" t="s">
        <v>2308</v>
      </c>
    </row>
    <row r="33" spans="1:16" ht="15.75" customHeight="1" x14ac:dyDescent="0.2">
      <c r="A33" s="49">
        <v>267</v>
      </c>
      <c r="B33" s="11" t="s">
        <v>1857</v>
      </c>
      <c r="C33" s="11" t="s">
        <v>1849</v>
      </c>
      <c r="D33" s="6" t="s">
        <v>1850</v>
      </c>
      <c r="E33" s="11" t="s">
        <v>2236</v>
      </c>
      <c r="F33" s="12" t="s">
        <v>2236</v>
      </c>
      <c r="G33" s="12" t="s">
        <v>2238</v>
      </c>
      <c r="H33" s="12" t="s">
        <v>2309</v>
      </c>
      <c r="I33" s="12" t="s">
        <v>2310</v>
      </c>
      <c r="J33" s="11" t="s">
        <v>1856</v>
      </c>
      <c r="K33" s="11" t="s">
        <v>1852</v>
      </c>
      <c r="L33" s="11" t="s">
        <v>1853</v>
      </c>
      <c r="M33" s="11" t="s">
        <v>2311</v>
      </c>
      <c r="N33" s="12"/>
      <c r="O33" s="11" t="s">
        <v>1860</v>
      </c>
      <c r="P33" s="56"/>
    </row>
    <row r="34" spans="1:16" ht="15.75" customHeight="1" x14ac:dyDescent="0.2">
      <c r="A34" s="49">
        <v>307</v>
      </c>
      <c r="B34" s="11" t="s">
        <v>1857</v>
      </c>
      <c r="C34" s="11" t="s">
        <v>1849</v>
      </c>
      <c r="D34" s="6" t="s">
        <v>1850</v>
      </c>
      <c r="E34" s="11" t="s">
        <v>2236</v>
      </c>
      <c r="F34" s="12" t="s">
        <v>2236</v>
      </c>
      <c r="G34" s="12" t="s">
        <v>2249</v>
      </c>
      <c r="H34" s="12" t="s">
        <v>2312</v>
      </c>
      <c r="I34" s="12" t="s">
        <v>2313</v>
      </c>
      <c r="J34" s="11" t="s">
        <v>2246</v>
      </c>
      <c r="K34" s="11" t="s">
        <v>2247</v>
      </c>
      <c r="L34" s="11" t="s">
        <v>1853</v>
      </c>
      <c r="M34" s="11" t="s">
        <v>2311</v>
      </c>
      <c r="N34" s="12" t="s">
        <v>2314</v>
      </c>
      <c r="O34" s="11" t="s">
        <v>1860</v>
      </c>
      <c r="P34" s="56"/>
    </row>
    <row r="35" spans="1:16" ht="15.75" customHeight="1" x14ac:dyDescent="0.2">
      <c r="A35" s="49">
        <v>396</v>
      </c>
      <c r="B35" s="11" t="s">
        <v>1857</v>
      </c>
      <c r="C35" s="11" t="s">
        <v>1849</v>
      </c>
      <c r="D35" s="6" t="s">
        <v>1850</v>
      </c>
      <c r="E35" s="11" t="s">
        <v>2236</v>
      </c>
      <c r="F35" s="12" t="s">
        <v>2236</v>
      </c>
      <c r="G35" s="12" t="s">
        <v>2266</v>
      </c>
      <c r="H35" s="12" t="s">
        <v>2315</v>
      </c>
      <c r="I35" s="12" t="s">
        <v>73</v>
      </c>
      <c r="J35" s="11" t="s">
        <v>1856</v>
      </c>
      <c r="K35" s="11" t="s">
        <v>1852</v>
      </c>
      <c r="L35" s="11" t="s">
        <v>1853</v>
      </c>
      <c r="M35" s="11" t="s">
        <v>2316</v>
      </c>
      <c r="N35" s="12"/>
      <c r="O35" s="11" t="s">
        <v>1860</v>
      </c>
      <c r="P35" s="56"/>
    </row>
    <row r="36" spans="1:16" ht="15.75" customHeight="1" x14ac:dyDescent="0.2">
      <c r="A36" s="49">
        <v>5323</v>
      </c>
      <c r="B36" s="11" t="s">
        <v>1857</v>
      </c>
      <c r="C36" s="11" t="s">
        <v>1849</v>
      </c>
      <c r="D36" s="6" t="s">
        <v>1850</v>
      </c>
      <c r="E36" s="11" t="s">
        <v>2236</v>
      </c>
      <c r="F36" s="12" t="s">
        <v>2236</v>
      </c>
      <c r="G36" s="12" t="s">
        <v>2249</v>
      </c>
      <c r="H36" s="12" t="s">
        <v>2317</v>
      </c>
      <c r="I36" s="12" t="s">
        <v>2318</v>
      </c>
      <c r="J36" s="11" t="s">
        <v>2246</v>
      </c>
      <c r="K36" s="11" t="s">
        <v>2247</v>
      </c>
      <c r="L36" s="11" t="s">
        <v>1853</v>
      </c>
      <c r="M36" s="11" t="s">
        <v>2301</v>
      </c>
      <c r="N36" s="12" t="s">
        <v>2319</v>
      </c>
      <c r="O36" s="11" t="s">
        <v>1860</v>
      </c>
      <c r="P36" s="56"/>
    </row>
    <row r="37" spans="1:16" ht="15.75" customHeight="1" x14ac:dyDescent="0.2">
      <c r="A37" s="49">
        <v>5324</v>
      </c>
      <c r="B37" s="11" t="s">
        <v>1857</v>
      </c>
      <c r="C37" s="11" t="s">
        <v>1849</v>
      </c>
      <c r="D37" s="6" t="s">
        <v>1850</v>
      </c>
      <c r="E37" s="11" t="s">
        <v>2236</v>
      </c>
      <c r="F37" s="12" t="s">
        <v>2236</v>
      </c>
      <c r="G37" s="12" t="s">
        <v>2238</v>
      </c>
      <c r="H37" s="12" t="s">
        <v>2320</v>
      </c>
      <c r="I37" s="12" t="s">
        <v>2321</v>
      </c>
      <c r="J37" s="11" t="s">
        <v>2246</v>
      </c>
      <c r="K37" s="11" t="s">
        <v>2247</v>
      </c>
      <c r="L37" s="11" t="s">
        <v>2322</v>
      </c>
      <c r="M37" s="11" t="s">
        <v>1854</v>
      </c>
      <c r="N37" s="12"/>
      <c r="O37" s="11" t="s">
        <v>1860</v>
      </c>
      <c r="P37" s="56" t="s">
        <v>2323</v>
      </c>
    </row>
    <row r="38" spans="1:16" ht="15.75" customHeight="1" x14ac:dyDescent="0.2">
      <c r="A38" s="49">
        <v>339</v>
      </c>
      <c r="B38" s="11" t="s">
        <v>1857</v>
      </c>
      <c r="C38" s="11" t="s">
        <v>1849</v>
      </c>
      <c r="D38" s="6" t="s">
        <v>1850</v>
      </c>
      <c r="E38" s="11" t="s">
        <v>2236</v>
      </c>
      <c r="F38" s="12" t="s">
        <v>2236</v>
      </c>
      <c r="G38" s="12" t="s">
        <v>2238</v>
      </c>
      <c r="H38" s="12" t="s">
        <v>2324</v>
      </c>
      <c r="I38" s="12" t="s">
        <v>2325</v>
      </c>
      <c r="J38" s="11" t="s">
        <v>1856</v>
      </c>
      <c r="K38" s="11" t="s">
        <v>1852</v>
      </c>
      <c r="L38" s="11" t="s">
        <v>1853</v>
      </c>
      <c r="M38" s="11" t="s">
        <v>2280</v>
      </c>
      <c r="N38" s="12" t="s">
        <v>2281</v>
      </c>
      <c r="O38" s="11" t="s">
        <v>1860</v>
      </c>
      <c r="P38" s="56"/>
    </row>
    <row r="39" spans="1:16" ht="15.75" customHeight="1" x14ac:dyDescent="0.2">
      <c r="A39" s="49">
        <v>374</v>
      </c>
      <c r="B39" s="11" t="s">
        <v>1857</v>
      </c>
      <c r="C39" s="11" t="s">
        <v>1849</v>
      </c>
      <c r="D39" s="6" t="s">
        <v>1850</v>
      </c>
      <c r="E39" s="11" t="s">
        <v>2236</v>
      </c>
      <c r="F39" s="12" t="s">
        <v>2236</v>
      </c>
      <c r="G39" s="12" t="s">
        <v>2238</v>
      </c>
      <c r="H39" s="12" t="s">
        <v>2257</v>
      </c>
      <c r="I39" s="12" t="s">
        <v>2326</v>
      </c>
      <c r="J39" s="11" t="s">
        <v>2246</v>
      </c>
      <c r="K39" s="11" t="s">
        <v>2247</v>
      </c>
      <c r="L39" s="11" t="s">
        <v>1853</v>
      </c>
      <c r="M39" s="11" t="s">
        <v>1854</v>
      </c>
      <c r="N39" s="12"/>
      <c r="O39" s="11" t="s">
        <v>1859</v>
      </c>
      <c r="P39" s="56"/>
    </row>
    <row r="40" spans="1:16" ht="15.75" customHeight="1" x14ac:dyDescent="0.2">
      <c r="A40" s="49">
        <v>127</v>
      </c>
      <c r="B40" s="11" t="s">
        <v>1857</v>
      </c>
      <c r="C40" s="11" t="s">
        <v>1849</v>
      </c>
      <c r="D40" s="6" t="s">
        <v>1850</v>
      </c>
      <c r="E40" s="11" t="s">
        <v>2236</v>
      </c>
      <c r="F40" s="12" t="s">
        <v>2236</v>
      </c>
      <c r="G40" s="12" t="s">
        <v>2236</v>
      </c>
      <c r="H40" s="12" t="s">
        <v>2236</v>
      </c>
      <c r="I40" s="12" t="s">
        <v>2327</v>
      </c>
      <c r="J40" s="11" t="s">
        <v>1856</v>
      </c>
      <c r="K40" s="11" t="s">
        <v>1852</v>
      </c>
      <c r="L40" s="11" t="s">
        <v>1853</v>
      </c>
      <c r="M40" s="11" t="s">
        <v>1862</v>
      </c>
      <c r="N40" s="12"/>
      <c r="O40" s="11" t="s">
        <v>1858</v>
      </c>
      <c r="P40" s="56"/>
    </row>
    <row r="41" spans="1:16" ht="15.75" customHeight="1" x14ac:dyDescent="0.2">
      <c r="A41" s="49">
        <v>108</v>
      </c>
      <c r="B41" s="11" t="s">
        <v>1857</v>
      </c>
      <c r="C41" s="11" t="s">
        <v>1849</v>
      </c>
      <c r="D41" s="6" t="s">
        <v>1850</v>
      </c>
      <c r="E41" s="11" t="s">
        <v>2236</v>
      </c>
      <c r="F41" s="12" t="s">
        <v>2236</v>
      </c>
      <c r="G41" s="12" t="s">
        <v>2249</v>
      </c>
      <c r="H41" s="12" t="s">
        <v>2252</v>
      </c>
      <c r="I41" s="12" t="s">
        <v>2328</v>
      </c>
      <c r="J41" s="11" t="s">
        <v>2246</v>
      </c>
      <c r="K41" s="11" t="s">
        <v>2247</v>
      </c>
      <c r="L41" s="11" t="s">
        <v>1853</v>
      </c>
      <c r="M41" s="11" t="s">
        <v>2329</v>
      </c>
      <c r="N41" s="12"/>
      <c r="O41" s="11" t="s">
        <v>1859</v>
      </c>
      <c r="P41" s="56"/>
    </row>
    <row r="42" spans="1:16" ht="15.75" customHeight="1" x14ac:dyDescent="0.2">
      <c r="A42" s="49">
        <v>175</v>
      </c>
      <c r="B42" s="11" t="s">
        <v>1857</v>
      </c>
      <c r="C42" s="11" t="s">
        <v>1849</v>
      </c>
      <c r="D42" s="6" t="s">
        <v>1850</v>
      </c>
      <c r="E42" s="11" t="s">
        <v>2236</v>
      </c>
      <c r="F42" s="12" t="s">
        <v>2236</v>
      </c>
      <c r="G42" s="12" t="s">
        <v>2236</v>
      </c>
      <c r="H42" s="12" t="s">
        <v>2330</v>
      </c>
      <c r="I42" s="12" t="s">
        <v>2331</v>
      </c>
      <c r="J42" s="11" t="s">
        <v>1856</v>
      </c>
      <c r="K42" s="11" t="s">
        <v>1852</v>
      </c>
      <c r="L42" s="11" t="s">
        <v>1853</v>
      </c>
      <c r="M42" s="11" t="s">
        <v>2332</v>
      </c>
      <c r="N42" s="12" t="s">
        <v>2333</v>
      </c>
      <c r="O42" s="11" t="s">
        <v>2334</v>
      </c>
      <c r="P42" s="56" t="s">
        <v>1863</v>
      </c>
    </row>
    <row r="43" spans="1:16" ht="15.75" customHeight="1" x14ac:dyDescent="0.2">
      <c r="A43" s="49">
        <v>97</v>
      </c>
      <c r="B43" s="11" t="s">
        <v>1857</v>
      </c>
      <c r="C43" s="11" t="s">
        <v>1849</v>
      </c>
      <c r="D43" s="6" t="s">
        <v>1850</v>
      </c>
      <c r="E43" s="11" t="s">
        <v>2236</v>
      </c>
      <c r="F43" s="12" t="s">
        <v>2236</v>
      </c>
      <c r="G43" s="12" t="s">
        <v>2236</v>
      </c>
      <c r="H43" s="12" t="s">
        <v>2245</v>
      </c>
      <c r="I43" s="12" t="s">
        <v>2335</v>
      </c>
      <c r="J43" s="11" t="s">
        <v>2246</v>
      </c>
      <c r="K43" s="11" t="s">
        <v>2247</v>
      </c>
      <c r="L43" s="11" t="s">
        <v>1853</v>
      </c>
      <c r="M43" s="11" t="s">
        <v>2336</v>
      </c>
      <c r="N43" s="12"/>
      <c r="O43" s="11" t="s">
        <v>2337</v>
      </c>
      <c r="P43" s="56"/>
    </row>
    <row r="44" spans="1:16" ht="15.75" customHeight="1" x14ac:dyDescent="0.2">
      <c r="A44" s="49">
        <v>258</v>
      </c>
      <c r="B44" s="11" t="s">
        <v>1857</v>
      </c>
      <c r="C44" s="11" t="s">
        <v>1849</v>
      </c>
      <c r="D44" s="6" t="s">
        <v>1850</v>
      </c>
      <c r="E44" s="11" t="s">
        <v>2236</v>
      </c>
      <c r="F44" s="12" t="s">
        <v>2236</v>
      </c>
      <c r="G44" s="12" t="s">
        <v>2238</v>
      </c>
      <c r="H44" s="12" t="s">
        <v>2289</v>
      </c>
      <c r="I44" s="12" t="s">
        <v>2338</v>
      </c>
      <c r="J44" s="11" t="s">
        <v>1856</v>
      </c>
      <c r="K44" s="11" t="s">
        <v>1852</v>
      </c>
      <c r="L44" s="11" t="s">
        <v>1853</v>
      </c>
      <c r="M44" s="11" t="s">
        <v>2276</v>
      </c>
      <c r="N44" s="12"/>
      <c r="O44" s="11" t="s">
        <v>1858</v>
      </c>
      <c r="P44" s="56"/>
    </row>
    <row r="45" spans="1:16" ht="15.75" customHeight="1" x14ac:dyDescent="0.2">
      <c r="A45" s="49">
        <v>367</v>
      </c>
      <c r="B45" s="11" t="s">
        <v>1857</v>
      </c>
      <c r="C45" s="11" t="s">
        <v>1849</v>
      </c>
      <c r="D45" s="6" t="s">
        <v>1850</v>
      </c>
      <c r="E45" s="11" t="s">
        <v>2236</v>
      </c>
      <c r="F45" s="12" t="s">
        <v>2236</v>
      </c>
      <c r="G45" s="12" t="s">
        <v>2249</v>
      </c>
      <c r="H45" s="12" t="s">
        <v>2303</v>
      </c>
      <c r="I45" s="12" t="s">
        <v>2339</v>
      </c>
      <c r="J45" s="11" t="s">
        <v>2246</v>
      </c>
      <c r="K45" s="11" t="s">
        <v>2247</v>
      </c>
      <c r="L45" s="11" t="s">
        <v>1853</v>
      </c>
      <c r="M45" s="11" t="s">
        <v>1854</v>
      </c>
      <c r="N45" s="12"/>
      <c r="O45" s="11" t="s">
        <v>1858</v>
      </c>
      <c r="P45" s="56"/>
    </row>
    <row r="46" spans="1:16" ht="15.75" customHeight="1" x14ac:dyDescent="0.2">
      <c r="A46" s="49">
        <v>357</v>
      </c>
      <c r="B46" s="11" t="s">
        <v>1857</v>
      </c>
      <c r="C46" s="11" t="s">
        <v>1849</v>
      </c>
      <c r="D46" s="6" t="s">
        <v>1850</v>
      </c>
      <c r="E46" s="11" t="s">
        <v>2236</v>
      </c>
      <c r="F46" s="12" t="s">
        <v>2236</v>
      </c>
      <c r="G46" s="12" t="s">
        <v>2238</v>
      </c>
      <c r="H46" s="12" t="s">
        <v>2324</v>
      </c>
      <c r="I46" s="12" t="s">
        <v>2340</v>
      </c>
      <c r="J46" s="11" t="s">
        <v>1851</v>
      </c>
      <c r="K46" s="11" t="s">
        <v>1852</v>
      </c>
      <c r="L46" s="11" t="s">
        <v>1853</v>
      </c>
      <c r="M46" s="11" t="s">
        <v>2341</v>
      </c>
      <c r="N46" s="12"/>
      <c r="O46" s="11" t="s">
        <v>2342</v>
      </c>
      <c r="P46" s="56" t="s">
        <v>2343</v>
      </c>
    </row>
    <row r="47" spans="1:16" ht="15.75" customHeight="1" x14ac:dyDescent="0.2">
      <c r="A47" s="49">
        <v>122</v>
      </c>
      <c r="B47" s="11" t="s">
        <v>1857</v>
      </c>
      <c r="C47" s="11" t="s">
        <v>1849</v>
      </c>
      <c r="D47" s="6" t="s">
        <v>1850</v>
      </c>
      <c r="E47" s="11" t="s">
        <v>2236</v>
      </c>
      <c r="F47" s="12" t="s">
        <v>2236</v>
      </c>
      <c r="G47" s="12" t="s">
        <v>2236</v>
      </c>
      <c r="H47" s="12" t="s">
        <v>2236</v>
      </c>
      <c r="I47" s="12" t="s">
        <v>2344</v>
      </c>
      <c r="J47" s="11" t="s">
        <v>1856</v>
      </c>
      <c r="K47" s="11" t="s">
        <v>1852</v>
      </c>
      <c r="L47" s="11" t="s">
        <v>1853</v>
      </c>
      <c r="M47" s="11" t="s">
        <v>2345</v>
      </c>
      <c r="N47" s="12" t="s">
        <v>2346</v>
      </c>
      <c r="O47" s="11" t="s">
        <v>1864</v>
      </c>
      <c r="P47" s="56" t="s">
        <v>2347</v>
      </c>
    </row>
    <row r="48" spans="1:16" ht="15.75" customHeight="1" x14ac:dyDescent="0.2">
      <c r="A48" s="49">
        <v>334</v>
      </c>
      <c r="B48" s="11" t="s">
        <v>1857</v>
      </c>
      <c r="C48" s="11" t="s">
        <v>1849</v>
      </c>
      <c r="D48" s="6" t="s">
        <v>1850</v>
      </c>
      <c r="E48" s="11" t="s">
        <v>2236</v>
      </c>
      <c r="F48" s="12" t="s">
        <v>2236</v>
      </c>
      <c r="G48" s="12" t="s">
        <v>2238</v>
      </c>
      <c r="H48" s="12" t="s">
        <v>2255</v>
      </c>
      <c r="I48" s="12" t="s">
        <v>2348</v>
      </c>
      <c r="J48" s="11" t="s">
        <v>1856</v>
      </c>
      <c r="K48" s="11" t="s">
        <v>1852</v>
      </c>
      <c r="L48" s="11" t="s">
        <v>1853</v>
      </c>
      <c r="M48" s="11" t="s">
        <v>2349</v>
      </c>
      <c r="N48" s="12"/>
      <c r="O48" s="11" t="s">
        <v>2350</v>
      </c>
      <c r="P48" s="56" t="s">
        <v>1865</v>
      </c>
    </row>
    <row r="49" spans="1:16" ht="15.75" customHeight="1" x14ac:dyDescent="0.2">
      <c r="A49" s="49">
        <v>291</v>
      </c>
      <c r="B49" s="11" t="s">
        <v>1857</v>
      </c>
      <c r="C49" s="11" t="s">
        <v>1849</v>
      </c>
      <c r="D49" s="6" t="s">
        <v>1850</v>
      </c>
      <c r="E49" s="11" t="s">
        <v>2236</v>
      </c>
      <c r="F49" s="12" t="s">
        <v>2236</v>
      </c>
      <c r="G49" s="12" t="s">
        <v>2249</v>
      </c>
      <c r="H49" s="12" t="s">
        <v>2249</v>
      </c>
      <c r="I49" s="12" t="s">
        <v>2351</v>
      </c>
      <c r="J49" s="11" t="s">
        <v>1851</v>
      </c>
      <c r="K49" s="11" t="s">
        <v>1852</v>
      </c>
      <c r="L49" s="11" t="s">
        <v>1853</v>
      </c>
      <c r="M49" s="11" t="s">
        <v>1854</v>
      </c>
      <c r="N49" s="12"/>
      <c r="O49" s="11" t="s">
        <v>1866</v>
      </c>
      <c r="P49" s="56" t="s">
        <v>2352</v>
      </c>
    </row>
    <row r="50" spans="1:16" ht="15.75" customHeight="1" x14ac:dyDescent="0.2">
      <c r="A50" s="49">
        <v>128</v>
      </c>
      <c r="B50" s="11" t="s">
        <v>1857</v>
      </c>
      <c r="C50" s="11" t="s">
        <v>1849</v>
      </c>
      <c r="D50" s="6" t="s">
        <v>1850</v>
      </c>
      <c r="E50" s="11" t="s">
        <v>2236</v>
      </c>
      <c r="F50" s="12" t="s">
        <v>2236</v>
      </c>
      <c r="G50" s="12" t="s">
        <v>2236</v>
      </c>
      <c r="H50" s="12" t="s">
        <v>2236</v>
      </c>
      <c r="I50" s="12" t="s">
        <v>2353</v>
      </c>
      <c r="J50" s="11" t="s">
        <v>1856</v>
      </c>
      <c r="K50" s="11" t="s">
        <v>1852</v>
      </c>
      <c r="L50" s="11" t="s">
        <v>1853</v>
      </c>
      <c r="M50" s="11" t="s">
        <v>1854</v>
      </c>
      <c r="N50" s="12"/>
      <c r="O50" s="11" t="s">
        <v>1859</v>
      </c>
      <c r="P50" s="56"/>
    </row>
    <row r="51" spans="1:16" ht="15.75" customHeight="1" x14ac:dyDescent="0.2">
      <c r="A51" s="49">
        <v>261</v>
      </c>
      <c r="B51" s="11" t="s">
        <v>1857</v>
      </c>
      <c r="C51" s="11" t="s">
        <v>1849</v>
      </c>
      <c r="D51" s="6" t="s">
        <v>1850</v>
      </c>
      <c r="E51" s="11" t="s">
        <v>2236</v>
      </c>
      <c r="F51" s="12" t="s">
        <v>2236</v>
      </c>
      <c r="G51" s="12" t="s">
        <v>2238</v>
      </c>
      <c r="H51" s="12" t="s">
        <v>2257</v>
      </c>
      <c r="I51" s="12" t="s">
        <v>2354</v>
      </c>
      <c r="J51" s="11" t="s">
        <v>2246</v>
      </c>
      <c r="K51" s="11" t="s">
        <v>2247</v>
      </c>
      <c r="L51" s="11" t="s">
        <v>1853</v>
      </c>
      <c r="M51" s="11" t="s">
        <v>1854</v>
      </c>
      <c r="N51" s="12"/>
      <c r="O51" s="11" t="s">
        <v>1859</v>
      </c>
      <c r="P51" s="56"/>
    </row>
    <row r="52" spans="1:16" ht="15.75" customHeight="1" x14ac:dyDescent="0.2">
      <c r="A52" s="49">
        <v>254</v>
      </c>
      <c r="B52" s="11" t="s">
        <v>1857</v>
      </c>
      <c r="C52" s="11" t="s">
        <v>1849</v>
      </c>
      <c r="D52" s="6" t="s">
        <v>1850</v>
      </c>
      <c r="E52" s="11" t="s">
        <v>2236</v>
      </c>
      <c r="F52" s="12" t="s">
        <v>2236</v>
      </c>
      <c r="G52" s="12" t="s">
        <v>2238</v>
      </c>
      <c r="H52" s="12" t="s">
        <v>2320</v>
      </c>
      <c r="I52" s="12" t="s">
        <v>2355</v>
      </c>
      <c r="J52" s="11" t="s">
        <v>2246</v>
      </c>
      <c r="K52" s="11" t="s">
        <v>2247</v>
      </c>
      <c r="L52" s="11" t="s">
        <v>2322</v>
      </c>
      <c r="M52" s="11" t="s">
        <v>1854</v>
      </c>
      <c r="N52" s="12"/>
      <c r="O52" s="11" t="s">
        <v>1859</v>
      </c>
      <c r="P52" s="56"/>
    </row>
    <row r="53" spans="1:16" ht="15.75" customHeight="1" x14ac:dyDescent="0.2">
      <c r="A53" s="49">
        <v>314</v>
      </c>
      <c r="B53" s="11" t="s">
        <v>1857</v>
      </c>
      <c r="C53" s="11" t="s">
        <v>1849</v>
      </c>
      <c r="D53" s="6" t="s">
        <v>1850</v>
      </c>
      <c r="E53" s="11" t="s">
        <v>2236</v>
      </c>
      <c r="F53" s="12" t="s">
        <v>2236</v>
      </c>
      <c r="G53" s="12" t="s">
        <v>2238</v>
      </c>
      <c r="H53" s="12" t="s">
        <v>2324</v>
      </c>
      <c r="I53" s="12" t="s">
        <v>2356</v>
      </c>
      <c r="J53" s="11" t="s">
        <v>2246</v>
      </c>
      <c r="K53" s="11" t="s">
        <v>2247</v>
      </c>
      <c r="L53" s="11" t="s">
        <v>1853</v>
      </c>
      <c r="M53" s="11" t="s">
        <v>1854</v>
      </c>
      <c r="N53" s="12"/>
      <c r="O53" s="11" t="s">
        <v>1858</v>
      </c>
      <c r="P53" s="56"/>
    </row>
    <row r="54" spans="1:16" ht="15.75" customHeight="1" x14ac:dyDescent="0.2">
      <c r="A54" s="49">
        <v>346</v>
      </c>
      <c r="B54" s="11" t="s">
        <v>1857</v>
      </c>
      <c r="C54" s="11" t="s">
        <v>1849</v>
      </c>
      <c r="D54" s="6" t="s">
        <v>1850</v>
      </c>
      <c r="E54" s="11" t="s">
        <v>2236</v>
      </c>
      <c r="F54" s="12" t="s">
        <v>2236</v>
      </c>
      <c r="G54" s="12" t="s">
        <v>2238</v>
      </c>
      <c r="H54" s="12" t="s">
        <v>2255</v>
      </c>
      <c r="I54" s="12" t="s">
        <v>2357</v>
      </c>
      <c r="J54" s="11" t="s">
        <v>2246</v>
      </c>
      <c r="K54" s="11" t="s">
        <v>2247</v>
      </c>
      <c r="L54" s="11" t="s">
        <v>1853</v>
      </c>
      <c r="M54" s="11" t="s">
        <v>1854</v>
      </c>
      <c r="N54" s="12"/>
      <c r="O54" s="11" t="s">
        <v>1860</v>
      </c>
      <c r="P54" s="56"/>
    </row>
    <row r="55" spans="1:16" ht="15.75" customHeight="1" x14ac:dyDescent="0.2">
      <c r="A55" s="49">
        <v>474</v>
      </c>
      <c r="B55" s="11" t="s">
        <v>1857</v>
      </c>
      <c r="C55" s="11" t="s">
        <v>1849</v>
      </c>
      <c r="D55" s="6" t="s">
        <v>1850</v>
      </c>
      <c r="E55" s="11" t="s">
        <v>2236</v>
      </c>
      <c r="F55" s="12" t="s">
        <v>2236</v>
      </c>
      <c r="G55" s="12" t="s">
        <v>2266</v>
      </c>
      <c r="H55" s="12" t="s">
        <v>2282</v>
      </c>
      <c r="I55" s="12" t="s">
        <v>2358</v>
      </c>
      <c r="J55" s="11" t="s">
        <v>2246</v>
      </c>
      <c r="K55" s="11" t="s">
        <v>2247</v>
      </c>
      <c r="L55" s="11" t="s">
        <v>1853</v>
      </c>
      <c r="M55" s="11" t="s">
        <v>2359</v>
      </c>
      <c r="N55" s="12"/>
      <c r="O55" s="11" t="s">
        <v>1859</v>
      </c>
      <c r="P55" s="56"/>
    </row>
    <row r="56" spans="1:16" ht="15.75" customHeight="1" x14ac:dyDescent="0.2">
      <c r="A56" s="49">
        <v>4919</v>
      </c>
      <c r="B56" s="11" t="s">
        <v>1857</v>
      </c>
      <c r="C56" s="11" t="s">
        <v>1849</v>
      </c>
      <c r="D56" s="6" t="s">
        <v>1850</v>
      </c>
      <c r="E56" s="11" t="s">
        <v>2236</v>
      </c>
      <c r="F56" s="12" t="s">
        <v>2236</v>
      </c>
      <c r="G56" s="12" t="s">
        <v>2238</v>
      </c>
      <c r="H56" s="12" t="s">
        <v>2360</v>
      </c>
      <c r="I56" s="12" t="s">
        <v>2361</v>
      </c>
      <c r="J56" s="11" t="s">
        <v>1856</v>
      </c>
      <c r="K56" s="11" t="s">
        <v>1852</v>
      </c>
      <c r="L56" s="11" t="s">
        <v>1853</v>
      </c>
      <c r="M56" s="11" t="s">
        <v>1861</v>
      </c>
      <c r="N56" s="12"/>
      <c r="O56" s="11" t="s">
        <v>1858</v>
      </c>
      <c r="P56" s="56"/>
    </row>
    <row r="57" spans="1:16" ht="15.75" customHeight="1" x14ac:dyDescent="0.2">
      <c r="A57" s="49">
        <v>313</v>
      </c>
      <c r="B57" s="11" t="s">
        <v>1857</v>
      </c>
      <c r="C57" s="11" t="s">
        <v>1849</v>
      </c>
      <c r="D57" s="6" t="s">
        <v>1850</v>
      </c>
      <c r="E57" s="11" t="s">
        <v>2236</v>
      </c>
      <c r="F57" s="12" t="s">
        <v>2236</v>
      </c>
      <c r="G57" s="12" t="s">
        <v>2238</v>
      </c>
      <c r="H57" s="12" t="s">
        <v>2269</v>
      </c>
      <c r="I57" s="12" t="s">
        <v>2362</v>
      </c>
      <c r="J57" s="11" t="s">
        <v>2246</v>
      </c>
      <c r="K57" s="11" t="s">
        <v>2247</v>
      </c>
      <c r="L57" s="11" t="s">
        <v>1853</v>
      </c>
      <c r="M57" s="11" t="s">
        <v>1861</v>
      </c>
      <c r="N57" s="12"/>
      <c r="O57" s="11" t="s">
        <v>1860</v>
      </c>
      <c r="P57" s="56"/>
    </row>
    <row r="58" spans="1:16" ht="15.75" customHeight="1" x14ac:dyDescent="0.2">
      <c r="A58" s="49">
        <v>311</v>
      </c>
      <c r="B58" s="11" t="s">
        <v>1857</v>
      </c>
      <c r="C58" s="11" t="s">
        <v>1849</v>
      </c>
      <c r="D58" s="6" t="s">
        <v>1850</v>
      </c>
      <c r="E58" s="11" t="s">
        <v>2236</v>
      </c>
      <c r="F58" s="12" t="s">
        <v>2236</v>
      </c>
      <c r="G58" s="12" t="s">
        <v>2249</v>
      </c>
      <c r="H58" s="12" t="s">
        <v>2249</v>
      </c>
      <c r="I58" s="12" t="s">
        <v>2363</v>
      </c>
      <c r="J58" s="11" t="s">
        <v>1856</v>
      </c>
      <c r="K58" s="11" t="s">
        <v>1852</v>
      </c>
      <c r="L58" s="11" t="s">
        <v>1853</v>
      </c>
      <c r="M58" s="11" t="s">
        <v>2364</v>
      </c>
      <c r="N58" s="12" t="s">
        <v>2365</v>
      </c>
      <c r="O58" s="11" t="s">
        <v>1858</v>
      </c>
      <c r="P58" s="56"/>
    </row>
    <row r="59" spans="1:16" ht="15.75" customHeight="1" x14ac:dyDescent="0.2">
      <c r="A59" s="49">
        <v>392</v>
      </c>
      <c r="B59" s="11" t="s">
        <v>1857</v>
      </c>
      <c r="C59" s="11" t="s">
        <v>1849</v>
      </c>
      <c r="D59" s="6" t="s">
        <v>1850</v>
      </c>
      <c r="E59" s="11" t="s">
        <v>2236</v>
      </c>
      <c r="F59" s="12" t="s">
        <v>2236</v>
      </c>
      <c r="G59" s="12" t="s">
        <v>2266</v>
      </c>
      <c r="H59" s="12" t="s">
        <v>2315</v>
      </c>
      <c r="I59" s="12" t="s">
        <v>2366</v>
      </c>
      <c r="J59" s="11" t="s">
        <v>2246</v>
      </c>
      <c r="K59" s="11" t="s">
        <v>2247</v>
      </c>
      <c r="L59" s="11" t="s">
        <v>1853</v>
      </c>
      <c r="M59" s="11" t="s">
        <v>2284</v>
      </c>
      <c r="N59" s="12" t="s">
        <v>2281</v>
      </c>
      <c r="O59" s="11" t="s">
        <v>1860</v>
      </c>
      <c r="P59" s="56"/>
    </row>
    <row r="60" spans="1:16" ht="15.75" customHeight="1" x14ac:dyDescent="0.2">
      <c r="A60" s="49">
        <v>403</v>
      </c>
      <c r="B60" s="11" t="s">
        <v>1857</v>
      </c>
      <c r="C60" s="11" t="s">
        <v>1849</v>
      </c>
      <c r="D60" s="6" t="s">
        <v>1850</v>
      </c>
      <c r="E60" s="11" t="s">
        <v>2236</v>
      </c>
      <c r="F60" s="12" t="s">
        <v>2236</v>
      </c>
      <c r="G60" s="12" t="s">
        <v>2266</v>
      </c>
      <c r="H60" s="12" t="s">
        <v>2266</v>
      </c>
      <c r="I60" s="12" t="s">
        <v>2367</v>
      </c>
      <c r="J60" s="11" t="s">
        <v>1856</v>
      </c>
      <c r="K60" s="11" t="s">
        <v>1852</v>
      </c>
      <c r="L60" s="11" t="s">
        <v>1853</v>
      </c>
      <c r="M60" s="11" t="s">
        <v>1861</v>
      </c>
      <c r="N60" s="12" t="s">
        <v>2368</v>
      </c>
      <c r="O60" s="11" t="s">
        <v>1867</v>
      </c>
      <c r="P60" s="56" t="s">
        <v>1865</v>
      </c>
    </row>
    <row r="61" spans="1:16" ht="15.75" customHeight="1" x14ac:dyDescent="0.2">
      <c r="A61" s="49">
        <v>250</v>
      </c>
      <c r="B61" s="11" t="s">
        <v>1857</v>
      </c>
      <c r="C61" s="11" t="s">
        <v>1849</v>
      </c>
      <c r="D61" s="6" t="s">
        <v>1850</v>
      </c>
      <c r="E61" s="11" t="s">
        <v>2236</v>
      </c>
      <c r="F61" s="12" t="s">
        <v>2236</v>
      </c>
      <c r="G61" s="12" t="s">
        <v>2238</v>
      </c>
      <c r="H61" s="12" t="s">
        <v>2369</v>
      </c>
      <c r="I61" s="12" t="s">
        <v>2370</v>
      </c>
      <c r="J61" s="11" t="s">
        <v>1851</v>
      </c>
      <c r="K61" s="11" t="s">
        <v>1852</v>
      </c>
      <c r="L61" s="11" t="s">
        <v>1853</v>
      </c>
      <c r="M61" s="11" t="s">
        <v>2359</v>
      </c>
      <c r="N61" s="12" t="s">
        <v>2371</v>
      </c>
      <c r="O61" s="11" t="s">
        <v>1858</v>
      </c>
      <c r="P61" s="56"/>
    </row>
    <row r="62" spans="1:16" ht="15.75" customHeight="1" x14ac:dyDescent="0.2">
      <c r="A62" s="49">
        <v>280</v>
      </c>
      <c r="B62" s="11" t="s">
        <v>1857</v>
      </c>
      <c r="C62" s="11" t="s">
        <v>1849</v>
      </c>
      <c r="D62" s="6" t="s">
        <v>1850</v>
      </c>
      <c r="E62" s="11" t="s">
        <v>2236</v>
      </c>
      <c r="F62" s="12" t="s">
        <v>2236</v>
      </c>
      <c r="G62" s="12" t="s">
        <v>2238</v>
      </c>
      <c r="H62" s="12" t="s">
        <v>2360</v>
      </c>
      <c r="I62" s="12" t="s">
        <v>2372</v>
      </c>
      <c r="J62" s="11" t="s">
        <v>1851</v>
      </c>
      <c r="K62" s="11" t="s">
        <v>1852</v>
      </c>
      <c r="L62" s="11" t="s">
        <v>1853</v>
      </c>
      <c r="M62" s="11" t="s">
        <v>2244</v>
      </c>
      <c r="N62" s="12"/>
      <c r="O62" s="11" t="s">
        <v>1858</v>
      </c>
      <c r="P62" s="56"/>
    </row>
    <row r="63" spans="1:16" ht="15.75" customHeight="1" x14ac:dyDescent="0.2">
      <c r="A63" s="49">
        <v>93</v>
      </c>
      <c r="B63" s="11" t="s">
        <v>1857</v>
      </c>
      <c r="C63" s="11" t="s">
        <v>1849</v>
      </c>
      <c r="D63" s="6" t="s">
        <v>1850</v>
      </c>
      <c r="E63" s="11" t="s">
        <v>2236</v>
      </c>
      <c r="F63" s="12" t="s">
        <v>2236</v>
      </c>
      <c r="G63" s="12" t="s">
        <v>2236</v>
      </c>
      <c r="H63" s="12" t="s">
        <v>2236</v>
      </c>
      <c r="I63" s="12" t="s">
        <v>2373</v>
      </c>
      <c r="J63" s="11" t="s">
        <v>1856</v>
      </c>
      <c r="K63" s="11" t="s">
        <v>1852</v>
      </c>
      <c r="L63" s="11" t="s">
        <v>1853</v>
      </c>
      <c r="M63" s="11" t="s">
        <v>2374</v>
      </c>
      <c r="N63" s="12" t="s">
        <v>2375</v>
      </c>
      <c r="O63" s="11" t="s">
        <v>1858</v>
      </c>
      <c r="P63" s="56"/>
    </row>
    <row r="64" spans="1:16" ht="15.75" customHeight="1" x14ac:dyDescent="0.2">
      <c r="A64" s="48">
        <v>247</v>
      </c>
      <c r="B64" s="11" t="s">
        <v>1857</v>
      </c>
      <c r="C64" s="11" t="s">
        <v>1849</v>
      </c>
      <c r="D64" s="6" t="s">
        <v>1850</v>
      </c>
      <c r="E64" s="11" t="s">
        <v>2236</v>
      </c>
      <c r="F64" s="12" t="s">
        <v>2236</v>
      </c>
      <c r="G64" s="12" t="s">
        <v>2249</v>
      </c>
      <c r="H64" s="12" t="s">
        <v>2271</v>
      </c>
      <c r="I64" s="12" t="s">
        <v>2376</v>
      </c>
      <c r="J64" s="11" t="s">
        <v>2246</v>
      </c>
      <c r="K64" s="11" t="s">
        <v>2247</v>
      </c>
      <c r="L64" s="11" t="s">
        <v>1853</v>
      </c>
      <c r="M64" s="11" t="s">
        <v>1854</v>
      </c>
      <c r="N64" s="12"/>
      <c r="O64" s="11" t="s">
        <v>1860</v>
      </c>
      <c r="P64" s="56"/>
    </row>
    <row r="65" spans="1:16" ht="15.75" customHeight="1" x14ac:dyDescent="0.2">
      <c r="A65" s="49">
        <v>208</v>
      </c>
      <c r="B65" s="11" t="s">
        <v>1857</v>
      </c>
      <c r="C65" s="11" t="s">
        <v>1849</v>
      </c>
      <c r="D65" s="6" t="s">
        <v>1850</v>
      </c>
      <c r="E65" s="11" t="s">
        <v>2236</v>
      </c>
      <c r="F65" s="12" t="s">
        <v>2236</v>
      </c>
      <c r="G65" s="12" t="s">
        <v>2238</v>
      </c>
      <c r="H65" s="12" t="s">
        <v>2242</v>
      </c>
      <c r="I65" s="12" t="s">
        <v>2377</v>
      </c>
      <c r="J65" s="11" t="s">
        <v>1851</v>
      </c>
      <c r="K65" s="11" t="s">
        <v>1852</v>
      </c>
      <c r="L65" s="11" t="s">
        <v>1853</v>
      </c>
      <c r="M65" s="11" t="s">
        <v>1861</v>
      </c>
      <c r="N65" s="12"/>
      <c r="O65" s="11" t="s">
        <v>2378</v>
      </c>
      <c r="P65" s="56" t="s">
        <v>1865</v>
      </c>
    </row>
    <row r="66" spans="1:16" ht="15.75" customHeight="1" x14ac:dyDescent="0.2">
      <c r="A66" s="49">
        <v>5564</v>
      </c>
      <c r="B66" s="11" t="s">
        <v>1857</v>
      </c>
      <c r="C66" s="11" t="s">
        <v>1849</v>
      </c>
      <c r="D66" s="6" t="s">
        <v>1850</v>
      </c>
      <c r="E66" s="11" t="s">
        <v>2236</v>
      </c>
      <c r="F66" s="12" t="s">
        <v>2236</v>
      </c>
      <c r="G66" s="12" t="s">
        <v>2238</v>
      </c>
      <c r="H66" s="12" t="s">
        <v>2379</v>
      </c>
      <c r="I66" s="12" t="s">
        <v>2380</v>
      </c>
      <c r="J66" s="11" t="s">
        <v>1851</v>
      </c>
      <c r="K66" s="11" t="s">
        <v>1852</v>
      </c>
      <c r="L66" s="11" t="s">
        <v>1853</v>
      </c>
      <c r="M66" s="11" t="s">
        <v>1854</v>
      </c>
      <c r="N66" s="12"/>
      <c r="O66" s="11" t="s">
        <v>1858</v>
      </c>
      <c r="P66" s="56"/>
    </row>
    <row r="67" spans="1:16" ht="15.75" customHeight="1" x14ac:dyDescent="0.2">
      <c r="A67" s="49">
        <v>5870</v>
      </c>
      <c r="B67" s="11" t="s">
        <v>1857</v>
      </c>
      <c r="C67" s="11" t="s">
        <v>1849</v>
      </c>
      <c r="D67" s="6" t="s">
        <v>1850</v>
      </c>
      <c r="E67" s="11" t="s">
        <v>2236</v>
      </c>
      <c r="F67" s="12" t="s">
        <v>2236</v>
      </c>
      <c r="G67" s="12" t="s">
        <v>2238</v>
      </c>
      <c r="H67" s="12" t="s">
        <v>2295</v>
      </c>
      <c r="I67" s="12" t="s">
        <v>2381</v>
      </c>
      <c r="J67" s="11" t="s">
        <v>1856</v>
      </c>
      <c r="K67" s="11" t="s">
        <v>1852</v>
      </c>
      <c r="L67" s="11" t="s">
        <v>1853</v>
      </c>
      <c r="M67" s="11" t="s">
        <v>1854</v>
      </c>
      <c r="N67" s="12"/>
      <c r="O67" s="11" t="s">
        <v>1858</v>
      </c>
      <c r="P67" s="56"/>
    </row>
    <row r="68" spans="1:16" ht="15.75" customHeight="1" x14ac:dyDescent="0.2">
      <c r="A68" s="49">
        <v>274</v>
      </c>
      <c r="B68" s="11" t="s">
        <v>1857</v>
      </c>
      <c r="C68" s="11" t="s">
        <v>1849</v>
      </c>
      <c r="D68" s="6" t="s">
        <v>1850</v>
      </c>
      <c r="E68" s="11" t="s">
        <v>2236</v>
      </c>
      <c r="F68" s="12" t="s">
        <v>2236</v>
      </c>
      <c r="G68" s="12" t="s">
        <v>2238</v>
      </c>
      <c r="H68" s="12" t="s">
        <v>2289</v>
      </c>
      <c r="I68" s="12" t="s">
        <v>2382</v>
      </c>
      <c r="J68" s="11" t="s">
        <v>1851</v>
      </c>
      <c r="K68" s="11" t="s">
        <v>1852</v>
      </c>
      <c r="L68" s="11" t="s">
        <v>1853</v>
      </c>
      <c r="M68" s="11" t="s">
        <v>2383</v>
      </c>
      <c r="N68" s="12"/>
      <c r="O68" s="11" t="s">
        <v>1858</v>
      </c>
      <c r="P68" s="56"/>
    </row>
    <row r="69" spans="1:16" ht="15.75" customHeight="1" x14ac:dyDescent="0.2">
      <c r="A69" s="49">
        <v>275</v>
      </c>
      <c r="B69" s="11" t="s">
        <v>1857</v>
      </c>
      <c r="C69" s="11" t="s">
        <v>1849</v>
      </c>
      <c r="D69" s="6" t="s">
        <v>1850</v>
      </c>
      <c r="E69" s="11" t="s">
        <v>2236</v>
      </c>
      <c r="F69" s="12" t="s">
        <v>2236</v>
      </c>
      <c r="G69" s="12" t="s">
        <v>2238</v>
      </c>
      <c r="H69" s="12" t="s">
        <v>2289</v>
      </c>
      <c r="I69" s="12" t="s">
        <v>2384</v>
      </c>
      <c r="J69" s="11" t="s">
        <v>1856</v>
      </c>
      <c r="K69" s="11" t="s">
        <v>1852</v>
      </c>
      <c r="L69" s="11" t="s">
        <v>1853</v>
      </c>
      <c r="M69" s="11" t="s">
        <v>2385</v>
      </c>
      <c r="N69" s="12"/>
      <c r="O69" s="11" t="s">
        <v>1858</v>
      </c>
      <c r="P69" s="56"/>
    </row>
    <row r="70" spans="1:16" ht="15.75" customHeight="1" x14ac:dyDescent="0.2">
      <c r="A70" s="49">
        <v>235</v>
      </c>
      <c r="B70" s="11" t="s">
        <v>1857</v>
      </c>
      <c r="C70" s="11" t="s">
        <v>1849</v>
      </c>
      <c r="D70" s="6" t="s">
        <v>1850</v>
      </c>
      <c r="E70" s="11" t="s">
        <v>2236</v>
      </c>
      <c r="F70" s="12" t="s">
        <v>2236</v>
      </c>
      <c r="G70" s="12" t="s">
        <v>2238</v>
      </c>
      <c r="H70" s="12" t="s">
        <v>2289</v>
      </c>
      <c r="I70" s="12" t="s">
        <v>2386</v>
      </c>
      <c r="J70" s="11" t="s">
        <v>1851</v>
      </c>
      <c r="K70" s="11" t="s">
        <v>1852</v>
      </c>
      <c r="L70" s="11" t="s">
        <v>1853</v>
      </c>
      <c r="M70" s="11" t="s">
        <v>1854</v>
      </c>
      <c r="N70" s="12"/>
      <c r="O70" s="11" t="s">
        <v>1858</v>
      </c>
      <c r="P70" s="56"/>
    </row>
    <row r="71" spans="1:16" ht="15.75" customHeight="1" x14ac:dyDescent="0.2">
      <c r="A71" s="49">
        <v>240</v>
      </c>
      <c r="B71" s="11" t="s">
        <v>1857</v>
      </c>
      <c r="C71" s="11" t="s">
        <v>1849</v>
      </c>
      <c r="D71" s="6" t="s">
        <v>1850</v>
      </c>
      <c r="E71" s="11" t="s">
        <v>2236</v>
      </c>
      <c r="F71" s="12" t="s">
        <v>2236</v>
      </c>
      <c r="G71" s="12" t="s">
        <v>2238</v>
      </c>
      <c r="H71" s="12" t="s">
        <v>2324</v>
      </c>
      <c r="I71" s="12" t="s">
        <v>2387</v>
      </c>
      <c r="J71" s="11" t="s">
        <v>1856</v>
      </c>
      <c r="K71" s="11" t="s">
        <v>1852</v>
      </c>
      <c r="L71" s="11" t="s">
        <v>1853</v>
      </c>
      <c r="M71" s="11" t="s">
        <v>1854</v>
      </c>
      <c r="N71" s="12"/>
      <c r="O71" s="11" t="s">
        <v>1858</v>
      </c>
      <c r="P71" s="56"/>
    </row>
    <row r="72" spans="1:16" ht="15.75" customHeight="1" x14ac:dyDescent="0.2">
      <c r="A72" s="49">
        <v>325</v>
      </c>
      <c r="B72" s="11" t="s">
        <v>1857</v>
      </c>
      <c r="C72" s="11" t="s">
        <v>1849</v>
      </c>
      <c r="D72" s="6" t="s">
        <v>1850</v>
      </c>
      <c r="E72" s="11" t="s">
        <v>2236</v>
      </c>
      <c r="F72" s="12" t="s">
        <v>2236</v>
      </c>
      <c r="G72" s="12" t="s">
        <v>2238</v>
      </c>
      <c r="H72" s="12" t="s">
        <v>2360</v>
      </c>
      <c r="I72" s="12" t="s">
        <v>2388</v>
      </c>
      <c r="J72" s="11" t="s">
        <v>1851</v>
      </c>
      <c r="K72" s="11" t="s">
        <v>1852</v>
      </c>
      <c r="L72" s="11" t="s">
        <v>1853</v>
      </c>
      <c r="M72" s="11" t="s">
        <v>1854</v>
      </c>
      <c r="N72" s="12"/>
      <c r="O72" s="11" t="s">
        <v>1858</v>
      </c>
      <c r="P72" s="56"/>
    </row>
    <row r="73" spans="1:16" ht="15.75" customHeight="1" x14ac:dyDescent="0.2">
      <c r="A73" s="49">
        <v>266</v>
      </c>
      <c r="B73" s="11" t="s">
        <v>1857</v>
      </c>
      <c r="C73" s="11" t="s">
        <v>1849</v>
      </c>
      <c r="D73" s="6" t="s">
        <v>1850</v>
      </c>
      <c r="E73" s="11" t="s">
        <v>2236</v>
      </c>
      <c r="F73" s="12" t="s">
        <v>2236</v>
      </c>
      <c r="G73" s="12" t="s">
        <v>2238</v>
      </c>
      <c r="H73" s="12" t="s">
        <v>2360</v>
      </c>
      <c r="I73" s="12" t="s">
        <v>2389</v>
      </c>
      <c r="J73" s="11" t="s">
        <v>1851</v>
      </c>
      <c r="K73" s="11" t="s">
        <v>1852</v>
      </c>
      <c r="L73" s="11" t="s">
        <v>1853</v>
      </c>
      <c r="M73" s="11" t="s">
        <v>2390</v>
      </c>
      <c r="N73" s="12"/>
      <c r="O73" s="11" t="s">
        <v>1858</v>
      </c>
      <c r="P73" s="56"/>
    </row>
    <row r="74" spans="1:16" ht="15.75" customHeight="1" x14ac:dyDescent="0.2">
      <c r="A74" s="49">
        <v>317</v>
      </c>
      <c r="B74" s="11" t="s">
        <v>1857</v>
      </c>
      <c r="C74" s="11" t="s">
        <v>1849</v>
      </c>
      <c r="D74" s="6" t="s">
        <v>1850</v>
      </c>
      <c r="E74" s="11" t="s">
        <v>2236</v>
      </c>
      <c r="F74" s="12" t="s">
        <v>2236</v>
      </c>
      <c r="G74" s="12" t="s">
        <v>2238</v>
      </c>
      <c r="H74" s="12" t="s">
        <v>2391</v>
      </c>
      <c r="I74" s="12" t="s">
        <v>2392</v>
      </c>
      <c r="J74" s="11" t="s">
        <v>1856</v>
      </c>
      <c r="K74" s="11" t="s">
        <v>1852</v>
      </c>
      <c r="L74" s="11" t="s">
        <v>1853</v>
      </c>
      <c r="M74" s="11" t="s">
        <v>2393</v>
      </c>
      <c r="N74" s="12"/>
      <c r="O74" s="11" t="s">
        <v>1858</v>
      </c>
      <c r="P74" s="56"/>
    </row>
    <row r="75" spans="1:16" ht="15.75" customHeight="1" x14ac:dyDescent="0.2">
      <c r="A75" s="49">
        <v>265</v>
      </c>
      <c r="B75" s="11" t="s">
        <v>1857</v>
      </c>
      <c r="C75" s="11" t="s">
        <v>1849</v>
      </c>
      <c r="D75" s="6" t="s">
        <v>1850</v>
      </c>
      <c r="E75" s="11" t="s">
        <v>2236</v>
      </c>
      <c r="F75" s="12" t="s">
        <v>2236</v>
      </c>
      <c r="G75" s="12" t="s">
        <v>2238</v>
      </c>
      <c r="H75" s="12" t="s">
        <v>2295</v>
      </c>
      <c r="I75" s="12" t="s">
        <v>2394</v>
      </c>
      <c r="J75" s="11" t="s">
        <v>1851</v>
      </c>
      <c r="K75" s="11" t="s">
        <v>1852</v>
      </c>
      <c r="L75" s="11" t="s">
        <v>1853</v>
      </c>
      <c r="M75" s="11" t="s">
        <v>2395</v>
      </c>
      <c r="N75" s="12"/>
      <c r="O75" s="11" t="s">
        <v>1858</v>
      </c>
      <c r="P75" s="56"/>
    </row>
    <row r="76" spans="1:16" ht="15.75" customHeight="1" x14ac:dyDescent="0.2">
      <c r="A76" s="49">
        <v>236</v>
      </c>
      <c r="B76" s="11" t="s">
        <v>1857</v>
      </c>
      <c r="C76" s="11" t="s">
        <v>1849</v>
      </c>
      <c r="D76" s="6" t="s">
        <v>1850</v>
      </c>
      <c r="E76" s="11" t="s">
        <v>2236</v>
      </c>
      <c r="F76" s="12" t="s">
        <v>2236</v>
      </c>
      <c r="G76" s="12" t="s">
        <v>2238</v>
      </c>
      <c r="H76" s="12" t="s">
        <v>2396</v>
      </c>
      <c r="I76" s="12" t="s">
        <v>2397</v>
      </c>
      <c r="J76" s="11" t="s">
        <v>1851</v>
      </c>
      <c r="K76" s="11" t="s">
        <v>1852</v>
      </c>
      <c r="L76" s="11" t="s">
        <v>1853</v>
      </c>
      <c r="M76" s="11" t="s">
        <v>2398</v>
      </c>
      <c r="N76" s="12"/>
      <c r="O76" s="11" t="s">
        <v>1858</v>
      </c>
      <c r="P76" s="56"/>
    </row>
    <row r="77" spans="1:16" ht="15.75" customHeight="1" x14ac:dyDescent="0.2">
      <c r="A77" s="49">
        <v>264</v>
      </c>
      <c r="B77" s="11" t="s">
        <v>1857</v>
      </c>
      <c r="C77" s="11" t="s">
        <v>1849</v>
      </c>
      <c r="D77" s="6" t="s">
        <v>1850</v>
      </c>
      <c r="E77" s="11" t="s">
        <v>2236</v>
      </c>
      <c r="F77" s="12" t="s">
        <v>2236</v>
      </c>
      <c r="G77" s="12" t="s">
        <v>2238</v>
      </c>
      <c r="H77" s="12" t="s">
        <v>2396</v>
      </c>
      <c r="I77" s="12" t="s">
        <v>2399</v>
      </c>
      <c r="J77" s="11" t="s">
        <v>1856</v>
      </c>
      <c r="K77" s="11" t="s">
        <v>1852</v>
      </c>
      <c r="L77" s="11" t="s">
        <v>1853</v>
      </c>
      <c r="M77" s="11" t="s">
        <v>2400</v>
      </c>
      <c r="N77" s="12"/>
      <c r="O77" s="11" t="s">
        <v>1858</v>
      </c>
      <c r="P77" s="56"/>
    </row>
    <row r="78" spans="1:16" ht="15.75" customHeight="1" x14ac:dyDescent="0.2">
      <c r="A78" s="49">
        <v>316</v>
      </c>
      <c r="B78" s="11" t="s">
        <v>1857</v>
      </c>
      <c r="C78" s="11" t="s">
        <v>1849</v>
      </c>
      <c r="D78" s="6" t="s">
        <v>1850</v>
      </c>
      <c r="E78" s="11" t="s">
        <v>2236</v>
      </c>
      <c r="F78" s="12" t="s">
        <v>2236</v>
      </c>
      <c r="G78" s="12" t="s">
        <v>2238</v>
      </c>
      <c r="H78" s="12" t="s">
        <v>2324</v>
      </c>
      <c r="I78" s="12" t="s">
        <v>2401</v>
      </c>
      <c r="J78" s="11" t="s">
        <v>2246</v>
      </c>
      <c r="K78" s="11" t="s">
        <v>2247</v>
      </c>
      <c r="L78" s="11" t="s">
        <v>1853</v>
      </c>
      <c r="M78" s="11" t="s">
        <v>1854</v>
      </c>
      <c r="N78" s="12"/>
      <c r="O78" s="11" t="s">
        <v>1858</v>
      </c>
      <c r="P78" s="56"/>
    </row>
    <row r="79" spans="1:16" ht="15.75" customHeight="1" x14ac:dyDescent="0.2">
      <c r="A79" s="49">
        <v>213</v>
      </c>
      <c r="B79" s="11" t="s">
        <v>1857</v>
      </c>
      <c r="C79" s="11" t="s">
        <v>1849</v>
      </c>
      <c r="D79" s="6" t="s">
        <v>1850</v>
      </c>
      <c r="E79" s="11" t="s">
        <v>2236</v>
      </c>
      <c r="F79" s="12" t="s">
        <v>2236</v>
      </c>
      <c r="G79" s="12" t="s">
        <v>2238</v>
      </c>
      <c r="H79" s="12" t="s">
        <v>2360</v>
      </c>
      <c r="I79" s="12" t="s">
        <v>2402</v>
      </c>
      <c r="J79" s="11" t="s">
        <v>1851</v>
      </c>
      <c r="K79" s="11" t="s">
        <v>1852</v>
      </c>
      <c r="L79" s="11" t="s">
        <v>1853</v>
      </c>
      <c r="M79" s="11" t="s">
        <v>2403</v>
      </c>
      <c r="N79" s="12" t="s">
        <v>2404</v>
      </c>
      <c r="O79" s="11" t="s">
        <v>1866</v>
      </c>
      <c r="P79" s="56" t="s">
        <v>2405</v>
      </c>
    </row>
    <row r="80" spans="1:16" ht="15.75" customHeight="1" x14ac:dyDescent="0.2">
      <c r="A80" s="49">
        <v>409</v>
      </c>
      <c r="B80" s="11" t="s">
        <v>1857</v>
      </c>
      <c r="C80" s="11" t="s">
        <v>1849</v>
      </c>
      <c r="D80" s="6" t="s">
        <v>1850</v>
      </c>
      <c r="E80" s="11" t="s">
        <v>2236</v>
      </c>
      <c r="F80" s="12" t="s">
        <v>2236</v>
      </c>
      <c r="G80" s="12" t="s">
        <v>2266</v>
      </c>
      <c r="H80" s="12" t="s">
        <v>2266</v>
      </c>
      <c r="I80" s="12" t="s">
        <v>2406</v>
      </c>
      <c r="J80" s="11" t="s">
        <v>1856</v>
      </c>
      <c r="K80" s="11" t="s">
        <v>1852</v>
      </c>
      <c r="L80" s="11" t="s">
        <v>1853</v>
      </c>
      <c r="M80" s="11" t="s">
        <v>2407</v>
      </c>
      <c r="N80" s="12"/>
      <c r="O80" s="11" t="s">
        <v>2408</v>
      </c>
      <c r="P80" s="56" t="s">
        <v>2409</v>
      </c>
    </row>
    <row r="81" spans="1:16" ht="15.75" customHeight="1" x14ac:dyDescent="0.2">
      <c r="A81" s="49">
        <v>212</v>
      </c>
      <c r="B81" s="11" t="s">
        <v>1857</v>
      </c>
      <c r="C81" s="11" t="s">
        <v>1849</v>
      </c>
      <c r="D81" s="6" t="s">
        <v>1850</v>
      </c>
      <c r="E81" s="11" t="s">
        <v>2236</v>
      </c>
      <c r="F81" s="12" t="s">
        <v>2236</v>
      </c>
      <c r="G81" s="12" t="s">
        <v>2238</v>
      </c>
      <c r="H81" s="12" t="s">
        <v>2369</v>
      </c>
      <c r="I81" s="12" t="s">
        <v>55</v>
      </c>
      <c r="J81" s="11" t="s">
        <v>1856</v>
      </c>
      <c r="K81" s="11" t="s">
        <v>1852</v>
      </c>
      <c r="L81" s="11" t="s">
        <v>1853</v>
      </c>
      <c r="M81" s="11" t="s">
        <v>2410</v>
      </c>
      <c r="N81" s="12" t="s">
        <v>2411</v>
      </c>
      <c r="O81" s="11" t="s">
        <v>2412</v>
      </c>
      <c r="P81" s="56" t="s">
        <v>2413</v>
      </c>
    </row>
    <row r="82" spans="1:16" ht="15.75" customHeight="1" x14ac:dyDescent="0.2">
      <c r="A82" s="49">
        <v>174</v>
      </c>
      <c r="B82" s="11" t="s">
        <v>1857</v>
      </c>
      <c r="C82" s="11" t="s">
        <v>1849</v>
      </c>
      <c r="D82" s="6" t="s">
        <v>1850</v>
      </c>
      <c r="E82" s="11" t="s">
        <v>2236</v>
      </c>
      <c r="F82" s="12" t="s">
        <v>2236</v>
      </c>
      <c r="G82" s="12" t="s">
        <v>2236</v>
      </c>
      <c r="H82" s="12" t="s">
        <v>2330</v>
      </c>
      <c r="I82" s="12" t="s">
        <v>2414</v>
      </c>
      <c r="J82" s="11" t="s">
        <v>2246</v>
      </c>
      <c r="K82" s="11" t="s">
        <v>2247</v>
      </c>
      <c r="L82" s="11" t="s">
        <v>1853</v>
      </c>
      <c r="M82" s="11" t="s">
        <v>1854</v>
      </c>
      <c r="N82" s="12"/>
      <c r="O82" s="11" t="s">
        <v>1860</v>
      </c>
      <c r="P82" s="56"/>
    </row>
    <row r="83" spans="1:16" ht="15.75" customHeight="1" x14ac:dyDescent="0.2">
      <c r="A83" s="49">
        <v>176</v>
      </c>
      <c r="B83" s="11" t="s">
        <v>1857</v>
      </c>
      <c r="C83" s="11" t="s">
        <v>1849</v>
      </c>
      <c r="D83" s="6" t="s">
        <v>1850</v>
      </c>
      <c r="E83" s="11" t="s">
        <v>2236</v>
      </c>
      <c r="F83" s="12" t="s">
        <v>2236</v>
      </c>
      <c r="G83" s="12" t="s">
        <v>2236</v>
      </c>
      <c r="H83" s="12" t="s">
        <v>2330</v>
      </c>
      <c r="I83" s="12" t="s">
        <v>2415</v>
      </c>
      <c r="J83" s="11" t="s">
        <v>2246</v>
      </c>
      <c r="K83" s="11" t="s">
        <v>2247</v>
      </c>
      <c r="L83" s="11" t="s">
        <v>1853</v>
      </c>
      <c r="M83" s="11" t="s">
        <v>1854</v>
      </c>
      <c r="N83" s="12"/>
      <c r="O83" s="11" t="s">
        <v>1860</v>
      </c>
      <c r="P83" s="56"/>
    </row>
    <row r="84" spans="1:16" ht="15.75" customHeight="1" x14ac:dyDescent="0.2">
      <c r="A84" s="49">
        <v>471</v>
      </c>
      <c r="B84" s="11" t="s">
        <v>1857</v>
      </c>
      <c r="C84" s="11" t="s">
        <v>1849</v>
      </c>
      <c r="D84" s="6" t="s">
        <v>1850</v>
      </c>
      <c r="E84" s="11" t="s">
        <v>2236</v>
      </c>
      <c r="F84" s="12" t="s">
        <v>2236</v>
      </c>
      <c r="G84" s="12" t="s">
        <v>2266</v>
      </c>
      <c r="H84" s="12" t="s">
        <v>2282</v>
      </c>
      <c r="I84" s="12" t="s">
        <v>2416</v>
      </c>
      <c r="J84" s="11" t="s">
        <v>2246</v>
      </c>
      <c r="K84" s="11" t="s">
        <v>2247</v>
      </c>
      <c r="L84" s="11" t="s">
        <v>1853</v>
      </c>
      <c r="M84" s="11" t="s">
        <v>1854</v>
      </c>
      <c r="N84" s="12"/>
      <c r="O84" s="11" t="s">
        <v>1859</v>
      </c>
      <c r="P84" s="56"/>
    </row>
    <row r="85" spans="1:16" ht="15.75" customHeight="1" x14ac:dyDescent="0.2">
      <c r="A85" s="49">
        <v>468</v>
      </c>
      <c r="B85" s="11" t="s">
        <v>1857</v>
      </c>
      <c r="C85" s="11" t="s">
        <v>1849</v>
      </c>
      <c r="D85" s="6" t="s">
        <v>1850</v>
      </c>
      <c r="E85" s="11" t="s">
        <v>2236</v>
      </c>
      <c r="F85" s="12" t="s">
        <v>2236</v>
      </c>
      <c r="G85" s="12" t="s">
        <v>2266</v>
      </c>
      <c r="H85" s="12" t="s">
        <v>2417</v>
      </c>
      <c r="I85" s="12" t="s">
        <v>2418</v>
      </c>
      <c r="J85" s="11" t="s">
        <v>2246</v>
      </c>
      <c r="K85" s="11" t="s">
        <v>2247</v>
      </c>
      <c r="L85" s="11" t="s">
        <v>1853</v>
      </c>
      <c r="M85" s="11" t="s">
        <v>1854</v>
      </c>
      <c r="N85" s="12"/>
      <c r="O85" s="11" t="s">
        <v>1858</v>
      </c>
      <c r="P85" s="56"/>
    </row>
    <row r="86" spans="1:16" ht="15.75" customHeight="1" x14ac:dyDescent="0.2">
      <c r="A86" s="49">
        <v>105</v>
      </c>
      <c r="B86" s="11" t="s">
        <v>1857</v>
      </c>
      <c r="C86" s="11" t="s">
        <v>1849</v>
      </c>
      <c r="D86" s="6" t="s">
        <v>1850</v>
      </c>
      <c r="E86" s="11" t="s">
        <v>2236</v>
      </c>
      <c r="F86" s="12" t="s">
        <v>2236</v>
      </c>
      <c r="G86" s="12" t="s">
        <v>2249</v>
      </c>
      <c r="H86" s="12" t="s">
        <v>2252</v>
      </c>
      <c r="I86" s="12" t="s">
        <v>2419</v>
      </c>
      <c r="J86" s="11" t="s">
        <v>1856</v>
      </c>
      <c r="K86" s="11" t="s">
        <v>1852</v>
      </c>
      <c r="L86" s="11" t="s">
        <v>1853</v>
      </c>
      <c r="M86" s="11" t="s">
        <v>1854</v>
      </c>
      <c r="N86" s="12"/>
      <c r="O86" s="11" t="s">
        <v>1860</v>
      </c>
      <c r="P86" s="56"/>
    </row>
    <row r="87" spans="1:16" ht="15.75" customHeight="1" x14ac:dyDescent="0.2">
      <c r="A87" s="49">
        <v>244</v>
      </c>
      <c r="B87" s="11" t="s">
        <v>1857</v>
      </c>
      <c r="C87" s="11" t="s">
        <v>1849</v>
      </c>
      <c r="D87" s="6" t="s">
        <v>1850</v>
      </c>
      <c r="E87" s="11" t="s">
        <v>2236</v>
      </c>
      <c r="F87" s="12" t="s">
        <v>2236</v>
      </c>
      <c r="G87" s="12" t="s">
        <v>2238</v>
      </c>
      <c r="H87" s="12" t="s">
        <v>2320</v>
      </c>
      <c r="I87" s="12" t="s">
        <v>2420</v>
      </c>
      <c r="J87" s="11" t="s">
        <v>2246</v>
      </c>
      <c r="K87" s="11" t="s">
        <v>2247</v>
      </c>
      <c r="L87" s="11" t="s">
        <v>2322</v>
      </c>
      <c r="M87" s="11" t="s">
        <v>1854</v>
      </c>
      <c r="N87" s="12"/>
      <c r="O87" s="11" t="s">
        <v>1859</v>
      </c>
      <c r="P87" s="56"/>
    </row>
    <row r="88" spans="1:16" ht="15.75" customHeight="1" x14ac:dyDescent="0.2">
      <c r="A88" s="49">
        <v>107</v>
      </c>
      <c r="B88" s="11" t="s">
        <v>1857</v>
      </c>
      <c r="C88" s="11" t="s">
        <v>1849</v>
      </c>
      <c r="D88" s="6" t="s">
        <v>1850</v>
      </c>
      <c r="E88" s="11" t="s">
        <v>2236</v>
      </c>
      <c r="F88" s="12" t="s">
        <v>2236</v>
      </c>
      <c r="G88" s="12" t="s">
        <v>2249</v>
      </c>
      <c r="H88" s="12" t="s">
        <v>2252</v>
      </c>
      <c r="I88" s="12" t="s">
        <v>2421</v>
      </c>
      <c r="J88" s="11" t="s">
        <v>1856</v>
      </c>
      <c r="K88" s="11" t="s">
        <v>1852</v>
      </c>
      <c r="L88" s="11" t="s">
        <v>1853</v>
      </c>
      <c r="M88" s="11" t="s">
        <v>1854</v>
      </c>
      <c r="N88" s="12"/>
      <c r="O88" s="11" t="s">
        <v>1860</v>
      </c>
      <c r="P88" s="56"/>
    </row>
    <row r="89" spans="1:16" ht="15.75" customHeight="1" x14ac:dyDescent="0.2">
      <c r="A89" s="49">
        <v>245</v>
      </c>
      <c r="B89" s="11" t="s">
        <v>1857</v>
      </c>
      <c r="C89" s="11" t="s">
        <v>1849</v>
      </c>
      <c r="D89" s="6" t="s">
        <v>1850</v>
      </c>
      <c r="E89" s="11" t="s">
        <v>2236</v>
      </c>
      <c r="F89" s="12" t="s">
        <v>2236</v>
      </c>
      <c r="G89" s="12" t="s">
        <v>2238</v>
      </c>
      <c r="H89" s="12" t="s">
        <v>2309</v>
      </c>
      <c r="I89" s="12" t="s">
        <v>2422</v>
      </c>
      <c r="J89" s="11" t="s">
        <v>2246</v>
      </c>
      <c r="K89" s="11" t="s">
        <v>2247</v>
      </c>
      <c r="L89" s="11" t="s">
        <v>1853</v>
      </c>
      <c r="M89" s="11" t="s">
        <v>1854</v>
      </c>
      <c r="N89" s="12"/>
      <c r="O89" s="11" t="s">
        <v>1860</v>
      </c>
      <c r="P89" s="56"/>
    </row>
    <row r="90" spans="1:16" ht="15.75" customHeight="1" x14ac:dyDescent="0.2">
      <c r="A90" s="49">
        <v>407</v>
      </c>
      <c r="B90" s="11" t="s">
        <v>1857</v>
      </c>
      <c r="C90" s="11" t="s">
        <v>1849</v>
      </c>
      <c r="D90" s="6" t="s">
        <v>1850</v>
      </c>
      <c r="E90" s="11" t="s">
        <v>2236</v>
      </c>
      <c r="F90" s="12" t="s">
        <v>2236</v>
      </c>
      <c r="G90" s="12" t="s">
        <v>2266</v>
      </c>
      <c r="H90" s="12" t="s">
        <v>2417</v>
      </c>
      <c r="I90" s="12" t="s">
        <v>2423</v>
      </c>
      <c r="J90" s="11" t="s">
        <v>2246</v>
      </c>
      <c r="K90" s="11" t="s">
        <v>2247</v>
      </c>
      <c r="L90" s="11" t="s">
        <v>1853</v>
      </c>
      <c r="M90" s="11" t="s">
        <v>1854</v>
      </c>
      <c r="N90" s="12"/>
      <c r="O90" s="11" t="s">
        <v>1858</v>
      </c>
      <c r="P90" s="56"/>
    </row>
    <row r="91" spans="1:16" ht="15.75" customHeight="1" x14ac:dyDescent="0.2">
      <c r="A91" s="49">
        <v>104</v>
      </c>
      <c r="B91" s="11" t="s">
        <v>1857</v>
      </c>
      <c r="C91" s="11" t="s">
        <v>1849</v>
      </c>
      <c r="D91" s="6" t="s">
        <v>1850</v>
      </c>
      <c r="E91" s="11" t="s">
        <v>2236</v>
      </c>
      <c r="F91" s="12" t="s">
        <v>2236</v>
      </c>
      <c r="G91" s="12" t="s">
        <v>2249</v>
      </c>
      <c r="H91" s="12" t="s">
        <v>2252</v>
      </c>
      <c r="I91" s="12" t="s">
        <v>2424</v>
      </c>
      <c r="J91" s="11" t="s">
        <v>1856</v>
      </c>
      <c r="K91" s="11" t="s">
        <v>1852</v>
      </c>
      <c r="L91" s="11" t="s">
        <v>1853</v>
      </c>
      <c r="M91" s="11" t="s">
        <v>2425</v>
      </c>
      <c r="N91" s="12"/>
      <c r="O91" s="11" t="s">
        <v>1858</v>
      </c>
      <c r="P91" s="56"/>
    </row>
    <row r="92" spans="1:16" ht="15.75" customHeight="1" x14ac:dyDescent="0.2">
      <c r="A92" s="49">
        <v>384</v>
      </c>
      <c r="B92" s="11" t="s">
        <v>1857</v>
      </c>
      <c r="C92" s="11" t="s">
        <v>1849</v>
      </c>
      <c r="D92" s="6" t="s">
        <v>1850</v>
      </c>
      <c r="E92" s="11" t="s">
        <v>2236</v>
      </c>
      <c r="F92" s="12" t="s">
        <v>2236</v>
      </c>
      <c r="G92" s="12" t="s">
        <v>2266</v>
      </c>
      <c r="H92" s="12" t="s">
        <v>2417</v>
      </c>
      <c r="I92" s="12" t="s">
        <v>2426</v>
      </c>
      <c r="J92" s="11" t="s">
        <v>2246</v>
      </c>
      <c r="K92" s="11" t="s">
        <v>2247</v>
      </c>
      <c r="L92" s="11" t="s">
        <v>1853</v>
      </c>
      <c r="M92" s="11" t="s">
        <v>1854</v>
      </c>
      <c r="N92" s="12"/>
      <c r="O92" s="11" t="s">
        <v>1858</v>
      </c>
      <c r="P92" s="56"/>
    </row>
    <row r="93" spans="1:16" ht="15.75" customHeight="1" x14ac:dyDescent="0.2">
      <c r="A93" s="49">
        <v>115</v>
      </c>
      <c r="B93" s="11" t="s">
        <v>1857</v>
      </c>
      <c r="C93" s="11" t="s">
        <v>1849</v>
      </c>
      <c r="D93" s="6" t="s">
        <v>1850</v>
      </c>
      <c r="E93" s="11" t="s">
        <v>2236</v>
      </c>
      <c r="F93" s="12" t="s">
        <v>2236</v>
      </c>
      <c r="G93" s="12" t="s">
        <v>2236</v>
      </c>
      <c r="H93" s="12" t="s">
        <v>2236</v>
      </c>
      <c r="I93" s="12" t="s">
        <v>2427</v>
      </c>
      <c r="J93" s="11" t="s">
        <v>1856</v>
      </c>
      <c r="K93" s="11" t="s">
        <v>1852</v>
      </c>
      <c r="L93" s="11" t="s">
        <v>1853</v>
      </c>
      <c r="M93" s="11" t="s">
        <v>1854</v>
      </c>
      <c r="N93" s="12"/>
      <c r="O93" s="11" t="s">
        <v>1859</v>
      </c>
      <c r="P93" s="56"/>
    </row>
    <row r="94" spans="1:16" ht="15.75" customHeight="1" x14ac:dyDescent="0.2">
      <c r="A94" s="49">
        <v>310</v>
      </c>
      <c r="B94" s="11" t="s">
        <v>1857</v>
      </c>
      <c r="C94" s="11" t="s">
        <v>1849</v>
      </c>
      <c r="D94" s="6" t="s">
        <v>1850</v>
      </c>
      <c r="E94" s="11" t="s">
        <v>2236</v>
      </c>
      <c r="F94" s="12" t="s">
        <v>2236</v>
      </c>
      <c r="G94" s="12" t="s">
        <v>2249</v>
      </c>
      <c r="H94" s="12" t="s">
        <v>2428</v>
      </c>
      <c r="I94" s="12" t="s">
        <v>2429</v>
      </c>
      <c r="J94" s="11" t="s">
        <v>1856</v>
      </c>
      <c r="K94" s="11" t="s">
        <v>1852</v>
      </c>
      <c r="L94" s="11" t="s">
        <v>1853</v>
      </c>
      <c r="M94" s="11" t="s">
        <v>1854</v>
      </c>
      <c r="N94" s="12"/>
      <c r="O94" s="11" t="s">
        <v>1858</v>
      </c>
      <c r="P94" s="56"/>
    </row>
    <row r="95" spans="1:16" ht="15.75" customHeight="1" x14ac:dyDescent="0.2">
      <c r="A95" s="49">
        <v>305</v>
      </c>
      <c r="B95" s="11" t="s">
        <v>1857</v>
      </c>
      <c r="C95" s="11" t="s">
        <v>1849</v>
      </c>
      <c r="D95" s="6" t="s">
        <v>1850</v>
      </c>
      <c r="E95" s="11" t="s">
        <v>2236</v>
      </c>
      <c r="F95" s="12" t="s">
        <v>2236</v>
      </c>
      <c r="G95" s="12" t="s">
        <v>2238</v>
      </c>
      <c r="H95" s="12" t="s">
        <v>2309</v>
      </c>
      <c r="I95" s="12" t="s">
        <v>2430</v>
      </c>
      <c r="J95" s="11" t="s">
        <v>1856</v>
      </c>
      <c r="K95" s="11" t="s">
        <v>1852</v>
      </c>
      <c r="L95" s="11" t="s">
        <v>1853</v>
      </c>
      <c r="M95" s="11" t="s">
        <v>1854</v>
      </c>
      <c r="N95" s="12"/>
      <c r="O95" s="11" t="s">
        <v>1858</v>
      </c>
      <c r="P95" s="56"/>
    </row>
    <row r="96" spans="1:16" ht="15.75" customHeight="1" x14ac:dyDescent="0.2">
      <c r="A96" s="49">
        <v>269</v>
      </c>
      <c r="B96" s="11" t="s">
        <v>1857</v>
      </c>
      <c r="C96" s="11" t="s">
        <v>1849</v>
      </c>
      <c r="D96" s="6" t="s">
        <v>1850</v>
      </c>
      <c r="E96" s="11" t="s">
        <v>2236</v>
      </c>
      <c r="F96" s="12" t="s">
        <v>2236</v>
      </c>
      <c r="G96" s="12" t="s">
        <v>2238</v>
      </c>
      <c r="H96" s="12" t="s">
        <v>2309</v>
      </c>
      <c r="I96" s="12" t="s">
        <v>2431</v>
      </c>
      <c r="J96" s="11" t="s">
        <v>2246</v>
      </c>
      <c r="K96" s="11" t="s">
        <v>2247</v>
      </c>
      <c r="L96" s="11" t="s">
        <v>1853</v>
      </c>
      <c r="M96" s="11" t="s">
        <v>1854</v>
      </c>
      <c r="N96" s="12"/>
      <c r="O96" s="11" t="s">
        <v>1858</v>
      </c>
      <c r="P96" s="56"/>
    </row>
    <row r="97" spans="1:16" ht="15.75" customHeight="1" x14ac:dyDescent="0.2">
      <c r="A97" s="48">
        <v>306</v>
      </c>
      <c r="B97" s="11" t="s">
        <v>1857</v>
      </c>
      <c r="C97" s="11" t="s">
        <v>1849</v>
      </c>
      <c r="D97" s="6" t="s">
        <v>1850</v>
      </c>
      <c r="E97" s="11" t="s">
        <v>2236</v>
      </c>
      <c r="F97" s="12" t="s">
        <v>2236</v>
      </c>
      <c r="G97" s="12" t="s">
        <v>2249</v>
      </c>
      <c r="H97" s="12" t="s">
        <v>2428</v>
      </c>
      <c r="I97" s="12" t="s">
        <v>2432</v>
      </c>
      <c r="J97" s="11" t="s">
        <v>1856</v>
      </c>
      <c r="K97" s="11" t="s">
        <v>1852</v>
      </c>
      <c r="L97" s="11" t="s">
        <v>1853</v>
      </c>
      <c r="M97" s="11" t="s">
        <v>1854</v>
      </c>
      <c r="N97" s="12"/>
      <c r="O97" s="11" t="s">
        <v>1858</v>
      </c>
      <c r="P97" s="56"/>
    </row>
    <row r="98" spans="1:16" ht="15.75" customHeight="1" x14ac:dyDescent="0.2">
      <c r="A98" s="49">
        <v>465</v>
      </c>
      <c r="B98" s="11" t="s">
        <v>1857</v>
      </c>
      <c r="C98" s="11" t="s">
        <v>1849</v>
      </c>
      <c r="D98" s="6" t="s">
        <v>1850</v>
      </c>
      <c r="E98" s="11" t="s">
        <v>2236</v>
      </c>
      <c r="F98" s="12" t="s">
        <v>2236</v>
      </c>
      <c r="G98" s="12" t="s">
        <v>2266</v>
      </c>
      <c r="H98" s="12" t="s">
        <v>2417</v>
      </c>
      <c r="I98" s="12" t="s">
        <v>2433</v>
      </c>
      <c r="J98" s="11" t="s">
        <v>1856</v>
      </c>
      <c r="K98" s="11" t="s">
        <v>1852</v>
      </c>
      <c r="L98" s="11" t="s">
        <v>1853</v>
      </c>
      <c r="M98" s="11" t="s">
        <v>2434</v>
      </c>
      <c r="N98" s="12" t="s">
        <v>2435</v>
      </c>
      <c r="O98" s="11" t="s">
        <v>1858</v>
      </c>
      <c r="P98" s="56"/>
    </row>
    <row r="99" spans="1:16" ht="15.75" customHeight="1" x14ac:dyDescent="0.2">
      <c r="A99" s="49">
        <v>498</v>
      </c>
      <c r="B99" s="11" t="s">
        <v>1857</v>
      </c>
      <c r="C99" s="11" t="s">
        <v>1849</v>
      </c>
      <c r="D99" s="6" t="s">
        <v>1850</v>
      </c>
      <c r="E99" s="11" t="s">
        <v>2236</v>
      </c>
      <c r="F99" s="12" t="s">
        <v>2236</v>
      </c>
      <c r="G99" s="12" t="s">
        <v>2266</v>
      </c>
      <c r="H99" s="12" t="s">
        <v>2436</v>
      </c>
      <c r="I99" s="12" t="s">
        <v>2437</v>
      </c>
      <c r="J99" s="11" t="s">
        <v>2246</v>
      </c>
      <c r="K99" s="11" t="s">
        <v>2247</v>
      </c>
      <c r="L99" s="11" t="s">
        <v>1853</v>
      </c>
      <c r="M99" s="11" t="s">
        <v>1854</v>
      </c>
      <c r="N99" s="12"/>
      <c r="O99" s="11" t="s">
        <v>1860</v>
      </c>
      <c r="P99" s="56"/>
    </row>
    <row r="100" spans="1:16" ht="15.75" customHeight="1" x14ac:dyDescent="0.2">
      <c r="A100" s="49">
        <v>1888</v>
      </c>
      <c r="B100" s="11" t="s">
        <v>1857</v>
      </c>
      <c r="C100" s="11" t="s">
        <v>1849</v>
      </c>
      <c r="D100" s="6" t="s">
        <v>1850</v>
      </c>
      <c r="E100" s="11" t="s">
        <v>2236</v>
      </c>
      <c r="F100" s="12" t="s">
        <v>2236</v>
      </c>
      <c r="G100" s="12" t="s">
        <v>2249</v>
      </c>
      <c r="H100" s="12" t="s">
        <v>2312</v>
      </c>
      <c r="I100" s="12" t="s">
        <v>2438</v>
      </c>
      <c r="J100" s="11" t="s">
        <v>2246</v>
      </c>
      <c r="K100" s="11" t="s">
        <v>2247</v>
      </c>
      <c r="L100" s="11" t="s">
        <v>1853</v>
      </c>
      <c r="M100" s="11" t="s">
        <v>2439</v>
      </c>
      <c r="N100" s="12"/>
      <c r="O100" s="11" t="s">
        <v>1859</v>
      </c>
      <c r="P100" s="56"/>
    </row>
    <row r="101" spans="1:16" ht="15.75" customHeight="1" x14ac:dyDescent="0.2">
      <c r="A101" s="49">
        <v>300</v>
      </c>
      <c r="B101" s="11" t="s">
        <v>1857</v>
      </c>
      <c r="C101" s="11" t="s">
        <v>1849</v>
      </c>
      <c r="D101" s="6" t="s">
        <v>1850</v>
      </c>
      <c r="E101" s="11" t="s">
        <v>2236</v>
      </c>
      <c r="F101" s="12" t="s">
        <v>2236</v>
      </c>
      <c r="G101" s="12" t="s">
        <v>2249</v>
      </c>
      <c r="H101" s="12" t="s">
        <v>2271</v>
      </c>
      <c r="I101" s="12" t="s">
        <v>2440</v>
      </c>
      <c r="J101" s="11" t="s">
        <v>1856</v>
      </c>
      <c r="K101" s="11" t="s">
        <v>1852</v>
      </c>
      <c r="L101" s="11" t="s">
        <v>1853</v>
      </c>
      <c r="M101" s="11" t="s">
        <v>1854</v>
      </c>
      <c r="N101" s="12"/>
      <c r="O101" s="11" t="s">
        <v>1858</v>
      </c>
      <c r="P101" s="56"/>
    </row>
    <row r="102" spans="1:16" ht="15.75" customHeight="1" x14ac:dyDescent="0.2">
      <c r="A102" s="49">
        <v>309</v>
      </c>
      <c r="B102" s="11" t="s">
        <v>1857</v>
      </c>
      <c r="C102" s="11" t="s">
        <v>1849</v>
      </c>
      <c r="D102" s="6" t="s">
        <v>1850</v>
      </c>
      <c r="E102" s="11" t="s">
        <v>2236</v>
      </c>
      <c r="F102" s="12" t="s">
        <v>2236</v>
      </c>
      <c r="G102" s="12" t="s">
        <v>2249</v>
      </c>
      <c r="H102" s="12" t="s">
        <v>2428</v>
      </c>
      <c r="I102" s="12" t="s">
        <v>2441</v>
      </c>
      <c r="J102" s="11" t="s">
        <v>1856</v>
      </c>
      <c r="K102" s="11" t="s">
        <v>1852</v>
      </c>
      <c r="L102" s="11" t="s">
        <v>1853</v>
      </c>
      <c r="M102" s="11" t="s">
        <v>2359</v>
      </c>
      <c r="N102" s="12"/>
      <c r="O102" s="11" t="s">
        <v>1859</v>
      </c>
      <c r="P102" s="56"/>
    </row>
    <row r="103" spans="1:16" ht="15.75" customHeight="1" x14ac:dyDescent="0.2">
      <c r="A103" s="49">
        <v>139</v>
      </c>
      <c r="B103" s="11" t="s">
        <v>1857</v>
      </c>
      <c r="C103" s="11" t="s">
        <v>1849</v>
      </c>
      <c r="D103" s="6" t="s">
        <v>1850</v>
      </c>
      <c r="E103" s="11" t="s">
        <v>2236</v>
      </c>
      <c r="F103" s="12" t="s">
        <v>2236</v>
      </c>
      <c r="G103" s="12" t="s">
        <v>2249</v>
      </c>
      <c r="H103" s="12" t="s">
        <v>2303</v>
      </c>
      <c r="I103" s="12" t="s">
        <v>2442</v>
      </c>
      <c r="J103" s="11" t="s">
        <v>2246</v>
      </c>
      <c r="K103" s="11" t="s">
        <v>2247</v>
      </c>
      <c r="L103" s="11" t="s">
        <v>1853</v>
      </c>
      <c r="M103" s="11" t="s">
        <v>1854</v>
      </c>
      <c r="N103" s="12"/>
      <c r="O103" s="11" t="s">
        <v>1858</v>
      </c>
      <c r="P103" s="56"/>
    </row>
    <row r="104" spans="1:16" ht="15.75" customHeight="1" x14ac:dyDescent="0.2">
      <c r="A104" s="49">
        <v>464</v>
      </c>
      <c r="B104" s="11" t="s">
        <v>1857</v>
      </c>
      <c r="C104" s="11" t="s">
        <v>1849</v>
      </c>
      <c r="D104" s="6" t="s">
        <v>1850</v>
      </c>
      <c r="E104" s="11" t="s">
        <v>2236</v>
      </c>
      <c r="F104" s="12" t="s">
        <v>2236</v>
      </c>
      <c r="G104" s="12" t="s">
        <v>2266</v>
      </c>
      <c r="H104" s="12" t="s">
        <v>2443</v>
      </c>
      <c r="I104" s="12" t="s">
        <v>1868</v>
      </c>
      <c r="J104" s="11" t="s">
        <v>1856</v>
      </c>
      <c r="K104" s="11" t="s">
        <v>1852</v>
      </c>
      <c r="L104" s="11" t="s">
        <v>1853</v>
      </c>
      <c r="M104" s="11" t="s">
        <v>2276</v>
      </c>
      <c r="N104" s="12"/>
      <c r="O104" s="11" t="s">
        <v>1858</v>
      </c>
      <c r="P104" s="56"/>
    </row>
    <row r="105" spans="1:16" ht="15.75" customHeight="1" x14ac:dyDescent="0.2">
      <c r="A105" s="49">
        <v>5868</v>
      </c>
      <c r="B105" s="11" t="s">
        <v>1857</v>
      </c>
      <c r="C105" s="11" t="s">
        <v>1849</v>
      </c>
      <c r="D105" s="6" t="s">
        <v>1850</v>
      </c>
      <c r="E105" s="11" t="s">
        <v>2236</v>
      </c>
      <c r="F105" s="12" t="s">
        <v>2236</v>
      </c>
      <c r="G105" s="12" t="s">
        <v>2249</v>
      </c>
      <c r="H105" s="12" t="s">
        <v>2303</v>
      </c>
      <c r="I105" s="12" t="s">
        <v>2444</v>
      </c>
      <c r="J105" s="11" t="s">
        <v>2246</v>
      </c>
      <c r="K105" s="11" t="s">
        <v>2247</v>
      </c>
      <c r="L105" s="11" t="s">
        <v>1853</v>
      </c>
      <c r="M105" s="11" t="s">
        <v>1854</v>
      </c>
      <c r="N105" s="12"/>
      <c r="O105" s="11" t="s">
        <v>1859</v>
      </c>
      <c r="P105" s="56"/>
    </row>
    <row r="106" spans="1:16" ht="15.75" customHeight="1" x14ac:dyDescent="0.2">
      <c r="A106" s="49">
        <v>326</v>
      </c>
      <c r="B106" s="11" t="s">
        <v>1857</v>
      </c>
      <c r="C106" s="11" t="s">
        <v>1849</v>
      </c>
      <c r="D106" s="6" t="s">
        <v>1850</v>
      </c>
      <c r="E106" s="11" t="s">
        <v>2236</v>
      </c>
      <c r="F106" s="12" t="s">
        <v>2236</v>
      </c>
      <c r="G106" s="12" t="s">
        <v>2238</v>
      </c>
      <c r="H106" s="12" t="s">
        <v>2324</v>
      </c>
      <c r="I106" s="12" t="s">
        <v>2445</v>
      </c>
      <c r="J106" s="11" t="s">
        <v>1856</v>
      </c>
      <c r="K106" s="11" t="s">
        <v>1852</v>
      </c>
      <c r="L106" s="11" t="s">
        <v>1853</v>
      </c>
      <c r="M106" s="11" t="s">
        <v>1854</v>
      </c>
      <c r="N106" s="12"/>
      <c r="O106" s="11" t="s">
        <v>1858</v>
      </c>
      <c r="P106" s="56"/>
    </row>
    <row r="107" spans="1:16" ht="15.75" customHeight="1" x14ac:dyDescent="0.2">
      <c r="A107" s="49">
        <v>172</v>
      </c>
      <c r="B107" s="11" t="s">
        <v>1857</v>
      </c>
      <c r="C107" s="11" t="s">
        <v>1849</v>
      </c>
      <c r="D107" s="6" t="s">
        <v>1850</v>
      </c>
      <c r="E107" s="11" t="s">
        <v>2236</v>
      </c>
      <c r="F107" s="12" t="s">
        <v>2236</v>
      </c>
      <c r="G107" s="12" t="s">
        <v>2236</v>
      </c>
      <c r="H107" s="12" t="s">
        <v>2330</v>
      </c>
      <c r="I107" s="12" t="s">
        <v>2446</v>
      </c>
      <c r="J107" s="11" t="s">
        <v>1856</v>
      </c>
      <c r="K107" s="11" t="s">
        <v>1852</v>
      </c>
      <c r="L107" s="11" t="s">
        <v>1853</v>
      </c>
      <c r="M107" s="11" t="s">
        <v>2447</v>
      </c>
      <c r="N107" s="12"/>
      <c r="O107" s="11" t="s">
        <v>1859</v>
      </c>
      <c r="P107" s="56"/>
    </row>
    <row r="108" spans="1:16" ht="15.75" customHeight="1" x14ac:dyDescent="0.2">
      <c r="A108" s="49">
        <v>287</v>
      </c>
      <c r="B108" s="11" t="s">
        <v>1857</v>
      </c>
      <c r="C108" s="11" t="s">
        <v>1849</v>
      </c>
      <c r="D108" s="6" t="s">
        <v>1850</v>
      </c>
      <c r="E108" s="11" t="s">
        <v>2236</v>
      </c>
      <c r="F108" s="12" t="s">
        <v>2236</v>
      </c>
      <c r="G108" s="12" t="s">
        <v>2249</v>
      </c>
      <c r="H108" s="12" t="s">
        <v>2303</v>
      </c>
      <c r="I108" s="12" t="s">
        <v>2448</v>
      </c>
      <c r="J108" s="11" t="s">
        <v>2246</v>
      </c>
      <c r="K108" s="11" t="s">
        <v>2247</v>
      </c>
      <c r="L108" s="11" t="s">
        <v>1853</v>
      </c>
      <c r="M108" s="11" t="s">
        <v>1854</v>
      </c>
      <c r="N108" s="12"/>
      <c r="O108" s="11" t="s">
        <v>1858</v>
      </c>
      <c r="P108" s="56"/>
    </row>
    <row r="109" spans="1:16" ht="15.75" customHeight="1" x14ac:dyDescent="0.2">
      <c r="A109" s="49">
        <v>476</v>
      </c>
      <c r="B109" s="11" t="s">
        <v>1857</v>
      </c>
      <c r="C109" s="11" t="s">
        <v>1849</v>
      </c>
      <c r="D109" s="6" t="s">
        <v>1850</v>
      </c>
      <c r="E109" s="11" t="s">
        <v>2236</v>
      </c>
      <c r="F109" s="12" t="s">
        <v>2236</v>
      </c>
      <c r="G109" s="12" t="s">
        <v>2266</v>
      </c>
      <c r="H109" s="12" t="s">
        <v>2443</v>
      </c>
      <c r="I109" s="12" t="s">
        <v>2449</v>
      </c>
      <c r="J109" s="11" t="s">
        <v>1856</v>
      </c>
      <c r="K109" s="11" t="s">
        <v>1852</v>
      </c>
      <c r="L109" s="11" t="s">
        <v>1853</v>
      </c>
      <c r="M109" s="11" t="s">
        <v>2450</v>
      </c>
      <c r="N109" s="12"/>
      <c r="O109" s="11" t="s">
        <v>1859</v>
      </c>
      <c r="P109" s="56"/>
    </row>
    <row r="110" spans="1:16" ht="15.75" customHeight="1" x14ac:dyDescent="0.2">
      <c r="A110" s="49">
        <v>234</v>
      </c>
      <c r="B110" s="11" t="s">
        <v>1857</v>
      </c>
      <c r="C110" s="11" t="s">
        <v>1849</v>
      </c>
      <c r="D110" s="6" t="s">
        <v>1850</v>
      </c>
      <c r="E110" s="11" t="s">
        <v>2236</v>
      </c>
      <c r="F110" s="12" t="s">
        <v>2236</v>
      </c>
      <c r="G110" s="12" t="s">
        <v>2238</v>
      </c>
      <c r="H110" s="12" t="s">
        <v>2257</v>
      </c>
      <c r="I110" s="12" t="s">
        <v>2451</v>
      </c>
      <c r="J110" s="11" t="s">
        <v>2246</v>
      </c>
      <c r="K110" s="11" t="s">
        <v>2247</v>
      </c>
      <c r="L110" s="11" t="s">
        <v>1853</v>
      </c>
      <c r="M110" s="11" t="s">
        <v>1854</v>
      </c>
      <c r="N110" s="12"/>
      <c r="O110" s="11" t="s">
        <v>1858</v>
      </c>
      <c r="P110" s="56"/>
    </row>
    <row r="111" spans="1:16" ht="15.75" customHeight="1" x14ac:dyDescent="0.2">
      <c r="A111" s="49">
        <v>238</v>
      </c>
      <c r="B111" s="11" t="s">
        <v>1857</v>
      </c>
      <c r="C111" s="11" t="s">
        <v>1849</v>
      </c>
      <c r="D111" s="6" t="s">
        <v>1850</v>
      </c>
      <c r="E111" s="11" t="s">
        <v>2236</v>
      </c>
      <c r="F111" s="12" t="s">
        <v>2236</v>
      </c>
      <c r="G111" s="12" t="s">
        <v>2238</v>
      </c>
      <c r="H111" s="12" t="s">
        <v>2257</v>
      </c>
      <c r="I111" s="12" t="s">
        <v>2452</v>
      </c>
      <c r="J111" s="11" t="s">
        <v>1856</v>
      </c>
      <c r="K111" s="11" t="s">
        <v>1852</v>
      </c>
      <c r="L111" s="11" t="s">
        <v>1853</v>
      </c>
      <c r="M111" s="11" t="s">
        <v>2453</v>
      </c>
      <c r="N111" s="12"/>
      <c r="O111" s="11" t="s">
        <v>1860</v>
      </c>
      <c r="P111" s="56"/>
    </row>
    <row r="112" spans="1:16" ht="15.75" customHeight="1" x14ac:dyDescent="0.2">
      <c r="A112" s="49">
        <v>395</v>
      </c>
      <c r="B112" s="11" t="s">
        <v>1857</v>
      </c>
      <c r="C112" s="11" t="s">
        <v>1849</v>
      </c>
      <c r="D112" s="6" t="s">
        <v>1850</v>
      </c>
      <c r="E112" s="11" t="s">
        <v>2236</v>
      </c>
      <c r="F112" s="12" t="s">
        <v>2236</v>
      </c>
      <c r="G112" s="12" t="s">
        <v>2266</v>
      </c>
      <c r="H112" s="12" t="s">
        <v>2266</v>
      </c>
      <c r="I112" s="12" t="s">
        <v>2454</v>
      </c>
      <c r="J112" s="11" t="s">
        <v>1856</v>
      </c>
      <c r="K112" s="11" t="s">
        <v>1852</v>
      </c>
      <c r="L112" s="11" t="s">
        <v>1853</v>
      </c>
      <c r="M112" s="11" t="s">
        <v>2336</v>
      </c>
      <c r="N112" s="12"/>
      <c r="O112" s="11" t="s">
        <v>1860</v>
      </c>
      <c r="P112" s="56"/>
    </row>
    <row r="113" spans="1:16" ht="15.75" customHeight="1" x14ac:dyDescent="0.2">
      <c r="A113" s="49">
        <v>523</v>
      </c>
      <c r="B113" s="11" t="s">
        <v>1857</v>
      </c>
      <c r="C113" s="11" t="s">
        <v>1849</v>
      </c>
      <c r="D113" s="6" t="s">
        <v>1850</v>
      </c>
      <c r="E113" s="11" t="s">
        <v>2236</v>
      </c>
      <c r="F113" s="12" t="s">
        <v>2236</v>
      </c>
      <c r="G113" s="12" t="s">
        <v>2266</v>
      </c>
      <c r="H113" s="12" t="s">
        <v>2282</v>
      </c>
      <c r="I113" s="12" t="s">
        <v>2455</v>
      </c>
      <c r="J113" s="11" t="s">
        <v>1856</v>
      </c>
      <c r="K113" s="11" t="s">
        <v>1852</v>
      </c>
      <c r="L113" s="11" t="s">
        <v>1853</v>
      </c>
      <c r="M113" s="11" t="s">
        <v>1854</v>
      </c>
      <c r="N113" s="12"/>
      <c r="O113" s="11" t="s">
        <v>1859</v>
      </c>
      <c r="P113" s="56"/>
    </row>
    <row r="114" spans="1:16" ht="15.75" customHeight="1" x14ac:dyDescent="0.2">
      <c r="A114" s="49">
        <v>232</v>
      </c>
      <c r="B114" s="11" t="s">
        <v>1857</v>
      </c>
      <c r="C114" s="11" t="s">
        <v>1849</v>
      </c>
      <c r="D114" s="6" t="s">
        <v>1850</v>
      </c>
      <c r="E114" s="11" t="s">
        <v>2236</v>
      </c>
      <c r="F114" s="12" t="s">
        <v>2236</v>
      </c>
      <c r="G114" s="12" t="s">
        <v>2238</v>
      </c>
      <c r="H114" s="12" t="s">
        <v>2257</v>
      </c>
      <c r="I114" s="12" t="s">
        <v>2456</v>
      </c>
      <c r="J114" s="11" t="s">
        <v>2246</v>
      </c>
      <c r="K114" s="11" t="s">
        <v>2247</v>
      </c>
      <c r="L114" s="11" t="s">
        <v>1853</v>
      </c>
      <c r="M114" s="11" t="s">
        <v>1854</v>
      </c>
      <c r="N114" s="12"/>
      <c r="O114" s="11" t="s">
        <v>1860</v>
      </c>
      <c r="P114" s="56"/>
    </row>
    <row r="115" spans="1:16" ht="15.75" customHeight="1" x14ac:dyDescent="0.2">
      <c r="A115" s="49">
        <v>102</v>
      </c>
      <c r="B115" s="11" t="s">
        <v>1857</v>
      </c>
      <c r="C115" s="11" t="s">
        <v>1849</v>
      </c>
      <c r="D115" s="6" t="s">
        <v>1850</v>
      </c>
      <c r="E115" s="11" t="s">
        <v>2236</v>
      </c>
      <c r="F115" s="12" t="s">
        <v>2236</v>
      </c>
      <c r="G115" s="12" t="s">
        <v>2249</v>
      </c>
      <c r="H115" s="12" t="s">
        <v>2252</v>
      </c>
      <c r="I115" s="12" t="s">
        <v>2457</v>
      </c>
      <c r="J115" s="11" t="s">
        <v>2246</v>
      </c>
      <c r="K115" s="11" t="s">
        <v>2247</v>
      </c>
      <c r="L115" s="11" t="s">
        <v>1853</v>
      </c>
      <c r="M115" s="11" t="s">
        <v>1854</v>
      </c>
      <c r="N115" s="12"/>
      <c r="O115" s="11" t="s">
        <v>1859</v>
      </c>
      <c r="P115" s="56"/>
    </row>
    <row r="116" spans="1:16" ht="15.75" customHeight="1" x14ac:dyDescent="0.2">
      <c r="A116" s="49">
        <v>117</v>
      </c>
      <c r="B116" s="11" t="s">
        <v>1857</v>
      </c>
      <c r="C116" s="11" t="s">
        <v>1849</v>
      </c>
      <c r="D116" s="6" t="s">
        <v>1850</v>
      </c>
      <c r="E116" s="11" t="s">
        <v>2236</v>
      </c>
      <c r="F116" s="12" t="s">
        <v>2236</v>
      </c>
      <c r="G116" s="12" t="s">
        <v>2249</v>
      </c>
      <c r="H116" s="12" t="s">
        <v>2252</v>
      </c>
      <c r="I116" s="12" t="s">
        <v>2458</v>
      </c>
      <c r="J116" s="11" t="s">
        <v>2246</v>
      </c>
      <c r="K116" s="11" t="s">
        <v>2247</v>
      </c>
      <c r="L116" s="11" t="s">
        <v>1853</v>
      </c>
      <c r="M116" s="11" t="s">
        <v>1854</v>
      </c>
      <c r="N116" s="12"/>
      <c r="O116" s="11" t="s">
        <v>1869</v>
      </c>
      <c r="P116" s="56"/>
    </row>
    <row r="117" spans="1:16" ht="15.75" customHeight="1" x14ac:dyDescent="0.2">
      <c r="A117" s="49">
        <v>6349</v>
      </c>
      <c r="B117" s="11" t="s">
        <v>1857</v>
      </c>
      <c r="C117" s="11" t="s">
        <v>1849</v>
      </c>
      <c r="D117" s="6" t="s">
        <v>1850</v>
      </c>
      <c r="E117" s="11" t="s">
        <v>2236</v>
      </c>
      <c r="F117" s="12" t="s">
        <v>2236</v>
      </c>
      <c r="G117" s="12" t="s">
        <v>2236</v>
      </c>
      <c r="H117" s="12" t="s">
        <v>2330</v>
      </c>
      <c r="I117" s="12" t="s">
        <v>2459</v>
      </c>
      <c r="J117" s="11" t="s">
        <v>1856</v>
      </c>
      <c r="K117" s="11" t="s">
        <v>1852</v>
      </c>
      <c r="L117" s="11" t="s">
        <v>1853</v>
      </c>
      <c r="M117" s="11" t="s">
        <v>2460</v>
      </c>
      <c r="N117" s="12"/>
      <c r="O117" s="11" t="s">
        <v>1859</v>
      </c>
      <c r="P117" s="56"/>
    </row>
    <row r="118" spans="1:16" ht="15.75" customHeight="1" x14ac:dyDescent="0.2">
      <c r="A118" s="49">
        <v>141</v>
      </c>
      <c r="B118" s="11" t="s">
        <v>1857</v>
      </c>
      <c r="C118" s="11" t="s">
        <v>1849</v>
      </c>
      <c r="D118" s="6" t="s">
        <v>1850</v>
      </c>
      <c r="E118" s="11" t="s">
        <v>2236</v>
      </c>
      <c r="F118" s="12" t="s">
        <v>2236</v>
      </c>
      <c r="G118" s="12" t="s">
        <v>2249</v>
      </c>
      <c r="H118" s="12" t="s">
        <v>2303</v>
      </c>
      <c r="I118" s="12" t="s">
        <v>2461</v>
      </c>
      <c r="J118" s="11" t="s">
        <v>2246</v>
      </c>
      <c r="K118" s="11" t="s">
        <v>2247</v>
      </c>
      <c r="L118" s="11" t="s">
        <v>1853</v>
      </c>
      <c r="M118" s="11" t="s">
        <v>1854</v>
      </c>
      <c r="N118" s="12"/>
      <c r="O118" s="11" t="s">
        <v>1859</v>
      </c>
      <c r="P118" s="56"/>
    </row>
    <row r="119" spans="1:16" ht="15.75" customHeight="1" x14ac:dyDescent="0.2">
      <c r="A119" s="49">
        <v>155</v>
      </c>
      <c r="B119" s="11" t="s">
        <v>1857</v>
      </c>
      <c r="C119" s="11" t="s">
        <v>1849</v>
      </c>
      <c r="D119" s="6" t="s">
        <v>1850</v>
      </c>
      <c r="E119" s="11" t="s">
        <v>2236</v>
      </c>
      <c r="F119" s="12" t="s">
        <v>2236</v>
      </c>
      <c r="G119" s="12" t="s">
        <v>2236</v>
      </c>
      <c r="H119" s="12" t="s">
        <v>2264</v>
      </c>
      <c r="I119" s="12" t="s">
        <v>2462</v>
      </c>
      <c r="J119" s="11" t="s">
        <v>2246</v>
      </c>
      <c r="K119" s="11" t="s">
        <v>2247</v>
      </c>
      <c r="L119" s="11" t="s">
        <v>1853</v>
      </c>
      <c r="M119" s="11" t="s">
        <v>2463</v>
      </c>
      <c r="N119" s="12" t="s">
        <v>2333</v>
      </c>
      <c r="O119" s="11" t="s">
        <v>2334</v>
      </c>
      <c r="P119" s="56" t="s">
        <v>2323</v>
      </c>
    </row>
    <row r="120" spans="1:16" ht="15.75" customHeight="1" x14ac:dyDescent="0.2">
      <c r="A120" s="49">
        <v>393</v>
      </c>
      <c r="B120" s="11" t="s">
        <v>1857</v>
      </c>
      <c r="C120" s="11" t="s">
        <v>1849</v>
      </c>
      <c r="D120" s="6" t="s">
        <v>1850</v>
      </c>
      <c r="E120" s="11" t="s">
        <v>2236</v>
      </c>
      <c r="F120" s="12" t="s">
        <v>2236</v>
      </c>
      <c r="G120" s="12" t="s">
        <v>2266</v>
      </c>
      <c r="H120" s="12" t="s">
        <v>2436</v>
      </c>
      <c r="I120" s="12" t="s">
        <v>2464</v>
      </c>
      <c r="J120" s="11" t="s">
        <v>1856</v>
      </c>
      <c r="K120" s="11" t="s">
        <v>1852</v>
      </c>
      <c r="L120" s="11" t="s">
        <v>1853</v>
      </c>
      <c r="M120" s="11" t="s">
        <v>2465</v>
      </c>
      <c r="N120" s="12" t="s">
        <v>2466</v>
      </c>
      <c r="O120" s="11" t="s">
        <v>1858</v>
      </c>
      <c r="P120" s="56"/>
    </row>
    <row r="121" spans="1:16" ht="15.75" customHeight="1" x14ac:dyDescent="0.2">
      <c r="A121" s="49">
        <v>463</v>
      </c>
      <c r="B121" s="11" t="s">
        <v>1857</v>
      </c>
      <c r="C121" s="11" t="s">
        <v>1849</v>
      </c>
      <c r="D121" s="6" t="s">
        <v>1850</v>
      </c>
      <c r="E121" s="11" t="s">
        <v>2236</v>
      </c>
      <c r="F121" s="12" t="s">
        <v>2236</v>
      </c>
      <c r="G121" s="12" t="s">
        <v>2266</v>
      </c>
      <c r="H121" s="12" t="s">
        <v>2282</v>
      </c>
      <c r="I121" s="12" t="s">
        <v>2467</v>
      </c>
      <c r="J121" s="11" t="s">
        <v>2246</v>
      </c>
      <c r="K121" s="11" t="s">
        <v>2247</v>
      </c>
      <c r="L121" s="11" t="s">
        <v>1853</v>
      </c>
      <c r="M121" s="11" t="s">
        <v>2468</v>
      </c>
      <c r="N121" s="12" t="s">
        <v>2469</v>
      </c>
      <c r="O121" s="11" t="s">
        <v>1867</v>
      </c>
      <c r="P121" s="56" t="s">
        <v>1863</v>
      </c>
    </row>
    <row r="122" spans="1:16" ht="15.75" customHeight="1" x14ac:dyDescent="0.2">
      <c r="A122" s="49">
        <v>301</v>
      </c>
      <c r="B122" s="11" t="s">
        <v>1857</v>
      </c>
      <c r="C122" s="11" t="s">
        <v>1849</v>
      </c>
      <c r="D122" s="6" t="s">
        <v>1850</v>
      </c>
      <c r="E122" s="11" t="s">
        <v>2236</v>
      </c>
      <c r="F122" s="12" t="s">
        <v>2236</v>
      </c>
      <c r="G122" s="12" t="s">
        <v>2249</v>
      </c>
      <c r="H122" s="12" t="s">
        <v>2249</v>
      </c>
      <c r="I122" s="12" t="s">
        <v>2470</v>
      </c>
      <c r="J122" s="11" t="s">
        <v>1856</v>
      </c>
      <c r="K122" s="11" t="s">
        <v>1852</v>
      </c>
      <c r="L122" s="11" t="s">
        <v>1853</v>
      </c>
      <c r="M122" s="11" t="s">
        <v>2471</v>
      </c>
      <c r="N122" s="12" t="s">
        <v>2472</v>
      </c>
      <c r="O122" s="11" t="s">
        <v>1858</v>
      </c>
      <c r="P122" s="56"/>
    </row>
    <row r="123" spans="1:16" ht="15.75" customHeight="1" x14ac:dyDescent="0.2">
      <c r="A123" s="49">
        <v>299</v>
      </c>
      <c r="B123" s="11" t="s">
        <v>1857</v>
      </c>
      <c r="C123" s="11" t="s">
        <v>1849</v>
      </c>
      <c r="D123" s="6" t="s">
        <v>1850</v>
      </c>
      <c r="E123" s="11" t="s">
        <v>2236</v>
      </c>
      <c r="F123" s="12" t="s">
        <v>2236</v>
      </c>
      <c r="G123" s="12" t="s">
        <v>2249</v>
      </c>
      <c r="H123" s="12" t="s">
        <v>2249</v>
      </c>
      <c r="I123" s="12" t="s">
        <v>2473</v>
      </c>
      <c r="J123" s="11" t="s">
        <v>1856</v>
      </c>
      <c r="K123" s="11" t="s">
        <v>1852</v>
      </c>
      <c r="L123" s="11" t="s">
        <v>1853</v>
      </c>
      <c r="M123" s="11" t="s">
        <v>2474</v>
      </c>
      <c r="N123" s="12"/>
      <c r="O123" s="11" t="s">
        <v>1860</v>
      </c>
      <c r="P123" s="56"/>
    </row>
    <row r="124" spans="1:16" ht="15.75" customHeight="1" x14ac:dyDescent="0.2">
      <c r="A124" s="49">
        <v>95</v>
      </c>
      <c r="B124" s="11" t="s">
        <v>1857</v>
      </c>
      <c r="C124" s="11" t="s">
        <v>1849</v>
      </c>
      <c r="D124" s="6" t="s">
        <v>1850</v>
      </c>
      <c r="E124" s="11" t="s">
        <v>2236</v>
      </c>
      <c r="F124" s="12" t="s">
        <v>2236</v>
      </c>
      <c r="G124" s="12" t="s">
        <v>2236</v>
      </c>
      <c r="H124" s="12" t="s">
        <v>2475</v>
      </c>
      <c r="I124" s="12" t="s">
        <v>2476</v>
      </c>
      <c r="J124" s="11" t="s">
        <v>2246</v>
      </c>
      <c r="K124" s="11" t="s">
        <v>2247</v>
      </c>
      <c r="L124" s="11" t="s">
        <v>1853</v>
      </c>
      <c r="M124" s="11" t="s">
        <v>2468</v>
      </c>
      <c r="N124" s="12" t="s">
        <v>2477</v>
      </c>
      <c r="O124" s="11" t="s">
        <v>2334</v>
      </c>
      <c r="P124" s="56" t="s">
        <v>1863</v>
      </c>
    </row>
    <row r="125" spans="1:16" ht="15.75" customHeight="1" x14ac:dyDescent="0.2">
      <c r="A125" s="49">
        <v>354</v>
      </c>
      <c r="B125" s="11" t="s">
        <v>1857</v>
      </c>
      <c r="C125" s="11" t="s">
        <v>1849</v>
      </c>
      <c r="D125" s="6" t="s">
        <v>1850</v>
      </c>
      <c r="E125" s="11" t="s">
        <v>2236</v>
      </c>
      <c r="F125" s="12" t="s">
        <v>2236</v>
      </c>
      <c r="G125" s="12" t="s">
        <v>2238</v>
      </c>
      <c r="H125" s="12" t="s">
        <v>2320</v>
      </c>
      <c r="I125" s="12" t="s">
        <v>2478</v>
      </c>
      <c r="J125" s="11" t="s">
        <v>2246</v>
      </c>
      <c r="K125" s="11" t="s">
        <v>2247</v>
      </c>
      <c r="L125" s="11" t="s">
        <v>2322</v>
      </c>
      <c r="M125" s="11" t="s">
        <v>2390</v>
      </c>
      <c r="N125" s="12"/>
      <c r="O125" s="11" t="s">
        <v>1859</v>
      </c>
      <c r="P125" s="56"/>
    </row>
    <row r="126" spans="1:16" ht="15.75" customHeight="1" x14ac:dyDescent="0.2">
      <c r="A126" s="49">
        <v>355</v>
      </c>
      <c r="B126" s="11" t="s">
        <v>1857</v>
      </c>
      <c r="C126" s="11" t="s">
        <v>1849</v>
      </c>
      <c r="D126" s="6" t="s">
        <v>1850</v>
      </c>
      <c r="E126" s="11" t="s">
        <v>2236</v>
      </c>
      <c r="F126" s="12" t="s">
        <v>2236</v>
      </c>
      <c r="G126" s="12" t="s">
        <v>2238</v>
      </c>
      <c r="H126" s="12" t="s">
        <v>2320</v>
      </c>
      <c r="I126" s="12" t="s">
        <v>2479</v>
      </c>
      <c r="J126" s="11" t="s">
        <v>2246</v>
      </c>
      <c r="K126" s="11" t="s">
        <v>2247</v>
      </c>
      <c r="L126" s="11" t="s">
        <v>2322</v>
      </c>
      <c r="M126" s="11" t="s">
        <v>2474</v>
      </c>
      <c r="N126" s="12"/>
      <c r="O126" s="11" t="s">
        <v>1860</v>
      </c>
      <c r="P126" s="56"/>
    </row>
    <row r="127" spans="1:16" ht="15.75" customHeight="1" x14ac:dyDescent="0.2">
      <c r="A127" s="49">
        <v>352</v>
      </c>
      <c r="B127" s="11" t="s">
        <v>1857</v>
      </c>
      <c r="C127" s="11" t="s">
        <v>1849</v>
      </c>
      <c r="D127" s="6" t="s">
        <v>1850</v>
      </c>
      <c r="E127" s="11" t="s">
        <v>2236</v>
      </c>
      <c r="F127" s="12" t="s">
        <v>2236</v>
      </c>
      <c r="G127" s="12" t="s">
        <v>2238</v>
      </c>
      <c r="H127" s="12" t="s">
        <v>2324</v>
      </c>
      <c r="I127" s="12" t="s">
        <v>2480</v>
      </c>
      <c r="J127" s="11" t="s">
        <v>2246</v>
      </c>
      <c r="K127" s="11" t="s">
        <v>2247</v>
      </c>
      <c r="L127" s="11" t="s">
        <v>1853</v>
      </c>
      <c r="M127" s="11" t="s">
        <v>1854</v>
      </c>
      <c r="N127" s="12"/>
      <c r="O127" s="11" t="s">
        <v>1860</v>
      </c>
      <c r="P127" s="56"/>
    </row>
    <row r="128" spans="1:16" ht="15.75" customHeight="1" x14ac:dyDescent="0.2">
      <c r="A128" s="49">
        <v>349</v>
      </c>
      <c r="B128" s="11" t="s">
        <v>1857</v>
      </c>
      <c r="C128" s="11" t="s">
        <v>1849</v>
      </c>
      <c r="D128" s="6" t="s">
        <v>1850</v>
      </c>
      <c r="E128" s="11" t="s">
        <v>2236</v>
      </c>
      <c r="F128" s="12" t="s">
        <v>2236</v>
      </c>
      <c r="G128" s="12" t="s">
        <v>2238</v>
      </c>
      <c r="H128" s="12" t="s">
        <v>2242</v>
      </c>
      <c r="I128" s="12" t="s">
        <v>2481</v>
      </c>
      <c r="J128" s="11" t="s">
        <v>2246</v>
      </c>
      <c r="K128" s="11" t="s">
        <v>2247</v>
      </c>
      <c r="L128" s="11" t="s">
        <v>1853</v>
      </c>
      <c r="M128" s="11" t="s">
        <v>1854</v>
      </c>
      <c r="N128" s="12"/>
      <c r="O128" s="11" t="s">
        <v>1858</v>
      </c>
      <c r="P128" s="56"/>
    </row>
    <row r="129" spans="1:16" ht="15.75" customHeight="1" x14ac:dyDescent="0.2">
      <c r="A129" s="49">
        <v>243</v>
      </c>
      <c r="B129" s="11" t="s">
        <v>1857</v>
      </c>
      <c r="C129" s="11" t="s">
        <v>1849</v>
      </c>
      <c r="D129" s="6" t="s">
        <v>1850</v>
      </c>
      <c r="E129" s="11" t="s">
        <v>2236</v>
      </c>
      <c r="F129" s="12" t="s">
        <v>2236</v>
      </c>
      <c r="G129" s="12" t="s">
        <v>2238</v>
      </c>
      <c r="H129" s="12" t="s">
        <v>2320</v>
      </c>
      <c r="I129" s="12" t="s">
        <v>2482</v>
      </c>
      <c r="J129" s="11" t="s">
        <v>2246</v>
      </c>
      <c r="K129" s="11" t="s">
        <v>2247</v>
      </c>
      <c r="L129" s="11" t="s">
        <v>2322</v>
      </c>
      <c r="M129" s="11" t="s">
        <v>1854</v>
      </c>
      <c r="N129" s="12"/>
      <c r="O129" s="11" t="s">
        <v>1859</v>
      </c>
      <c r="P129" s="56"/>
    </row>
    <row r="130" spans="1:16" ht="15.75" customHeight="1" x14ac:dyDescent="0.2">
      <c r="A130" s="49">
        <v>344</v>
      </c>
      <c r="B130" s="11" t="s">
        <v>1857</v>
      </c>
      <c r="C130" s="11" t="s">
        <v>1849</v>
      </c>
      <c r="D130" s="6" t="s">
        <v>1850</v>
      </c>
      <c r="E130" s="11" t="s">
        <v>2236</v>
      </c>
      <c r="F130" s="12" t="s">
        <v>2236</v>
      </c>
      <c r="G130" s="12" t="s">
        <v>2238</v>
      </c>
      <c r="H130" s="12" t="s">
        <v>2255</v>
      </c>
      <c r="I130" s="12" t="s">
        <v>2483</v>
      </c>
      <c r="J130" s="11" t="s">
        <v>2246</v>
      </c>
      <c r="K130" s="11" t="s">
        <v>2247</v>
      </c>
      <c r="L130" s="11" t="s">
        <v>1853</v>
      </c>
      <c r="M130" s="11" t="s">
        <v>1854</v>
      </c>
      <c r="N130" s="12"/>
      <c r="O130" s="11" t="s">
        <v>1859</v>
      </c>
      <c r="P130" s="56"/>
    </row>
    <row r="131" spans="1:16" ht="15.75" customHeight="1" x14ac:dyDescent="0.2">
      <c r="A131" s="49">
        <v>249</v>
      </c>
      <c r="B131" s="11" t="s">
        <v>1857</v>
      </c>
      <c r="C131" s="11" t="s">
        <v>1849</v>
      </c>
      <c r="D131" s="6" t="s">
        <v>1850</v>
      </c>
      <c r="E131" s="11" t="s">
        <v>2236</v>
      </c>
      <c r="F131" s="12" t="s">
        <v>2236</v>
      </c>
      <c r="G131" s="12" t="s">
        <v>2238</v>
      </c>
      <c r="H131" s="12" t="s">
        <v>2242</v>
      </c>
      <c r="I131" s="12" t="s">
        <v>2484</v>
      </c>
      <c r="J131" s="11" t="s">
        <v>2246</v>
      </c>
      <c r="K131" s="11" t="s">
        <v>2247</v>
      </c>
      <c r="L131" s="11" t="s">
        <v>1853</v>
      </c>
      <c r="M131" s="11" t="s">
        <v>2485</v>
      </c>
      <c r="N131" s="12"/>
      <c r="O131" s="11" t="s">
        <v>1859</v>
      </c>
      <c r="P131" s="56"/>
    </row>
    <row r="132" spans="1:16" ht="15.75" customHeight="1" x14ac:dyDescent="0.2">
      <c r="A132" s="49">
        <v>277</v>
      </c>
      <c r="B132" s="11" t="s">
        <v>1857</v>
      </c>
      <c r="C132" s="11" t="s">
        <v>1849</v>
      </c>
      <c r="D132" s="6" t="s">
        <v>1850</v>
      </c>
      <c r="E132" s="11" t="s">
        <v>2236</v>
      </c>
      <c r="F132" s="12" t="s">
        <v>2236</v>
      </c>
      <c r="G132" s="12" t="s">
        <v>2238</v>
      </c>
      <c r="H132" s="12" t="s">
        <v>2242</v>
      </c>
      <c r="I132" s="12" t="s">
        <v>2486</v>
      </c>
      <c r="J132" s="11" t="s">
        <v>2246</v>
      </c>
      <c r="K132" s="11" t="s">
        <v>2247</v>
      </c>
      <c r="L132" s="11" t="s">
        <v>1853</v>
      </c>
      <c r="M132" s="11" t="s">
        <v>1854</v>
      </c>
      <c r="N132" s="12"/>
      <c r="O132" s="11" t="s">
        <v>1859</v>
      </c>
      <c r="P132" s="56"/>
    </row>
    <row r="133" spans="1:16" ht="15.75" customHeight="1" x14ac:dyDescent="0.2">
      <c r="A133" s="49">
        <v>131</v>
      </c>
      <c r="B133" s="11" t="s">
        <v>1857</v>
      </c>
      <c r="C133" s="11" t="s">
        <v>1849</v>
      </c>
      <c r="D133" s="6" t="s">
        <v>1850</v>
      </c>
      <c r="E133" s="11" t="s">
        <v>2236</v>
      </c>
      <c r="F133" s="12" t="s">
        <v>2236</v>
      </c>
      <c r="G133" s="12" t="s">
        <v>2236</v>
      </c>
      <c r="H133" s="12" t="s">
        <v>2245</v>
      </c>
      <c r="I133" s="12" t="s">
        <v>2487</v>
      </c>
      <c r="J133" s="11" t="s">
        <v>2246</v>
      </c>
      <c r="K133" s="11" t="s">
        <v>2247</v>
      </c>
      <c r="L133" s="11" t="s">
        <v>1853</v>
      </c>
      <c r="M133" s="11" t="s">
        <v>1854</v>
      </c>
      <c r="N133" s="12"/>
      <c r="O133" s="11" t="s">
        <v>2334</v>
      </c>
      <c r="P133" s="56" t="s">
        <v>1863</v>
      </c>
    </row>
    <row r="134" spans="1:16" ht="15.75" customHeight="1" x14ac:dyDescent="0.2">
      <c r="A134" s="49">
        <v>173</v>
      </c>
      <c r="B134" s="11" t="s">
        <v>1857</v>
      </c>
      <c r="C134" s="11" t="s">
        <v>1849</v>
      </c>
      <c r="D134" s="6" t="s">
        <v>1850</v>
      </c>
      <c r="E134" s="11" t="s">
        <v>2236</v>
      </c>
      <c r="F134" s="12" t="s">
        <v>2236</v>
      </c>
      <c r="G134" s="12" t="s">
        <v>2236</v>
      </c>
      <c r="H134" s="12" t="s">
        <v>2264</v>
      </c>
      <c r="I134" s="12" t="s">
        <v>2488</v>
      </c>
      <c r="J134" s="11" t="s">
        <v>2246</v>
      </c>
      <c r="K134" s="11" t="s">
        <v>2247</v>
      </c>
      <c r="L134" s="11" t="s">
        <v>1853</v>
      </c>
      <c r="M134" s="11" t="s">
        <v>2251</v>
      </c>
      <c r="N134" s="12" t="s">
        <v>2489</v>
      </c>
      <c r="O134" s="11" t="s">
        <v>1858</v>
      </c>
      <c r="P134" s="56"/>
    </row>
    <row r="135" spans="1:16" ht="15.75" customHeight="1" x14ac:dyDescent="0.2">
      <c r="A135" s="49">
        <v>142</v>
      </c>
      <c r="B135" s="11" t="s">
        <v>1857</v>
      </c>
      <c r="C135" s="11" t="s">
        <v>1849</v>
      </c>
      <c r="D135" s="6" t="s">
        <v>1850</v>
      </c>
      <c r="E135" s="11" t="s">
        <v>2236</v>
      </c>
      <c r="F135" s="12" t="s">
        <v>2236</v>
      </c>
      <c r="G135" s="12" t="s">
        <v>2249</v>
      </c>
      <c r="H135" s="12" t="s">
        <v>2303</v>
      </c>
      <c r="I135" s="12" t="s">
        <v>2490</v>
      </c>
      <c r="J135" s="11" t="s">
        <v>2246</v>
      </c>
      <c r="K135" s="11" t="s">
        <v>2247</v>
      </c>
      <c r="L135" s="11" t="s">
        <v>1853</v>
      </c>
      <c r="M135" s="11" t="s">
        <v>1854</v>
      </c>
      <c r="N135" s="12"/>
      <c r="O135" s="11" t="s">
        <v>1858</v>
      </c>
      <c r="P135" s="56"/>
    </row>
    <row r="136" spans="1:16" ht="15.75" customHeight="1" x14ac:dyDescent="0.2">
      <c r="A136" s="49">
        <v>297</v>
      </c>
      <c r="B136" s="11" t="s">
        <v>1857</v>
      </c>
      <c r="C136" s="11" t="s">
        <v>1849</v>
      </c>
      <c r="D136" s="6" t="s">
        <v>1850</v>
      </c>
      <c r="E136" s="11" t="s">
        <v>2236</v>
      </c>
      <c r="F136" s="12" t="s">
        <v>2236</v>
      </c>
      <c r="G136" s="12" t="s">
        <v>2249</v>
      </c>
      <c r="H136" s="12" t="s">
        <v>2317</v>
      </c>
      <c r="I136" s="12" t="s">
        <v>2491</v>
      </c>
      <c r="J136" s="11" t="s">
        <v>1856</v>
      </c>
      <c r="K136" s="11" t="s">
        <v>1852</v>
      </c>
      <c r="L136" s="11" t="s">
        <v>1853</v>
      </c>
      <c r="M136" s="11" t="s">
        <v>2492</v>
      </c>
      <c r="N136" s="12" t="s">
        <v>2493</v>
      </c>
      <c r="O136" s="11" t="s">
        <v>1859</v>
      </c>
      <c r="P136" s="56"/>
    </row>
    <row r="137" spans="1:16" ht="15.75" customHeight="1" x14ac:dyDescent="0.2">
      <c r="A137" s="49">
        <v>289</v>
      </c>
      <c r="B137" s="11" t="s">
        <v>1857</v>
      </c>
      <c r="C137" s="11" t="s">
        <v>1849</v>
      </c>
      <c r="D137" s="6" t="s">
        <v>1850</v>
      </c>
      <c r="E137" s="11" t="s">
        <v>2236</v>
      </c>
      <c r="F137" s="12" t="s">
        <v>2236</v>
      </c>
      <c r="G137" s="12" t="s">
        <v>2249</v>
      </c>
      <c r="H137" s="12" t="s">
        <v>2317</v>
      </c>
      <c r="I137" s="12" t="s">
        <v>2494</v>
      </c>
      <c r="J137" s="11" t="s">
        <v>2246</v>
      </c>
      <c r="K137" s="11" t="s">
        <v>2247</v>
      </c>
      <c r="L137" s="11" t="s">
        <v>1853</v>
      </c>
      <c r="M137" s="11" t="s">
        <v>2474</v>
      </c>
      <c r="N137" s="12"/>
      <c r="O137" s="11" t="s">
        <v>1860</v>
      </c>
      <c r="P137" s="56"/>
    </row>
    <row r="138" spans="1:16" ht="15.75" customHeight="1" x14ac:dyDescent="0.2">
      <c r="A138" s="48">
        <v>255</v>
      </c>
      <c r="B138" s="11" t="s">
        <v>1857</v>
      </c>
      <c r="C138" s="11" t="s">
        <v>1849</v>
      </c>
      <c r="D138" s="6" t="s">
        <v>1850</v>
      </c>
      <c r="E138" s="11" t="s">
        <v>2236</v>
      </c>
      <c r="F138" s="12" t="s">
        <v>2236</v>
      </c>
      <c r="G138" s="12" t="s">
        <v>2238</v>
      </c>
      <c r="H138" s="12" t="s">
        <v>2309</v>
      </c>
      <c r="I138" s="12" t="s">
        <v>2495</v>
      </c>
      <c r="J138" s="11" t="s">
        <v>1856</v>
      </c>
      <c r="K138" s="11" t="s">
        <v>1852</v>
      </c>
      <c r="L138" s="11" t="s">
        <v>1853</v>
      </c>
      <c r="M138" s="11" t="s">
        <v>1854</v>
      </c>
      <c r="N138" s="12"/>
      <c r="O138" s="11" t="s">
        <v>1860</v>
      </c>
      <c r="P138" s="56"/>
    </row>
    <row r="139" spans="1:16" ht="15.75" customHeight="1" x14ac:dyDescent="0.2">
      <c r="A139" s="49">
        <v>298</v>
      </c>
      <c r="B139" s="11" t="s">
        <v>1857</v>
      </c>
      <c r="C139" s="11" t="s">
        <v>1849</v>
      </c>
      <c r="D139" s="6" t="s">
        <v>1850</v>
      </c>
      <c r="E139" s="11" t="s">
        <v>2236</v>
      </c>
      <c r="F139" s="12" t="s">
        <v>2236</v>
      </c>
      <c r="G139" s="12" t="s">
        <v>2249</v>
      </c>
      <c r="H139" s="12" t="s">
        <v>2317</v>
      </c>
      <c r="I139" s="12" t="s">
        <v>2496</v>
      </c>
      <c r="J139" s="11" t="s">
        <v>1856</v>
      </c>
      <c r="K139" s="11" t="s">
        <v>1852</v>
      </c>
      <c r="L139" s="11" t="s">
        <v>1853</v>
      </c>
      <c r="M139" s="11" t="s">
        <v>1854</v>
      </c>
      <c r="N139" s="12"/>
      <c r="O139" s="11" t="s">
        <v>1858</v>
      </c>
      <c r="P139" s="56"/>
    </row>
    <row r="140" spans="1:16" ht="15.75" customHeight="1" x14ac:dyDescent="0.2">
      <c r="A140" s="49">
        <v>479</v>
      </c>
      <c r="B140" s="11" t="s">
        <v>1857</v>
      </c>
      <c r="C140" s="11" t="s">
        <v>1849</v>
      </c>
      <c r="D140" s="6" t="s">
        <v>1850</v>
      </c>
      <c r="E140" s="11" t="s">
        <v>2236</v>
      </c>
      <c r="F140" s="12" t="s">
        <v>2236</v>
      </c>
      <c r="G140" s="12" t="s">
        <v>2266</v>
      </c>
      <c r="H140" s="12" t="s">
        <v>2443</v>
      </c>
      <c r="I140" s="12" t="s">
        <v>2497</v>
      </c>
      <c r="J140" s="11" t="s">
        <v>1856</v>
      </c>
      <c r="K140" s="11" t="s">
        <v>1852</v>
      </c>
      <c r="L140" s="11" t="s">
        <v>1853</v>
      </c>
      <c r="M140" s="11" t="s">
        <v>1854</v>
      </c>
      <c r="N140" s="12"/>
      <c r="O140" s="11" t="s">
        <v>1858</v>
      </c>
      <c r="P140" s="56"/>
    </row>
    <row r="141" spans="1:16" ht="15.75" customHeight="1" x14ac:dyDescent="0.2">
      <c r="A141" s="49">
        <v>257</v>
      </c>
      <c r="B141" s="11" t="s">
        <v>1857</v>
      </c>
      <c r="C141" s="11" t="s">
        <v>1849</v>
      </c>
      <c r="D141" s="6" t="s">
        <v>1850</v>
      </c>
      <c r="E141" s="11" t="s">
        <v>2236</v>
      </c>
      <c r="F141" s="12" t="s">
        <v>2236</v>
      </c>
      <c r="G141" s="12" t="s">
        <v>2238</v>
      </c>
      <c r="H141" s="12" t="s">
        <v>2369</v>
      </c>
      <c r="I141" s="12" t="s">
        <v>2498</v>
      </c>
      <c r="J141" s="11" t="s">
        <v>2246</v>
      </c>
      <c r="K141" s="11" t="s">
        <v>2247</v>
      </c>
      <c r="L141" s="11" t="s">
        <v>2322</v>
      </c>
      <c r="M141" s="11" t="s">
        <v>1854</v>
      </c>
      <c r="N141" s="12"/>
      <c r="O141" s="11" t="s">
        <v>1858</v>
      </c>
      <c r="P141" s="56"/>
    </row>
    <row r="142" spans="1:16" ht="15.75" customHeight="1" x14ac:dyDescent="0.2">
      <c r="A142" s="49">
        <v>345</v>
      </c>
      <c r="B142" s="11" t="s">
        <v>1857</v>
      </c>
      <c r="C142" s="11" t="s">
        <v>1849</v>
      </c>
      <c r="D142" s="6" t="s">
        <v>1850</v>
      </c>
      <c r="E142" s="11" t="s">
        <v>2236</v>
      </c>
      <c r="F142" s="12" t="s">
        <v>2236</v>
      </c>
      <c r="G142" s="12" t="s">
        <v>2238</v>
      </c>
      <c r="H142" s="12" t="s">
        <v>2274</v>
      </c>
      <c r="I142" s="12" t="s">
        <v>2499</v>
      </c>
      <c r="J142" s="11" t="s">
        <v>2246</v>
      </c>
      <c r="K142" s="11" t="s">
        <v>2247</v>
      </c>
      <c r="L142" s="11" t="s">
        <v>1853</v>
      </c>
      <c r="M142" s="11" t="s">
        <v>1854</v>
      </c>
      <c r="N142" s="12"/>
      <c r="O142" s="11" t="s">
        <v>1860</v>
      </c>
      <c r="P142" s="56"/>
    </row>
    <row r="143" spans="1:16" ht="15.75" customHeight="1" x14ac:dyDescent="0.2">
      <c r="A143" s="49">
        <v>467</v>
      </c>
      <c r="B143" s="11" t="s">
        <v>1857</v>
      </c>
      <c r="C143" s="11" t="s">
        <v>1849</v>
      </c>
      <c r="D143" s="6" t="s">
        <v>1850</v>
      </c>
      <c r="E143" s="11" t="s">
        <v>2236</v>
      </c>
      <c r="F143" s="12" t="s">
        <v>2236</v>
      </c>
      <c r="G143" s="12" t="s">
        <v>2266</v>
      </c>
      <c r="H143" s="12" t="s">
        <v>2417</v>
      </c>
      <c r="I143" s="12" t="s">
        <v>2500</v>
      </c>
      <c r="J143" s="11" t="s">
        <v>2246</v>
      </c>
      <c r="K143" s="11" t="s">
        <v>2247</v>
      </c>
      <c r="L143" s="11" t="s">
        <v>1853</v>
      </c>
      <c r="M143" s="11" t="s">
        <v>2501</v>
      </c>
      <c r="N143" s="12" t="s">
        <v>2333</v>
      </c>
      <c r="O143" s="11" t="s">
        <v>2334</v>
      </c>
      <c r="P143" s="56" t="s">
        <v>1863</v>
      </c>
    </row>
    <row r="144" spans="1:16" ht="15.75" customHeight="1" x14ac:dyDescent="0.2">
      <c r="A144" s="49">
        <v>350</v>
      </c>
      <c r="B144" s="11" t="s">
        <v>1857</v>
      </c>
      <c r="C144" s="11" t="s">
        <v>1849</v>
      </c>
      <c r="D144" s="6" t="s">
        <v>1850</v>
      </c>
      <c r="E144" s="11" t="s">
        <v>2236</v>
      </c>
      <c r="F144" s="12" t="s">
        <v>2236</v>
      </c>
      <c r="G144" s="12" t="s">
        <v>2238</v>
      </c>
      <c r="H144" s="12" t="s">
        <v>2274</v>
      </c>
      <c r="I144" s="12" t="s">
        <v>2502</v>
      </c>
      <c r="J144" s="11" t="s">
        <v>2246</v>
      </c>
      <c r="K144" s="11" t="s">
        <v>2247</v>
      </c>
      <c r="L144" s="11" t="s">
        <v>1853</v>
      </c>
      <c r="M144" s="11" t="s">
        <v>1854</v>
      </c>
      <c r="N144" s="12"/>
      <c r="O144" s="11" t="s">
        <v>1860</v>
      </c>
      <c r="P144" s="56"/>
    </row>
    <row r="145" spans="1:16" ht="15.75" customHeight="1" x14ac:dyDescent="0.2">
      <c r="A145" s="49">
        <v>5319</v>
      </c>
      <c r="B145" s="11" t="s">
        <v>1857</v>
      </c>
      <c r="C145" s="11" t="s">
        <v>1849</v>
      </c>
      <c r="D145" s="6" t="s">
        <v>1850</v>
      </c>
      <c r="E145" s="11" t="s">
        <v>2236</v>
      </c>
      <c r="F145" s="12" t="s">
        <v>2236</v>
      </c>
      <c r="G145" s="12" t="s">
        <v>2249</v>
      </c>
      <c r="H145" s="12" t="s">
        <v>2303</v>
      </c>
      <c r="I145" s="12" t="s">
        <v>2503</v>
      </c>
      <c r="J145" s="11" t="s">
        <v>2246</v>
      </c>
      <c r="K145" s="11" t="s">
        <v>2247</v>
      </c>
      <c r="L145" s="11" t="s">
        <v>1853</v>
      </c>
      <c r="M145" s="11" t="s">
        <v>1854</v>
      </c>
      <c r="N145" s="12"/>
      <c r="O145" s="11" t="s">
        <v>1859</v>
      </c>
      <c r="P145" s="56"/>
    </row>
    <row r="146" spans="1:16" ht="15.75" customHeight="1" x14ac:dyDescent="0.2">
      <c r="A146" s="49">
        <v>100</v>
      </c>
      <c r="B146" s="11" t="s">
        <v>1857</v>
      </c>
      <c r="C146" s="11" t="s">
        <v>1849</v>
      </c>
      <c r="D146" s="6" t="s">
        <v>1850</v>
      </c>
      <c r="E146" s="11" t="s">
        <v>2236</v>
      </c>
      <c r="F146" s="12" t="s">
        <v>2236</v>
      </c>
      <c r="G146" s="12" t="s">
        <v>2236</v>
      </c>
      <c r="H146" s="12" t="s">
        <v>2245</v>
      </c>
      <c r="I146" s="12" t="s">
        <v>2504</v>
      </c>
      <c r="J146" s="11" t="s">
        <v>1856</v>
      </c>
      <c r="K146" s="11" t="s">
        <v>1852</v>
      </c>
      <c r="L146" s="11" t="s">
        <v>1853</v>
      </c>
      <c r="M146" s="11" t="s">
        <v>1854</v>
      </c>
      <c r="N146" s="12"/>
      <c r="O146" s="11" t="s">
        <v>1858</v>
      </c>
      <c r="P146" s="56"/>
    </row>
    <row r="147" spans="1:16" ht="15.75" customHeight="1" x14ac:dyDescent="0.2">
      <c r="A147" s="49">
        <v>241</v>
      </c>
      <c r="B147" s="11" t="s">
        <v>1857</v>
      </c>
      <c r="C147" s="11" t="s">
        <v>1849</v>
      </c>
      <c r="D147" s="6" t="s">
        <v>1850</v>
      </c>
      <c r="E147" s="11" t="s">
        <v>2236</v>
      </c>
      <c r="F147" s="12" t="s">
        <v>2236</v>
      </c>
      <c r="G147" s="12" t="s">
        <v>2249</v>
      </c>
      <c r="H147" s="12" t="s">
        <v>2505</v>
      </c>
      <c r="I147" s="12" t="s">
        <v>2506</v>
      </c>
      <c r="J147" s="11" t="s">
        <v>2246</v>
      </c>
      <c r="K147" s="11" t="s">
        <v>2247</v>
      </c>
      <c r="L147" s="11" t="s">
        <v>1853</v>
      </c>
      <c r="M147" s="11" t="s">
        <v>2463</v>
      </c>
      <c r="N147" s="12" t="s">
        <v>2333</v>
      </c>
      <c r="O147" s="11" t="s">
        <v>2334</v>
      </c>
      <c r="P147" s="56" t="s">
        <v>1863</v>
      </c>
    </row>
    <row r="148" spans="1:16" ht="15.75" customHeight="1" x14ac:dyDescent="0.2">
      <c r="A148" s="49">
        <v>5849</v>
      </c>
      <c r="B148" s="11" t="s">
        <v>1857</v>
      </c>
      <c r="C148" s="11" t="s">
        <v>1849</v>
      </c>
      <c r="D148" s="6" t="s">
        <v>1850</v>
      </c>
      <c r="E148" s="11" t="s">
        <v>2236</v>
      </c>
      <c r="F148" s="12" t="s">
        <v>2236</v>
      </c>
      <c r="G148" s="12" t="s">
        <v>2249</v>
      </c>
      <c r="H148" s="12" t="s">
        <v>2312</v>
      </c>
      <c r="I148" s="12" t="s">
        <v>2507</v>
      </c>
      <c r="J148" s="11" t="s">
        <v>2246</v>
      </c>
      <c r="K148" s="11" t="s">
        <v>2247</v>
      </c>
      <c r="L148" s="11" t="s">
        <v>1853</v>
      </c>
      <c r="M148" s="11" t="s">
        <v>1854</v>
      </c>
      <c r="N148" s="12"/>
      <c r="O148" s="11" t="s">
        <v>1858</v>
      </c>
      <c r="P148" s="56"/>
    </row>
    <row r="149" spans="1:16" ht="15.75" customHeight="1" x14ac:dyDescent="0.2">
      <c r="A149" s="48">
        <v>328</v>
      </c>
      <c r="B149" s="11" t="s">
        <v>1857</v>
      </c>
      <c r="C149" s="11" t="s">
        <v>1849</v>
      </c>
      <c r="D149" s="6" t="s">
        <v>1850</v>
      </c>
      <c r="E149" s="11" t="s">
        <v>2236</v>
      </c>
      <c r="F149" s="12" t="s">
        <v>2236</v>
      </c>
      <c r="G149" s="12" t="s">
        <v>2238</v>
      </c>
      <c r="H149" s="12" t="s">
        <v>2257</v>
      </c>
      <c r="I149" s="12" t="s">
        <v>2508</v>
      </c>
      <c r="J149" s="11" t="s">
        <v>2246</v>
      </c>
      <c r="K149" s="11" t="s">
        <v>2247</v>
      </c>
      <c r="L149" s="11" t="s">
        <v>1853</v>
      </c>
      <c r="M149" s="11" t="s">
        <v>1854</v>
      </c>
      <c r="N149" s="12"/>
      <c r="O149" s="11" t="s">
        <v>1858</v>
      </c>
      <c r="P149" s="56"/>
    </row>
    <row r="150" spans="1:16" ht="15.75" customHeight="1" x14ac:dyDescent="0.2">
      <c r="A150" s="49">
        <v>242</v>
      </c>
      <c r="B150" s="11" t="s">
        <v>1857</v>
      </c>
      <c r="C150" s="11" t="s">
        <v>1849</v>
      </c>
      <c r="D150" s="6" t="s">
        <v>1850</v>
      </c>
      <c r="E150" s="11" t="s">
        <v>2236</v>
      </c>
      <c r="F150" s="12" t="s">
        <v>2236</v>
      </c>
      <c r="G150" s="12" t="s">
        <v>2238</v>
      </c>
      <c r="H150" s="12" t="s">
        <v>2320</v>
      </c>
      <c r="I150" s="12" t="s">
        <v>2509</v>
      </c>
      <c r="J150" s="11" t="s">
        <v>1856</v>
      </c>
      <c r="K150" s="11" t="s">
        <v>1852</v>
      </c>
      <c r="L150" s="11" t="s">
        <v>2322</v>
      </c>
      <c r="M150" s="11" t="s">
        <v>1854</v>
      </c>
      <c r="N150" s="12"/>
      <c r="O150" s="11" t="s">
        <v>1858</v>
      </c>
      <c r="P150" s="56"/>
    </row>
    <row r="151" spans="1:16" ht="15.75" customHeight="1" x14ac:dyDescent="0.2">
      <c r="A151" s="49">
        <v>323</v>
      </c>
      <c r="B151" s="11" t="s">
        <v>1857</v>
      </c>
      <c r="C151" s="11" t="s">
        <v>1849</v>
      </c>
      <c r="D151" s="6" t="s">
        <v>1850</v>
      </c>
      <c r="E151" s="11" t="s">
        <v>2236</v>
      </c>
      <c r="F151" s="12" t="s">
        <v>2236</v>
      </c>
      <c r="G151" s="12" t="s">
        <v>2238</v>
      </c>
      <c r="H151" s="12" t="s">
        <v>2255</v>
      </c>
      <c r="I151" s="12" t="s">
        <v>2510</v>
      </c>
      <c r="J151" s="11" t="s">
        <v>1856</v>
      </c>
      <c r="K151" s="11" t="s">
        <v>2247</v>
      </c>
      <c r="L151" s="11" t="s">
        <v>1853</v>
      </c>
      <c r="M151" s="11" t="s">
        <v>1854</v>
      </c>
      <c r="N151" s="12"/>
      <c r="O151" s="11" t="s">
        <v>1860</v>
      </c>
      <c r="P151" s="56"/>
    </row>
    <row r="152" spans="1:16" ht="15.75" customHeight="1" x14ac:dyDescent="0.2">
      <c r="A152" s="49">
        <v>347</v>
      </c>
      <c r="B152" s="11" t="s">
        <v>1857</v>
      </c>
      <c r="C152" s="11" t="s">
        <v>1849</v>
      </c>
      <c r="D152" s="6" t="s">
        <v>1850</v>
      </c>
      <c r="E152" s="11" t="s">
        <v>2236</v>
      </c>
      <c r="F152" s="12" t="s">
        <v>2236</v>
      </c>
      <c r="G152" s="12" t="s">
        <v>2238</v>
      </c>
      <c r="H152" s="12" t="s">
        <v>2274</v>
      </c>
      <c r="I152" s="12" t="s">
        <v>2511</v>
      </c>
      <c r="J152" s="11" t="s">
        <v>2246</v>
      </c>
      <c r="K152" s="11" t="s">
        <v>2247</v>
      </c>
      <c r="L152" s="11" t="s">
        <v>1853</v>
      </c>
      <c r="M152" s="11" t="s">
        <v>1854</v>
      </c>
      <c r="N152" s="12"/>
      <c r="O152" s="11" t="s">
        <v>1858</v>
      </c>
      <c r="P152" s="56"/>
    </row>
    <row r="153" spans="1:16" ht="15.75" customHeight="1" x14ac:dyDescent="0.2">
      <c r="A153" s="49">
        <v>126</v>
      </c>
      <c r="B153" s="11" t="s">
        <v>1857</v>
      </c>
      <c r="C153" s="11" t="s">
        <v>1849</v>
      </c>
      <c r="D153" s="6" t="s">
        <v>1850</v>
      </c>
      <c r="E153" s="11" t="s">
        <v>2236</v>
      </c>
      <c r="F153" s="12" t="s">
        <v>2236</v>
      </c>
      <c r="G153" s="12" t="s">
        <v>2236</v>
      </c>
      <c r="H153" s="12" t="s">
        <v>2245</v>
      </c>
      <c r="I153" s="12" t="s">
        <v>2512</v>
      </c>
      <c r="J153" s="11" t="s">
        <v>1856</v>
      </c>
      <c r="K153" s="11" t="s">
        <v>1852</v>
      </c>
      <c r="L153" s="11" t="s">
        <v>1853</v>
      </c>
      <c r="M153" s="11" t="s">
        <v>2297</v>
      </c>
      <c r="N153" s="12"/>
      <c r="O153" s="11" t="s">
        <v>1858</v>
      </c>
      <c r="P153" s="56"/>
    </row>
    <row r="154" spans="1:16" ht="15.75" customHeight="1" x14ac:dyDescent="0.2">
      <c r="A154" s="49">
        <v>259</v>
      </c>
      <c r="B154" s="11" t="s">
        <v>1857</v>
      </c>
      <c r="C154" s="11" t="s">
        <v>1849</v>
      </c>
      <c r="D154" s="6" t="s">
        <v>1850</v>
      </c>
      <c r="E154" s="11" t="s">
        <v>2236</v>
      </c>
      <c r="F154" s="12" t="s">
        <v>2236</v>
      </c>
      <c r="G154" s="12" t="s">
        <v>2238</v>
      </c>
      <c r="H154" s="12" t="s">
        <v>2320</v>
      </c>
      <c r="I154" s="12" t="s">
        <v>2513</v>
      </c>
      <c r="J154" s="11" t="s">
        <v>2246</v>
      </c>
      <c r="K154" s="11" t="s">
        <v>2247</v>
      </c>
      <c r="L154" s="11" t="s">
        <v>2322</v>
      </c>
      <c r="M154" s="11" t="s">
        <v>2311</v>
      </c>
      <c r="N154" s="12"/>
      <c r="O154" s="11" t="s">
        <v>1858</v>
      </c>
      <c r="P154" s="56"/>
    </row>
    <row r="155" spans="1:16" ht="15.75" customHeight="1" x14ac:dyDescent="0.2">
      <c r="A155" s="49">
        <v>98</v>
      </c>
      <c r="B155" s="11" t="s">
        <v>1857</v>
      </c>
      <c r="C155" s="11" t="s">
        <v>1849</v>
      </c>
      <c r="D155" s="6" t="s">
        <v>1850</v>
      </c>
      <c r="E155" s="11" t="s">
        <v>2236</v>
      </c>
      <c r="F155" s="12" t="s">
        <v>2236</v>
      </c>
      <c r="G155" s="12" t="s">
        <v>2236</v>
      </c>
      <c r="H155" s="12" t="s">
        <v>2245</v>
      </c>
      <c r="I155" s="12" t="s">
        <v>2514</v>
      </c>
      <c r="J155" s="11" t="s">
        <v>2246</v>
      </c>
      <c r="K155" s="11" t="s">
        <v>2247</v>
      </c>
      <c r="L155" s="11" t="s">
        <v>1853</v>
      </c>
      <c r="M155" s="11" t="s">
        <v>1854</v>
      </c>
      <c r="N155" s="12"/>
      <c r="O155" s="11" t="s">
        <v>1858</v>
      </c>
      <c r="P155" s="56"/>
    </row>
    <row r="156" spans="1:16" ht="15.75" customHeight="1" x14ac:dyDescent="0.2">
      <c r="A156" s="49">
        <v>239</v>
      </c>
      <c r="B156" s="11" t="s">
        <v>1857</v>
      </c>
      <c r="C156" s="11" t="s">
        <v>1849</v>
      </c>
      <c r="D156" s="6" t="s">
        <v>1850</v>
      </c>
      <c r="E156" s="11" t="s">
        <v>2236</v>
      </c>
      <c r="F156" s="12" t="s">
        <v>2236</v>
      </c>
      <c r="G156" s="12" t="s">
        <v>2238</v>
      </c>
      <c r="H156" s="12" t="s">
        <v>2257</v>
      </c>
      <c r="I156" s="12" t="s">
        <v>2515</v>
      </c>
      <c r="J156" s="11" t="s">
        <v>2246</v>
      </c>
      <c r="K156" s="11" t="s">
        <v>2247</v>
      </c>
      <c r="L156" s="11" t="s">
        <v>1853</v>
      </c>
      <c r="M156" s="11" t="s">
        <v>1854</v>
      </c>
      <c r="N156" s="12"/>
      <c r="O156" s="11" t="s">
        <v>1858</v>
      </c>
      <c r="P156" s="56"/>
    </row>
    <row r="157" spans="1:16" ht="15.75" customHeight="1" x14ac:dyDescent="0.2">
      <c r="A157" s="49">
        <v>296</v>
      </c>
      <c r="B157" s="11" t="s">
        <v>1857</v>
      </c>
      <c r="C157" s="11" t="s">
        <v>1849</v>
      </c>
      <c r="D157" s="6" t="s">
        <v>1850</v>
      </c>
      <c r="E157" s="11" t="s">
        <v>2236</v>
      </c>
      <c r="F157" s="12" t="s">
        <v>2236</v>
      </c>
      <c r="G157" s="12" t="s">
        <v>2249</v>
      </c>
      <c r="H157" s="12" t="s">
        <v>2252</v>
      </c>
      <c r="I157" s="12" t="s">
        <v>2516</v>
      </c>
      <c r="J157" s="11" t="s">
        <v>2246</v>
      </c>
      <c r="K157" s="11" t="s">
        <v>2247</v>
      </c>
      <c r="L157" s="11" t="s">
        <v>1853</v>
      </c>
      <c r="M157" s="11" t="s">
        <v>1854</v>
      </c>
      <c r="N157" s="12"/>
      <c r="O157" s="11" t="s">
        <v>1858</v>
      </c>
      <c r="P157" s="56"/>
    </row>
    <row r="158" spans="1:16" ht="15.75" customHeight="1" x14ac:dyDescent="0.2">
      <c r="A158" s="49">
        <v>366</v>
      </c>
      <c r="B158" s="11" t="s">
        <v>1857</v>
      </c>
      <c r="C158" s="11" t="s">
        <v>1849</v>
      </c>
      <c r="D158" s="6" t="s">
        <v>1850</v>
      </c>
      <c r="E158" s="11" t="s">
        <v>2236</v>
      </c>
      <c r="F158" s="12" t="s">
        <v>2236</v>
      </c>
      <c r="G158" s="12" t="s">
        <v>2249</v>
      </c>
      <c r="H158" s="12" t="s">
        <v>2303</v>
      </c>
      <c r="I158" s="12" t="s">
        <v>2517</v>
      </c>
      <c r="J158" s="11" t="s">
        <v>2246</v>
      </c>
      <c r="K158" s="11" t="s">
        <v>2247</v>
      </c>
      <c r="L158" s="11" t="s">
        <v>1853</v>
      </c>
      <c r="M158" s="11" t="s">
        <v>1854</v>
      </c>
      <c r="N158" s="12"/>
      <c r="O158" s="11" t="s">
        <v>1858</v>
      </c>
      <c r="P158" s="56"/>
    </row>
    <row r="159" spans="1:16" ht="15.75" customHeight="1" x14ac:dyDescent="0.2">
      <c r="A159" s="49">
        <v>420</v>
      </c>
      <c r="B159" s="11" t="s">
        <v>1857</v>
      </c>
      <c r="C159" s="11" t="s">
        <v>1849</v>
      </c>
      <c r="D159" s="6" t="s">
        <v>1850</v>
      </c>
      <c r="E159" s="11" t="s">
        <v>2236</v>
      </c>
      <c r="F159" s="12" t="s">
        <v>2236</v>
      </c>
      <c r="G159" s="12" t="s">
        <v>2266</v>
      </c>
      <c r="H159" s="12" t="s">
        <v>2436</v>
      </c>
      <c r="I159" s="12" t="s">
        <v>2518</v>
      </c>
      <c r="J159" s="11" t="s">
        <v>2246</v>
      </c>
      <c r="K159" s="11" t="s">
        <v>2247</v>
      </c>
      <c r="L159" s="11" t="s">
        <v>1853</v>
      </c>
      <c r="M159" s="11" t="s">
        <v>2519</v>
      </c>
      <c r="N159" s="12"/>
      <c r="O159" s="11" t="s">
        <v>1858</v>
      </c>
      <c r="P159" s="56"/>
    </row>
    <row r="160" spans="1:16" ht="15.75" customHeight="1" x14ac:dyDescent="0.2">
      <c r="A160" s="49">
        <v>406</v>
      </c>
      <c r="B160" s="11" t="s">
        <v>1857</v>
      </c>
      <c r="C160" s="11" t="s">
        <v>1849</v>
      </c>
      <c r="D160" s="6" t="s">
        <v>1850</v>
      </c>
      <c r="E160" s="11" t="s">
        <v>2236</v>
      </c>
      <c r="F160" s="12" t="s">
        <v>2236</v>
      </c>
      <c r="G160" s="12" t="s">
        <v>2266</v>
      </c>
      <c r="H160" s="12" t="s">
        <v>2436</v>
      </c>
      <c r="I160" s="12" t="s">
        <v>2520</v>
      </c>
      <c r="J160" s="11" t="s">
        <v>2246</v>
      </c>
      <c r="K160" s="11" t="s">
        <v>2247</v>
      </c>
      <c r="L160" s="11" t="s">
        <v>1853</v>
      </c>
      <c r="M160" s="11" t="s">
        <v>2519</v>
      </c>
      <c r="N160" s="12"/>
      <c r="O160" s="11" t="s">
        <v>1858</v>
      </c>
      <c r="P160" s="56"/>
    </row>
    <row r="161" spans="1:16" ht="15.75" customHeight="1" x14ac:dyDescent="0.2">
      <c r="A161" s="49">
        <v>6783</v>
      </c>
      <c r="B161" s="11" t="s">
        <v>1857</v>
      </c>
      <c r="C161" s="11" t="s">
        <v>1849</v>
      </c>
      <c r="D161" s="6" t="s">
        <v>1850</v>
      </c>
      <c r="E161" s="11" t="s">
        <v>2236</v>
      </c>
      <c r="F161" s="12" t="s">
        <v>2236</v>
      </c>
      <c r="G161" s="12" t="s">
        <v>2238</v>
      </c>
      <c r="H161" s="12" t="s">
        <v>2255</v>
      </c>
      <c r="I161" s="12" t="s">
        <v>2521</v>
      </c>
      <c r="J161" s="11" t="s">
        <v>2246</v>
      </c>
      <c r="K161" s="11" t="s">
        <v>2247</v>
      </c>
      <c r="L161" s="11" t="s">
        <v>1853</v>
      </c>
      <c r="M161" s="11" t="s">
        <v>1854</v>
      </c>
      <c r="N161" s="12"/>
      <c r="O161" s="11" t="s">
        <v>1859</v>
      </c>
      <c r="P161" s="56"/>
    </row>
    <row r="162" spans="1:16" ht="15.75" customHeight="1" x14ac:dyDescent="0.2">
      <c r="A162" s="49">
        <v>342</v>
      </c>
      <c r="B162" s="11" t="s">
        <v>1857</v>
      </c>
      <c r="C162" s="11" t="s">
        <v>1849</v>
      </c>
      <c r="D162" s="6" t="s">
        <v>1850</v>
      </c>
      <c r="E162" s="11" t="s">
        <v>2236</v>
      </c>
      <c r="F162" s="12" t="s">
        <v>2236</v>
      </c>
      <c r="G162" s="12" t="s">
        <v>2238</v>
      </c>
      <c r="H162" s="12" t="s">
        <v>2274</v>
      </c>
      <c r="I162" s="12" t="s">
        <v>2522</v>
      </c>
      <c r="J162" s="11" t="s">
        <v>2246</v>
      </c>
      <c r="K162" s="11" t="s">
        <v>2247</v>
      </c>
      <c r="L162" s="11" t="s">
        <v>1853</v>
      </c>
      <c r="M162" s="11" t="s">
        <v>1854</v>
      </c>
      <c r="N162" s="12"/>
      <c r="O162" s="11" t="s">
        <v>1858</v>
      </c>
      <c r="P162" s="56"/>
    </row>
    <row r="163" spans="1:16" ht="15.75" customHeight="1" x14ac:dyDescent="0.2">
      <c r="A163" s="49">
        <v>272</v>
      </c>
      <c r="B163" s="11" t="s">
        <v>1857</v>
      </c>
      <c r="C163" s="11" t="s">
        <v>1849</v>
      </c>
      <c r="D163" s="6" t="s">
        <v>1850</v>
      </c>
      <c r="E163" s="11" t="s">
        <v>2236</v>
      </c>
      <c r="F163" s="12" t="s">
        <v>2236</v>
      </c>
      <c r="G163" s="12" t="s">
        <v>2238</v>
      </c>
      <c r="H163" s="12" t="s">
        <v>2309</v>
      </c>
      <c r="I163" s="12" t="s">
        <v>2523</v>
      </c>
      <c r="J163" s="11" t="s">
        <v>2246</v>
      </c>
      <c r="K163" s="11" t="s">
        <v>1852</v>
      </c>
      <c r="L163" s="11" t="s">
        <v>2322</v>
      </c>
      <c r="M163" s="11" t="s">
        <v>2524</v>
      </c>
      <c r="N163" s="12"/>
      <c r="O163" s="11" t="s">
        <v>1858</v>
      </c>
      <c r="P163" s="56"/>
    </row>
    <row r="164" spans="1:16" ht="15.75" customHeight="1" x14ac:dyDescent="0.2">
      <c r="A164" s="49">
        <v>285</v>
      </c>
      <c r="B164" s="11" t="s">
        <v>1857</v>
      </c>
      <c r="C164" s="11" t="s">
        <v>1849</v>
      </c>
      <c r="D164" s="6" t="s">
        <v>1850</v>
      </c>
      <c r="E164" s="11" t="s">
        <v>2236</v>
      </c>
      <c r="F164" s="12" t="s">
        <v>2236</v>
      </c>
      <c r="G164" s="12" t="s">
        <v>2249</v>
      </c>
      <c r="H164" s="12" t="s">
        <v>2303</v>
      </c>
      <c r="I164" s="12" t="s">
        <v>1870</v>
      </c>
      <c r="J164" s="11" t="s">
        <v>2246</v>
      </c>
      <c r="K164" s="11" t="s">
        <v>2247</v>
      </c>
      <c r="L164" s="11" t="s">
        <v>1853</v>
      </c>
      <c r="M164" s="11" t="s">
        <v>2501</v>
      </c>
      <c r="N164" s="12" t="s">
        <v>2525</v>
      </c>
      <c r="O164" s="11" t="s">
        <v>2334</v>
      </c>
      <c r="P164" s="56" t="s">
        <v>1863</v>
      </c>
    </row>
    <row r="165" spans="1:16" ht="15.75" customHeight="1" x14ac:dyDescent="0.2">
      <c r="A165" s="49">
        <v>177</v>
      </c>
      <c r="B165" s="11" t="s">
        <v>1857</v>
      </c>
      <c r="C165" s="11" t="s">
        <v>1849</v>
      </c>
      <c r="D165" s="6" t="s">
        <v>1850</v>
      </c>
      <c r="E165" s="11" t="s">
        <v>2236</v>
      </c>
      <c r="F165" s="12" t="s">
        <v>2236</v>
      </c>
      <c r="G165" s="12" t="s">
        <v>2236</v>
      </c>
      <c r="H165" s="12" t="s">
        <v>2330</v>
      </c>
      <c r="I165" s="12" t="s">
        <v>2526</v>
      </c>
      <c r="J165" s="11" t="s">
        <v>2246</v>
      </c>
      <c r="K165" s="11" t="s">
        <v>2247</v>
      </c>
      <c r="L165" s="11" t="s">
        <v>1853</v>
      </c>
      <c r="M165" s="11" t="s">
        <v>2336</v>
      </c>
      <c r="N165" s="12" t="s">
        <v>2527</v>
      </c>
      <c r="O165" s="11" t="s">
        <v>1860</v>
      </c>
      <c r="P165" s="56"/>
    </row>
    <row r="166" spans="1:16" ht="15.75" customHeight="1" x14ac:dyDescent="0.2">
      <c r="A166" s="49">
        <v>5869</v>
      </c>
      <c r="B166" s="11" t="s">
        <v>1857</v>
      </c>
      <c r="C166" s="11" t="s">
        <v>1849</v>
      </c>
      <c r="D166" s="6" t="s">
        <v>1850</v>
      </c>
      <c r="E166" s="11" t="s">
        <v>2236</v>
      </c>
      <c r="F166" s="12" t="s">
        <v>2236</v>
      </c>
      <c r="G166" s="12" t="s">
        <v>2238</v>
      </c>
      <c r="H166" s="12" t="s">
        <v>2257</v>
      </c>
      <c r="I166" s="12" t="s">
        <v>2528</v>
      </c>
      <c r="J166" s="11" t="s">
        <v>1856</v>
      </c>
      <c r="K166" s="11" t="s">
        <v>1852</v>
      </c>
      <c r="L166" s="11" t="s">
        <v>1853</v>
      </c>
      <c r="M166" s="11" t="s">
        <v>1854</v>
      </c>
      <c r="N166" s="12"/>
      <c r="O166" s="11" t="s">
        <v>1858</v>
      </c>
      <c r="P166" s="56"/>
    </row>
    <row r="167" spans="1:16" ht="15.75" customHeight="1" x14ac:dyDescent="0.2">
      <c r="A167" s="49">
        <v>5848</v>
      </c>
      <c r="B167" s="11" t="s">
        <v>1857</v>
      </c>
      <c r="C167" s="11" t="s">
        <v>1849</v>
      </c>
      <c r="D167" s="6" t="s">
        <v>1850</v>
      </c>
      <c r="E167" s="11" t="s">
        <v>2236</v>
      </c>
      <c r="F167" s="12" t="s">
        <v>2236</v>
      </c>
      <c r="G167" s="12" t="s">
        <v>2249</v>
      </c>
      <c r="H167" s="12" t="s">
        <v>2317</v>
      </c>
      <c r="I167" s="12" t="s">
        <v>2529</v>
      </c>
      <c r="J167" s="11" t="s">
        <v>1856</v>
      </c>
      <c r="K167" s="11" t="s">
        <v>1852</v>
      </c>
      <c r="L167" s="11" t="s">
        <v>1853</v>
      </c>
      <c r="M167" s="11" t="s">
        <v>2460</v>
      </c>
      <c r="N167" s="12"/>
      <c r="O167" s="11" t="s">
        <v>1858</v>
      </c>
      <c r="P167" s="56"/>
    </row>
    <row r="168" spans="1:16" ht="15.75" customHeight="1" x14ac:dyDescent="0.2">
      <c r="A168" s="49">
        <v>248</v>
      </c>
      <c r="B168" s="11" t="s">
        <v>1857</v>
      </c>
      <c r="C168" s="11" t="s">
        <v>1849</v>
      </c>
      <c r="D168" s="6" t="s">
        <v>1850</v>
      </c>
      <c r="E168" s="11" t="s">
        <v>2236</v>
      </c>
      <c r="F168" s="12" t="s">
        <v>2236</v>
      </c>
      <c r="G168" s="12" t="s">
        <v>2249</v>
      </c>
      <c r="H168" s="12" t="s">
        <v>2530</v>
      </c>
      <c r="I168" s="12" t="s">
        <v>2531</v>
      </c>
      <c r="J168" s="11" t="s">
        <v>2246</v>
      </c>
      <c r="K168" s="11" t="s">
        <v>2247</v>
      </c>
      <c r="L168" s="11" t="s">
        <v>1853</v>
      </c>
      <c r="M168" s="11" t="s">
        <v>1854</v>
      </c>
      <c r="N168" s="12"/>
      <c r="O168" s="11" t="s">
        <v>1860</v>
      </c>
      <c r="P168" s="56"/>
    </row>
    <row r="169" spans="1:16" ht="15.75" customHeight="1" x14ac:dyDescent="0.2">
      <c r="A169" s="49">
        <v>322</v>
      </c>
      <c r="B169" s="11" t="s">
        <v>1857</v>
      </c>
      <c r="C169" s="11" t="s">
        <v>1849</v>
      </c>
      <c r="D169" s="6" t="s">
        <v>1850</v>
      </c>
      <c r="E169" s="11" t="s">
        <v>2236</v>
      </c>
      <c r="F169" s="12" t="s">
        <v>2236</v>
      </c>
      <c r="G169" s="12" t="s">
        <v>2238</v>
      </c>
      <c r="H169" s="12" t="s">
        <v>2274</v>
      </c>
      <c r="I169" s="12" t="s">
        <v>2532</v>
      </c>
      <c r="J169" s="11" t="s">
        <v>2246</v>
      </c>
      <c r="K169" s="11" t="s">
        <v>2247</v>
      </c>
      <c r="L169" s="11" t="s">
        <v>1853</v>
      </c>
      <c r="M169" s="11" t="s">
        <v>1854</v>
      </c>
      <c r="N169" s="12"/>
      <c r="O169" s="11" t="s">
        <v>1858</v>
      </c>
      <c r="P169" s="56"/>
    </row>
    <row r="170" spans="1:16" ht="15.75" customHeight="1" x14ac:dyDescent="0.2">
      <c r="A170" s="49">
        <v>6352</v>
      </c>
      <c r="B170" s="11" t="s">
        <v>1857</v>
      </c>
      <c r="C170" s="11" t="s">
        <v>1849</v>
      </c>
      <c r="D170" s="6" t="s">
        <v>1850</v>
      </c>
      <c r="E170" s="11" t="s">
        <v>2236</v>
      </c>
      <c r="F170" s="12" t="s">
        <v>2236</v>
      </c>
      <c r="G170" s="12" t="s">
        <v>2266</v>
      </c>
      <c r="H170" s="12" t="s">
        <v>2266</v>
      </c>
      <c r="I170" s="12" t="s">
        <v>2533</v>
      </c>
      <c r="J170" s="11" t="s">
        <v>2246</v>
      </c>
      <c r="K170" s="11" t="s">
        <v>2247</v>
      </c>
      <c r="L170" s="11" t="s">
        <v>1853</v>
      </c>
      <c r="M170" s="11" t="s">
        <v>2534</v>
      </c>
      <c r="N170" s="12"/>
      <c r="O170" s="11" t="s">
        <v>1858</v>
      </c>
      <c r="P170" s="56"/>
    </row>
    <row r="171" spans="1:16" ht="15.75" customHeight="1" x14ac:dyDescent="0.2">
      <c r="A171" s="49">
        <v>268</v>
      </c>
      <c r="B171" s="11" t="s">
        <v>1857</v>
      </c>
      <c r="C171" s="11" t="s">
        <v>1849</v>
      </c>
      <c r="D171" s="6" t="s">
        <v>1850</v>
      </c>
      <c r="E171" s="11" t="s">
        <v>2236</v>
      </c>
      <c r="F171" s="12" t="s">
        <v>2236</v>
      </c>
      <c r="G171" s="12" t="s">
        <v>2238</v>
      </c>
      <c r="H171" s="12" t="s">
        <v>2309</v>
      </c>
      <c r="I171" s="12" t="s">
        <v>2535</v>
      </c>
      <c r="J171" s="11" t="s">
        <v>2246</v>
      </c>
      <c r="K171" s="11" t="s">
        <v>2247</v>
      </c>
      <c r="L171" s="11" t="s">
        <v>1853</v>
      </c>
      <c r="M171" s="11" t="s">
        <v>2536</v>
      </c>
      <c r="N171" s="12" t="s">
        <v>2537</v>
      </c>
      <c r="O171" s="11" t="s">
        <v>1858</v>
      </c>
      <c r="P171" s="56"/>
    </row>
    <row r="172" spans="1:16" ht="15.75" customHeight="1" x14ac:dyDescent="0.2">
      <c r="A172" s="49">
        <v>96</v>
      </c>
      <c r="B172" s="11" t="s">
        <v>1857</v>
      </c>
      <c r="C172" s="11" t="s">
        <v>1849</v>
      </c>
      <c r="D172" s="6" t="s">
        <v>1850</v>
      </c>
      <c r="E172" s="11" t="s">
        <v>2236</v>
      </c>
      <c r="F172" s="12" t="s">
        <v>2236</v>
      </c>
      <c r="G172" s="12" t="s">
        <v>2236</v>
      </c>
      <c r="H172" s="12" t="s">
        <v>2245</v>
      </c>
      <c r="I172" s="12" t="s">
        <v>2538</v>
      </c>
      <c r="J172" s="11" t="s">
        <v>1856</v>
      </c>
      <c r="K172" s="11" t="s">
        <v>1852</v>
      </c>
      <c r="L172" s="11" t="s">
        <v>1853</v>
      </c>
      <c r="M172" s="11" t="s">
        <v>2539</v>
      </c>
      <c r="N172" s="12"/>
      <c r="O172" s="11" t="s">
        <v>1860</v>
      </c>
      <c r="P172" s="56"/>
    </row>
    <row r="173" spans="1:16" ht="15.75" customHeight="1" x14ac:dyDescent="0.2">
      <c r="A173" s="49">
        <v>270</v>
      </c>
      <c r="B173" s="11" t="s">
        <v>1857</v>
      </c>
      <c r="C173" s="11" t="s">
        <v>1849</v>
      </c>
      <c r="D173" s="6" t="s">
        <v>1850</v>
      </c>
      <c r="E173" s="11" t="s">
        <v>2236</v>
      </c>
      <c r="F173" s="12" t="s">
        <v>2236</v>
      </c>
      <c r="G173" s="12" t="s">
        <v>2238</v>
      </c>
      <c r="H173" s="12" t="s">
        <v>2309</v>
      </c>
      <c r="I173" s="12" t="s">
        <v>2540</v>
      </c>
      <c r="J173" s="11" t="s">
        <v>1856</v>
      </c>
      <c r="K173" s="11" t="s">
        <v>1852</v>
      </c>
      <c r="L173" s="11" t="s">
        <v>1853</v>
      </c>
      <c r="M173" s="11" t="s">
        <v>2474</v>
      </c>
      <c r="N173" s="12" t="s">
        <v>2541</v>
      </c>
      <c r="O173" s="11" t="s">
        <v>1860</v>
      </c>
      <c r="P173" s="56"/>
    </row>
    <row r="174" spans="1:16" ht="15.75" customHeight="1" x14ac:dyDescent="0.2">
      <c r="A174" s="49">
        <v>303</v>
      </c>
      <c r="B174" s="11" t="s">
        <v>1857</v>
      </c>
      <c r="C174" s="11" t="s">
        <v>1849</v>
      </c>
      <c r="D174" s="6" t="s">
        <v>1850</v>
      </c>
      <c r="E174" s="11" t="s">
        <v>2236</v>
      </c>
      <c r="F174" s="12" t="s">
        <v>2236</v>
      </c>
      <c r="G174" s="12" t="s">
        <v>2249</v>
      </c>
      <c r="H174" s="12" t="s">
        <v>2252</v>
      </c>
      <c r="I174" s="12" t="s">
        <v>2542</v>
      </c>
      <c r="J174" s="11" t="s">
        <v>2246</v>
      </c>
      <c r="K174" s="11" t="s">
        <v>2247</v>
      </c>
      <c r="L174" s="11" t="s">
        <v>1853</v>
      </c>
      <c r="M174" s="11" t="s">
        <v>1854</v>
      </c>
      <c r="N174" s="12"/>
      <c r="O174" s="11" t="s">
        <v>1860</v>
      </c>
      <c r="P174" s="56"/>
    </row>
    <row r="175" spans="1:16" ht="15.75" customHeight="1" x14ac:dyDescent="0.2">
      <c r="A175" s="49">
        <v>284</v>
      </c>
      <c r="B175" s="11" t="s">
        <v>1857</v>
      </c>
      <c r="C175" s="11" t="s">
        <v>1849</v>
      </c>
      <c r="D175" s="6" t="s">
        <v>1850</v>
      </c>
      <c r="E175" s="11" t="s">
        <v>2236</v>
      </c>
      <c r="F175" s="12" t="s">
        <v>2236</v>
      </c>
      <c r="G175" s="12" t="s">
        <v>2238</v>
      </c>
      <c r="H175" s="12" t="s">
        <v>2428</v>
      </c>
      <c r="I175" s="12" t="s">
        <v>2543</v>
      </c>
      <c r="J175" s="11" t="s">
        <v>2246</v>
      </c>
      <c r="K175" s="11" t="s">
        <v>2247</v>
      </c>
      <c r="L175" s="11" t="s">
        <v>1853</v>
      </c>
      <c r="M175" s="11" t="s">
        <v>1854</v>
      </c>
      <c r="N175" s="12"/>
      <c r="O175" s="11" t="s">
        <v>1858</v>
      </c>
      <c r="P175" s="56"/>
    </row>
    <row r="176" spans="1:16" ht="15.75" customHeight="1" x14ac:dyDescent="0.2">
      <c r="A176" s="49">
        <v>283</v>
      </c>
      <c r="B176" s="11" t="s">
        <v>1857</v>
      </c>
      <c r="C176" s="11" t="s">
        <v>1849</v>
      </c>
      <c r="D176" s="6" t="s">
        <v>1850</v>
      </c>
      <c r="E176" s="11" t="s">
        <v>2236</v>
      </c>
      <c r="F176" s="12" t="s">
        <v>2236</v>
      </c>
      <c r="G176" s="12" t="s">
        <v>2249</v>
      </c>
      <c r="H176" s="12" t="s">
        <v>2249</v>
      </c>
      <c r="I176" s="12" t="s">
        <v>2544</v>
      </c>
      <c r="J176" s="11" t="s">
        <v>2246</v>
      </c>
      <c r="K176" s="11" t="s">
        <v>2247</v>
      </c>
      <c r="L176" s="11" t="s">
        <v>1853</v>
      </c>
      <c r="M176" s="11" t="s">
        <v>1854</v>
      </c>
      <c r="N176" s="12"/>
      <c r="O176" s="11" t="s">
        <v>1859</v>
      </c>
      <c r="P176" s="56"/>
    </row>
    <row r="177" spans="1:16" ht="15.75" customHeight="1" x14ac:dyDescent="0.2">
      <c r="A177" s="49">
        <v>320</v>
      </c>
      <c r="B177" s="11" t="s">
        <v>1857</v>
      </c>
      <c r="C177" s="11" t="s">
        <v>1849</v>
      </c>
      <c r="D177" s="6" t="s">
        <v>1850</v>
      </c>
      <c r="E177" s="11" t="s">
        <v>2236</v>
      </c>
      <c r="F177" s="12" t="s">
        <v>2236</v>
      </c>
      <c r="G177" s="12" t="s">
        <v>2238</v>
      </c>
      <c r="H177" s="12" t="s">
        <v>2255</v>
      </c>
      <c r="I177" s="12" t="s">
        <v>2545</v>
      </c>
      <c r="J177" s="11" t="s">
        <v>2246</v>
      </c>
      <c r="K177" s="11" t="s">
        <v>2247</v>
      </c>
      <c r="L177" s="11" t="s">
        <v>1853</v>
      </c>
      <c r="M177" s="11" t="s">
        <v>2336</v>
      </c>
      <c r="N177" s="12"/>
      <c r="O177" s="11" t="s">
        <v>1860</v>
      </c>
      <c r="P177" s="56"/>
    </row>
    <row r="178" spans="1:16" ht="15.75" customHeight="1" x14ac:dyDescent="0.2">
      <c r="A178" s="49">
        <v>5860</v>
      </c>
      <c r="B178" s="11" t="s">
        <v>1857</v>
      </c>
      <c r="C178" s="11" t="s">
        <v>1849</v>
      </c>
      <c r="D178" s="6" t="s">
        <v>1850</v>
      </c>
      <c r="E178" s="11" t="s">
        <v>2236</v>
      </c>
      <c r="F178" s="12" t="s">
        <v>2236</v>
      </c>
      <c r="G178" s="12" t="s">
        <v>2238</v>
      </c>
      <c r="H178" s="12" t="s">
        <v>2320</v>
      </c>
      <c r="I178" s="12" t="s">
        <v>2546</v>
      </c>
      <c r="J178" s="11" t="s">
        <v>2246</v>
      </c>
      <c r="K178" s="11" t="s">
        <v>2247</v>
      </c>
      <c r="L178" s="11" t="s">
        <v>1853</v>
      </c>
      <c r="M178" s="11" t="s">
        <v>1854</v>
      </c>
      <c r="N178" s="12"/>
      <c r="O178" s="11" t="s">
        <v>1858</v>
      </c>
      <c r="P178" s="56"/>
    </row>
    <row r="179" spans="1:16" ht="15.75" customHeight="1" x14ac:dyDescent="0.2">
      <c r="A179" s="49">
        <v>5561</v>
      </c>
      <c r="B179" s="11" t="s">
        <v>1857</v>
      </c>
      <c r="C179" s="11" t="s">
        <v>1849</v>
      </c>
      <c r="D179" s="6" t="s">
        <v>1850</v>
      </c>
      <c r="E179" s="11" t="s">
        <v>2236</v>
      </c>
      <c r="F179" s="12" t="s">
        <v>2236</v>
      </c>
      <c r="G179" s="12" t="s">
        <v>2266</v>
      </c>
      <c r="H179" s="12" t="s">
        <v>2266</v>
      </c>
      <c r="I179" s="12" t="s">
        <v>2547</v>
      </c>
      <c r="J179" s="11" t="s">
        <v>2246</v>
      </c>
      <c r="K179" s="11" t="s">
        <v>2247</v>
      </c>
      <c r="L179" s="11" t="s">
        <v>1853</v>
      </c>
      <c r="M179" s="11" t="s">
        <v>1854</v>
      </c>
      <c r="N179" s="12"/>
      <c r="O179" s="11" t="s">
        <v>1858</v>
      </c>
      <c r="P179" s="56"/>
    </row>
    <row r="180" spans="1:16" ht="15.75" customHeight="1" x14ac:dyDescent="0.2">
      <c r="A180" s="49">
        <v>449</v>
      </c>
      <c r="B180" s="11" t="s">
        <v>1857</v>
      </c>
      <c r="C180" s="11" t="s">
        <v>1849</v>
      </c>
      <c r="D180" s="6" t="s">
        <v>1850</v>
      </c>
      <c r="E180" s="11" t="s">
        <v>2236</v>
      </c>
      <c r="F180" s="12" t="s">
        <v>2236</v>
      </c>
      <c r="G180" s="12" t="s">
        <v>2249</v>
      </c>
      <c r="H180" s="12" t="s">
        <v>2252</v>
      </c>
      <c r="I180" s="12" t="s">
        <v>2548</v>
      </c>
      <c r="J180" s="11" t="s">
        <v>2246</v>
      </c>
      <c r="K180" s="11" t="s">
        <v>2247</v>
      </c>
      <c r="L180" s="11" t="s">
        <v>1853</v>
      </c>
      <c r="M180" s="11" t="s">
        <v>2549</v>
      </c>
      <c r="N180" s="12" t="s">
        <v>2550</v>
      </c>
      <c r="O180" s="11" t="s">
        <v>1858</v>
      </c>
      <c r="P180" s="56"/>
    </row>
    <row r="181" spans="1:16" ht="15.75" customHeight="1" x14ac:dyDescent="0.2">
      <c r="A181" s="49">
        <v>302</v>
      </c>
      <c r="B181" s="11" t="s">
        <v>1857</v>
      </c>
      <c r="C181" s="11" t="s">
        <v>1849</v>
      </c>
      <c r="D181" s="6" t="s">
        <v>1850</v>
      </c>
      <c r="E181" s="11" t="s">
        <v>2236</v>
      </c>
      <c r="F181" s="12" t="s">
        <v>2236</v>
      </c>
      <c r="G181" s="12" t="s">
        <v>2249</v>
      </c>
      <c r="H181" s="12" t="s">
        <v>2317</v>
      </c>
      <c r="I181" s="12" t="s">
        <v>2551</v>
      </c>
      <c r="J181" s="11" t="s">
        <v>1856</v>
      </c>
      <c r="K181" s="11" t="s">
        <v>1852</v>
      </c>
      <c r="L181" s="11" t="s">
        <v>1853</v>
      </c>
      <c r="M181" s="11" t="s">
        <v>2552</v>
      </c>
      <c r="N181" s="12"/>
      <c r="O181" s="11" t="s">
        <v>1858</v>
      </c>
      <c r="P181" s="56"/>
    </row>
    <row r="182" spans="1:16" ht="15.75" customHeight="1" x14ac:dyDescent="0.2">
      <c r="A182" s="49">
        <v>116</v>
      </c>
      <c r="B182" s="11" t="s">
        <v>1857</v>
      </c>
      <c r="C182" s="11" t="s">
        <v>1849</v>
      </c>
      <c r="D182" s="6" t="s">
        <v>1850</v>
      </c>
      <c r="E182" s="11" t="s">
        <v>2236</v>
      </c>
      <c r="F182" s="12" t="s">
        <v>2236</v>
      </c>
      <c r="G182" s="12" t="s">
        <v>2249</v>
      </c>
      <c r="H182" s="12" t="s">
        <v>2252</v>
      </c>
      <c r="I182" s="12" t="s">
        <v>2553</v>
      </c>
      <c r="J182" s="11" t="s">
        <v>2246</v>
      </c>
      <c r="K182" s="11" t="s">
        <v>2247</v>
      </c>
      <c r="L182" s="11" t="s">
        <v>1853</v>
      </c>
      <c r="M182" s="11" t="s">
        <v>1854</v>
      </c>
      <c r="N182" s="12"/>
      <c r="O182" s="11" t="s">
        <v>1858</v>
      </c>
      <c r="P182" s="56"/>
    </row>
    <row r="183" spans="1:16" ht="15.75" customHeight="1" x14ac:dyDescent="0.2">
      <c r="A183" s="49">
        <v>362</v>
      </c>
      <c r="B183" s="11" t="s">
        <v>1857</v>
      </c>
      <c r="C183" s="11" t="s">
        <v>1849</v>
      </c>
      <c r="D183" s="6" t="s">
        <v>1850</v>
      </c>
      <c r="E183" s="11" t="s">
        <v>2236</v>
      </c>
      <c r="F183" s="12" t="s">
        <v>2236</v>
      </c>
      <c r="G183" s="12" t="s">
        <v>2249</v>
      </c>
      <c r="H183" s="12" t="s">
        <v>2303</v>
      </c>
      <c r="I183" s="12" t="s">
        <v>2554</v>
      </c>
      <c r="J183" s="11" t="s">
        <v>2246</v>
      </c>
      <c r="K183" s="11" t="s">
        <v>2247</v>
      </c>
      <c r="L183" s="11" t="s">
        <v>1853</v>
      </c>
      <c r="M183" s="11" t="s">
        <v>1854</v>
      </c>
      <c r="N183" s="12"/>
      <c r="O183" s="11" t="s">
        <v>1859</v>
      </c>
      <c r="P183" s="56"/>
    </row>
    <row r="184" spans="1:16" ht="15.75" customHeight="1" x14ac:dyDescent="0.2">
      <c r="A184" s="49">
        <v>286</v>
      </c>
      <c r="B184" s="11" t="s">
        <v>1857</v>
      </c>
      <c r="C184" s="11" t="s">
        <v>1849</v>
      </c>
      <c r="D184" s="6" t="s">
        <v>1850</v>
      </c>
      <c r="E184" s="11" t="s">
        <v>2236</v>
      </c>
      <c r="F184" s="12" t="s">
        <v>2236</v>
      </c>
      <c r="G184" s="12" t="s">
        <v>2249</v>
      </c>
      <c r="H184" s="12" t="s">
        <v>2249</v>
      </c>
      <c r="I184" s="12" t="s">
        <v>2555</v>
      </c>
      <c r="J184" s="11" t="s">
        <v>2246</v>
      </c>
      <c r="K184" s="11" t="s">
        <v>2247</v>
      </c>
      <c r="L184" s="11" t="s">
        <v>1853</v>
      </c>
      <c r="M184" s="11" t="s">
        <v>1854</v>
      </c>
      <c r="N184" s="12"/>
      <c r="O184" s="11" t="s">
        <v>1858</v>
      </c>
      <c r="P184" s="56"/>
    </row>
    <row r="185" spans="1:16" ht="15.75" customHeight="1" x14ac:dyDescent="0.2">
      <c r="A185" s="49">
        <v>273</v>
      </c>
      <c r="B185" s="11" t="s">
        <v>1857</v>
      </c>
      <c r="C185" s="11" t="s">
        <v>1849</v>
      </c>
      <c r="D185" s="6" t="s">
        <v>1850</v>
      </c>
      <c r="E185" s="11" t="s">
        <v>2236</v>
      </c>
      <c r="F185" s="12" t="s">
        <v>2236</v>
      </c>
      <c r="G185" s="12" t="s">
        <v>2238</v>
      </c>
      <c r="H185" s="12" t="s">
        <v>2369</v>
      </c>
      <c r="I185" s="12" t="s">
        <v>2556</v>
      </c>
      <c r="J185" s="11" t="s">
        <v>1856</v>
      </c>
      <c r="K185" s="11" t="s">
        <v>1852</v>
      </c>
      <c r="L185" s="11" t="s">
        <v>1853</v>
      </c>
      <c r="M185" s="11" t="s">
        <v>2557</v>
      </c>
      <c r="N185" s="12"/>
      <c r="O185" s="11" t="s">
        <v>1858</v>
      </c>
      <c r="P185" s="56"/>
    </row>
    <row r="186" spans="1:16" ht="15.75" customHeight="1" x14ac:dyDescent="0.2">
      <c r="A186" s="49">
        <v>353</v>
      </c>
      <c r="B186" s="11" t="s">
        <v>1857</v>
      </c>
      <c r="C186" s="11" t="s">
        <v>1849</v>
      </c>
      <c r="D186" s="6" t="s">
        <v>1850</v>
      </c>
      <c r="E186" s="11" t="s">
        <v>2236</v>
      </c>
      <c r="F186" s="12" t="s">
        <v>2236</v>
      </c>
      <c r="G186" s="12" t="s">
        <v>2238</v>
      </c>
      <c r="H186" s="12" t="s">
        <v>2320</v>
      </c>
      <c r="I186" s="12" t="s">
        <v>2558</v>
      </c>
      <c r="J186" s="11" t="s">
        <v>2246</v>
      </c>
      <c r="K186" s="11" t="s">
        <v>2247</v>
      </c>
      <c r="L186" s="11" t="s">
        <v>2322</v>
      </c>
      <c r="M186" s="11" t="s">
        <v>1854</v>
      </c>
      <c r="N186" s="12"/>
      <c r="O186" s="11" t="s">
        <v>1858</v>
      </c>
      <c r="P186" s="56"/>
    </row>
    <row r="187" spans="1:16" ht="15.75" customHeight="1" x14ac:dyDescent="0.2">
      <c r="A187" s="49">
        <v>372</v>
      </c>
      <c r="B187" s="11" t="s">
        <v>1857</v>
      </c>
      <c r="C187" s="11" t="s">
        <v>1849</v>
      </c>
      <c r="D187" s="6" t="s">
        <v>1850</v>
      </c>
      <c r="E187" s="11" t="s">
        <v>2236</v>
      </c>
      <c r="F187" s="12" t="s">
        <v>2236</v>
      </c>
      <c r="G187" s="12" t="s">
        <v>2238</v>
      </c>
      <c r="H187" s="12" t="s">
        <v>2320</v>
      </c>
      <c r="I187" s="12" t="s">
        <v>2559</v>
      </c>
      <c r="J187" s="11" t="s">
        <v>2246</v>
      </c>
      <c r="K187" s="11" t="s">
        <v>2247</v>
      </c>
      <c r="L187" s="11" t="s">
        <v>1853</v>
      </c>
      <c r="M187" s="11" t="s">
        <v>1854</v>
      </c>
      <c r="N187" s="12"/>
      <c r="O187" s="11" t="s">
        <v>1858</v>
      </c>
      <c r="P187" s="56"/>
    </row>
    <row r="188" spans="1:16" ht="15.75" customHeight="1" x14ac:dyDescent="0.2">
      <c r="A188" s="49">
        <v>5864</v>
      </c>
      <c r="B188" s="11" t="s">
        <v>1857</v>
      </c>
      <c r="C188" s="11" t="s">
        <v>1849</v>
      </c>
      <c r="D188" s="6" t="s">
        <v>1850</v>
      </c>
      <c r="E188" s="11" t="s">
        <v>2236</v>
      </c>
      <c r="F188" s="12" t="s">
        <v>2236</v>
      </c>
      <c r="G188" s="12" t="s">
        <v>2249</v>
      </c>
      <c r="H188" s="12" t="s">
        <v>2252</v>
      </c>
      <c r="I188" s="12" t="s">
        <v>2560</v>
      </c>
      <c r="J188" s="11" t="s">
        <v>2246</v>
      </c>
      <c r="K188" s="11" t="s">
        <v>2247</v>
      </c>
      <c r="L188" s="11" t="s">
        <v>1853</v>
      </c>
      <c r="M188" s="11" t="s">
        <v>1854</v>
      </c>
      <c r="N188" s="12"/>
      <c r="O188" s="11" t="s">
        <v>1858</v>
      </c>
      <c r="P188" s="56"/>
    </row>
    <row r="189" spans="1:16" ht="15.75" customHeight="1" x14ac:dyDescent="0.2">
      <c r="A189" s="49">
        <v>260</v>
      </c>
      <c r="B189" s="11" t="s">
        <v>1857</v>
      </c>
      <c r="C189" s="11" t="s">
        <v>1849</v>
      </c>
      <c r="D189" s="6" t="s">
        <v>1850</v>
      </c>
      <c r="E189" s="11" t="s">
        <v>2236</v>
      </c>
      <c r="F189" s="12" t="s">
        <v>2236</v>
      </c>
      <c r="G189" s="12" t="s">
        <v>2238</v>
      </c>
      <c r="H189" s="12" t="s">
        <v>2320</v>
      </c>
      <c r="I189" s="12" t="s">
        <v>2561</v>
      </c>
      <c r="J189" s="11" t="s">
        <v>2246</v>
      </c>
      <c r="K189" s="11" t="s">
        <v>2247</v>
      </c>
      <c r="L189" s="11" t="s">
        <v>2322</v>
      </c>
      <c r="M189" s="11" t="s">
        <v>1854</v>
      </c>
      <c r="N189" s="12"/>
      <c r="O189" s="11" t="s">
        <v>1859</v>
      </c>
      <c r="P189" s="56"/>
    </row>
    <row r="190" spans="1:16" ht="15.75" customHeight="1" x14ac:dyDescent="0.2">
      <c r="A190" s="49">
        <v>251</v>
      </c>
      <c r="B190" s="11" t="s">
        <v>1857</v>
      </c>
      <c r="C190" s="11" t="s">
        <v>1849</v>
      </c>
      <c r="D190" s="6" t="s">
        <v>1850</v>
      </c>
      <c r="E190" s="11" t="s">
        <v>2236</v>
      </c>
      <c r="F190" s="12" t="s">
        <v>2236</v>
      </c>
      <c r="G190" s="12" t="s">
        <v>2238</v>
      </c>
      <c r="H190" s="12" t="s">
        <v>2257</v>
      </c>
      <c r="I190" s="12" t="s">
        <v>2562</v>
      </c>
      <c r="J190" s="11" t="s">
        <v>2246</v>
      </c>
      <c r="K190" s="11" t="s">
        <v>2247</v>
      </c>
      <c r="L190" s="11" t="s">
        <v>1853</v>
      </c>
      <c r="M190" s="11" t="s">
        <v>2276</v>
      </c>
      <c r="N190" s="12"/>
      <c r="O190" s="11" t="s">
        <v>1858</v>
      </c>
      <c r="P190" s="56"/>
    </row>
    <row r="191" spans="1:16" ht="15.75" customHeight="1" x14ac:dyDescent="0.2">
      <c r="A191" s="49">
        <v>308</v>
      </c>
      <c r="B191" s="11" t="s">
        <v>1857</v>
      </c>
      <c r="C191" s="11" t="s">
        <v>1849</v>
      </c>
      <c r="D191" s="6" t="s">
        <v>1850</v>
      </c>
      <c r="E191" s="11" t="s">
        <v>2236</v>
      </c>
      <c r="F191" s="12" t="s">
        <v>2236</v>
      </c>
      <c r="G191" s="12" t="s">
        <v>2249</v>
      </c>
      <c r="H191" s="12" t="s">
        <v>2428</v>
      </c>
      <c r="I191" s="12" t="s">
        <v>2563</v>
      </c>
      <c r="J191" s="11" t="s">
        <v>1856</v>
      </c>
      <c r="K191" s="11" t="s">
        <v>1852</v>
      </c>
      <c r="L191" s="11" t="s">
        <v>1853</v>
      </c>
      <c r="M191" s="11" t="s">
        <v>1854</v>
      </c>
      <c r="N191" s="12"/>
      <c r="O191" s="11" t="s">
        <v>1858</v>
      </c>
      <c r="P191" s="56"/>
    </row>
    <row r="192" spans="1:16" ht="15.75" customHeight="1" x14ac:dyDescent="0.2">
      <c r="A192" s="49">
        <v>130</v>
      </c>
      <c r="B192" s="11" t="s">
        <v>1857</v>
      </c>
      <c r="C192" s="11" t="s">
        <v>1849</v>
      </c>
      <c r="D192" s="6" t="s">
        <v>1850</v>
      </c>
      <c r="E192" s="11" t="s">
        <v>2236</v>
      </c>
      <c r="F192" s="12" t="s">
        <v>2236</v>
      </c>
      <c r="G192" s="12" t="s">
        <v>2236</v>
      </c>
      <c r="H192" s="12" t="s">
        <v>2245</v>
      </c>
      <c r="I192" s="12" t="s">
        <v>2564</v>
      </c>
      <c r="J192" s="11" t="s">
        <v>1856</v>
      </c>
      <c r="K192" s="11" t="s">
        <v>1852</v>
      </c>
      <c r="L192" s="11" t="s">
        <v>1853</v>
      </c>
      <c r="M192" s="11" t="s">
        <v>2565</v>
      </c>
      <c r="N192" s="12" t="s">
        <v>2566</v>
      </c>
      <c r="O192" s="11" t="s">
        <v>1860</v>
      </c>
      <c r="P192" s="56"/>
    </row>
    <row r="193" spans="1:16" ht="15.75" customHeight="1" x14ac:dyDescent="0.2">
      <c r="A193" s="49">
        <v>6764</v>
      </c>
      <c r="B193" s="11" t="s">
        <v>1857</v>
      </c>
      <c r="C193" s="11" t="s">
        <v>1849</v>
      </c>
      <c r="D193" s="6" t="s">
        <v>1850</v>
      </c>
      <c r="E193" s="11" t="s">
        <v>2236</v>
      </c>
      <c r="F193" s="12" t="s">
        <v>2236</v>
      </c>
      <c r="G193" s="12" t="s">
        <v>2238</v>
      </c>
      <c r="H193" s="12" t="s">
        <v>2320</v>
      </c>
      <c r="I193" s="12" t="s">
        <v>2567</v>
      </c>
      <c r="J193" s="11" t="s">
        <v>2246</v>
      </c>
      <c r="K193" s="11" t="s">
        <v>2247</v>
      </c>
      <c r="L193" s="11" t="s">
        <v>2322</v>
      </c>
      <c r="M193" s="11" t="s">
        <v>1854</v>
      </c>
      <c r="N193" s="12"/>
      <c r="O193" s="11" t="s">
        <v>1858</v>
      </c>
      <c r="P193" s="56"/>
    </row>
    <row r="194" spans="1:16" ht="15.75" customHeight="1" x14ac:dyDescent="0.2">
      <c r="A194" s="49">
        <v>369</v>
      </c>
      <c r="B194" s="11" t="s">
        <v>1857</v>
      </c>
      <c r="C194" s="11" t="s">
        <v>1849</v>
      </c>
      <c r="D194" s="6" t="s">
        <v>1850</v>
      </c>
      <c r="E194" s="11" t="s">
        <v>2236</v>
      </c>
      <c r="F194" s="12" t="s">
        <v>2236</v>
      </c>
      <c r="G194" s="12" t="s">
        <v>2249</v>
      </c>
      <c r="H194" s="12" t="s">
        <v>2303</v>
      </c>
      <c r="I194" s="12" t="s">
        <v>2568</v>
      </c>
      <c r="J194" s="11" t="s">
        <v>2246</v>
      </c>
      <c r="K194" s="11" t="s">
        <v>2247</v>
      </c>
      <c r="L194" s="11" t="s">
        <v>1853</v>
      </c>
      <c r="M194" s="11" t="s">
        <v>1854</v>
      </c>
      <c r="N194" s="12"/>
      <c r="O194" s="11" t="s">
        <v>1858</v>
      </c>
      <c r="P194" s="56"/>
    </row>
    <row r="195" spans="1:16" ht="15.75" customHeight="1" x14ac:dyDescent="0.2">
      <c r="A195" s="49">
        <v>94</v>
      </c>
      <c r="B195" s="11" t="s">
        <v>1857</v>
      </c>
      <c r="C195" s="11" t="s">
        <v>1849</v>
      </c>
      <c r="D195" s="6" t="s">
        <v>1850</v>
      </c>
      <c r="E195" s="11" t="s">
        <v>2236</v>
      </c>
      <c r="F195" s="12" t="s">
        <v>2236</v>
      </c>
      <c r="G195" s="12" t="s">
        <v>2236</v>
      </c>
      <c r="H195" s="12" t="s">
        <v>2245</v>
      </c>
      <c r="I195" s="12" t="s">
        <v>2569</v>
      </c>
      <c r="J195" s="11" t="s">
        <v>2246</v>
      </c>
      <c r="K195" s="11" t="s">
        <v>2247</v>
      </c>
      <c r="L195" s="11" t="s">
        <v>1853</v>
      </c>
      <c r="M195" s="11" t="s">
        <v>1854</v>
      </c>
      <c r="N195" s="12"/>
      <c r="O195" s="11" t="s">
        <v>1858</v>
      </c>
      <c r="P195" s="56"/>
    </row>
    <row r="196" spans="1:16" ht="15.75" customHeight="1" x14ac:dyDescent="0.2">
      <c r="A196" s="49">
        <v>5318</v>
      </c>
      <c r="B196" s="11" t="s">
        <v>1857</v>
      </c>
      <c r="C196" s="11" t="s">
        <v>1849</v>
      </c>
      <c r="D196" s="6" t="s">
        <v>1850</v>
      </c>
      <c r="E196" s="11" t="s">
        <v>2236</v>
      </c>
      <c r="F196" s="12" t="s">
        <v>2236</v>
      </c>
      <c r="G196" s="12" t="s">
        <v>2249</v>
      </c>
      <c r="H196" s="12" t="s">
        <v>2303</v>
      </c>
      <c r="I196" s="12" t="s">
        <v>2570</v>
      </c>
      <c r="J196" s="11" t="s">
        <v>2246</v>
      </c>
      <c r="K196" s="11" t="s">
        <v>2247</v>
      </c>
      <c r="L196" s="11" t="s">
        <v>1853</v>
      </c>
      <c r="M196" s="11" t="s">
        <v>1854</v>
      </c>
      <c r="N196" s="12"/>
      <c r="O196" s="11" t="s">
        <v>1858</v>
      </c>
      <c r="P196" s="56"/>
    </row>
    <row r="197" spans="1:16" ht="15.75" customHeight="1" x14ac:dyDescent="0.2">
      <c r="A197" s="48">
        <v>15530</v>
      </c>
      <c r="B197" s="11" t="s">
        <v>1871</v>
      </c>
      <c r="C197" s="11" t="s">
        <v>1849</v>
      </c>
      <c r="D197" s="6" t="s">
        <v>1850</v>
      </c>
      <c r="E197" s="11" t="s">
        <v>2236</v>
      </c>
      <c r="F197" s="12" t="s">
        <v>2236</v>
      </c>
      <c r="G197" s="12" t="s">
        <v>2236</v>
      </c>
      <c r="H197" s="12" t="s">
        <v>2264</v>
      </c>
      <c r="I197" s="12" t="s">
        <v>2571</v>
      </c>
      <c r="J197" s="11" t="s">
        <v>1856</v>
      </c>
      <c r="K197" s="11" t="s">
        <v>1852</v>
      </c>
      <c r="L197" s="11" t="s">
        <v>1853</v>
      </c>
      <c r="M197" s="11" t="s">
        <v>1854</v>
      </c>
      <c r="N197" s="12"/>
      <c r="O197" s="11" t="s">
        <v>1872</v>
      </c>
      <c r="P197" s="56"/>
    </row>
    <row r="198" spans="1:16" ht="15.75" customHeight="1" x14ac:dyDescent="0.2">
      <c r="A198" s="48">
        <v>408</v>
      </c>
      <c r="B198" s="11" t="s">
        <v>1871</v>
      </c>
      <c r="C198" s="11" t="s">
        <v>1849</v>
      </c>
      <c r="D198" s="6" t="s">
        <v>1850</v>
      </c>
      <c r="E198" s="11" t="s">
        <v>2236</v>
      </c>
      <c r="F198" s="12" t="s">
        <v>2236</v>
      </c>
      <c r="G198" s="12" t="s">
        <v>2266</v>
      </c>
      <c r="H198" s="12" t="s">
        <v>2266</v>
      </c>
      <c r="I198" s="12" t="s">
        <v>2572</v>
      </c>
      <c r="J198" s="11" t="s">
        <v>1856</v>
      </c>
      <c r="K198" s="11" t="s">
        <v>1852</v>
      </c>
      <c r="L198" s="11" t="s">
        <v>1853</v>
      </c>
      <c r="M198" s="11" t="s">
        <v>1854</v>
      </c>
      <c r="N198" s="12"/>
      <c r="O198" s="11" t="s">
        <v>1864</v>
      </c>
      <c r="P198" s="56" t="s">
        <v>2573</v>
      </c>
    </row>
    <row r="199" spans="1:16" ht="15.75" customHeight="1" x14ac:dyDescent="0.2">
      <c r="A199" s="48">
        <v>15083</v>
      </c>
      <c r="B199" s="11" t="s">
        <v>1871</v>
      </c>
      <c r="C199" s="11" t="s">
        <v>1849</v>
      </c>
      <c r="D199" s="6" t="s">
        <v>1850</v>
      </c>
      <c r="E199" s="11" t="s">
        <v>2236</v>
      </c>
      <c r="F199" s="12" t="s">
        <v>2236</v>
      </c>
      <c r="G199" s="12" t="s">
        <v>2266</v>
      </c>
      <c r="H199" s="12" t="s">
        <v>2315</v>
      </c>
      <c r="I199" s="12" t="s">
        <v>73</v>
      </c>
      <c r="J199" s="11" t="s">
        <v>1856</v>
      </c>
      <c r="K199" s="11" t="s">
        <v>1852</v>
      </c>
      <c r="L199" s="11" t="s">
        <v>1853</v>
      </c>
      <c r="M199" s="11" t="s">
        <v>1854</v>
      </c>
      <c r="N199" s="12"/>
      <c r="O199" s="11" t="s">
        <v>1872</v>
      </c>
      <c r="P199" s="56"/>
    </row>
    <row r="200" spans="1:16" ht="15.75" customHeight="1" x14ac:dyDescent="0.2">
      <c r="A200" s="48">
        <v>209</v>
      </c>
      <c r="B200" s="11" t="s">
        <v>1871</v>
      </c>
      <c r="C200" s="11" t="s">
        <v>1849</v>
      </c>
      <c r="D200" s="6" t="s">
        <v>1850</v>
      </c>
      <c r="E200" s="11" t="s">
        <v>2236</v>
      </c>
      <c r="F200" s="12" t="s">
        <v>2236</v>
      </c>
      <c r="G200" s="12" t="s">
        <v>2238</v>
      </c>
      <c r="H200" s="12" t="s">
        <v>2238</v>
      </c>
      <c r="I200" s="12" t="s">
        <v>2574</v>
      </c>
      <c r="J200" s="11" t="s">
        <v>1851</v>
      </c>
      <c r="K200" s="11" t="s">
        <v>1852</v>
      </c>
      <c r="L200" s="11" t="s">
        <v>1853</v>
      </c>
      <c r="M200" s="11" t="s">
        <v>1854</v>
      </c>
      <c r="N200" s="12"/>
      <c r="O200" s="11" t="s">
        <v>1872</v>
      </c>
      <c r="P200" s="56" t="s">
        <v>1865</v>
      </c>
    </row>
    <row r="201" spans="1:16" ht="15.75" customHeight="1" x14ac:dyDescent="0.2">
      <c r="A201" s="48">
        <v>15534</v>
      </c>
      <c r="B201" s="11" t="s">
        <v>1871</v>
      </c>
      <c r="C201" s="11" t="s">
        <v>1849</v>
      </c>
      <c r="D201" s="6" t="s">
        <v>1850</v>
      </c>
      <c r="E201" s="11" t="s">
        <v>2236</v>
      </c>
      <c r="F201" s="12" t="s">
        <v>2236</v>
      </c>
      <c r="G201" s="12" t="s">
        <v>2238</v>
      </c>
      <c r="H201" s="12" t="s">
        <v>2289</v>
      </c>
      <c r="I201" s="12" t="s">
        <v>2575</v>
      </c>
      <c r="J201" s="11" t="s">
        <v>1856</v>
      </c>
      <c r="K201" s="11" t="s">
        <v>1852</v>
      </c>
      <c r="L201" s="11" t="s">
        <v>1853</v>
      </c>
      <c r="M201" s="11" t="s">
        <v>1854</v>
      </c>
      <c r="N201" s="12"/>
      <c r="O201" s="11" t="s">
        <v>1872</v>
      </c>
      <c r="P201" s="56"/>
    </row>
    <row r="202" spans="1:16" ht="15.75" customHeight="1" x14ac:dyDescent="0.2">
      <c r="A202" s="48">
        <v>15536</v>
      </c>
      <c r="B202" s="11" t="s">
        <v>1871</v>
      </c>
      <c r="C202" s="11" t="s">
        <v>1849</v>
      </c>
      <c r="D202" s="6" t="s">
        <v>1850</v>
      </c>
      <c r="E202" s="11" t="s">
        <v>2236</v>
      </c>
      <c r="F202" s="12" t="s">
        <v>2236</v>
      </c>
      <c r="G202" s="12" t="s">
        <v>2238</v>
      </c>
      <c r="H202" s="12" t="s">
        <v>2238</v>
      </c>
      <c r="I202" s="12" t="s">
        <v>2576</v>
      </c>
      <c r="J202" s="11" t="s">
        <v>1856</v>
      </c>
      <c r="K202" s="11" t="s">
        <v>1852</v>
      </c>
      <c r="L202" s="11" t="s">
        <v>1853</v>
      </c>
      <c r="M202" s="11" t="s">
        <v>1854</v>
      </c>
      <c r="N202" s="12"/>
      <c r="O202" s="11" t="s">
        <v>1854</v>
      </c>
      <c r="P202" s="56"/>
    </row>
    <row r="203" spans="1:16" ht="15.75" customHeight="1" x14ac:dyDescent="0.2">
      <c r="A203" s="48">
        <v>15538</v>
      </c>
      <c r="B203" s="11" t="s">
        <v>1871</v>
      </c>
      <c r="C203" s="11" t="s">
        <v>1849</v>
      </c>
      <c r="D203" s="6" t="s">
        <v>1850</v>
      </c>
      <c r="E203" s="11" t="s">
        <v>2236</v>
      </c>
      <c r="F203" s="12" t="s">
        <v>2236</v>
      </c>
      <c r="G203" s="12" t="s">
        <v>2238</v>
      </c>
      <c r="H203" s="12" t="s">
        <v>2309</v>
      </c>
      <c r="I203" s="12" t="s">
        <v>2577</v>
      </c>
      <c r="J203" s="11" t="s">
        <v>2246</v>
      </c>
      <c r="K203" s="11" t="s">
        <v>2247</v>
      </c>
      <c r="L203" s="11" t="s">
        <v>1853</v>
      </c>
      <c r="M203" s="11" t="s">
        <v>1854</v>
      </c>
      <c r="N203" s="12"/>
      <c r="O203" s="11" t="s">
        <v>1859</v>
      </c>
      <c r="P203" s="56"/>
    </row>
    <row r="204" spans="1:16" ht="15.75" customHeight="1" x14ac:dyDescent="0.2">
      <c r="A204" s="48">
        <v>15528</v>
      </c>
      <c r="B204" s="11" t="s">
        <v>1871</v>
      </c>
      <c r="C204" s="11" t="s">
        <v>1849</v>
      </c>
      <c r="D204" s="6" t="s">
        <v>1850</v>
      </c>
      <c r="E204" s="11" t="s">
        <v>2236</v>
      </c>
      <c r="F204" s="12" t="s">
        <v>2236</v>
      </c>
      <c r="G204" s="12" t="s">
        <v>2238</v>
      </c>
      <c r="H204" s="12" t="s">
        <v>2238</v>
      </c>
      <c r="I204" s="12" t="s">
        <v>2578</v>
      </c>
      <c r="J204" s="11" t="s">
        <v>1856</v>
      </c>
      <c r="K204" s="11" t="s">
        <v>1852</v>
      </c>
      <c r="L204" s="11" t="s">
        <v>1853</v>
      </c>
      <c r="M204" s="11" t="s">
        <v>1854</v>
      </c>
      <c r="N204" s="12"/>
      <c r="O204" s="11" t="s">
        <v>1866</v>
      </c>
      <c r="P204" s="56" t="s">
        <v>1865</v>
      </c>
    </row>
    <row r="205" spans="1:16" ht="15.75" customHeight="1" x14ac:dyDescent="0.2">
      <c r="A205" s="48">
        <v>15529</v>
      </c>
      <c r="B205" s="11" t="s">
        <v>1871</v>
      </c>
      <c r="C205" s="11" t="s">
        <v>1849</v>
      </c>
      <c r="D205" s="6" t="s">
        <v>1850</v>
      </c>
      <c r="E205" s="11" t="s">
        <v>2236</v>
      </c>
      <c r="F205" s="12" t="s">
        <v>2236</v>
      </c>
      <c r="G205" s="12" t="s">
        <v>2249</v>
      </c>
      <c r="H205" s="12" t="s">
        <v>2312</v>
      </c>
      <c r="I205" s="12" t="s">
        <v>2579</v>
      </c>
      <c r="J205" s="11" t="s">
        <v>2246</v>
      </c>
      <c r="K205" s="11" t="s">
        <v>2247</v>
      </c>
      <c r="L205" s="11" t="s">
        <v>1853</v>
      </c>
      <c r="M205" s="11" t="s">
        <v>1854</v>
      </c>
      <c r="N205" s="12"/>
      <c r="O205" s="11" t="s">
        <v>1872</v>
      </c>
      <c r="P205" s="56"/>
    </row>
    <row r="206" spans="1:16" ht="15.75" customHeight="1" x14ac:dyDescent="0.2">
      <c r="A206" s="48">
        <v>15533</v>
      </c>
      <c r="B206" s="11" t="s">
        <v>1871</v>
      </c>
      <c r="C206" s="11" t="s">
        <v>1849</v>
      </c>
      <c r="D206" s="6" t="s">
        <v>1850</v>
      </c>
      <c r="E206" s="11" t="s">
        <v>2236</v>
      </c>
      <c r="F206" s="12" t="s">
        <v>2236</v>
      </c>
      <c r="G206" s="12" t="s">
        <v>2238</v>
      </c>
      <c r="H206" s="12" t="s">
        <v>2255</v>
      </c>
      <c r="I206" s="12" t="s">
        <v>2580</v>
      </c>
      <c r="J206" s="11" t="s">
        <v>1856</v>
      </c>
      <c r="K206" s="11" t="s">
        <v>1852</v>
      </c>
      <c r="L206" s="11" t="s">
        <v>1853</v>
      </c>
      <c r="M206" s="11" t="s">
        <v>1854</v>
      </c>
      <c r="N206" s="12"/>
      <c r="O206" s="11" t="s">
        <v>1859</v>
      </c>
      <c r="P206" s="56"/>
    </row>
    <row r="207" spans="1:16" ht="15.75" customHeight="1" x14ac:dyDescent="0.2">
      <c r="A207" s="48">
        <v>5281</v>
      </c>
      <c r="B207" s="11" t="s">
        <v>1871</v>
      </c>
      <c r="C207" s="11" t="s">
        <v>1849</v>
      </c>
      <c r="D207" s="6" t="s">
        <v>1850</v>
      </c>
      <c r="E207" s="11" t="s">
        <v>2236</v>
      </c>
      <c r="F207" s="12" t="s">
        <v>2236</v>
      </c>
      <c r="G207" s="12" t="s">
        <v>2238</v>
      </c>
      <c r="H207" s="12" t="s">
        <v>2324</v>
      </c>
      <c r="I207" s="12" t="s">
        <v>2581</v>
      </c>
      <c r="J207" s="11" t="s">
        <v>1851</v>
      </c>
      <c r="K207" s="11" t="s">
        <v>1852</v>
      </c>
      <c r="L207" s="11" t="s">
        <v>1853</v>
      </c>
      <c r="M207" s="11" t="s">
        <v>1854</v>
      </c>
      <c r="N207" s="12"/>
      <c r="O207" s="11" t="s">
        <v>1873</v>
      </c>
      <c r="P207" s="56" t="s">
        <v>2582</v>
      </c>
    </row>
    <row r="208" spans="1:16" ht="15.75" customHeight="1" x14ac:dyDescent="0.2">
      <c r="A208" s="48">
        <v>5636</v>
      </c>
      <c r="B208" s="11" t="s">
        <v>1871</v>
      </c>
      <c r="C208" s="11" t="s">
        <v>1849</v>
      </c>
      <c r="D208" s="6" t="s">
        <v>1850</v>
      </c>
      <c r="E208" s="11" t="s">
        <v>2236</v>
      </c>
      <c r="F208" s="12" t="s">
        <v>2236</v>
      </c>
      <c r="G208" s="12" t="s">
        <v>2238</v>
      </c>
      <c r="H208" s="12" t="s">
        <v>2238</v>
      </c>
      <c r="I208" s="12" t="s">
        <v>2583</v>
      </c>
      <c r="J208" s="11" t="s">
        <v>1851</v>
      </c>
      <c r="K208" s="11" t="s">
        <v>1852</v>
      </c>
      <c r="L208" s="11" t="s">
        <v>1853</v>
      </c>
      <c r="M208" s="11" t="s">
        <v>1854</v>
      </c>
      <c r="N208" s="12"/>
      <c r="O208" s="11" t="s">
        <v>1873</v>
      </c>
      <c r="P208" s="56" t="s">
        <v>1865</v>
      </c>
    </row>
    <row r="209" spans="1:16" ht="15.75" customHeight="1" x14ac:dyDescent="0.2">
      <c r="A209" s="48">
        <v>15539</v>
      </c>
      <c r="B209" s="11" t="s">
        <v>1871</v>
      </c>
      <c r="C209" s="11" t="s">
        <v>1849</v>
      </c>
      <c r="D209" s="6" t="s">
        <v>1850</v>
      </c>
      <c r="E209" s="11" t="s">
        <v>2236</v>
      </c>
      <c r="F209" s="12" t="s">
        <v>2236</v>
      </c>
      <c r="G209" s="12" t="s">
        <v>2249</v>
      </c>
      <c r="H209" s="12" t="s">
        <v>2252</v>
      </c>
      <c r="I209" s="12" t="s">
        <v>2584</v>
      </c>
      <c r="J209" s="11" t="s">
        <v>2246</v>
      </c>
      <c r="K209" s="11" t="s">
        <v>2247</v>
      </c>
      <c r="L209" s="11" t="s">
        <v>1853</v>
      </c>
      <c r="M209" s="11" t="s">
        <v>1854</v>
      </c>
      <c r="N209" s="12"/>
      <c r="O209" s="11" t="s">
        <v>1874</v>
      </c>
      <c r="P209" s="56" t="s">
        <v>2323</v>
      </c>
    </row>
    <row r="210" spans="1:16" ht="15.75" customHeight="1" x14ac:dyDescent="0.2">
      <c r="A210" s="48">
        <v>15532</v>
      </c>
      <c r="B210" s="11" t="s">
        <v>1871</v>
      </c>
      <c r="C210" s="11" t="s">
        <v>1849</v>
      </c>
      <c r="D210" s="6" t="s">
        <v>1850</v>
      </c>
      <c r="E210" s="11" t="s">
        <v>2236</v>
      </c>
      <c r="F210" s="12" t="s">
        <v>2236</v>
      </c>
      <c r="G210" s="12" t="s">
        <v>2249</v>
      </c>
      <c r="H210" s="12" t="s">
        <v>2303</v>
      </c>
      <c r="I210" s="12" t="s">
        <v>2585</v>
      </c>
      <c r="J210" s="11" t="s">
        <v>2246</v>
      </c>
      <c r="K210" s="11" t="s">
        <v>2247</v>
      </c>
      <c r="L210" s="11" t="s">
        <v>1853</v>
      </c>
      <c r="M210" s="11" t="s">
        <v>1854</v>
      </c>
      <c r="N210" s="12"/>
      <c r="O210" s="11" t="s">
        <v>1859</v>
      </c>
      <c r="P210" s="56"/>
    </row>
    <row r="211" spans="1:16" ht="15.75" customHeight="1" x14ac:dyDescent="0.2">
      <c r="A211" s="48">
        <v>16060</v>
      </c>
      <c r="B211" s="11" t="s">
        <v>1871</v>
      </c>
      <c r="C211" s="11" t="s">
        <v>1849</v>
      </c>
      <c r="D211" s="6" t="s">
        <v>1850</v>
      </c>
      <c r="E211" s="12" t="s">
        <v>2236</v>
      </c>
      <c r="F211" s="12" t="s">
        <v>2236</v>
      </c>
      <c r="G211" s="12" t="s">
        <v>2238</v>
      </c>
      <c r="H211" s="12" t="s">
        <v>2360</v>
      </c>
      <c r="I211" s="12" t="s">
        <v>2388</v>
      </c>
      <c r="J211" s="11" t="s">
        <v>1856</v>
      </c>
      <c r="K211" s="11" t="s">
        <v>1852</v>
      </c>
      <c r="L211" s="11" t="s">
        <v>1853</v>
      </c>
      <c r="M211" s="11" t="s">
        <v>1854</v>
      </c>
      <c r="N211" s="12"/>
      <c r="O211" s="11" t="s">
        <v>1859</v>
      </c>
      <c r="P211" s="56"/>
    </row>
    <row r="212" spans="1:16" ht="15.75" customHeight="1" x14ac:dyDescent="0.2">
      <c r="A212" s="48">
        <v>16058</v>
      </c>
      <c r="B212" s="11" t="s">
        <v>1871</v>
      </c>
      <c r="C212" s="11" t="s">
        <v>1849</v>
      </c>
      <c r="D212" s="6" t="s">
        <v>1850</v>
      </c>
      <c r="E212" s="12" t="s">
        <v>2236</v>
      </c>
      <c r="F212" s="12" t="s">
        <v>2236</v>
      </c>
      <c r="G212" s="12" t="s">
        <v>2238</v>
      </c>
      <c r="H212" s="12" t="s">
        <v>2238</v>
      </c>
      <c r="I212" s="12" t="s">
        <v>2586</v>
      </c>
      <c r="J212" s="11" t="s">
        <v>1856</v>
      </c>
      <c r="K212" s="11" t="s">
        <v>1852</v>
      </c>
      <c r="L212" s="11" t="s">
        <v>1853</v>
      </c>
      <c r="M212" s="11" t="s">
        <v>1854</v>
      </c>
      <c r="N212" s="12"/>
      <c r="O212" s="11" t="s">
        <v>2587</v>
      </c>
      <c r="P212" s="56"/>
    </row>
    <row r="213" spans="1:16" ht="15.75" customHeight="1" x14ac:dyDescent="0.2">
      <c r="A213" s="48">
        <v>16059</v>
      </c>
      <c r="B213" s="11" t="s">
        <v>1871</v>
      </c>
      <c r="C213" s="11" t="s">
        <v>1849</v>
      </c>
      <c r="D213" s="6" t="s">
        <v>1850</v>
      </c>
      <c r="E213" s="12" t="s">
        <v>2236</v>
      </c>
      <c r="F213" s="12" t="s">
        <v>2236</v>
      </c>
      <c r="G213" s="12" t="s">
        <v>2236</v>
      </c>
      <c r="H213" s="12" t="s">
        <v>2245</v>
      </c>
      <c r="I213" s="12" t="s">
        <v>2588</v>
      </c>
      <c r="J213" s="11" t="s">
        <v>1856</v>
      </c>
      <c r="K213" s="11" t="s">
        <v>1852</v>
      </c>
      <c r="L213" s="11" t="s">
        <v>1853</v>
      </c>
      <c r="M213" s="11" t="s">
        <v>1854</v>
      </c>
      <c r="N213" s="12"/>
      <c r="O213" s="11" t="s">
        <v>1874</v>
      </c>
      <c r="P213" s="56" t="s">
        <v>2323</v>
      </c>
    </row>
    <row r="214" spans="1:16" ht="15.75" customHeight="1" x14ac:dyDescent="0.2">
      <c r="A214" s="48">
        <v>16061</v>
      </c>
      <c r="B214" s="11" t="s">
        <v>1871</v>
      </c>
      <c r="C214" s="11" t="s">
        <v>1849</v>
      </c>
      <c r="D214" s="6" t="s">
        <v>1850</v>
      </c>
      <c r="E214" s="12" t="s">
        <v>2236</v>
      </c>
      <c r="F214" s="12" t="s">
        <v>2236</v>
      </c>
      <c r="G214" s="12" t="s">
        <v>2266</v>
      </c>
      <c r="H214" s="12" t="s">
        <v>2315</v>
      </c>
      <c r="I214" s="12" t="s">
        <v>2589</v>
      </c>
      <c r="J214" s="11" t="s">
        <v>1856</v>
      </c>
      <c r="K214" s="11" t="s">
        <v>1852</v>
      </c>
      <c r="L214" s="11" t="s">
        <v>1853</v>
      </c>
      <c r="M214" s="11" t="s">
        <v>1854</v>
      </c>
      <c r="N214" s="12"/>
      <c r="O214" s="11" t="s">
        <v>1859</v>
      </c>
      <c r="P214" s="56"/>
    </row>
    <row r="215" spans="1:16" ht="15.75" customHeight="1" x14ac:dyDescent="0.2">
      <c r="A215" s="48">
        <v>16063</v>
      </c>
      <c r="B215" s="11" t="s">
        <v>1871</v>
      </c>
      <c r="C215" s="11" t="s">
        <v>1849</v>
      </c>
      <c r="D215" s="6" t="s">
        <v>1850</v>
      </c>
      <c r="E215" s="12" t="s">
        <v>2236</v>
      </c>
      <c r="F215" s="12" t="s">
        <v>2236</v>
      </c>
      <c r="G215" s="12" t="s">
        <v>2238</v>
      </c>
      <c r="H215" s="12" t="s">
        <v>2255</v>
      </c>
      <c r="I215" s="12" t="s">
        <v>2590</v>
      </c>
      <c r="J215" s="11" t="s">
        <v>1856</v>
      </c>
      <c r="K215" s="11" t="s">
        <v>1852</v>
      </c>
      <c r="L215" s="11" t="s">
        <v>1853</v>
      </c>
      <c r="M215" s="11" t="s">
        <v>1854</v>
      </c>
      <c r="N215" s="12"/>
      <c r="O215" s="11" t="s">
        <v>1873</v>
      </c>
      <c r="P215" s="56" t="s">
        <v>2323</v>
      </c>
    </row>
    <row r="216" spans="1:16" ht="15.75" customHeight="1" x14ac:dyDescent="0.2">
      <c r="A216" s="48">
        <v>16062</v>
      </c>
      <c r="B216" s="11" t="s">
        <v>1871</v>
      </c>
      <c r="C216" s="11" t="s">
        <v>1849</v>
      </c>
      <c r="D216" s="6" t="s">
        <v>1850</v>
      </c>
      <c r="E216" s="12" t="s">
        <v>2236</v>
      </c>
      <c r="F216" s="12" t="s">
        <v>2236</v>
      </c>
      <c r="G216" s="12" t="s">
        <v>2238</v>
      </c>
      <c r="H216" s="12" t="s">
        <v>2324</v>
      </c>
      <c r="I216" s="12" t="s">
        <v>2591</v>
      </c>
      <c r="J216" s="11" t="s">
        <v>1851</v>
      </c>
      <c r="K216" s="11" t="s">
        <v>1852</v>
      </c>
      <c r="L216" s="11" t="s">
        <v>1853</v>
      </c>
      <c r="M216" s="11" t="s">
        <v>1854</v>
      </c>
      <c r="N216" s="12"/>
      <c r="O216" s="11" t="s">
        <v>1859</v>
      </c>
      <c r="P216" s="56"/>
    </row>
    <row r="217" spans="1:16" ht="15.75" customHeight="1" x14ac:dyDescent="0.2">
      <c r="A217" s="48">
        <v>15905</v>
      </c>
      <c r="B217" s="11" t="s">
        <v>1871</v>
      </c>
      <c r="C217" s="11" t="s">
        <v>1849</v>
      </c>
      <c r="D217" s="6" t="s">
        <v>1850</v>
      </c>
      <c r="E217" s="11" t="s">
        <v>2236</v>
      </c>
      <c r="F217" s="12" t="s">
        <v>2236</v>
      </c>
      <c r="G217" s="12" t="s">
        <v>2249</v>
      </c>
      <c r="H217" s="12" t="s">
        <v>2303</v>
      </c>
      <c r="I217" s="12" t="s">
        <v>2592</v>
      </c>
      <c r="J217" s="11" t="s">
        <v>1856</v>
      </c>
      <c r="K217" s="11" t="s">
        <v>1852</v>
      </c>
      <c r="L217" s="11" t="s">
        <v>1853</v>
      </c>
      <c r="M217" s="11" t="s">
        <v>1854</v>
      </c>
      <c r="N217" s="12"/>
      <c r="O217" s="11" t="s">
        <v>1859</v>
      </c>
      <c r="P217" s="56"/>
    </row>
    <row r="218" spans="1:16" ht="15.75" customHeight="1" x14ac:dyDescent="0.2">
      <c r="A218" s="49">
        <v>7563</v>
      </c>
      <c r="B218" s="11" t="s">
        <v>1857</v>
      </c>
      <c r="C218" s="11" t="s">
        <v>1849</v>
      </c>
      <c r="D218" s="6" t="s">
        <v>1875</v>
      </c>
      <c r="E218" s="11" t="s">
        <v>2236</v>
      </c>
      <c r="F218" s="12" t="s">
        <v>2236</v>
      </c>
      <c r="G218" s="12" t="s">
        <v>2238</v>
      </c>
      <c r="H218" s="12" t="s">
        <v>2238</v>
      </c>
      <c r="I218" s="12" t="s">
        <v>2593</v>
      </c>
      <c r="J218" s="11" t="s">
        <v>1851</v>
      </c>
      <c r="K218" s="11" t="s">
        <v>1852</v>
      </c>
      <c r="L218" s="11" t="s">
        <v>1853</v>
      </c>
      <c r="M218" s="11" t="s">
        <v>1854</v>
      </c>
      <c r="N218" s="12"/>
      <c r="O218" s="11" t="s">
        <v>1854</v>
      </c>
      <c r="P218" s="56"/>
    </row>
    <row r="219" spans="1:16" ht="15.75" customHeight="1" x14ac:dyDescent="0.2">
      <c r="A219" s="49">
        <v>110</v>
      </c>
      <c r="B219" s="11" t="s">
        <v>1857</v>
      </c>
      <c r="C219" s="11" t="s">
        <v>1849</v>
      </c>
      <c r="D219" s="6" t="s">
        <v>2594</v>
      </c>
      <c r="E219" s="11" t="s">
        <v>2236</v>
      </c>
      <c r="F219" s="12" t="s">
        <v>2236</v>
      </c>
      <c r="G219" s="12" t="s">
        <v>2238</v>
      </c>
      <c r="H219" s="12" t="s">
        <v>2238</v>
      </c>
      <c r="I219" s="12" t="s">
        <v>2595</v>
      </c>
      <c r="J219" s="11" t="s">
        <v>1851</v>
      </c>
      <c r="K219" s="11" t="s">
        <v>1852</v>
      </c>
      <c r="L219" s="11" t="s">
        <v>1853</v>
      </c>
      <c r="M219" s="11" t="s">
        <v>1854</v>
      </c>
      <c r="N219" s="12"/>
      <c r="O219" s="11" t="s">
        <v>1854</v>
      </c>
      <c r="P219" s="56"/>
    </row>
    <row r="220" spans="1:16" ht="15.75" customHeight="1" x14ac:dyDescent="0.2">
      <c r="A220" s="48">
        <v>7596</v>
      </c>
      <c r="B220" s="11" t="s">
        <v>1857</v>
      </c>
      <c r="C220" s="11" t="s">
        <v>1876</v>
      </c>
      <c r="D220" s="6" t="s">
        <v>1850</v>
      </c>
      <c r="E220" s="11" t="s">
        <v>2236</v>
      </c>
      <c r="F220" s="12" t="s">
        <v>2236</v>
      </c>
      <c r="G220" s="12" t="s">
        <v>2249</v>
      </c>
      <c r="H220" s="12" t="s">
        <v>2271</v>
      </c>
      <c r="I220" s="12" t="s">
        <v>2596</v>
      </c>
      <c r="J220" s="11" t="s">
        <v>1851</v>
      </c>
      <c r="K220" s="11" t="s">
        <v>1852</v>
      </c>
      <c r="L220" s="11" t="s">
        <v>1853</v>
      </c>
      <c r="M220" s="11" t="s">
        <v>2597</v>
      </c>
      <c r="N220" s="12"/>
      <c r="O220" s="11" t="s">
        <v>2598</v>
      </c>
      <c r="P220" s="56" t="s">
        <v>1865</v>
      </c>
    </row>
    <row r="221" spans="1:16" ht="15.75" customHeight="1" x14ac:dyDescent="0.2">
      <c r="A221" s="49">
        <v>6894</v>
      </c>
      <c r="B221" s="11" t="s">
        <v>1857</v>
      </c>
      <c r="C221" s="11" t="s">
        <v>1876</v>
      </c>
      <c r="D221" s="6" t="s">
        <v>1850</v>
      </c>
      <c r="E221" s="11" t="s">
        <v>2236</v>
      </c>
      <c r="F221" s="12" t="s">
        <v>2236</v>
      </c>
      <c r="G221" s="12" t="s">
        <v>2238</v>
      </c>
      <c r="H221" s="12" t="s">
        <v>2238</v>
      </c>
      <c r="I221" s="12" t="s">
        <v>2599</v>
      </c>
      <c r="J221" s="11" t="s">
        <v>1851</v>
      </c>
      <c r="K221" s="11" t="s">
        <v>1852</v>
      </c>
      <c r="L221" s="11" t="s">
        <v>1853</v>
      </c>
      <c r="M221" s="11" t="s">
        <v>2600</v>
      </c>
      <c r="N221" s="12"/>
      <c r="O221" s="11" t="s">
        <v>1867</v>
      </c>
      <c r="P221" s="56" t="s">
        <v>1865</v>
      </c>
    </row>
    <row r="222" spans="1:16" ht="15.75" customHeight="1" x14ac:dyDescent="0.2">
      <c r="A222" s="49">
        <v>5975</v>
      </c>
      <c r="B222" s="11" t="s">
        <v>1857</v>
      </c>
      <c r="C222" s="11" t="s">
        <v>1876</v>
      </c>
      <c r="D222" s="6" t="s">
        <v>1850</v>
      </c>
      <c r="E222" s="11" t="s">
        <v>2236</v>
      </c>
      <c r="F222" s="12" t="s">
        <v>2236</v>
      </c>
      <c r="G222" s="12" t="s">
        <v>2238</v>
      </c>
      <c r="H222" s="12" t="s">
        <v>2238</v>
      </c>
      <c r="I222" s="12" t="s">
        <v>2601</v>
      </c>
      <c r="J222" s="11" t="s">
        <v>1851</v>
      </c>
      <c r="K222" s="11" t="s">
        <v>1852</v>
      </c>
      <c r="L222" s="11" t="s">
        <v>1853</v>
      </c>
      <c r="M222" s="11" t="s">
        <v>2602</v>
      </c>
      <c r="N222" s="12"/>
      <c r="O222" s="11" t="s">
        <v>1867</v>
      </c>
      <c r="P222" s="56" t="s">
        <v>1865</v>
      </c>
    </row>
    <row r="223" spans="1:16" ht="15.75" customHeight="1" x14ac:dyDescent="0.2">
      <c r="A223" s="49">
        <v>5778</v>
      </c>
      <c r="B223" s="11" t="s">
        <v>1857</v>
      </c>
      <c r="C223" s="11" t="s">
        <v>1876</v>
      </c>
      <c r="D223" s="6" t="s">
        <v>1850</v>
      </c>
      <c r="E223" s="11" t="s">
        <v>2236</v>
      </c>
      <c r="F223" s="12" t="s">
        <v>2236</v>
      </c>
      <c r="G223" s="12" t="s">
        <v>2238</v>
      </c>
      <c r="H223" s="12" t="s">
        <v>2238</v>
      </c>
      <c r="I223" s="12" t="s">
        <v>2603</v>
      </c>
      <c r="J223" s="11" t="s">
        <v>1851</v>
      </c>
      <c r="K223" s="11" t="s">
        <v>1852</v>
      </c>
      <c r="L223" s="11" t="s">
        <v>1853</v>
      </c>
      <c r="M223" s="11" t="s">
        <v>2604</v>
      </c>
      <c r="N223" s="12"/>
      <c r="O223" s="11" t="s">
        <v>1867</v>
      </c>
      <c r="P223" s="56" t="s">
        <v>1865</v>
      </c>
    </row>
    <row r="224" spans="1:16" ht="15.75" customHeight="1" x14ac:dyDescent="0.2">
      <c r="A224" s="49">
        <v>6896</v>
      </c>
      <c r="B224" s="11" t="s">
        <v>1857</v>
      </c>
      <c r="C224" s="11" t="s">
        <v>1876</v>
      </c>
      <c r="D224" s="6" t="s">
        <v>1850</v>
      </c>
      <c r="E224" s="11" t="s">
        <v>2236</v>
      </c>
      <c r="F224" s="12" t="s">
        <v>2236</v>
      </c>
      <c r="G224" s="12" t="s">
        <v>2249</v>
      </c>
      <c r="H224" s="12" t="s">
        <v>2249</v>
      </c>
      <c r="I224" s="12" t="s">
        <v>2605</v>
      </c>
      <c r="J224" s="11" t="s">
        <v>1851</v>
      </c>
      <c r="K224" s="11" t="s">
        <v>1852</v>
      </c>
      <c r="L224" s="11" t="s">
        <v>1853</v>
      </c>
      <c r="M224" s="11" t="s">
        <v>2606</v>
      </c>
      <c r="N224" s="12"/>
      <c r="O224" s="11" t="s">
        <v>1858</v>
      </c>
      <c r="P224" s="56"/>
    </row>
    <row r="225" spans="1:16" ht="15.75" customHeight="1" x14ac:dyDescent="0.2">
      <c r="A225" s="49">
        <v>5783</v>
      </c>
      <c r="B225" s="11" t="s">
        <v>1857</v>
      </c>
      <c r="C225" s="11" t="s">
        <v>1876</v>
      </c>
      <c r="D225" s="6" t="s">
        <v>1850</v>
      </c>
      <c r="E225" s="11" t="s">
        <v>2236</v>
      </c>
      <c r="F225" s="12" t="s">
        <v>2236</v>
      </c>
      <c r="G225" s="12" t="s">
        <v>2238</v>
      </c>
      <c r="H225" s="12" t="s">
        <v>2238</v>
      </c>
      <c r="I225" s="12" t="s">
        <v>2607</v>
      </c>
      <c r="J225" s="11" t="s">
        <v>1851</v>
      </c>
      <c r="K225" s="11" t="s">
        <v>1852</v>
      </c>
      <c r="L225" s="11" t="s">
        <v>1853</v>
      </c>
      <c r="M225" s="11" t="s">
        <v>2608</v>
      </c>
      <c r="N225" s="12"/>
      <c r="O225" s="11" t="s">
        <v>1867</v>
      </c>
      <c r="P225" s="56" t="s">
        <v>1865</v>
      </c>
    </row>
    <row r="226" spans="1:16" ht="15.75" customHeight="1" x14ac:dyDescent="0.2">
      <c r="A226" s="49">
        <v>6895</v>
      </c>
      <c r="B226" s="11" t="s">
        <v>1857</v>
      </c>
      <c r="C226" s="11" t="s">
        <v>1876</v>
      </c>
      <c r="D226" s="6" t="s">
        <v>1850</v>
      </c>
      <c r="E226" s="11" t="s">
        <v>2236</v>
      </c>
      <c r="F226" s="12" t="s">
        <v>2236</v>
      </c>
      <c r="G226" s="12" t="s">
        <v>2236</v>
      </c>
      <c r="H226" s="12" t="s">
        <v>2236</v>
      </c>
      <c r="I226" s="12" t="s">
        <v>2609</v>
      </c>
      <c r="J226" s="11" t="s">
        <v>1851</v>
      </c>
      <c r="K226" s="11" t="s">
        <v>1852</v>
      </c>
      <c r="L226" s="11" t="s">
        <v>1853</v>
      </c>
      <c r="M226" s="11" t="s">
        <v>1854</v>
      </c>
      <c r="N226" s="12"/>
      <c r="O226" s="11" t="s">
        <v>1859</v>
      </c>
      <c r="P226" s="56"/>
    </row>
    <row r="227" spans="1:16" ht="15.75" customHeight="1" x14ac:dyDescent="0.2">
      <c r="A227" s="49">
        <v>6900</v>
      </c>
      <c r="B227" s="11" t="s">
        <v>1857</v>
      </c>
      <c r="C227" s="11" t="s">
        <v>1876</v>
      </c>
      <c r="D227" s="6" t="s">
        <v>1850</v>
      </c>
      <c r="E227" s="11" t="s">
        <v>2236</v>
      </c>
      <c r="F227" s="12" t="s">
        <v>2236</v>
      </c>
      <c r="G227" s="12" t="s">
        <v>2238</v>
      </c>
      <c r="H227" s="12" t="s">
        <v>2238</v>
      </c>
      <c r="I227" s="12" t="s">
        <v>2610</v>
      </c>
      <c r="J227" s="11" t="s">
        <v>1851</v>
      </c>
      <c r="K227" s="11" t="s">
        <v>1852</v>
      </c>
      <c r="L227" s="11" t="s">
        <v>1853</v>
      </c>
      <c r="M227" s="11" t="s">
        <v>1854</v>
      </c>
      <c r="N227" s="12"/>
      <c r="O227" s="11" t="s">
        <v>1860</v>
      </c>
      <c r="P227" s="56"/>
    </row>
    <row r="228" spans="1:16" ht="15.75" customHeight="1" x14ac:dyDescent="0.2">
      <c r="A228" s="49">
        <v>5776</v>
      </c>
      <c r="B228" s="11" t="s">
        <v>1857</v>
      </c>
      <c r="C228" s="11" t="s">
        <v>1876</v>
      </c>
      <c r="D228" s="6" t="s">
        <v>1850</v>
      </c>
      <c r="E228" s="11" t="s">
        <v>2236</v>
      </c>
      <c r="F228" s="12" t="s">
        <v>2236</v>
      </c>
      <c r="G228" s="12" t="s">
        <v>2238</v>
      </c>
      <c r="H228" s="12" t="s">
        <v>2238</v>
      </c>
      <c r="I228" s="12" t="s">
        <v>2611</v>
      </c>
      <c r="J228" s="11" t="s">
        <v>1851</v>
      </c>
      <c r="K228" s="11" t="s">
        <v>1852</v>
      </c>
      <c r="L228" s="11" t="s">
        <v>1853</v>
      </c>
      <c r="M228" s="11" t="s">
        <v>1854</v>
      </c>
      <c r="N228" s="12"/>
      <c r="O228" s="11" t="s">
        <v>1867</v>
      </c>
      <c r="P228" s="56" t="s">
        <v>1865</v>
      </c>
    </row>
    <row r="229" spans="1:16" ht="15.75" customHeight="1" x14ac:dyDescent="0.2">
      <c r="A229" s="49">
        <v>16065</v>
      </c>
      <c r="B229" s="11" t="s">
        <v>1871</v>
      </c>
      <c r="C229" s="11" t="s">
        <v>1876</v>
      </c>
      <c r="D229" s="6" t="s">
        <v>1850</v>
      </c>
      <c r="E229" s="12" t="s">
        <v>2236</v>
      </c>
      <c r="F229" s="12" t="s">
        <v>2236</v>
      </c>
      <c r="G229" s="12" t="s">
        <v>2238</v>
      </c>
      <c r="H229" s="12" t="s">
        <v>2238</v>
      </c>
      <c r="I229" s="12" t="s">
        <v>2612</v>
      </c>
      <c r="J229" s="11" t="s">
        <v>1851</v>
      </c>
      <c r="K229" s="11" t="s">
        <v>1852</v>
      </c>
      <c r="L229" s="11" t="s">
        <v>1853</v>
      </c>
      <c r="M229" s="11" t="s">
        <v>2613</v>
      </c>
      <c r="N229" s="12"/>
      <c r="O229" s="11" t="s">
        <v>1872</v>
      </c>
      <c r="P229" s="56" t="s">
        <v>2614</v>
      </c>
    </row>
    <row r="230" spans="1:16" ht="15.75" customHeight="1" x14ac:dyDescent="0.2">
      <c r="A230" s="48">
        <v>15827</v>
      </c>
      <c r="B230" s="11" t="s">
        <v>1871</v>
      </c>
      <c r="C230" s="11" t="s">
        <v>1876</v>
      </c>
      <c r="D230" s="6" t="s">
        <v>1850</v>
      </c>
      <c r="E230" s="11" t="s">
        <v>2236</v>
      </c>
      <c r="F230" s="12" t="s">
        <v>2236</v>
      </c>
      <c r="G230" s="12" t="s">
        <v>2238</v>
      </c>
      <c r="H230" s="12" t="s">
        <v>2238</v>
      </c>
      <c r="I230" s="12" t="s">
        <v>2615</v>
      </c>
      <c r="J230" s="11" t="s">
        <v>1851</v>
      </c>
      <c r="K230" s="11" t="s">
        <v>1852</v>
      </c>
      <c r="L230" s="11" t="s">
        <v>1853</v>
      </c>
      <c r="M230" s="11" t="s">
        <v>1854</v>
      </c>
      <c r="N230" s="12"/>
      <c r="O230" s="11" t="s">
        <v>1872</v>
      </c>
      <c r="P230" s="56" t="s">
        <v>1865</v>
      </c>
    </row>
    <row r="231" spans="1:16" ht="15.75" customHeight="1" x14ac:dyDescent="0.2">
      <c r="A231" s="48">
        <v>6898</v>
      </c>
      <c r="B231" s="11" t="s">
        <v>1871</v>
      </c>
      <c r="C231" s="11" t="s">
        <v>1876</v>
      </c>
      <c r="D231" s="6" t="s">
        <v>1850</v>
      </c>
      <c r="E231" s="11" t="s">
        <v>2236</v>
      </c>
      <c r="F231" s="12" t="s">
        <v>2236</v>
      </c>
      <c r="G231" s="12" t="s">
        <v>2249</v>
      </c>
      <c r="H231" s="12" t="s">
        <v>2249</v>
      </c>
      <c r="I231" s="12" t="s">
        <v>2616</v>
      </c>
      <c r="J231" s="11" t="s">
        <v>1851</v>
      </c>
      <c r="K231" s="11" t="s">
        <v>1852</v>
      </c>
      <c r="L231" s="11" t="s">
        <v>1853</v>
      </c>
      <c r="M231" s="11" t="s">
        <v>1854</v>
      </c>
      <c r="N231" s="12"/>
      <c r="O231" s="11" t="s">
        <v>1866</v>
      </c>
      <c r="P231" s="56" t="s">
        <v>1863</v>
      </c>
    </row>
    <row r="232" spans="1:16" ht="15.75" customHeight="1" x14ac:dyDescent="0.2">
      <c r="A232" s="49">
        <v>7333</v>
      </c>
      <c r="B232" s="11" t="s">
        <v>1871</v>
      </c>
      <c r="C232" s="11" t="s">
        <v>1876</v>
      </c>
      <c r="D232" s="6" t="s">
        <v>1850</v>
      </c>
      <c r="E232" s="11" t="s">
        <v>2236</v>
      </c>
      <c r="F232" s="12" t="s">
        <v>2236</v>
      </c>
      <c r="G232" s="12" t="s">
        <v>2238</v>
      </c>
      <c r="H232" s="12" t="s">
        <v>2238</v>
      </c>
      <c r="I232" s="12" t="s">
        <v>2617</v>
      </c>
      <c r="J232" s="11" t="s">
        <v>1851</v>
      </c>
      <c r="K232" s="11" t="s">
        <v>1852</v>
      </c>
      <c r="L232" s="11" t="s">
        <v>1853</v>
      </c>
      <c r="M232" s="11" t="s">
        <v>1854</v>
      </c>
      <c r="N232" s="12"/>
      <c r="O232" s="11" t="s">
        <v>2618</v>
      </c>
      <c r="P232" s="56"/>
    </row>
    <row r="233" spans="1:16" ht="15.75" customHeight="1" x14ac:dyDescent="0.2">
      <c r="A233" s="48">
        <v>15434</v>
      </c>
      <c r="B233" s="11" t="s">
        <v>1848</v>
      </c>
      <c r="C233" s="11" t="s">
        <v>1849</v>
      </c>
      <c r="D233" s="6" t="s">
        <v>1850</v>
      </c>
      <c r="E233" s="12" t="s">
        <v>1877</v>
      </c>
      <c r="F233" s="12" t="s">
        <v>1877</v>
      </c>
      <c r="G233" s="12" t="s">
        <v>2619</v>
      </c>
      <c r="H233" s="12" t="s">
        <v>2619</v>
      </c>
      <c r="I233" s="12" t="s">
        <v>2620</v>
      </c>
      <c r="J233" s="11" t="s">
        <v>1851</v>
      </c>
      <c r="K233" s="11" t="s">
        <v>1852</v>
      </c>
      <c r="L233" s="11" t="s">
        <v>1853</v>
      </c>
      <c r="M233" s="12" t="s">
        <v>1854</v>
      </c>
      <c r="N233" s="12"/>
      <c r="O233" s="11" t="s">
        <v>1855</v>
      </c>
      <c r="P233" s="56"/>
    </row>
    <row r="234" spans="1:16" ht="15.75" customHeight="1" x14ac:dyDescent="0.2">
      <c r="A234" s="48">
        <v>15451</v>
      </c>
      <c r="B234" s="11" t="s">
        <v>1848</v>
      </c>
      <c r="C234" s="11" t="s">
        <v>1849</v>
      </c>
      <c r="D234" s="6" t="s">
        <v>1850</v>
      </c>
      <c r="E234" s="12" t="s">
        <v>1877</v>
      </c>
      <c r="F234" s="12" t="s">
        <v>1877</v>
      </c>
      <c r="G234" s="12" t="s">
        <v>2619</v>
      </c>
      <c r="H234" s="12" t="s">
        <v>2621</v>
      </c>
      <c r="I234" s="12" t="s">
        <v>2622</v>
      </c>
      <c r="J234" s="11" t="s">
        <v>1856</v>
      </c>
      <c r="K234" s="11" t="s">
        <v>1852</v>
      </c>
      <c r="L234" s="11" t="s">
        <v>1853</v>
      </c>
      <c r="M234" s="12" t="s">
        <v>1854</v>
      </c>
      <c r="N234" s="12"/>
      <c r="O234" s="11" t="s">
        <v>1855</v>
      </c>
      <c r="P234" s="56"/>
    </row>
    <row r="235" spans="1:16" ht="15.75" customHeight="1" x14ac:dyDescent="0.2">
      <c r="A235" s="48">
        <v>15457</v>
      </c>
      <c r="B235" s="11" t="s">
        <v>1848</v>
      </c>
      <c r="C235" s="11" t="s">
        <v>1849</v>
      </c>
      <c r="D235" s="6" t="s">
        <v>1850</v>
      </c>
      <c r="E235" s="12" t="s">
        <v>1877</v>
      </c>
      <c r="F235" s="12" t="s">
        <v>1877</v>
      </c>
      <c r="G235" s="12" t="s">
        <v>2623</v>
      </c>
      <c r="H235" s="12" t="s">
        <v>2624</v>
      </c>
      <c r="I235" s="12" t="s">
        <v>2625</v>
      </c>
      <c r="J235" s="11" t="s">
        <v>1856</v>
      </c>
      <c r="K235" s="11" t="s">
        <v>1852</v>
      </c>
      <c r="L235" s="11" t="s">
        <v>1853</v>
      </c>
      <c r="M235" s="12" t="s">
        <v>1854</v>
      </c>
      <c r="N235" s="12"/>
      <c r="O235" s="11" t="s">
        <v>1855</v>
      </c>
      <c r="P235" s="56"/>
    </row>
    <row r="236" spans="1:16" ht="15.75" customHeight="1" x14ac:dyDescent="0.2">
      <c r="A236" s="48">
        <v>15452</v>
      </c>
      <c r="B236" s="11" t="s">
        <v>1848</v>
      </c>
      <c r="C236" s="11" t="s">
        <v>1849</v>
      </c>
      <c r="D236" s="6" t="s">
        <v>1850</v>
      </c>
      <c r="E236" s="12" t="s">
        <v>1877</v>
      </c>
      <c r="F236" s="12" t="s">
        <v>1877</v>
      </c>
      <c r="G236" s="12" t="s">
        <v>2619</v>
      </c>
      <c r="H236" s="12" t="s">
        <v>2626</v>
      </c>
      <c r="I236" s="12" t="s">
        <v>1878</v>
      </c>
      <c r="J236" s="11" t="s">
        <v>1851</v>
      </c>
      <c r="K236" s="11" t="s">
        <v>1852</v>
      </c>
      <c r="L236" s="11" t="s">
        <v>1853</v>
      </c>
      <c r="M236" s="12" t="s">
        <v>1854</v>
      </c>
      <c r="N236" s="12"/>
      <c r="O236" s="11" t="s">
        <v>1855</v>
      </c>
      <c r="P236" s="56"/>
    </row>
    <row r="237" spans="1:16" ht="15.75" customHeight="1" x14ac:dyDescent="0.2">
      <c r="A237" s="48">
        <v>15466</v>
      </c>
      <c r="B237" s="11" t="s">
        <v>1848</v>
      </c>
      <c r="C237" s="11" t="s">
        <v>1849</v>
      </c>
      <c r="D237" s="6" t="s">
        <v>1850</v>
      </c>
      <c r="E237" s="12" t="s">
        <v>1877</v>
      </c>
      <c r="F237" s="12" t="s">
        <v>1877</v>
      </c>
      <c r="G237" s="12" t="s">
        <v>2627</v>
      </c>
      <c r="H237" s="12" t="s">
        <v>2628</v>
      </c>
      <c r="I237" s="12" t="s">
        <v>2629</v>
      </c>
      <c r="J237" s="11" t="s">
        <v>1851</v>
      </c>
      <c r="K237" s="11" t="s">
        <v>1852</v>
      </c>
      <c r="L237" s="11" t="s">
        <v>1853</v>
      </c>
      <c r="M237" s="12" t="s">
        <v>1879</v>
      </c>
      <c r="N237" s="12"/>
      <c r="O237" s="11" t="s">
        <v>1855</v>
      </c>
      <c r="P237" s="56"/>
    </row>
    <row r="238" spans="1:16" ht="15.75" customHeight="1" x14ac:dyDescent="0.2">
      <c r="A238" s="48">
        <v>15467</v>
      </c>
      <c r="B238" s="11" t="s">
        <v>1848</v>
      </c>
      <c r="C238" s="11" t="s">
        <v>1849</v>
      </c>
      <c r="D238" s="6" t="s">
        <v>1850</v>
      </c>
      <c r="E238" s="12" t="s">
        <v>1877</v>
      </c>
      <c r="F238" s="12" t="s">
        <v>1877</v>
      </c>
      <c r="G238" s="12" t="s">
        <v>2623</v>
      </c>
      <c r="H238" s="12" t="s">
        <v>2623</v>
      </c>
      <c r="I238" s="12" t="s">
        <v>2630</v>
      </c>
      <c r="J238" s="11" t="s">
        <v>1856</v>
      </c>
      <c r="K238" s="11" t="s">
        <v>1852</v>
      </c>
      <c r="L238" s="11" t="s">
        <v>1853</v>
      </c>
      <c r="M238" s="12" t="s">
        <v>1879</v>
      </c>
      <c r="N238" s="12"/>
      <c r="O238" s="11" t="s">
        <v>1855</v>
      </c>
      <c r="P238" s="56"/>
    </row>
    <row r="239" spans="1:16" ht="15.75" customHeight="1" x14ac:dyDescent="0.2">
      <c r="A239" s="48">
        <v>15464</v>
      </c>
      <c r="B239" s="11" t="s">
        <v>1848</v>
      </c>
      <c r="C239" s="11" t="s">
        <v>1849</v>
      </c>
      <c r="D239" s="6" t="s">
        <v>1850</v>
      </c>
      <c r="E239" s="12" t="s">
        <v>1877</v>
      </c>
      <c r="F239" s="12" t="s">
        <v>1877</v>
      </c>
      <c r="G239" s="12" t="s">
        <v>1880</v>
      </c>
      <c r="H239" s="12" t="s">
        <v>1881</v>
      </c>
      <c r="I239" s="12" t="s">
        <v>1882</v>
      </c>
      <c r="J239" s="11" t="s">
        <v>1856</v>
      </c>
      <c r="K239" s="11" t="s">
        <v>1852</v>
      </c>
      <c r="L239" s="11" t="s">
        <v>1853</v>
      </c>
      <c r="M239" s="12" t="s">
        <v>1879</v>
      </c>
      <c r="N239" s="12"/>
      <c r="O239" s="11" t="s">
        <v>1855</v>
      </c>
      <c r="P239" s="56"/>
    </row>
    <row r="240" spans="1:16" ht="15.75" customHeight="1" x14ac:dyDescent="0.2">
      <c r="A240" s="48">
        <v>15463</v>
      </c>
      <c r="B240" s="11" t="s">
        <v>1848</v>
      </c>
      <c r="C240" s="11" t="s">
        <v>1849</v>
      </c>
      <c r="D240" s="6" t="s">
        <v>1850</v>
      </c>
      <c r="E240" s="12" t="s">
        <v>1877</v>
      </c>
      <c r="F240" s="12" t="s">
        <v>1877</v>
      </c>
      <c r="G240" s="12" t="s">
        <v>2619</v>
      </c>
      <c r="H240" s="12" t="s">
        <v>2631</v>
      </c>
      <c r="I240" s="12" t="s">
        <v>2632</v>
      </c>
      <c r="J240" s="11" t="s">
        <v>1851</v>
      </c>
      <c r="K240" s="11" t="s">
        <v>1852</v>
      </c>
      <c r="L240" s="11" t="s">
        <v>1853</v>
      </c>
      <c r="M240" s="12" t="s">
        <v>1879</v>
      </c>
      <c r="N240" s="12"/>
      <c r="O240" s="11" t="s">
        <v>1855</v>
      </c>
      <c r="P240" s="56"/>
    </row>
    <row r="241" spans="1:16" ht="15.75" customHeight="1" x14ac:dyDescent="0.2">
      <c r="A241" s="48">
        <v>15462</v>
      </c>
      <c r="B241" s="11" t="s">
        <v>1848</v>
      </c>
      <c r="C241" s="11" t="s">
        <v>1849</v>
      </c>
      <c r="D241" s="6" t="s">
        <v>1850</v>
      </c>
      <c r="E241" s="12" t="s">
        <v>1877</v>
      </c>
      <c r="F241" s="12" t="s">
        <v>1877</v>
      </c>
      <c r="G241" s="12" t="s">
        <v>2619</v>
      </c>
      <c r="H241" s="12" t="s">
        <v>2633</v>
      </c>
      <c r="I241" s="12" t="s">
        <v>2634</v>
      </c>
      <c r="J241" s="11" t="s">
        <v>1851</v>
      </c>
      <c r="K241" s="11" t="s">
        <v>1852</v>
      </c>
      <c r="L241" s="11" t="s">
        <v>1853</v>
      </c>
      <c r="M241" s="12" t="s">
        <v>1879</v>
      </c>
      <c r="N241" s="12"/>
      <c r="O241" s="11" t="s">
        <v>1855</v>
      </c>
      <c r="P241" s="56"/>
    </row>
    <row r="242" spans="1:16" ht="15.75" customHeight="1" x14ac:dyDescent="0.2">
      <c r="A242" s="48">
        <v>15459</v>
      </c>
      <c r="B242" s="11" t="s">
        <v>1848</v>
      </c>
      <c r="C242" s="11" t="s">
        <v>1849</v>
      </c>
      <c r="D242" s="6" t="s">
        <v>1850</v>
      </c>
      <c r="E242" s="12" t="s">
        <v>1877</v>
      </c>
      <c r="F242" s="12" t="s">
        <v>1877</v>
      </c>
      <c r="G242" s="12" t="s">
        <v>1883</v>
      </c>
      <c r="H242" s="12" t="s">
        <v>1884</v>
      </c>
      <c r="I242" s="12" t="s">
        <v>1885</v>
      </c>
      <c r="J242" s="11" t="s">
        <v>1856</v>
      </c>
      <c r="K242" s="11" t="s">
        <v>1852</v>
      </c>
      <c r="L242" s="11" t="s">
        <v>1853</v>
      </c>
      <c r="M242" s="12" t="s">
        <v>1879</v>
      </c>
      <c r="N242" s="12"/>
      <c r="O242" s="11" t="s">
        <v>1855</v>
      </c>
      <c r="P242" s="56"/>
    </row>
    <row r="243" spans="1:16" ht="15.75" customHeight="1" x14ac:dyDescent="0.2">
      <c r="A243" s="48">
        <v>15460</v>
      </c>
      <c r="B243" s="11" t="s">
        <v>1848</v>
      </c>
      <c r="C243" s="11" t="s">
        <v>1849</v>
      </c>
      <c r="D243" s="6" t="s">
        <v>1850</v>
      </c>
      <c r="E243" s="12" t="s">
        <v>1877</v>
      </c>
      <c r="F243" s="12" t="s">
        <v>1877</v>
      </c>
      <c r="G243" s="12" t="s">
        <v>2635</v>
      </c>
      <c r="H243" s="12" t="s">
        <v>2636</v>
      </c>
      <c r="I243" s="12" t="s">
        <v>2637</v>
      </c>
      <c r="J243" s="11" t="s">
        <v>1856</v>
      </c>
      <c r="K243" s="11" t="s">
        <v>1852</v>
      </c>
      <c r="L243" s="11" t="s">
        <v>1853</v>
      </c>
      <c r="M243" s="12" t="s">
        <v>1879</v>
      </c>
      <c r="N243" s="12"/>
      <c r="O243" s="11" t="s">
        <v>1855</v>
      </c>
      <c r="P243" s="56"/>
    </row>
    <row r="244" spans="1:16" ht="15.75" customHeight="1" x14ac:dyDescent="0.2">
      <c r="A244" s="48">
        <v>15461</v>
      </c>
      <c r="B244" s="11" t="s">
        <v>1848</v>
      </c>
      <c r="C244" s="11" t="s">
        <v>1849</v>
      </c>
      <c r="D244" s="6" t="s">
        <v>1850</v>
      </c>
      <c r="E244" s="12" t="s">
        <v>1877</v>
      </c>
      <c r="F244" s="12" t="s">
        <v>1877</v>
      </c>
      <c r="G244" s="12" t="s">
        <v>2619</v>
      </c>
      <c r="H244" s="12" t="s">
        <v>2631</v>
      </c>
      <c r="I244" s="12" t="s">
        <v>2638</v>
      </c>
      <c r="J244" s="11" t="s">
        <v>1851</v>
      </c>
      <c r="K244" s="11" t="s">
        <v>1852</v>
      </c>
      <c r="L244" s="11" t="s">
        <v>1853</v>
      </c>
      <c r="M244" s="12" t="s">
        <v>1879</v>
      </c>
      <c r="N244" s="12"/>
      <c r="O244" s="11" t="s">
        <v>1855</v>
      </c>
      <c r="P244" s="56"/>
    </row>
    <row r="245" spans="1:16" ht="15.75" customHeight="1" x14ac:dyDescent="0.2">
      <c r="A245" s="48">
        <v>15465</v>
      </c>
      <c r="B245" s="11" t="s">
        <v>1848</v>
      </c>
      <c r="C245" s="11" t="s">
        <v>1849</v>
      </c>
      <c r="D245" s="6" t="s">
        <v>1850</v>
      </c>
      <c r="E245" s="12" t="s">
        <v>1877</v>
      </c>
      <c r="F245" s="12" t="s">
        <v>1877</v>
      </c>
      <c r="G245" s="12" t="s">
        <v>1880</v>
      </c>
      <c r="H245" s="12" t="s">
        <v>1886</v>
      </c>
      <c r="I245" s="12" t="s">
        <v>1887</v>
      </c>
      <c r="J245" s="11" t="s">
        <v>1856</v>
      </c>
      <c r="K245" s="11" t="s">
        <v>1852</v>
      </c>
      <c r="L245" s="11" t="s">
        <v>1853</v>
      </c>
      <c r="M245" s="12" t="s">
        <v>1879</v>
      </c>
      <c r="N245" s="12"/>
      <c r="O245" s="11" t="s">
        <v>1855</v>
      </c>
      <c r="P245" s="56"/>
    </row>
    <row r="246" spans="1:16" ht="15.75" customHeight="1" x14ac:dyDescent="0.2">
      <c r="A246" s="48">
        <v>15433</v>
      </c>
      <c r="B246" s="11" t="s">
        <v>1848</v>
      </c>
      <c r="C246" s="11" t="s">
        <v>1849</v>
      </c>
      <c r="D246" s="6" t="s">
        <v>1850</v>
      </c>
      <c r="E246" s="12" t="s">
        <v>1877</v>
      </c>
      <c r="F246" s="12" t="s">
        <v>1877</v>
      </c>
      <c r="G246" s="12" t="s">
        <v>2635</v>
      </c>
      <c r="H246" s="12" t="s">
        <v>2639</v>
      </c>
      <c r="I246" s="12" t="s">
        <v>2640</v>
      </c>
      <c r="J246" s="11" t="s">
        <v>1856</v>
      </c>
      <c r="K246" s="11" t="s">
        <v>1852</v>
      </c>
      <c r="L246" s="11" t="s">
        <v>1853</v>
      </c>
      <c r="M246" s="12" t="s">
        <v>1854</v>
      </c>
      <c r="N246" s="12"/>
      <c r="O246" s="11" t="s">
        <v>1855</v>
      </c>
      <c r="P246" s="56"/>
    </row>
    <row r="247" spans="1:16" ht="15.75" customHeight="1" x14ac:dyDescent="0.2">
      <c r="A247" s="48">
        <v>15458</v>
      </c>
      <c r="B247" s="11" t="s">
        <v>1848</v>
      </c>
      <c r="C247" s="11" t="s">
        <v>1849</v>
      </c>
      <c r="D247" s="6" t="s">
        <v>1850</v>
      </c>
      <c r="E247" s="12" t="s">
        <v>1877</v>
      </c>
      <c r="F247" s="12" t="s">
        <v>1877</v>
      </c>
      <c r="G247" s="12" t="s">
        <v>2623</v>
      </c>
      <c r="H247" s="12" t="s">
        <v>2624</v>
      </c>
      <c r="I247" s="12" t="s">
        <v>2641</v>
      </c>
      <c r="J247" s="11" t="s">
        <v>1856</v>
      </c>
      <c r="K247" s="11" t="s">
        <v>1852</v>
      </c>
      <c r="L247" s="11" t="s">
        <v>1853</v>
      </c>
      <c r="M247" s="12" t="s">
        <v>1854</v>
      </c>
      <c r="N247" s="12"/>
      <c r="O247" s="11" t="s">
        <v>1855</v>
      </c>
      <c r="P247" s="56"/>
    </row>
    <row r="248" spans="1:16" ht="15.75" customHeight="1" x14ac:dyDescent="0.2">
      <c r="A248" s="48">
        <v>15450</v>
      </c>
      <c r="B248" s="11" t="s">
        <v>1848</v>
      </c>
      <c r="C248" s="11" t="s">
        <v>1849</v>
      </c>
      <c r="D248" s="6" t="s">
        <v>1850</v>
      </c>
      <c r="E248" s="12" t="s">
        <v>1877</v>
      </c>
      <c r="F248" s="12" t="s">
        <v>1877</v>
      </c>
      <c r="G248" s="12" t="s">
        <v>2619</v>
      </c>
      <c r="H248" s="12" t="s">
        <v>2619</v>
      </c>
      <c r="I248" s="12" t="s">
        <v>2642</v>
      </c>
      <c r="J248" s="11" t="s">
        <v>1851</v>
      </c>
      <c r="K248" s="11" t="s">
        <v>1852</v>
      </c>
      <c r="L248" s="11" t="s">
        <v>1853</v>
      </c>
      <c r="M248" s="12" t="s">
        <v>1854</v>
      </c>
      <c r="N248" s="12"/>
      <c r="O248" s="11" t="s">
        <v>1855</v>
      </c>
      <c r="P248" s="56"/>
    </row>
    <row r="249" spans="1:16" ht="15.75" customHeight="1" x14ac:dyDescent="0.2">
      <c r="A249" s="48">
        <v>15456</v>
      </c>
      <c r="B249" s="11" t="s">
        <v>1848</v>
      </c>
      <c r="C249" s="11" t="s">
        <v>1849</v>
      </c>
      <c r="D249" s="6" t="s">
        <v>1850</v>
      </c>
      <c r="E249" s="12" t="s">
        <v>1877</v>
      </c>
      <c r="F249" s="12" t="s">
        <v>1877</v>
      </c>
      <c r="G249" s="12" t="s">
        <v>2643</v>
      </c>
      <c r="H249" s="12" t="s">
        <v>2644</v>
      </c>
      <c r="I249" s="12" t="s">
        <v>2645</v>
      </c>
      <c r="J249" s="11" t="s">
        <v>1856</v>
      </c>
      <c r="K249" s="11" t="s">
        <v>1852</v>
      </c>
      <c r="L249" s="11" t="s">
        <v>1853</v>
      </c>
      <c r="M249" s="12" t="s">
        <v>1854</v>
      </c>
      <c r="N249" s="12"/>
      <c r="O249" s="11" t="s">
        <v>1855</v>
      </c>
      <c r="P249" s="56"/>
    </row>
    <row r="250" spans="1:16" ht="15.75" customHeight="1" x14ac:dyDescent="0.2">
      <c r="A250" s="48">
        <v>15454</v>
      </c>
      <c r="B250" s="11" t="s">
        <v>1848</v>
      </c>
      <c r="C250" s="11" t="s">
        <v>1849</v>
      </c>
      <c r="D250" s="6" t="s">
        <v>1850</v>
      </c>
      <c r="E250" s="12" t="s">
        <v>1877</v>
      </c>
      <c r="F250" s="12" t="s">
        <v>1877</v>
      </c>
      <c r="G250" s="12" t="s">
        <v>2619</v>
      </c>
      <c r="H250" s="12" t="s">
        <v>2626</v>
      </c>
      <c r="I250" s="12" t="s">
        <v>2646</v>
      </c>
      <c r="J250" s="11" t="s">
        <v>1851</v>
      </c>
      <c r="K250" s="11" t="s">
        <v>1852</v>
      </c>
      <c r="L250" s="11" t="s">
        <v>1853</v>
      </c>
      <c r="M250" s="12" t="s">
        <v>1854</v>
      </c>
      <c r="N250" s="12"/>
      <c r="O250" s="11" t="s">
        <v>1855</v>
      </c>
      <c r="P250" s="56"/>
    </row>
    <row r="251" spans="1:16" ht="15.75" customHeight="1" x14ac:dyDescent="0.2">
      <c r="A251" s="49">
        <v>15455</v>
      </c>
      <c r="B251" s="11" t="s">
        <v>1848</v>
      </c>
      <c r="C251" s="11" t="s">
        <v>1849</v>
      </c>
      <c r="D251" s="6" t="s">
        <v>1850</v>
      </c>
      <c r="E251" s="12" t="s">
        <v>1877</v>
      </c>
      <c r="F251" s="12" t="s">
        <v>1877</v>
      </c>
      <c r="G251" s="12" t="s">
        <v>2619</v>
      </c>
      <c r="H251" s="12" t="s">
        <v>2626</v>
      </c>
      <c r="I251" s="12" t="s">
        <v>2647</v>
      </c>
      <c r="J251" s="11" t="s">
        <v>1851</v>
      </c>
      <c r="K251" s="11" t="s">
        <v>1852</v>
      </c>
      <c r="L251" s="11" t="s">
        <v>1853</v>
      </c>
      <c r="M251" s="12" t="s">
        <v>1854</v>
      </c>
      <c r="N251" s="12"/>
      <c r="O251" s="11" t="s">
        <v>1855</v>
      </c>
      <c r="P251" s="56"/>
    </row>
    <row r="252" spans="1:16" ht="15.75" customHeight="1" x14ac:dyDescent="0.2">
      <c r="A252" s="49">
        <v>16141</v>
      </c>
      <c r="B252" s="11" t="s">
        <v>1848</v>
      </c>
      <c r="C252" s="11" t="s">
        <v>1849</v>
      </c>
      <c r="D252" s="6" t="s">
        <v>1850</v>
      </c>
      <c r="E252" s="12" t="s">
        <v>1877</v>
      </c>
      <c r="F252" s="12" t="s">
        <v>1877</v>
      </c>
      <c r="G252" s="12" t="s">
        <v>2619</v>
      </c>
      <c r="H252" s="12" t="s">
        <v>2626</v>
      </c>
      <c r="I252" s="12" t="s">
        <v>2648</v>
      </c>
      <c r="J252" s="11" t="s">
        <v>1856</v>
      </c>
      <c r="K252" s="11" t="s">
        <v>1852</v>
      </c>
      <c r="L252" s="11" t="s">
        <v>1853</v>
      </c>
      <c r="M252" s="12"/>
      <c r="N252" s="12"/>
      <c r="O252" s="11" t="s">
        <v>1855</v>
      </c>
      <c r="P252" s="56"/>
    </row>
    <row r="253" spans="1:16" ht="15.75" customHeight="1" x14ac:dyDescent="0.2">
      <c r="A253" s="49">
        <v>16142</v>
      </c>
      <c r="B253" s="11" t="s">
        <v>1848</v>
      </c>
      <c r="C253" s="11" t="s">
        <v>1849</v>
      </c>
      <c r="D253" s="6" t="s">
        <v>1850</v>
      </c>
      <c r="E253" s="12" t="s">
        <v>1877</v>
      </c>
      <c r="F253" s="12" t="s">
        <v>1877</v>
      </c>
      <c r="G253" s="12" t="s">
        <v>2649</v>
      </c>
      <c r="H253" s="12" t="s">
        <v>2650</v>
      </c>
      <c r="I253" s="12" t="s">
        <v>2651</v>
      </c>
      <c r="J253" s="11" t="s">
        <v>1856</v>
      </c>
      <c r="K253" s="11" t="s">
        <v>1852</v>
      </c>
      <c r="L253" s="11" t="s">
        <v>1853</v>
      </c>
      <c r="M253" s="12"/>
      <c r="N253" s="12"/>
      <c r="O253" s="11" t="s">
        <v>1855</v>
      </c>
      <c r="P253" s="56"/>
    </row>
    <row r="254" spans="1:16" ht="15.75" customHeight="1" x14ac:dyDescent="0.2">
      <c r="A254" s="49">
        <v>16143</v>
      </c>
      <c r="B254" s="11" t="s">
        <v>1848</v>
      </c>
      <c r="C254" s="11" t="s">
        <v>1849</v>
      </c>
      <c r="D254" s="6" t="s">
        <v>1850</v>
      </c>
      <c r="E254" s="12" t="s">
        <v>1877</v>
      </c>
      <c r="F254" s="12" t="s">
        <v>1877</v>
      </c>
      <c r="G254" s="12" t="s">
        <v>2619</v>
      </c>
      <c r="H254" s="12" t="s">
        <v>2619</v>
      </c>
      <c r="I254" s="12" t="s">
        <v>2652</v>
      </c>
      <c r="J254" s="11" t="s">
        <v>1851</v>
      </c>
      <c r="K254" s="11" t="s">
        <v>1852</v>
      </c>
      <c r="L254" s="11" t="s">
        <v>1853</v>
      </c>
      <c r="M254" s="12"/>
      <c r="N254" s="12"/>
      <c r="O254" s="11" t="s">
        <v>1855</v>
      </c>
      <c r="P254" s="56"/>
    </row>
    <row r="255" spans="1:16" ht="15.75" customHeight="1" x14ac:dyDescent="0.2">
      <c r="A255" s="49">
        <v>16144</v>
      </c>
      <c r="B255" s="11" t="s">
        <v>1848</v>
      </c>
      <c r="C255" s="11" t="s">
        <v>1849</v>
      </c>
      <c r="D255" s="6" t="s">
        <v>1850</v>
      </c>
      <c r="E255" s="12" t="s">
        <v>1877</v>
      </c>
      <c r="F255" s="12" t="s">
        <v>1877</v>
      </c>
      <c r="G255" s="12" t="s">
        <v>2653</v>
      </c>
      <c r="H255" s="12" t="s">
        <v>2654</v>
      </c>
      <c r="I255" s="12" t="s">
        <v>2655</v>
      </c>
      <c r="J255" s="11" t="s">
        <v>1856</v>
      </c>
      <c r="K255" s="11" t="s">
        <v>1852</v>
      </c>
      <c r="L255" s="11" t="s">
        <v>1853</v>
      </c>
      <c r="M255" s="12"/>
      <c r="N255" s="12"/>
      <c r="O255" s="11" t="s">
        <v>1855</v>
      </c>
      <c r="P255" s="56"/>
    </row>
    <row r="256" spans="1:16" ht="15.75" customHeight="1" x14ac:dyDescent="0.2">
      <c r="A256" s="49">
        <v>16145</v>
      </c>
      <c r="B256" s="11" t="s">
        <v>1848</v>
      </c>
      <c r="C256" s="11" t="s">
        <v>1849</v>
      </c>
      <c r="D256" s="6" t="s">
        <v>1850</v>
      </c>
      <c r="E256" s="12" t="s">
        <v>1877</v>
      </c>
      <c r="F256" s="12" t="s">
        <v>1877</v>
      </c>
      <c r="G256" s="12" t="s">
        <v>2656</v>
      </c>
      <c r="H256" s="12" t="s">
        <v>2657</v>
      </c>
      <c r="I256" s="12" t="s">
        <v>2657</v>
      </c>
      <c r="J256" s="11" t="s">
        <v>1856</v>
      </c>
      <c r="K256" s="11" t="s">
        <v>1852</v>
      </c>
      <c r="L256" s="11" t="s">
        <v>1853</v>
      </c>
      <c r="M256" s="12"/>
      <c r="N256" s="12"/>
      <c r="O256" s="11" t="s">
        <v>1855</v>
      </c>
      <c r="P256" s="56"/>
    </row>
    <row r="257" spans="1:16" ht="15.75" customHeight="1" x14ac:dyDescent="0.2">
      <c r="A257" s="49">
        <v>16146</v>
      </c>
      <c r="B257" s="11" t="s">
        <v>1848</v>
      </c>
      <c r="C257" s="11" t="s">
        <v>1849</v>
      </c>
      <c r="D257" s="6" t="s">
        <v>1850</v>
      </c>
      <c r="E257" s="12" t="s">
        <v>1877</v>
      </c>
      <c r="F257" s="12" t="s">
        <v>1877</v>
      </c>
      <c r="G257" s="12" t="s">
        <v>2658</v>
      </c>
      <c r="H257" s="12" t="s">
        <v>2659</v>
      </c>
      <c r="I257" s="12" t="s">
        <v>2660</v>
      </c>
      <c r="J257" s="11" t="s">
        <v>1856</v>
      </c>
      <c r="K257" s="11" t="s">
        <v>1852</v>
      </c>
      <c r="L257" s="11" t="s">
        <v>1853</v>
      </c>
      <c r="M257" s="12"/>
      <c r="N257" s="12"/>
      <c r="O257" s="11" t="s">
        <v>1855</v>
      </c>
      <c r="P257" s="56"/>
    </row>
    <row r="258" spans="1:16" ht="15.75" customHeight="1" x14ac:dyDescent="0.2">
      <c r="A258" s="49">
        <v>16147</v>
      </c>
      <c r="B258" s="11" t="s">
        <v>1848</v>
      </c>
      <c r="C258" s="11" t="s">
        <v>1849</v>
      </c>
      <c r="D258" s="6" t="s">
        <v>1850</v>
      </c>
      <c r="E258" s="12" t="s">
        <v>1877</v>
      </c>
      <c r="F258" s="12" t="s">
        <v>1877</v>
      </c>
      <c r="G258" s="12" t="s">
        <v>1883</v>
      </c>
      <c r="H258" s="12" t="s">
        <v>1884</v>
      </c>
      <c r="I258" s="12" t="s">
        <v>1888</v>
      </c>
      <c r="J258" s="11" t="s">
        <v>1856</v>
      </c>
      <c r="K258" s="11" t="s">
        <v>1852</v>
      </c>
      <c r="L258" s="11" t="s">
        <v>1853</v>
      </c>
      <c r="M258" s="12"/>
      <c r="N258" s="12"/>
      <c r="O258" s="11" t="s">
        <v>1855</v>
      </c>
      <c r="P258" s="56"/>
    </row>
    <row r="259" spans="1:16" ht="15.75" customHeight="1" x14ac:dyDescent="0.2">
      <c r="A259" s="49">
        <v>16148</v>
      </c>
      <c r="B259" s="11" t="s">
        <v>1848</v>
      </c>
      <c r="C259" s="11" t="s">
        <v>1849</v>
      </c>
      <c r="D259" s="6" t="s">
        <v>1850</v>
      </c>
      <c r="E259" s="12" t="s">
        <v>1877</v>
      </c>
      <c r="F259" s="12" t="s">
        <v>1877</v>
      </c>
      <c r="G259" s="12" t="s">
        <v>2619</v>
      </c>
      <c r="H259" s="12" t="s">
        <v>2661</v>
      </c>
      <c r="I259" s="12" t="s">
        <v>2662</v>
      </c>
      <c r="J259" s="11" t="s">
        <v>1856</v>
      </c>
      <c r="K259" s="11" t="s">
        <v>1852</v>
      </c>
      <c r="L259" s="11" t="s">
        <v>1853</v>
      </c>
      <c r="M259" s="12"/>
      <c r="N259" s="12"/>
      <c r="O259" s="11" t="s">
        <v>1855</v>
      </c>
      <c r="P259" s="56"/>
    </row>
    <row r="260" spans="1:16" ht="15.75" customHeight="1" x14ac:dyDescent="0.2">
      <c r="A260" s="49">
        <v>16149</v>
      </c>
      <c r="B260" s="11" t="s">
        <v>1848</v>
      </c>
      <c r="C260" s="11" t="s">
        <v>1849</v>
      </c>
      <c r="D260" s="6" t="s">
        <v>1850</v>
      </c>
      <c r="E260" s="12" t="s">
        <v>1877</v>
      </c>
      <c r="F260" s="12" t="s">
        <v>1877</v>
      </c>
      <c r="G260" s="12" t="s">
        <v>2653</v>
      </c>
      <c r="H260" s="12" t="s">
        <v>2653</v>
      </c>
      <c r="I260" s="12" t="s">
        <v>2663</v>
      </c>
      <c r="J260" s="11" t="s">
        <v>1856</v>
      </c>
      <c r="K260" s="11" t="s">
        <v>1852</v>
      </c>
      <c r="L260" s="11" t="s">
        <v>1853</v>
      </c>
      <c r="M260" s="12"/>
      <c r="N260" s="12"/>
      <c r="O260" s="11" t="s">
        <v>1855</v>
      </c>
      <c r="P260" s="56"/>
    </row>
    <row r="261" spans="1:16" ht="15.75" customHeight="1" x14ac:dyDescent="0.2">
      <c r="A261" s="49">
        <v>16150</v>
      </c>
      <c r="B261" s="11" t="s">
        <v>1848</v>
      </c>
      <c r="C261" s="11" t="s">
        <v>1849</v>
      </c>
      <c r="D261" s="6" t="s">
        <v>1850</v>
      </c>
      <c r="E261" s="12" t="s">
        <v>1877</v>
      </c>
      <c r="F261" s="12" t="s">
        <v>1877</v>
      </c>
      <c r="G261" s="12" t="s">
        <v>2653</v>
      </c>
      <c r="H261" s="12" t="s">
        <v>2653</v>
      </c>
      <c r="I261" s="12" t="s">
        <v>2664</v>
      </c>
      <c r="J261" s="11" t="s">
        <v>1856</v>
      </c>
      <c r="K261" s="11" t="s">
        <v>1852</v>
      </c>
      <c r="L261" s="11" t="s">
        <v>1853</v>
      </c>
      <c r="M261" s="12"/>
      <c r="N261" s="12"/>
      <c r="O261" s="11" t="s">
        <v>1855</v>
      </c>
      <c r="P261" s="56"/>
    </row>
    <row r="262" spans="1:16" ht="15.75" customHeight="1" x14ac:dyDescent="0.2">
      <c r="A262" s="49">
        <v>16151</v>
      </c>
      <c r="B262" s="11" t="s">
        <v>1848</v>
      </c>
      <c r="C262" s="11" t="s">
        <v>1849</v>
      </c>
      <c r="D262" s="6" t="s">
        <v>1850</v>
      </c>
      <c r="E262" s="12" t="s">
        <v>1877</v>
      </c>
      <c r="F262" s="12" t="s">
        <v>1877</v>
      </c>
      <c r="G262" s="12" t="s">
        <v>1883</v>
      </c>
      <c r="H262" s="12" t="s">
        <v>1889</v>
      </c>
      <c r="I262" s="12" t="s">
        <v>2665</v>
      </c>
      <c r="J262" s="11" t="s">
        <v>1856</v>
      </c>
      <c r="K262" s="11" t="s">
        <v>1852</v>
      </c>
      <c r="L262" s="11" t="s">
        <v>1853</v>
      </c>
      <c r="M262" s="12"/>
      <c r="N262" s="12"/>
      <c r="O262" s="11" t="s">
        <v>1855</v>
      </c>
      <c r="P262" s="56"/>
    </row>
    <row r="263" spans="1:16" ht="15.75" customHeight="1" x14ac:dyDescent="0.2">
      <c r="A263" s="49">
        <v>16152</v>
      </c>
      <c r="B263" s="11" t="s">
        <v>1848</v>
      </c>
      <c r="C263" s="11" t="s">
        <v>1849</v>
      </c>
      <c r="D263" s="6" t="s">
        <v>1850</v>
      </c>
      <c r="E263" s="12" t="s">
        <v>1877</v>
      </c>
      <c r="F263" s="12" t="s">
        <v>1877</v>
      </c>
      <c r="G263" s="12" t="s">
        <v>1880</v>
      </c>
      <c r="H263" s="12" t="s">
        <v>1890</v>
      </c>
      <c r="I263" s="12" t="s">
        <v>1891</v>
      </c>
      <c r="J263" s="11" t="s">
        <v>1856</v>
      </c>
      <c r="K263" s="11" t="s">
        <v>1852</v>
      </c>
      <c r="L263" s="11" t="s">
        <v>1853</v>
      </c>
      <c r="M263" s="12"/>
      <c r="N263" s="12"/>
      <c r="O263" s="11" t="s">
        <v>1855</v>
      </c>
      <c r="P263" s="56"/>
    </row>
    <row r="264" spans="1:16" ht="15.75" customHeight="1" x14ac:dyDescent="0.2">
      <c r="A264" s="49">
        <v>16153</v>
      </c>
      <c r="B264" s="11" t="s">
        <v>1848</v>
      </c>
      <c r="C264" s="11" t="s">
        <v>1849</v>
      </c>
      <c r="D264" s="6" t="s">
        <v>1850</v>
      </c>
      <c r="E264" s="12" t="s">
        <v>1877</v>
      </c>
      <c r="F264" s="12" t="s">
        <v>1877</v>
      </c>
      <c r="G264" s="12" t="s">
        <v>2653</v>
      </c>
      <c r="H264" s="12" t="s">
        <v>2653</v>
      </c>
      <c r="I264" s="12" t="s">
        <v>2666</v>
      </c>
      <c r="J264" s="11" t="s">
        <v>1851</v>
      </c>
      <c r="K264" s="11" t="s">
        <v>1852</v>
      </c>
      <c r="L264" s="11" t="s">
        <v>1853</v>
      </c>
      <c r="M264" s="12"/>
      <c r="N264" s="12"/>
      <c r="O264" s="11" t="s">
        <v>1855</v>
      </c>
      <c r="P264" s="56"/>
    </row>
    <row r="265" spans="1:16" ht="15.75" customHeight="1" x14ac:dyDescent="0.2">
      <c r="A265" s="49">
        <v>16170</v>
      </c>
      <c r="B265" s="11" t="s">
        <v>1848</v>
      </c>
      <c r="C265" s="11" t="s">
        <v>1849</v>
      </c>
      <c r="D265" s="6" t="s">
        <v>1850</v>
      </c>
      <c r="E265" s="12" t="s">
        <v>1877</v>
      </c>
      <c r="F265" s="12" t="s">
        <v>1877</v>
      </c>
      <c r="G265" s="12" t="s">
        <v>2653</v>
      </c>
      <c r="H265" s="12" t="s">
        <v>2654</v>
      </c>
      <c r="I265" s="12" t="s">
        <v>2667</v>
      </c>
      <c r="J265" s="11" t="s">
        <v>1856</v>
      </c>
      <c r="K265" s="11" t="s">
        <v>1852</v>
      </c>
      <c r="L265" s="11" t="s">
        <v>1853</v>
      </c>
      <c r="M265" s="12"/>
      <c r="N265" s="12"/>
      <c r="O265" s="11" t="s">
        <v>1855</v>
      </c>
      <c r="P265" s="56"/>
    </row>
    <row r="266" spans="1:16" ht="15.75" customHeight="1" x14ac:dyDescent="0.2">
      <c r="A266" s="49">
        <v>16186</v>
      </c>
      <c r="B266" s="11" t="s">
        <v>1848</v>
      </c>
      <c r="C266" s="11" t="s">
        <v>1849</v>
      </c>
      <c r="D266" s="6" t="s">
        <v>1850</v>
      </c>
      <c r="E266" s="12" t="s">
        <v>1877</v>
      </c>
      <c r="F266" s="12" t="s">
        <v>1877</v>
      </c>
      <c r="G266" s="12" t="s">
        <v>2619</v>
      </c>
      <c r="H266" s="12" t="s">
        <v>2661</v>
      </c>
      <c r="I266" s="12" t="s">
        <v>2668</v>
      </c>
      <c r="J266" s="11" t="s">
        <v>1851</v>
      </c>
      <c r="K266" s="11" t="s">
        <v>1852</v>
      </c>
      <c r="L266" s="11" t="s">
        <v>1853</v>
      </c>
      <c r="M266" s="12"/>
      <c r="N266" s="12"/>
      <c r="O266" s="11" t="s">
        <v>1855</v>
      </c>
      <c r="P266" s="56"/>
    </row>
    <row r="267" spans="1:16" ht="15.75" customHeight="1" x14ac:dyDescent="0.2">
      <c r="A267" s="49">
        <v>16187</v>
      </c>
      <c r="B267" s="11" t="s">
        <v>1848</v>
      </c>
      <c r="C267" s="11" t="s">
        <v>1849</v>
      </c>
      <c r="D267" s="6" t="s">
        <v>1850</v>
      </c>
      <c r="E267" s="12" t="s">
        <v>1877</v>
      </c>
      <c r="F267" s="12" t="s">
        <v>1877</v>
      </c>
      <c r="G267" s="12" t="s">
        <v>2653</v>
      </c>
      <c r="H267" s="12" t="s">
        <v>2669</v>
      </c>
      <c r="I267" s="12" t="s">
        <v>2670</v>
      </c>
      <c r="J267" s="11" t="s">
        <v>1851</v>
      </c>
      <c r="K267" s="11" t="s">
        <v>1852</v>
      </c>
      <c r="L267" s="11" t="s">
        <v>1853</v>
      </c>
      <c r="M267" s="12"/>
      <c r="N267" s="12"/>
      <c r="O267" s="11" t="s">
        <v>1855</v>
      </c>
      <c r="P267" s="56"/>
    </row>
    <row r="268" spans="1:16" ht="15.75" customHeight="1" x14ac:dyDescent="0.2">
      <c r="A268" s="49">
        <v>16188</v>
      </c>
      <c r="B268" s="11" t="s">
        <v>1848</v>
      </c>
      <c r="C268" s="11" t="s">
        <v>1849</v>
      </c>
      <c r="D268" s="6" t="s">
        <v>1850</v>
      </c>
      <c r="E268" s="12" t="s">
        <v>1877</v>
      </c>
      <c r="F268" s="12" t="s">
        <v>1877</v>
      </c>
      <c r="G268" s="12" t="s">
        <v>1880</v>
      </c>
      <c r="H268" s="12" t="s">
        <v>1892</v>
      </c>
      <c r="I268" s="12" t="s">
        <v>1893</v>
      </c>
      <c r="J268" s="11" t="s">
        <v>1856</v>
      </c>
      <c r="K268" s="11" t="s">
        <v>1852</v>
      </c>
      <c r="L268" s="11" t="s">
        <v>1853</v>
      </c>
      <c r="M268" s="12"/>
      <c r="N268" s="12"/>
      <c r="O268" s="11" t="s">
        <v>1855</v>
      </c>
      <c r="P268" s="56"/>
    </row>
    <row r="269" spans="1:16" ht="15.75" customHeight="1" x14ac:dyDescent="0.2">
      <c r="A269" s="48">
        <v>1666</v>
      </c>
      <c r="B269" s="11" t="s">
        <v>2240</v>
      </c>
      <c r="C269" s="11" t="s">
        <v>1849</v>
      </c>
      <c r="D269" s="6" t="s">
        <v>1850</v>
      </c>
      <c r="E269" s="12" t="s">
        <v>1877</v>
      </c>
      <c r="F269" s="12" t="s">
        <v>1877</v>
      </c>
      <c r="G269" s="12" t="s">
        <v>2619</v>
      </c>
      <c r="H269" s="12" t="s">
        <v>2619</v>
      </c>
      <c r="I269" s="12" t="s">
        <v>2671</v>
      </c>
      <c r="J269" s="11" t="s">
        <v>1851</v>
      </c>
      <c r="K269" s="11" t="s">
        <v>1852</v>
      </c>
      <c r="L269" s="11" t="s">
        <v>1853</v>
      </c>
      <c r="M269" s="12" t="s">
        <v>1854</v>
      </c>
      <c r="N269" s="12"/>
      <c r="O269" s="11" t="s">
        <v>1855</v>
      </c>
      <c r="P269" s="56"/>
    </row>
    <row r="270" spans="1:16" ht="15.75" customHeight="1" x14ac:dyDescent="0.2">
      <c r="A270" s="48">
        <v>1715</v>
      </c>
      <c r="B270" s="11" t="s">
        <v>2240</v>
      </c>
      <c r="C270" s="11" t="s">
        <v>1849</v>
      </c>
      <c r="D270" s="6" t="s">
        <v>1850</v>
      </c>
      <c r="E270" s="12" t="s">
        <v>1877</v>
      </c>
      <c r="F270" s="12" t="s">
        <v>1877</v>
      </c>
      <c r="G270" s="12" t="s">
        <v>2619</v>
      </c>
      <c r="H270" s="12" t="s">
        <v>2631</v>
      </c>
      <c r="I270" s="12" t="s">
        <v>2672</v>
      </c>
      <c r="J270" s="11" t="s">
        <v>1851</v>
      </c>
      <c r="K270" s="11" t="s">
        <v>1852</v>
      </c>
      <c r="L270" s="11" t="s">
        <v>1853</v>
      </c>
      <c r="M270" s="12" t="s">
        <v>1854</v>
      </c>
      <c r="N270" s="12"/>
      <c r="O270" s="11" t="s">
        <v>1855</v>
      </c>
      <c r="P270" s="56"/>
    </row>
    <row r="271" spans="1:16" ht="15.75" customHeight="1" x14ac:dyDescent="0.2">
      <c r="A271" s="49">
        <v>1407</v>
      </c>
      <c r="B271" s="11" t="s">
        <v>1857</v>
      </c>
      <c r="C271" s="11" t="s">
        <v>1849</v>
      </c>
      <c r="D271" s="6" t="s">
        <v>1850</v>
      </c>
      <c r="E271" s="12" t="s">
        <v>1877</v>
      </c>
      <c r="F271" s="12" t="s">
        <v>1877</v>
      </c>
      <c r="G271" s="12" t="s">
        <v>1883</v>
      </c>
      <c r="H271" s="12" t="s">
        <v>1884</v>
      </c>
      <c r="I271" s="12" t="s">
        <v>1894</v>
      </c>
      <c r="J271" s="11" t="s">
        <v>1856</v>
      </c>
      <c r="K271" s="11" t="s">
        <v>1852</v>
      </c>
      <c r="L271" s="11" t="s">
        <v>1853</v>
      </c>
      <c r="M271" s="12" t="s">
        <v>1854</v>
      </c>
      <c r="N271" s="12"/>
      <c r="O271" s="11" t="s">
        <v>1858</v>
      </c>
      <c r="P271" s="56"/>
    </row>
    <row r="272" spans="1:16" ht="15.75" customHeight="1" x14ac:dyDescent="0.2">
      <c r="A272" s="49">
        <v>1480</v>
      </c>
      <c r="B272" s="11" t="s">
        <v>1857</v>
      </c>
      <c r="C272" s="11" t="s">
        <v>1849</v>
      </c>
      <c r="D272" s="6" t="s">
        <v>1850</v>
      </c>
      <c r="E272" s="12" t="s">
        <v>1877</v>
      </c>
      <c r="F272" s="12" t="s">
        <v>1877</v>
      </c>
      <c r="G272" s="12" t="s">
        <v>2658</v>
      </c>
      <c r="H272" s="12" t="s">
        <v>2658</v>
      </c>
      <c r="I272" s="12" t="s">
        <v>2673</v>
      </c>
      <c r="J272" s="11" t="s">
        <v>1856</v>
      </c>
      <c r="K272" s="11" t="s">
        <v>1852</v>
      </c>
      <c r="L272" s="11" t="s">
        <v>1853</v>
      </c>
      <c r="M272" s="12" t="s">
        <v>2674</v>
      </c>
      <c r="N272" s="12"/>
      <c r="O272" s="11" t="s">
        <v>1858</v>
      </c>
      <c r="P272" s="56"/>
    </row>
    <row r="273" spans="1:16" ht="15.75" customHeight="1" x14ac:dyDescent="0.2">
      <c r="A273" s="49">
        <v>2158</v>
      </c>
      <c r="B273" s="11" t="s">
        <v>1857</v>
      </c>
      <c r="C273" s="11" t="s">
        <v>1849</v>
      </c>
      <c r="D273" s="6" t="s">
        <v>1850</v>
      </c>
      <c r="E273" s="12" t="s">
        <v>1877</v>
      </c>
      <c r="F273" s="12" t="s">
        <v>1877</v>
      </c>
      <c r="G273" s="12" t="s">
        <v>2623</v>
      </c>
      <c r="H273" s="12" t="s">
        <v>2675</v>
      </c>
      <c r="I273" s="12" t="s">
        <v>2676</v>
      </c>
      <c r="J273" s="11" t="s">
        <v>1856</v>
      </c>
      <c r="K273" s="11" t="s">
        <v>1852</v>
      </c>
      <c r="L273" s="11" t="s">
        <v>1853</v>
      </c>
      <c r="M273" s="12" t="s">
        <v>1854</v>
      </c>
      <c r="N273" s="12"/>
      <c r="O273" s="11" t="s">
        <v>1858</v>
      </c>
      <c r="P273" s="56"/>
    </row>
    <row r="274" spans="1:16" ht="15.75" customHeight="1" x14ac:dyDescent="0.2">
      <c r="A274" s="49">
        <v>1637</v>
      </c>
      <c r="B274" s="11" t="s">
        <v>1857</v>
      </c>
      <c r="C274" s="11" t="s">
        <v>1849</v>
      </c>
      <c r="D274" s="6" t="s">
        <v>1850</v>
      </c>
      <c r="E274" s="12" t="s">
        <v>1877</v>
      </c>
      <c r="F274" s="12" t="s">
        <v>1877</v>
      </c>
      <c r="G274" s="12" t="s">
        <v>2653</v>
      </c>
      <c r="H274" s="12" t="s">
        <v>2677</v>
      </c>
      <c r="I274" s="12" t="s">
        <v>2678</v>
      </c>
      <c r="J274" s="11" t="s">
        <v>1856</v>
      </c>
      <c r="K274" s="11" t="s">
        <v>1852</v>
      </c>
      <c r="L274" s="11" t="s">
        <v>1853</v>
      </c>
      <c r="M274" s="12" t="s">
        <v>2679</v>
      </c>
      <c r="N274" s="12"/>
      <c r="O274" s="11" t="s">
        <v>1858</v>
      </c>
      <c r="P274" s="56"/>
    </row>
    <row r="275" spans="1:16" ht="15.75" customHeight="1" x14ac:dyDescent="0.2">
      <c r="A275" s="49">
        <v>1402</v>
      </c>
      <c r="B275" s="11" t="s">
        <v>1857</v>
      </c>
      <c r="C275" s="11" t="s">
        <v>1849</v>
      </c>
      <c r="D275" s="6" t="s">
        <v>1850</v>
      </c>
      <c r="E275" s="12" t="s">
        <v>1877</v>
      </c>
      <c r="F275" s="12" t="s">
        <v>1877</v>
      </c>
      <c r="G275" s="12" t="s">
        <v>1883</v>
      </c>
      <c r="H275" s="12" t="s">
        <v>1895</v>
      </c>
      <c r="I275" s="12" t="s">
        <v>1896</v>
      </c>
      <c r="J275" s="11" t="s">
        <v>1856</v>
      </c>
      <c r="K275" s="11" t="s">
        <v>1852</v>
      </c>
      <c r="L275" s="11" t="s">
        <v>1853</v>
      </c>
      <c r="M275" s="12" t="s">
        <v>1897</v>
      </c>
      <c r="N275" s="12"/>
      <c r="O275" s="11" t="s">
        <v>1858</v>
      </c>
      <c r="P275" s="56"/>
    </row>
    <row r="276" spans="1:16" ht="15.75" customHeight="1" x14ac:dyDescent="0.2">
      <c r="A276" s="49">
        <v>1706</v>
      </c>
      <c r="B276" s="11" t="s">
        <v>1857</v>
      </c>
      <c r="C276" s="11" t="s">
        <v>1849</v>
      </c>
      <c r="D276" s="6" t="s">
        <v>1850</v>
      </c>
      <c r="E276" s="12" t="s">
        <v>1877</v>
      </c>
      <c r="F276" s="12" t="s">
        <v>1877</v>
      </c>
      <c r="G276" s="12" t="s">
        <v>2619</v>
      </c>
      <c r="H276" s="12" t="s">
        <v>2661</v>
      </c>
      <c r="I276" s="12" t="s">
        <v>2680</v>
      </c>
      <c r="J276" s="11" t="s">
        <v>1856</v>
      </c>
      <c r="K276" s="11" t="s">
        <v>1852</v>
      </c>
      <c r="L276" s="11" t="s">
        <v>1853</v>
      </c>
      <c r="M276" s="12" t="s">
        <v>2681</v>
      </c>
      <c r="N276" s="12"/>
      <c r="O276" s="11" t="s">
        <v>1860</v>
      </c>
      <c r="P276" s="56"/>
    </row>
    <row r="277" spans="1:16" ht="15.75" customHeight="1" x14ac:dyDescent="0.2">
      <c r="A277" s="49">
        <v>1489</v>
      </c>
      <c r="B277" s="11" t="s">
        <v>1857</v>
      </c>
      <c r="C277" s="11" t="s">
        <v>1849</v>
      </c>
      <c r="D277" s="6" t="s">
        <v>1850</v>
      </c>
      <c r="E277" s="12" t="s">
        <v>1877</v>
      </c>
      <c r="F277" s="12" t="s">
        <v>1877</v>
      </c>
      <c r="G277" s="12" t="s">
        <v>2658</v>
      </c>
      <c r="H277" s="12" t="s">
        <v>2682</v>
      </c>
      <c r="I277" s="12" t="s">
        <v>1667</v>
      </c>
      <c r="J277" s="11" t="s">
        <v>1856</v>
      </c>
      <c r="K277" s="11" t="s">
        <v>1852</v>
      </c>
      <c r="L277" s="11" t="s">
        <v>1853</v>
      </c>
      <c r="M277" s="12" t="s">
        <v>2683</v>
      </c>
      <c r="N277" s="12"/>
      <c r="O277" s="11" t="s">
        <v>1860</v>
      </c>
      <c r="P277" s="56"/>
    </row>
    <row r="278" spans="1:16" ht="15.75" customHeight="1" x14ac:dyDescent="0.2">
      <c r="A278" s="49">
        <v>1401</v>
      </c>
      <c r="B278" s="11" t="s">
        <v>1857</v>
      </c>
      <c r="C278" s="11" t="s">
        <v>1849</v>
      </c>
      <c r="D278" s="6" t="s">
        <v>1850</v>
      </c>
      <c r="E278" s="12" t="s">
        <v>1877</v>
      </c>
      <c r="F278" s="12" t="s">
        <v>1877</v>
      </c>
      <c r="G278" s="12" t="s">
        <v>1883</v>
      </c>
      <c r="H278" s="12" t="s">
        <v>1898</v>
      </c>
      <c r="I278" s="12" t="s">
        <v>1899</v>
      </c>
      <c r="J278" s="11" t="s">
        <v>1856</v>
      </c>
      <c r="K278" s="11" t="s">
        <v>1852</v>
      </c>
      <c r="L278" s="11" t="s">
        <v>1853</v>
      </c>
      <c r="M278" s="12" t="s">
        <v>1900</v>
      </c>
      <c r="N278" s="12"/>
      <c r="O278" s="11" t="s">
        <v>1858</v>
      </c>
      <c r="P278" s="56"/>
    </row>
    <row r="279" spans="1:16" ht="15.75" customHeight="1" x14ac:dyDescent="0.2">
      <c r="A279" s="49">
        <v>1299</v>
      </c>
      <c r="B279" s="11" t="s">
        <v>1857</v>
      </c>
      <c r="C279" s="11" t="s">
        <v>1849</v>
      </c>
      <c r="D279" s="6" t="s">
        <v>1850</v>
      </c>
      <c r="E279" s="12" t="s">
        <v>1877</v>
      </c>
      <c r="F279" s="12" t="s">
        <v>1877</v>
      </c>
      <c r="G279" s="12" t="s">
        <v>2684</v>
      </c>
      <c r="H279" s="12" t="s">
        <v>2684</v>
      </c>
      <c r="I279" s="12" t="s">
        <v>2685</v>
      </c>
      <c r="J279" s="11" t="s">
        <v>1856</v>
      </c>
      <c r="K279" s="11" t="s">
        <v>1852</v>
      </c>
      <c r="L279" s="11" t="s">
        <v>1853</v>
      </c>
      <c r="M279" s="12" t="s">
        <v>2686</v>
      </c>
      <c r="N279" s="12" t="s">
        <v>2687</v>
      </c>
      <c r="O279" s="11" t="s">
        <v>1858</v>
      </c>
      <c r="P279" s="56"/>
    </row>
    <row r="280" spans="1:16" ht="15.75" customHeight="1" x14ac:dyDescent="0.2">
      <c r="A280" s="49">
        <v>1400</v>
      </c>
      <c r="B280" s="11" t="s">
        <v>1857</v>
      </c>
      <c r="C280" s="11" t="s">
        <v>1849</v>
      </c>
      <c r="D280" s="6" t="s">
        <v>1850</v>
      </c>
      <c r="E280" s="12" t="s">
        <v>1877</v>
      </c>
      <c r="F280" s="12" t="s">
        <v>1877</v>
      </c>
      <c r="G280" s="12" t="s">
        <v>1883</v>
      </c>
      <c r="H280" s="12" t="s">
        <v>1884</v>
      </c>
      <c r="I280" s="12" t="s">
        <v>1901</v>
      </c>
      <c r="J280" s="11" t="s">
        <v>1856</v>
      </c>
      <c r="K280" s="11" t="s">
        <v>1852</v>
      </c>
      <c r="L280" s="11" t="s">
        <v>1853</v>
      </c>
      <c r="M280" s="12" t="s">
        <v>1902</v>
      </c>
      <c r="N280" s="12"/>
      <c r="O280" s="11" t="s">
        <v>1859</v>
      </c>
      <c r="P280" s="56"/>
    </row>
    <row r="281" spans="1:16" ht="15.75" customHeight="1" x14ac:dyDescent="0.2">
      <c r="A281" s="49">
        <v>1399</v>
      </c>
      <c r="B281" s="11" t="s">
        <v>1857</v>
      </c>
      <c r="C281" s="11" t="s">
        <v>1849</v>
      </c>
      <c r="D281" s="6" t="s">
        <v>1850</v>
      </c>
      <c r="E281" s="12" t="s">
        <v>1877</v>
      </c>
      <c r="F281" s="12" t="s">
        <v>1877</v>
      </c>
      <c r="G281" s="12" t="s">
        <v>1883</v>
      </c>
      <c r="H281" s="12" t="s">
        <v>1884</v>
      </c>
      <c r="I281" s="12" t="s">
        <v>1903</v>
      </c>
      <c r="J281" s="11" t="s">
        <v>1856</v>
      </c>
      <c r="K281" s="11" t="s">
        <v>1852</v>
      </c>
      <c r="L281" s="11" t="s">
        <v>1853</v>
      </c>
      <c r="M281" s="12" t="s">
        <v>1904</v>
      </c>
      <c r="N281" s="12"/>
      <c r="O281" s="11" t="s">
        <v>1858</v>
      </c>
      <c r="P281" s="56"/>
    </row>
    <row r="282" spans="1:16" ht="15.75" customHeight="1" x14ac:dyDescent="0.2">
      <c r="A282" s="49">
        <v>1922</v>
      </c>
      <c r="B282" s="11" t="s">
        <v>1857</v>
      </c>
      <c r="C282" s="11" t="s">
        <v>1849</v>
      </c>
      <c r="D282" s="6" t="s">
        <v>1850</v>
      </c>
      <c r="E282" s="12" t="s">
        <v>1877</v>
      </c>
      <c r="F282" s="12" t="s">
        <v>1877</v>
      </c>
      <c r="G282" s="12" t="s">
        <v>2656</v>
      </c>
      <c r="H282" s="12" t="s">
        <v>2657</v>
      </c>
      <c r="I282" s="12" t="s">
        <v>2688</v>
      </c>
      <c r="J282" s="11" t="s">
        <v>1856</v>
      </c>
      <c r="K282" s="11" t="s">
        <v>1852</v>
      </c>
      <c r="L282" s="11" t="s">
        <v>1853</v>
      </c>
      <c r="M282" s="12" t="s">
        <v>2474</v>
      </c>
      <c r="N282" s="12" t="s">
        <v>2689</v>
      </c>
      <c r="O282" s="11" t="s">
        <v>1859</v>
      </c>
      <c r="P282" s="56"/>
    </row>
    <row r="283" spans="1:16" ht="15.75" customHeight="1" x14ac:dyDescent="0.2">
      <c r="A283" s="49">
        <v>1534</v>
      </c>
      <c r="B283" s="11" t="s">
        <v>1857</v>
      </c>
      <c r="C283" s="11" t="s">
        <v>1849</v>
      </c>
      <c r="D283" s="6" t="s">
        <v>1850</v>
      </c>
      <c r="E283" s="12" t="s">
        <v>1877</v>
      </c>
      <c r="F283" s="12" t="s">
        <v>1877</v>
      </c>
      <c r="G283" s="12" t="s">
        <v>2635</v>
      </c>
      <c r="H283" s="12" t="s">
        <v>2690</v>
      </c>
      <c r="I283" s="12" t="s">
        <v>2691</v>
      </c>
      <c r="J283" s="11" t="s">
        <v>1851</v>
      </c>
      <c r="K283" s="11" t="s">
        <v>1852</v>
      </c>
      <c r="L283" s="11" t="s">
        <v>1853</v>
      </c>
      <c r="M283" s="12" t="s">
        <v>2692</v>
      </c>
      <c r="N283" s="12"/>
      <c r="O283" s="11" t="s">
        <v>1858</v>
      </c>
      <c r="P283" s="56"/>
    </row>
    <row r="284" spans="1:16" ht="15.75" customHeight="1" x14ac:dyDescent="0.2">
      <c r="A284" s="49">
        <v>1600</v>
      </c>
      <c r="B284" s="11" t="s">
        <v>1857</v>
      </c>
      <c r="C284" s="11" t="s">
        <v>1849</v>
      </c>
      <c r="D284" s="6" t="s">
        <v>1850</v>
      </c>
      <c r="E284" s="12" t="s">
        <v>1877</v>
      </c>
      <c r="F284" s="12" t="s">
        <v>1877</v>
      </c>
      <c r="G284" s="12" t="s">
        <v>2653</v>
      </c>
      <c r="H284" s="12" t="s">
        <v>2693</v>
      </c>
      <c r="I284" s="12" t="s">
        <v>2694</v>
      </c>
      <c r="J284" s="11" t="s">
        <v>1856</v>
      </c>
      <c r="K284" s="11" t="s">
        <v>1852</v>
      </c>
      <c r="L284" s="11" t="s">
        <v>1853</v>
      </c>
      <c r="M284" s="12" t="s">
        <v>2695</v>
      </c>
      <c r="N284" s="12"/>
      <c r="O284" s="11" t="s">
        <v>1859</v>
      </c>
      <c r="P284" s="56"/>
    </row>
    <row r="285" spans="1:16" ht="15.75" customHeight="1" x14ac:dyDescent="0.2">
      <c r="A285" s="49">
        <v>1568</v>
      </c>
      <c r="B285" s="11" t="s">
        <v>1857</v>
      </c>
      <c r="C285" s="11" t="s">
        <v>1849</v>
      </c>
      <c r="D285" s="6" t="s">
        <v>1850</v>
      </c>
      <c r="E285" s="12" t="s">
        <v>1877</v>
      </c>
      <c r="F285" s="12" t="s">
        <v>1877</v>
      </c>
      <c r="G285" s="12" t="s">
        <v>2653</v>
      </c>
      <c r="H285" s="12" t="s">
        <v>2696</v>
      </c>
      <c r="I285" s="12" t="s">
        <v>2697</v>
      </c>
      <c r="J285" s="11" t="s">
        <v>1856</v>
      </c>
      <c r="K285" s="11" t="s">
        <v>1852</v>
      </c>
      <c r="L285" s="11" t="s">
        <v>1853</v>
      </c>
      <c r="M285" s="12" t="s">
        <v>2698</v>
      </c>
      <c r="N285" s="12"/>
      <c r="O285" s="11" t="s">
        <v>1859</v>
      </c>
      <c r="P285" s="56"/>
    </row>
    <row r="286" spans="1:16" ht="15.75" customHeight="1" x14ac:dyDescent="0.2">
      <c r="A286" s="49">
        <v>2055</v>
      </c>
      <c r="B286" s="11" t="s">
        <v>1857</v>
      </c>
      <c r="C286" s="11" t="s">
        <v>1849</v>
      </c>
      <c r="D286" s="6" t="s">
        <v>1850</v>
      </c>
      <c r="E286" s="12" t="s">
        <v>1877</v>
      </c>
      <c r="F286" s="12" t="s">
        <v>1877</v>
      </c>
      <c r="G286" s="12" t="s">
        <v>2623</v>
      </c>
      <c r="H286" s="12" t="s">
        <v>2699</v>
      </c>
      <c r="I286" s="12" t="s">
        <v>2700</v>
      </c>
      <c r="J286" s="11" t="s">
        <v>1856</v>
      </c>
      <c r="K286" s="11" t="s">
        <v>1852</v>
      </c>
      <c r="L286" s="11" t="s">
        <v>1853</v>
      </c>
      <c r="M286" s="12" t="s">
        <v>1854</v>
      </c>
      <c r="N286" s="12"/>
      <c r="O286" s="11" t="s">
        <v>1859</v>
      </c>
      <c r="P286" s="56"/>
    </row>
    <row r="287" spans="1:16" ht="15.75" customHeight="1" x14ac:dyDescent="0.2">
      <c r="A287" s="49">
        <v>1525</v>
      </c>
      <c r="B287" s="11" t="s">
        <v>1857</v>
      </c>
      <c r="C287" s="11" t="s">
        <v>1849</v>
      </c>
      <c r="D287" s="6" t="s">
        <v>1850</v>
      </c>
      <c r="E287" s="12" t="s">
        <v>1877</v>
      </c>
      <c r="F287" s="12" t="s">
        <v>1877</v>
      </c>
      <c r="G287" s="12" t="s">
        <v>2635</v>
      </c>
      <c r="H287" s="12" t="s">
        <v>2701</v>
      </c>
      <c r="I287" s="12" t="s">
        <v>2702</v>
      </c>
      <c r="J287" s="11" t="s">
        <v>1856</v>
      </c>
      <c r="K287" s="11" t="s">
        <v>1852</v>
      </c>
      <c r="L287" s="11" t="s">
        <v>1853</v>
      </c>
      <c r="M287" s="12" t="s">
        <v>2703</v>
      </c>
      <c r="N287" s="12"/>
      <c r="O287" s="11" t="s">
        <v>1858</v>
      </c>
      <c r="P287" s="56"/>
    </row>
    <row r="288" spans="1:16" ht="15.75" customHeight="1" x14ac:dyDescent="0.2">
      <c r="A288" s="49">
        <v>2160</v>
      </c>
      <c r="B288" s="11" t="s">
        <v>1857</v>
      </c>
      <c r="C288" s="11" t="s">
        <v>1849</v>
      </c>
      <c r="D288" s="6" t="s">
        <v>1850</v>
      </c>
      <c r="E288" s="12" t="s">
        <v>1877</v>
      </c>
      <c r="F288" s="12" t="s">
        <v>1877</v>
      </c>
      <c r="G288" s="12" t="s">
        <v>2623</v>
      </c>
      <c r="H288" s="12" t="s">
        <v>2675</v>
      </c>
      <c r="I288" s="12" t="s">
        <v>2704</v>
      </c>
      <c r="J288" s="11" t="s">
        <v>1856</v>
      </c>
      <c r="K288" s="11" t="s">
        <v>1852</v>
      </c>
      <c r="L288" s="11" t="s">
        <v>1853</v>
      </c>
      <c r="M288" s="12" t="s">
        <v>1905</v>
      </c>
      <c r="N288" s="12"/>
      <c r="O288" s="11" t="s">
        <v>1859</v>
      </c>
      <c r="P288" s="56"/>
    </row>
    <row r="289" spans="1:16" ht="15.75" customHeight="1" x14ac:dyDescent="0.2">
      <c r="A289" s="49">
        <v>1747</v>
      </c>
      <c r="B289" s="11" t="s">
        <v>1857</v>
      </c>
      <c r="C289" s="11" t="s">
        <v>1849</v>
      </c>
      <c r="D289" s="6" t="s">
        <v>1850</v>
      </c>
      <c r="E289" s="12" t="s">
        <v>1877</v>
      </c>
      <c r="F289" s="12" t="s">
        <v>1877</v>
      </c>
      <c r="G289" s="12" t="s">
        <v>2619</v>
      </c>
      <c r="H289" s="12" t="s">
        <v>2705</v>
      </c>
      <c r="I289" s="12" t="s">
        <v>2706</v>
      </c>
      <c r="J289" s="11" t="s">
        <v>1856</v>
      </c>
      <c r="K289" s="11" t="s">
        <v>1852</v>
      </c>
      <c r="L289" s="11" t="s">
        <v>1853</v>
      </c>
      <c r="M289" s="12" t="s">
        <v>2707</v>
      </c>
      <c r="N289" s="12"/>
      <c r="O289" s="11" t="s">
        <v>1859</v>
      </c>
      <c r="P289" s="56"/>
    </row>
    <row r="290" spans="1:16" ht="15.75" customHeight="1" x14ac:dyDescent="0.2">
      <c r="A290" s="49">
        <v>1508</v>
      </c>
      <c r="B290" s="11" t="s">
        <v>1857</v>
      </c>
      <c r="C290" s="11" t="s">
        <v>1849</v>
      </c>
      <c r="D290" s="6" t="s">
        <v>1850</v>
      </c>
      <c r="E290" s="12" t="s">
        <v>1877</v>
      </c>
      <c r="F290" s="12" t="s">
        <v>1877</v>
      </c>
      <c r="G290" s="12" t="s">
        <v>2635</v>
      </c>
      <c r="H290" s="12" t="s">
        <v>2636</v>
      </c>
      <c r="I290" s="12" t="s">
        <v>2708</v>
      </c>
      <c r="J290" s="11" t="s">
        <v>1856</v>
      </c>
      <c r="K290" s="11" t="s">
        <v>1852</v>
      </c>
      <c r="L290" s="11" t="s">
        <v>1853</v>
      </c>
      <c r="M290" s="12" t="s">
        <v>2709</v>
      </c>
      <c r="N290" s="12" t="s">
        <v>2710</v>
      </c>
      <c r="O290" s="11" t="s">
        <v>1858</v>
      </c>
      <c r="P290" s="56"/>
    </row>
    <row r="291" spans="1:16" ht="15.75" customHeight="1" x14ac:dyDescent="0.2">
      <c r="A291" s="49">
        <v>2012</v>
      </c>
      <c r="B291" s="11" t="s">
        <v>1857</v>
      </c>
      <c r="C291" s="11" t="s">
        <v>1849</v>
      </c>
      <c r="D291" s="6" t="s">
        <v>1850</v>
      </c>
      <c r="E291" s="12" t="s">
        <v>1877</v>
      </c>
      <c r="F291" s="12" t="s">
        <v>1877</v>
      </c>
      <c r="G291" s="12" t="s">
        <v>2649</v>
      </c>
      <c r="H291" s="12" t="s">
        <v>2711</v>
      </c>
      <c r="I291" s="12" t="s">
        <v>2712</v>
      </c>
      <c r="J291" s="11" t="s">
        <v>1856</v>
      </c>
      <c r="K291" s="11" t="s">
        <v>1852</v>
      </c>
      <c r="L291" s="11" t="s">
        <v>1853</v>
      </c>
      <c r="M291" s="12" t="s">
        <v>2713</v>
      </c>
      <c r="N291" s="12" t="s">
        <v>2714</v>
      </c>
      <c r="O291" s="11" t="s">
        <v>1859</v>
      </c>
      <c r="P291" s="56"/>
    </row>
    <row r="292" spans="1:16" ht="15.75" customHeight="1" x14ac:dyDescent="0.2">
      <c r="A292" s="49">
        <v>1854</v>
      </c>
      <c r="B292" s="11" t="s">
        <v>1857</v>
      </c>
      <c r="C292" s="11" t="s">
        <v>1849</v>
      </c>
      <c r="D292" s="6" t="s">
        <v>1850</v>
      </c>
      <c r="E292" s="12" t="s">
        <v>1877</v>
      </c>
      <c r="F292" s="12" t="s">
        <v>1877</v>
      </c>
      <c r="G292" s="12" t="s">
        <v>2643</v>
      </c>
      <c r="H292" s="12" t="s">
        <v>2643</v>
      </c>
      <c r="I292" s="12" t="s">
        <v>2715</v>
      </c>
      <c r="J292" s="11" t="s">
        <v>1856</v>
      </c>
      <c r="K292" s="11" t="s">
        <v>1852</v>
      </c>
      <c r="L292" s="11" t="s">
        <v>1853</v>
      </c>
      <c r="M292" s="12" t="s">
        <v>2716</v>
      </c>
      <c r="N292" s="12" t="s">
        <v>2717</v>
      </c>
      <c r="O292" s="11" t="s">
        <v>1858</v>
      </c>
      <c r="P292" s="56"/>
    </row>
    <row r="293" spans="1:16" ht="15.75" customHeight="1" x14ac:dyDescent="0.2">
      <c r="A293" s="49">
        <v>5017</v>
      </c>
      <c r="B293" s="11" t="s">
        <v>1857</v>
      </c>
      <c r="C293" s="11" t="s">
        <v>1849</v>
      </c>
      <c r="D293" s="6" t="s">
        <v>1850</v>
      </c>
      <c r="E293" s="12" t="s">
        <v>1877</v>
      </c>
      <c r="F293" s="12" t="s">
        <v>1877</v>
      </c>
      <c r="G293" s="12" t="s">
        <v>2619</v>
      </c>
      <c r="H293" s="12" t="s">
        <v>2619</v>
      </c>
      <c r="I293" s="12" t="s">
        <v>2718</v>
      </c>
      <c r="J293" s="11" t="s">
        <v>1851</v>
      </c>
      <c r="K293" s="11" t="s">
        <v>1852</v>
      </c>
      <c r="L293" s="11" t="s">
        <v>1853</v>
      </c>
      <c r="M293" s="12" t="s">
        <v>2719</v>
      </c>
      <c r="N293" s="12" t="s">
        <v>2720</v>
      </c>
      <c r="O293" s="11" t="s">
        <v>1858</v>
      </c>
      <c r="P293" s="56"/>
    </row>
    <row r="294" spans="1:16" ht="15.75" customHeight="1" x14ac:dyDescent="0.2">
      <c r="A294" s="49">
        <v>1566</v>
      </c>
      <c r="B294" s="11" t="s">
        <v>1857</v>
      </c>
      <c r="C294" s="11" t="s">
        <v>1849</v>
      </c>
      <c r="D294" s="6" t="s">
        <v>1850</v>
      </c>
      <c r="E294" s="12" t="s">
        <v>1877</v>
      </c>
      <c r="F294" s="12" t="s">
        <v>1877</v>
      </c>
      <c r="G294" s="12" t="s">
        <v>2653</v>
      </c>
      <c r="H294" s="12" t="s">
        <v>2696</v>
      </c>
      <c r="I294" s="12" t="s">
        <v>2721</v>
      </c>
      <c r="J294" s="11" t="s">
        <v>1856</v>
      </c>
      <c r="K294" s="11" t="s">
        <v>1852</v>
      </c>
      <c r="L294" s="11" t="s">
        <v>1853</v>
      </c>
      <c r="M294" s="12" t="s">
        <v>2722</v>
      </c>
      <c r="N294" s="12"/>
      <c r="O294" s="11" t="s">
        <v>1858</v>
      </c>
      <c r="P294" s="56"/>
    </row>
    <row r="295" spans="1:16" ht="15.75" customHeight="1" x14ac:dyDescent="0.2">
      <c r="A295" s="49">
        <v>1775</v>
      </c>
      <c r="B295" s="11" t="s">
        <v>1857</v>
      </c>
      <c r="C295" s="11" t="s">
        <v>1849</v>
      </c>
      <c r="D295" s="6" t="s">
        <v>1850</v>
      </c>
      <c r="E295" s="12" t="s">
        <v>1877</v>
      </c>
      <c r="F295" s="12" t="s">
        <v>1877</v>
      </c>
      <c r="G295" s="12" t="s">
        <v>2619</v>
      </c>
      <c r="H295" s="12" t="s">
        <v>2723</v>
      </c>
      <c r="I295" s="12" t="s">
        <v>273</v>
      </c>
      <c r="J295" s="11" t="s">
        <v>1856</v>
      </c>
      <c r="K295" s="11" t="s">
        <v>1852</v>
      </c>
      <c r="L295" s="11" t="s">
        <v>1853</v>
      </c>
      <c r="M295" s="12" t="s">
        <v>2724</v>
      </c>
      <c r="N295" s="12" t="s">
        <v>2725</v>
      </c>
      <c r="O295" s="11" t="s">
        <v>1858</v>
      </c>
      <c r="P295" s="56"/>
    </row>
    <row r="296" spans="1:16" ht="15.75" customHeight="1" x14ac:dyDescent="0.2">
      <c r="A296" s="49">
        <v>1931</v>
      </c>
      <c r="B296" s="11" t="s">
        <v>1857</v>
      </c>
      <c r="C296" s="11" t="s">
        <v>1849</v>
      </c>
      <c r="D296" s="6" t="s">
        <v>1850</v>
      </c>
      <c r="E296" s="12" t="s">
        <v>1877</v>
      </c>
      <c r="F296" s="12" t="s">
        <v>1877</v>
      </c>
      <c r="G296" s="12" t="s">
        <v>2656</v>
      </c>
      <c r="H296" s="12" t="s">
        <v>2726</v>
      </c>
      <c r="I296" s="12" t="s">
        <v>2727</v>
      </c>
      <c r="J296" s="11" t="s">
        <v>1856</v>
      </c>
      <c r="K296" s="11" t="s">
        <v>1852</v>
      </c>
      <c r="L296" s="11" t="s">
        <v>1853</v>
      </c>
      <c r="M296" s="12" t="s">
        <v>1906</v>
      </c>
      <c r="N296" s="12"/>
      <c r="O296" s="11" t="s">
        <v>1859</v>
      </c>
      <c r="P296" s="56"/>
    </row>
    <row r="297" spans="1:16" ht="15.75" customHeight="1" x14ac:dyDescent="0.2">
      <c r="A297" s="49">
        <v>1631</v>
      </c>
      <c r="B297" s="11" t="s">
        <v>1857</v>
      </c>
      <c r="C297" s="11" t="s">
        <v>1849</v>
      </c>
      <c r="D297" s="6" t="s">
        <v>1850</v>
      </c>
      <c r="E297" s="12" t="s">
        <v>1877</v>
      </c>
      <c r="F297" s="12" t="s">
        <v>1877</v>
      </c>
      <c r="G297" s="12" t="s">
        <v>2653</v>
      </c>
      <c r="H297" s="12" t="s">
        <v>2728</v>
      </c>
      <c r="I297" s="12" t="s">
        <v>2729</v>
      </c>
      <c r="J297" s="11" t="s">
        <v>1856</v>
      </c>
      <c r="K297" s="11" t="s">
        <v>1852</v>
      </c>
      <c r="L297" s="11" t="s">
        <v>1853</v>
      </c>
      <c r="M297" s="12" t="s">
        <v>2683</v>
      </c>
      <c r="N297" s="12"/>
      <c r="O297" s="11" t="s">
        <v>1859</v>
      </c>
      <c r="P297" s="56"/>
    </row>
    <row r="298" spans="1:16" ht="15.75" customHeight="1" x14ac:dyDescent="0.2">
      <c r="A298" s="49">
        <v>1824</v>
      </c>
      <c r="B298" s="11" t="s">
        <v>1857</v>
      </c>
      <c r="C298" s="11" t="s">
        <v>1849</v>
      </c>
      <c r="D298" s="6" t="s">
        <v>1850</v>
      </c>
      <c r="E298" s="12" t="s">
        <v>1877</v>
      </c>
      <c r="F298" s="12" t="s">
        <v>1877</v>
      </c>
      <c r="G298" s="12" t="s">
        <v>1880</v>
      </c>
      <c r="H298" s="12" t="s">
        <v>1886</v>
      </c>
      <c r="I298" s="12" t="s">
        <v>1907</v>
      </c>
      <c r="J298" s="11" t="s">
        <v>1856</v>
      </c>
      <c r="K298" s="11" t="s">
        <v>1852</v>
      </c>
      <c r="L298" s="11" t="s">
        <v>1853</v>
      </c>
      <c r="M298" s="12" t="s">
        <v>1908</v>
      </c>
      <c r="N298" s="12"/>
      <c r="O298" s="11" t="s">
        <v>1859</v>
      </c>
      <c r="P298" s="56"/>
    </row>
    <row r="299" spans="1:16" ht="15.75" customHeight="1" x14ac:dyDescent="0.2">
      <c r="A299" s="49">
        <v>1412</v>
      </c>
      <c r="B299" s="11" t="s">
        <v>1857</v>
      </c>
      <c r="C299" s="11" t="s">
        <v>1849</v>
      </c>
      <c r="D299" s="6" t="s">
        <v>1850</v>
      </c>
      <c r="E299" s="12" t="s">
        <v>1877</v>
      </c>
      <c r="F299" s="12" t="s">
        <v>1877</v>
      </c>
      <c r="G299" s="12" t="s">
        <v>1883</v>
      </c>
      <c r="H299" s="12" t="s">
        <v>1884</v>
      </c>
      <c r="I299" s="12" t="s">
        <v>1909</v>
      </c>
      <c r="J299" s="11" t="s">
        <v>1856</v>
      </c>
      <c r="K299" s="11" t="s">
        <v>1852</v>
      </c>
      <c r="L299" s="11" t="s">
        <v>1853</v>
      </c>
      <c r="M299" s="12" t="s">
        <v>1902</v>
      </c>
      <c r="N299" s="12"/>
      <c r="O299" s="11" t="s">
        <v>1858</v>
      </c>
      <c r="P299" s="56"/>
    </row>
    <row r="300" spans="1:16" ht="15.75" customHeight="1" x14ac:dyDescent="0.2">
      <c r="A300" s="49">
        <v>1819</v>
      </c>
      <c r="B300" s="11" t="s">
        <v>1857</v>
      </c>
      <c r="C300" s="11" t="s">
        <v>1849</v>
      </c>
      <c r="D300" s="6" t="s">
        <v>1850</v>
      </c>
      <c r="E300" s="12" t="s">
        <v>1877</v>
      </c>
      <c r="F300" s="12" t="s">
        <v>1877</v>
      </c>
      <c r="G300" s="12" t="s">
        <v>1880</v>
      </c>
      <c r="H300" s="12" t="s">
        <v>1910</v>
      </c>
      <c r="I300" s="12" t="s">
        <v>1911</v>
      </c>
      <c r="J300" s="11" t="s">
        <v>1856</v>
      </c>
      <c r="K300" s="11" t="s">
        <v>1852</v>
      </c>
      <c r="L300" s="11" t="s">
        <v>1853</v>
      </c>
      <c r="M300" s="12" t="s">
        <v>1912</v>
      </c>
      <c r="N300" s="12" t="s">
        <v>1913</v>
      </c>
      <c r="O300" s="11" t="s">
        <v>1859</v>
      </c>
      <c r="P300" s="56"/>
    </row>
    <row r="301" spans="1:16" ht="15.75" customHeight="1" x14ac:dyDescent="0.2">
      <c r="A301" s="49">
        <v>1833</v>
      </c>
      <c r="B301" s="11" t="s">
        <v>1857</v>
      </c>
      <c r="C301" s="11" t="s">
        <v>1849</v>
      </c>
      <c r="D301" s="6" t="s">
        <v>1850</v>
      </c>
      <c r="E301" s="12" t="s">
        <v>1877</v>
      </c>
      <c r="F301" s="12" t="s">
        <v>1877</v>
      </c>
      <c r="G301" s="12" t="s">
        <v>1914</v>
      </c>
      <c r="H301" s="12" t="s">
        <v>1914</v>
      </c>
      <c r="I301" s="12" t="s">
        <v>1915</v>
      </c>
      <c r="J301" s="11" t="s">
        <v>1856</v>
      </c>
      <c r="K301" s="11" t="s">
        <v>1852</v>
      </c>
      <c r="L301" s="11" t="s">
        <v>1853</v>
      </c>
      <c r="M301" s="12" t="s">
        <v>1916</v>
      </c>
      <c r="N301" s="12" t="s">
        <v>1917</v>
      </c>
      <c r="O301" s="11" t="s">
        <v>1858</v>
      </c>
      <c r="P301" s="56"/>
    </row>
    <row r="302" spans="1:16" ht="15.75" customHeight="1" x14ac:dyDescent="0.2">
      <c r="A302" s="49">
        <v>1417</v>
      </c>
      <c r="B302" s="11" t="s">
        <v>1857</v>
      </c>
      <c r="C302" s="11" t="s">
        <v>1849</v>
      </c>
      <c r="D302" s="6" t="s">
        <v>1850</v>
      </c>
      <c r="E302" s="12" t="s">
        <v>1877</v>
      </c>
      <c r="F302" s="12" t="s">
        <v>1877</v>
      </c>
      <c r="G302" s="12" t="s">
        <v>1883</v>
      </c>
      <c r="H302" s="12" t="s">
        <v>1918</v>
      </c>
      <c r="I302" s="12" t="s">
        <v>1919</v>
      </c>
      <c r="J302" s="11" t="s">
        <v>1856</v>
      </c>
      <c r="K302" s="11" t="s">
        <v>1852</v>
      </c>
      <c r="L302" s="11" t="s">
        <v>1853</v>
      </c>
      <c r="M302" s="12" t="s">
        <v>1920</v>
      </c>
      <c r="N302" s="12"/>
      <c r="O302" s="11" t="s">
        <v>1858</v>
      </c>
      <c r="P302" s="56"/>
    </row>
    <row r="303" spans="1:16" ht="15.75" customHeight="1" x14ac:dyDescent="0.2">
      <c r="A303" s="49">
        <v>1461</v>
      </c>
      <c r="B303" s="11" t="s">
        <v>1857</v>
      </c>
      <c r="C303" s="11" t="s">
        <v>1849</v>
      </c>
      <c r="D303" s="6" t="s">
        <v>1850</v>
      </c>
      <c r="E303" s="12" t="s">
        <v>1877</v>
      </c>
      <c r="F303" s="12" t="s">
        <v>1877</v>
      </c>
      <c r="G303" s="12" t="s">
        <v>1883</v>
      </c>
      <c r="H303" s="12" t="s">
        <v>1889</v>
      </c>
      <c r="I303" s="12" t="s">
        <v>1921</v>
      </c>
      <c r="J303" s="11" t="s">
        <v>1856</v>
      </c>
      <c r="K303" s="11" t="s">
        <v>1852</v>
      </c>
      <c r="L303" s="11" t="s">
        <v>1853</v>
      </c>
      <c r="M303" s="12" t="s">
        <v>1922</v>
      </c>
      <c r="N303" s="11" t="s">
        <v>1923</v>
      </c>
      <c r="O303" s="11" t="s">
        <v>1858</v>
      </c>
      <c r="P303" s="56"/>
    </row>
    <row r="304" spans="1:16" ht="15.75" customHeight="1" x14ac:dyDescent="0.2">
      <c r="A304" s="49">
        <v>2132</v>
      </c>
      <c r="B304" s="11" t="s">
        <v>1857</v>
      </c>
      <c r="C304" s="11" t="s">
        <v>1849</v>
      </c>
      <c r="D304" s="6" t="s">
        <v>1850</v>
      </c>
      <c r="E304" s="12" t="s">
        <v>1877</v>
      </c>
      <c r="F304" s="12" t="s">
        <v>1877</v>
      </c>
      <c r="G304" s="12" t="s">
        <v>2623</v>
      </c>
      <c r="H304" s="12" t="s">
        <v>2730</v>
      </c>
      <c r="I304" s="12" t="s">
        <v>2731</v>
      </c>
      <c r="J304" s="11" t="s">
        <v>1856</v>
      </c>
      <c r="K304" s="11" t="s">
        <v>1852</v>
      </c>
      <c r="L304" s="11" t="s">
        <v>1853</v>
      </c>
      <c r="M304" s="12" t="s">
        <v>1854</v>
      </c>
      <c r="N304" s="12"/>
      <c r="O304" s="11" t="s">
        <v>1859</v>
      </c>
      <c r="P304" s="56"/>
    </row>
    <row r="305" spans="1:16" ht="15.75" customHeight="1" x14ac:dyDescent="0.2">
      <c r="A305" s="49">
        <v>1630</v>
      </c>
      <c r="B305" s="11" t="s">
        <v>1857</v>
      </c>
      <c r="C305" s="11" t="s">
        <v>1849</v>
      </c>
      <c r="D305" s="6" t="s">
        <v>1850</v>
      </c>
      <c r="E305" s="12" t="s">
        <v>1877</v>
      </c>
      <c r="F305" s="12" t="s">
        <v>1877</v>
      </c>
      <c r="G305" s="12" t="s">
        <v>2653</v>
      </c>
      <c r="H305" s="12" t="s">
        <v>2732</v>
      </c>
      <c r="I305" s="12" t="s">
        <v>2733</v>
      </c>
      <c r="J305" s="11" t="s">
        <v>1856</v>
      </c>
      <c r="K305" s="11" t="s">
        <v>1852</v>
      </c>
      <c r="L305" s="11" t="s">
        <v>1853</v>
      </c>
      <c r="M305" s="11" t="s">
        <v>2734</v>
      </c>
      <c r="N305" s="12" t="s">
        <v>1902</v>
      </c>
      <c r="O305" s="11" t="s">
        <v>1859</v>
      </c>
      <c r="P305" s="56"/>
    </row>
    <row r="306" spans="1:16" ht="15.75" customHeight="1" x14ac:dyDescent="0.2">
      <c r="A306" s="49">
        <v>1623</v>
      </c>
      <c r="B306" s="11" t="s">
        <v>1857</v>
      </c>
      <c r="C306" s="11" t="s">
        <v>1849</v>
      </c>
      <c r="D306" s="6" t="s">
        <v>1850</v>
      </c>
      <c r="E306" s="12" t="s">
        <v>1877</v>
      </c>
      <c r="F306" s="12" t="s">
        <v>1877</v>
      </c>
      <c r="G306" s="12" t="s">
        <v>2653</v>
      </c>
      <c r="H306" s="12" t="s">
        <v>2732</v>
      </c>
      <c r="I306" s="12" t="s">
        <v>2735</v>
      </c>
      <c r="J306" s="11" t="s">
        <v>1856</v>
      </c>
      <c r="K306" s="11" t="s">
        <v>1852</v>
      </c>
      <c r="L306" s="11" t="s">
        <v>1853</v>
      </c>
      <c r="M306" s="12" t="s">
        <v>1902</v>
      </c>
      <c r="N306" s="12"/>
      <c r="O306" s="11" t="s">
        <v>1859</v>
      </c>
      <c r="P306" s="56"/>
    </row>
    <row r="307" spans="1:16" ht="15.75" customHeight="1" x14ac:dyDescent="0.2">
      <c r="A307" s="49">
        <v>1652</v>
      </c>
      <c r="B307" s="11" t="s">
        <v>1857</v>
      </c>
      <c r="C307" s="11" t="s">
        <v>1849</v>
      </c>
      <c r="D307" s="6" t="s">
        <v>1850</v>
      </c>
      <c r="E307" s="12" t="s">
        <v>1877</v>
      </c>
      <c r="F307" s="12" t="s">
        <v>1877</v>
      </c>
      <c r="G307" s="12" t="s">
        <v>2736</v>
      </c>
      <c r="H307" s="12" t="s">
        <v>2737</v>
      </c>
      <c r="I307" s="12" t="s">
        <v>2738</v>
      </c>
      <c r="J307" s="11" t="s">
        <v>1856</v>
      </c>
      <c r="K307" s="11" t="s">
        <v>1852</v>
      </c>
      <c r="L307" s="11" t="s">
        <v>1853</v>
      </c>
      <c r="M307" s="12" t="s">
        <v>2739</v>
      </c>
      <c r="N307" s="12"/>
      <c r="O307" s="11" t="s">
        <v>1859</v>
      </c>
      <c r="P307" s="56"/>
    </row>
    <row r="308" spans="1:16" ht="15.75" customHeight="1" x14ac:dyDescent="0.2">
      <c r="A308" s="49">
        <v>2010</v>
      </c>
      <c r="B308" s="11" t="s">
        <v>1857</v>
      </c>
      <c r="C308" s="11" t="s">
        <v>1849</v>
      </c>
      <c r="D308" s="6" t="s">
        <v>1850</v>
      </c>
      <c r="E308" s="12" t="s">
        <v>1877</v>
      </c>
      <c r="F308" s="12" t="s">
        <v>1877</v>
      </c>
      <c r="G308" s="12" t="s">
        <v>2649</v>
      </c>
      <c r="H308" s="12" t="s">
        <v>2711</v>
      </c>
      <c r="I308" s="12" t="s">
        <v>2740</v>
      </c>
      <c r="J308" s="11" t="s">
        <v>1856</v>
      </c>
      <c r="K308" s="11" t="s">
        <v>1852</v>
      </c>
      <c r="L308" s="11" t="s">
        <v>1853</v>
      </c>
      <c r="M308" s="12" t="s">
        <v>2741</v>
      </c>
      <c r="N308" s="12" t="s">
        <v>2742</v>
      </c>
      <c r="O308" s="11" t="s">
        <v>1860</v>
      </c>
      <c r="P308" s="56"/>
    </row>
    <row r="309" spans="1:16" ht="15.75" customHeight="1" x14ac:dyDescent="0.2">
      <c r="A309" s="49">
        <v>1492</v>
      </c>
      <c r="B309" s="11" t="s">
        <v>1857</v>
      </c>
      <c r="C309" s="11" t="s">
        <v>1849</v>
      </c>
      <c r="D309" s="6" t="s">
        <v>1850</v>
      </c>
      <c r="E309" s="12" t="s">
        <v>1877</v>
      </c>
      <c r="F309" s="12" t="s">
        <v>1877</v>
      </c>
      <c r="G309" s="12" t="s">
        <v>2658</v>
      </c>
      <c r="H309" s="12" t="s">
        <v>2743</v>
      </c>
      <c r="I309" s="12" t="s">
        <v>2744</v>
      </c>
      <c r="J309" s="11" t="s">
        <v>1856</v>
      </c>
      <c r="K309" s="11" t="s">
        <v>1852</v>
      </c>
      <c r="L309" s="11" t="s">
        <v>1853</v>
      </c>
      <c r="M309" s="12" t="s">
        <v>1854</v>
      </c>
      <c r="N309" s="12"/>
      <c r="O309" s="11" t="s">
        <v>1858</v>
      </c>
      <c r="P309" s="56"/>
    </row>
    <row r="310" spans="1:16" ht="15.75" customHeight="1" x14ac:dyDescent="0.2">
      <c r="A310" s="49">
        <v>1539</v>
      </c>
      <c r="B310" s="11" t="s">
        <v>1857</v>
      </c>
      <c r="C310" s="11" t="s">
        <v>1849</v>
      </c>
      <c r="D310" s="6" t="s">
        <v>1850</v>
      </c>
      <c r="E310" s="12" t="s">
        <v>1877</v>
      </c>
      <c r="F310" s="12" t="s">
        <v>1877</v>
      </c>
      <c r="G310" s="12" t="s">
        <v>2653</v>
      </c>
      <c r="H310" s="12" t="s">
        <v>2669</v>
      </c>
      <c r="I310" s="12" t="s">
        <v>2745</v>
      </c>
      <c r="J310" s="11" t="s">
        <v>1856</v>
      </c>
      <c r="K310" s="11" t="s">
        <v>1852</v>
      </c>
      <c r="L310" s="11" t="s">
        <v>1853</v>
      </c>
      <c r="M310" s="12" t="s">
        <v>2746</v>
      </c>
      <c r="N310" s="12" t="s">
        <v>2747</v>
      </c>
      <c r="O310" s="11" t="s">
        <v>1859</v>
      </c>
      <c r="P310" s="56"/>
    </row>
    <row r="311" spans="1:16" ht="15.75" customHeight="1" x14ac:dyDescent="0.2">
      <c r="A311" s="49">
        <v>1487</v>
      </c>
      <c r="B311" s="11" t="s">
        <v>1857</v>
      </c>
      <c r="C311" s="11" t="s">
        <v>1849</v>
      </c>
      <c r="D311" s="6" t="s">
        <v>1850</v>
      </c>
      <c r="E311" s="12" t="s">
        <v>1877</v>
      </c>
      <c r="F311" s="12" t="s">
        <v>1877</v>
      </c>
      <c r="G311" s="12" t="s">
        <v>2658</v>
      </c>
      <c r="H311" s="12" t="s">
        <v>2682</v>
      </c>
      <c r="I311" s="12" t="s">
        <v>2748</v>
      </c>
      <c r="J311" s="11" t="s">
        <v>1856</v>
      </c>
      <c r="K311" s="11" t="s">
        <v>1852</v>
      </c>
      <c r="L311" s="11" t="s">
        <v>1853</v>
      </c>
      <c r="M311" s="12" t="s">
        <v>2749</v>
      </c>
      <c r="N311" s="12"/>
      <c r="O311" s="11" t="s">
        <v>1859</v>
      </c>
      <c r="P311" s="56"/>
    </row>
    <row r="312" spans="1:16" ht="15.75" customHeight="1" x14ac:dyDescent="0.2">
      <c r="A312" s="49">
        <v>1810</v>
      </c>
      <c r="B312" s="11" t="s">
        <v>1857</v>
      </c>
      <c r="C312" s="11" t="s">
        <v>1849</v>
      </c>
      <c r="D312" s="6" t="s">
        <v>1850</v>
      </c>
      <c r="E312" s="12" t="s">
        <v>1877</v>
      </c>
      <c r="F312" s="12" t="s">
        <v>1877</v>
      </c>
      <c r="G312" s="12" t="s">
        <v>1880</v>
      </c>
      <c r="H312" s="12" t="s">
        <v>1924</v>
      </c>
      <c r="I312" s="12" t="s">
        <v>1925</v>
      </c>
      <c r="J312" s="11" t="s">
        <v>1856</v>
      </c>
      <c r="K312" s="11" t="s">
        <v>1852</v>
      </c>
      <c r="L312" s="11" t="s">
        <v>1853</v>
      </c>
      <c r="M312" s="12" t="s">
        <v>1926</v>
      </c>
      <c r="N312" s="12" t="s">
        <v>1927</v>
      </c>
      <c r="O312" s="11" t="s">
        <v>1859</v>
      </c>
      <c r="P312" s="56"/>
    </row>
    <row r="313" spans="1:16" ht="15.75" customHeight="1" x14ac:dyDescent="0.2">
      <c r="A313" s="49">
        <v>1653</v>
      </c>
      <c r="B313" s="11" t="s">
        <v>1857</v>
      </c>
      <c r="C313" s="11" t="s">
        <v>1849</v>
      </c>
      <c r="D313" s="6" t="s">
        <v>1850</v>
      </c>
      <c r="E313" s="12" t="s">
        <v>1877</v>
      </c>
      <c r="F313" s="12" t="s">
        <v>1877</v>
      </c>
      <c r="G313" s="12" t="s">
        <v>2736</v>
      </c>
      <c r="H313" s="12" t="s">
        <v>2750</v>
      </c>
      <c r="I313" s="12" t="s">
        <v>2751</v>
      </c>
      <c r="J313" s="11" t="s">
        <v>1856</v>
      </c>
      <c r="K313" s="11" t="s">
        <v>1852</v>
      </c>
      <c r="L313" s="11" t="s">
        <v>1853</v>
      </c>
      <c r="M313" s="12" t="s">
        <v>2752</v>
      </c>
      <c r="N313" s="12"/>
      <c r="O313" s="11" t="s">
        <v>1859</v>
      </c>
      <c r="P313" s="56"/>
    </row>
    <row r="314" spans="1:16" ht="15.75" customHeight="1" x14ac:dyDescent="0.2">
      <c r="A314" s="49">
        <v>1893</v>
      </c>
      <c r="B314" s="11" t="s">
        <v>1857</v>
      </c>
      <c r="C314" s="11" t="s">
        <v>1849</v>
      </c>
      <c r="D314" s="6" t="s">
        <v>1850</v>
      </c>
      <c r="E314" s="12" t="s">
        <v>1877</v>
      </c>
      <c r="F314" s="12" t="s">
        <v>1877</v>
      </c>
      <c r="G314" s="12" t="s">
        <v>2656</v>
      </c>
      <c r="H314" s="12" t="s">
        <v>2753</v>
      </c>
      <c r="I314" s="12" t="s">
        <v>2754</v>
      </c>
      <c r="J314" s="11" t="s">
        <v>1856</v>
      </c>
      <c r="K314" s="11" t="s">
        <v>1852</v>
      </c>
      <c r="L314" s="11" t="s">
        <v>1853</v>
      </c>
      <c r="M314" s="12" t="s">
        <v>1854</v>
      </c>
      <c r="N314" s="12"/>
      <c r="O314" s="11" t="s">
        <v>2755</v>
      </c>
      <c r="P314" s="56"/>
    </row>
    <row r="315" spans="1:16" ht="15.75" customHeight="1" x14ac:dyDescent="0.2">
      <c r="A315" s="49">
        <v>6339</v>
      </c>
      <c r="B315" s="11" t="s">
        <v>1857</v>
      </c>
      <c r="C315" s="11" t="s">
        <v>1849</v>
      </c>
      <c r="D315" s="6" t="s">
        <v>1850</v>
      </c>
      <c r="E315" s="12" t="s">
        <v>1877</v>
      </c>
      <c r="F315" s="12" t="s">
        <v>1877</v>
      </c>
      <c r="G315" s="12" t="s">
        <v>1883</v>
      </c>
      <c r="H315" s="12" t="s">
        <v>1895</v>
      </c>
      <c r="I315" s="12" t="s">
        <v>1878</v>
      </c>
      <c r="J315" s="11" t="s">
        <v>1856</v>
      </c>
      <c r="K315" s="11" t="s">
        <v>1852</v>
      </c>
      <c r="L315" s="11" t="s">
        <v>1853</v>
      </c>
      <c r="M315" s="12" t="s">
        <v>1854</v>
      </c>
      <c r="N315" s="12"/>
      <c r="O315" s="11" t="s">
        <v>1859</v>
      </c>
      <c r="P315" s="56"/>
    </row>
    <row r="316" spans="1:16" ht="15.75" customHeight="1" x14ac:dyDescent="0.2">
      <c r="A316" s="49">
        <v>1545</v>
      </c>
      <c r="B316" s="11" t="s">
        <v>1857</v>
      </c>
      <c r="C316" s="11" t="s">
        <v>1849</v>
      </c>
      <c r="D316" s="6" t="s">
        <v>1850</v>
      </c>
      <c r="E316" s="12" t="s">
        <v>1877</v>
      </c>
      <c r="F316" s="12" t="s">
        <v>1877</v>
      </c>
      <c r="G316" s="12" t="s">
        <v>2653</v>
      </c>
      <c r="H316" s="12" t="s">
        <v>2653</v>
      </c>
      <c r="I316" s="12" t="s">
        <v>2756</v>
      </c>
      <c r="J316" s="11" t="s">
        <v>1856</v>
      </c>
      <c r="K316" s="11" t="s">
        <v>1852</v>
      </c>
      <c r="L316" s="11" t="s">
        <v>1853</v>
      </c>
      <c r="M316" s="12" t="s">
        <v>2757</v>
      </c>
      <c r="N316" s="12"/>
      <c r="O316" s="11" t="s">
        <v>1858</v>
      </c>
      <c r="P316" s="56"/>
    </row>
    <row r="317" spans="1:16" ht="15.75" customHeight="1" x14ac:dyDescent="0.2">
      <c r="A317" s="49">
        <v>2083</v>
      </c>
      <c r="B317" s="11" t="s">
        <v>1857</v>
      </c>
      <c r="C317" s="11" t="s">
        <v>1849</v>
      </c>
      <c r="D317" s="6" t="s">
        <v>1850</v>
      </c>
      <c r="E317" s="12" t="s">
        <v>1877</v>
      </c>
      <c r="F317" s="12" t="s">
        <v>1877</v>
      </c>
      <c r="G317" s="12" t="s">
        <v>2623</v>
      </c>
      <c r="H317" s="12" t="s">
        <v>2758</v>
      </c>
      <c r="I317" s="12" t="s">
        <v>2759</v>
      </c>
      <c r="J317" s="11" t="s">
        <v>1856</v>
      </c>
      <c r="K317" s="11" t="s">
        <v>1852</v>
      </c>
      <c r="L317" s="11" t="s">
        <v>1853</v>
      </c>
      <c r="M317" s="12" t="s">
        <v>2760</v>
      </c>
      <c r="N317" s="12"/>
      <c r="O317" s="11" t="s">
        <v>1859</v>
      </c>
      <c r="P317" s="56"/>
    </row>
    <row r="318" spans="1:16" ht="15.75" customHeight="1" x14ac:dyDescent="0.2">
      <c r="A318" s="49">
        <v>1585</v>
      </c>
      <c r="B318" s="11" t="s">
        <v>1857</v>
      </c>
      <c r="C318" s="11" t="s">
        <v>1849</v>
      </c>
      <c r="D318" s="6" t="s">
        <v>1850</v>
      </c>
      <c r="E318" s="12" t="s">
        <v>1877</v>
      </c>
      <c r="F318" s="12" t="s">
        <v>1877</v>
      </c>
      <c r="G318" s="12" t="s">
        <v>2653</v>
      </c>
      <c r="H318" s="12" t="s">
        <v>2653</v>
      </c>
      <c r="I318" s="12" t="s">
        <v>2761</v>
      </c>
      <c r="J318" s="11" t="s">
        <v>1856</v>
      </c>
      <c r="K318" s="11" t="s">
        <v>1852</v>
      </c>
      <c r="L318" s="11" t="s">
        <v>1853</v>
      </c>
      <c r="M318" s="12" t="s">
        <v>1854</v>
      </c>
      <c r="N318" s="12"/>
      <c r="O318" s="11" t="s">
        <v>1858</v>
      </c>
      <c r="P318" s="56"/>
    </row>
    <row r="319" spans="1:16" ht="15.75" customHeight="1" x14ac:dyDescent="0.2">
      <c r="A319" s="49">
        <v>1549</v>
      </c>
      <c r="B319" s="11" t="s">
        <v>1857</v>
      </c>
      <c r="C319" s="11" t="s">
        <v>1849</v>
      </c>
      <c r="D319" s="6" t="s">
        <v>1850</v>
      </c>
      <c r="E319" s="12" t="s">
        <v>1877</v>
      </c>
      <c r="F319" s="12" t="s">
        <v>1877</v>
      </c>
      <c r="G319" s="12" t="s">
        <v>2653</v>
      </c>
      <c r="H319" s="12" t="s">
        <v>2762</v>
      </c>
      <c r="I319" s="12" t="s">
        <v>2763</v>
      </c>
      <c r="J319" s="11" t="s">
        <v>1856</v>
      </c>
      <c r="K319" s="11" t="s">
        <v>1852</v>
      </c>
      <c r="L319" s="11" t="s">
        <v>1853</v>
      </c>
      <c r="M319" s="12" t="s">
        <v>1854</v>
      </c>
      <c r="N319" s="12"/>
      <c r="O319" s="11" t="s">
        <v>1858</v>
      </c>
      <c r="P319" s="56"/>
    </row>
    <row r="320" spans="1:16" ht="15.75" customHeight="1" x14ac:dyDescent="0.2">
      <c r="A320" s="49">
        <v>1466</v>
      </c>
      <c r="B320" s="11" t="s">
        <v>1857</v>
      </c>
      <c r="C320" s="11" t="s">
        <v>1849</v>
      </c>
      <c r="D320" s="6" t="s">
        <v>1850</v>
      </c>
      <c r="E320" s="12" t="s">
        <v>1877</v>
      </c>
      <c r="F320" s="12" t="s">
        <v>1877</v>
      </c>
      <c r="G320" s="12" t="s">
        <v>1883</v>
      </c>
      <c r="H320" s="12" t="s">
        <v>1884</v>
      </c>
      <c r="I320" s="12" t="s">
        <v>1928</v>
      </c>
      <c r="J320" s="11" t="s">
        <v>1856</v>
      </c>
      <c r="K320" s="11" t="s">
        <v>1852</v>
      </c>
      <c r="L320" s="11" t="s">
        <v>1853</v>
      </c>
      <c r="M320" s="12" t="s">
        <v>1929</v>
      </c>
      <c r="N320" s="12" t="s">
        <v>1930</v>
      </c>
      <c r="O320" s="11" t="s">
        <v>1858</v>
      </c>
      <c r="P320" s="56"/>
    </row>
    <row r="321" spans="1:16" ht="15.75" customHeight="1" x14ac:dyDescent="0.2">
      <c r="A321" s="49">
        <v>1900</v>
      </c>
      <c r="B321" s="11" t="s">
        <v>1857</v>
      </c>
      <c r="C321" s="11" t="s">
        <v>1849</v>
      </c>
      <c r="D321" s="6" t="s">
        <v>1850</v>
      </c>
      <c r="E321" s="12" t="s">
        <v>1877</v>
      </c>
      <c r="F321" s="12" t="s">
        <v>1877</v>
      </c>
      <c r="G321" s="12" t="s">
        <v>2656</v>
      </c>
      <c r="H321" s="12" t="s">
        <v>2764</v>
      </c>
      <c r="I321" s="12" t="s">
        <v>2765</v>
      </c>
      <c r="J321" s="11" t="s">
        <v>1856</v>
      </c>
      <c r="K321" s="11" t="s">
        <v>1852</v>
      </c>
      <c r="L321" s="11" t="s">
        <v>1853</v>
      </c>
      <c r="M321" s="12" t="s">
        <v>2766</v>
      </c>
      <c r="N321" s="12" t="s">
        <v>2767</v>
      </c>
      <c r="O321" s="11" t="s">
        <v>2334</v>
      </c>
      <c r="P321" s="56" t="s">
        <v>1863</v>
      </c>
    </row>
    <row r="322" spans="1:16" ht="15.75" customHeight="1" x14ac:dyDescent="0.2">
      <c r="A322" s="49">
        <v>2061</v>
      </c>
      <c r="B322" s="11" t="s">
        <v>1857</v>
      </c>
      <c r="C322" s="11" t="s">
        <v>1849</v>
      </c>
      <c r="D322" s="6" t="s">
        <v>1850</v>
      </c>
      <c r="E322" s="12" t="s">
        <v>1877</v>
      </c>
      <c r="F322" s="12" t="s">
        <v>1877</v>
      </c>
      <c r="G322" s="12" t="s">
        <v>2623</v>
      </c>
      <c r="H322" s="12" t="s">
        <v>2768</v>
      </c>
      <c r="I322" s="12" t="s">
        <v>2769</v>
      </c>
      <c r="J322" s="11" t="s">
        <v>1856</v>
      </c>
      <c r="K322" s="11" t="s">
        <v>1852</v>
      </c>
      <c r="L322" s="11" t="s">
        <v>1853</v>
      </c>
      <c r="M322" s="12" t="s">
        <v>2770</v>
      </c>
      <c r="N322" s="12" t="s">
        <v>2771</v>
      </c>
      <c r="O322" s="11" t="s">
        <v>2772</v>
      </c>
      <c r="P322" s="56"/>
    </row>
    <row r="323" spans="1:16" ht="15.75" customHeight="1" x14ac:dyDescent="0.2">
      <c r="A323" s="49">
        <v>1915</v>
      </c>
      <c r="B323" s="11" t="s">
        <v>1857</v>
      </c>
      <c r="C323" s="11" t="s">
        <v>1849</v>
      </c>
      <c r="D323" s="6" t="s">
        <v>1850</v>
      </c>
      <c r="E323" s="12" t="s">
        <v>1877</v>
      </c>
      <c r="F323" s="12" t="s">
        <v>1877</v>
      </c>
      <c r="G323" s="12" t="s">
        <v>2656</v>
      </c>
      <c r="H323" s="12" t="s">
        <v>2773</v>
      </c>
      <c r="I323" s="12" t="s">
        <v>2774</v>
      </c>
      <c r="J323" s="11" t="s">
        <v>1856</v>
      </c>
      <c r="K323" s="11" t="s">
        <v>1852</v>
      </c>
      <c r="L323" s="11" t="s">
        <v>1853</v>
      </c>
      <c r="M323" s="11" t="s">
        <v>2775</v>
      </c>
      <c r="N323" s="12" t="s">
        <v>2776</v>
      </c>
      <c r="O323" s="11" t="s">
        <v>1867</v>
      </c>
      <c r="P323" s="56" t="s">
        <v>1865</v>
      </c>
    </row>
    <row r="324" spans="1:16" ht="15.75" customHeight="1" x14ac:dyDescent="0.2">
      <c r="A324" s="49">
        <v>2115</v>
      </c>
      <c r="B324" s="11" t="s">
        <v>1857</v>
      </c>
      <c r="C324" s="11" t="s">
        <v>1849</v>
      </c>
      <c r="D324" s="6" t="s">
        <v>1850</v>
      </c>
      <c r="E324" s="12" t="s">
        <v>1877</v>
      </c>
      <c r="F324" s="12" t="s">
        <v>1877</v>
      </c>
      <c r="G324" s="12" t="s">
        <v>2623</v>
      </c>
      <c r="H324" s="12" t="s">
        <v>2777</v>
      </c>
      <c r="I324" s="12" t="s">
        <v>2778</v>
      </c>
      <c r="J324" s="11" t="s">
        <v>1856</v>
      </c>
      <c r="K324" s="11" t="s">
        <v>1852</v>
      </c>
      <c r="L324" s="11" t="s">
        <v>1853</v>
      </c>
      <c r="M324" s="12" t="s">
        <v>2779</v>
      </c>
      <c r="N324" s="12" t="s">
        <v>2780</v>
      </c>
      <c r="O324" s="11" t="s">
        <v>2772</v>
      </c>
      <c r="P324" s="56"/>
    </row>
    <row r="325" spans="1:16" ht="15.75" customHeight="1" x14ac:dyDescent="0.2">
      <c r="A325" s="49">
        <v>1532</v>
      </c>
      <c r="B325" s="11" t="s">
        <v>1857</v>
      </c>
      <c r="C325" s="11" t="s">
        <v>1849</v>
      </c>
      <c r="D325" s="6" t="s">
        <v>1850</v>
      </c>
      <c r="E325" s="12" t="s">
        <v>1877</v>
      </c>
      <c r="F325" s="12" t="s">
        <v>1877</v>
      </c>
      <c r="G325" s="12" t="s">
        <v>2635</v>
      </c>
      <c r="H325" s="12" t="s">
        <v>2781</v>
      </c>
      <c r="I325" s="12" t="s">
        <v>2782</v>
      </c>
      <c r="J325" s="11" t="s">
        <v>1856</v>
      </c>
      <c r="K325" s="11" t="s">
        <v>1852</v>
      </c>
      <c r="L325" s="11" t="s">
        <v>1853</v>
      </c>
      <c r="M325" s="12" t="s">
        <v>2783</v>
      </c>
      <c r="N325" s="12" t="s">
        <v>2784</v>
      </c>
      <c r="O325" s="11" t="s">
        <v>1869</v>
      </c>
      <c r="P325" s="56"/>
    </row>
    <row r="326" spans="1:16" ht="15.75" customHeight="1" x14ac:dyDescent="0.2">
      <c r="A326" s="49">
        <v>1588</v>
      </c>
      <c r="B326" s="11" t="s">
        <v>1857</v>
      </c>
      <c r="C326" s="11" t="s">
        <v>1849</v>
      </c>
      <c r="D326" s="6" t="s">
        <v>1850</v>
      </c>
      <c r="E326" s="12" t="s">
        <v>1877</v>
      </c>
      <c r="F326" s="12" t="s">
        <v>1877</v>
      </c>
      <c r="G326" s="12" t="s">
        <v>2736</v>
      </c>
      <c r="H326" s="12" t="s">
        <v>2785</v>
      </c>
      <c r="I326" s="12" t="s">
        <v>2786</v>
      </c>
      <c r="J326" s="11" t="s">
        <v>1851</v>
      </c>
      <c r="K326" s="11" t="s">
        <v>1852</v>
      </c>
      <c r="L326" s="11" t="s">
        <v>1853</v>
      </c>
      <c r="M326" s="12" t="s">
        <v>2787</v>
      </c>
      <c r="N326" s="12" t="s">
        <v>2788</v>
      </c>
      <c r="O326" s="11" t="s">
        <v>1869</v>
      </c>
      <c r="P326" s="56"/>
    </row>
    <row r="327" spans="1:16" ht="15.75" customHeight="1" x14ac:dyDescent="0.2">
      <c r="A327" s="49">
        <v>1814</v>
      </c>
      <c r="B327" s="11" t="s">
        <v>1857</v>
      </c>
      <c r="C327" s="11" t="s">
        <v>1849</v>
      </c>
      <c r="D327" s="6" t="s">
        <v>1850</v>
      </c>
      <c r="E327" s="12" t="s">
        <v>1877</v>
      </c>
      <c r="F327" s="12" t="s">
        <v>1877</v>
      </c>
      <c r="G327" s="12" t="s">
        <v>1880</v>
      </c>
      <c r="H327" s="12" t="s">
        <v>1890</v>
      </c>
      <c r="I327" s="12" t="s">
        <v>1931</v>
      </c>
      <c r="J327" s="11" t="s">
        <v>1856</v>
      </c>
      <c r="K327" s="11" t="s">
        <v>1852</v>
      </c>
      <c r="L327" s="11" t="s">
        <v>1853</v>
      </c>
      <c r="M327" s="12" t="s">
        <v>1932</v>
      </c>
      <c r="N327" s="12" t="s">
        <v>1933</v>
      </c>
      <c r="O327" s="11" t="s">
        <v>1869</v>
      </c>
      <c r="P327" s="56"/>
    </row>
    <row r="328" spans="1:16" ht="15.75" customHeight="1" x14ac:dyDescent="0.2">
      <c r="A328" s="49">
        <v>1813</v>
      </c>
      <c r="B328" s="11" t="s">
        <v>1857</v>
      </c>
      <c r="C328" s="11" t="s">
        <v>1849</v>
      </c>
      <c r="D328" s="6" t="s">
        <v>1850</v>
      </c>
      <c r="E328" s="12" t="s">
        <v>1877</v>
      </c>
      <c r="F328" s="12" t="s">
        <v>1877</v>
      </c>
      <c r="G328" s="12" t="s">
        <v>1880</v>
      </c>
      <c r="H328" s="12" t="s">
        <v>1924</v>
      </c>
      <c r="I328" s="12" t="s">
        <v>1934</v>
      </c>
      <c r="J328" s="11" t="s">
        <v>1856</v>
      </c>
      <c r="K328" s="11" t="s">
        <v>1852</v>
      </c>
      <c r="L328" s="11" t="s">
        <v>1853</v>
      </c>
      <c r="M328" s="12" t="s">
        <v>1935</v>
      </c>
      <c r="N328" s="12" t="s">
        <v>1936</v>
      </c>
      <c r="O328" s="11" t="s">
        <v>1869</v>
      </c>
      <c r="P328" s="56"/>
    </row>
    <row r="329" spans="1:16" ht="15.75" customHeight="1" x14ac:dyDescent="0.2">
      <c r="A329" s="49">
        <v>1321</v>
      </c>
      <c r="B329" s="11" t="s">
        <v>1857</v>
      </c>
      <c r="C329" s="11" t="s">
        <v>1849</v>
      </c>
      <c r="D329" s="6" t="s">
        <v>1850</v>
      </c>
      <c r="E329" s="12" t="s">
        <v>1877</v>
      </c>
      <c r="F329" s="12" t="s">
        <v>1877</v>
      </c>
      <c r="G329" s="12" t="s">
        <v>2684</v>
      </c>
      <c r="H329" s="12" t="s">
        <v>2789</v>
      </c>
      <c r="I329" s="12" t="s">
        <v>2790</v>
      </c>
      <c r="J329" s="11" t="s">
        <v>1856</v>
      </c>
      <c r="K329" s="11" t="s">
        <v>1852</v>
      </c>
      <c r="L329" s="11" t="s">
        <v>1853</v>
      </c>
      <c r="M329" s="12" t="s">
        <v>2791</v>
      </c>
      <c r="N329" s="12" t="s">
        <v>2792</v>
      </c>
      <c r="O329" s="11" t="s">
        <v>1869</v>
      </c>
      <c r="P329" s="56"/>
    </row>
    <row r="330" spans="1:16" ht="15.75" customHeight="1" x14ac:dyDescent="0.2">
      <c r="A330" s="49">
        <v>1905</v>
      </c>
      <c r="B330" s="11" t="s">
        <v>1857</v>
      </c>
      <c r="C330" s="11" t="s">
        <v>1849</v>
      </c>
      <c r="D330" s="6" t="s">
        <v>1850</v>
      </c>
      <c r="E330" s="12" t="s">
        <v>1877</v>
      </c>
      <c r="F330" s="12" t="s">
        <v>1877</v>
      </c>
      <c r="G330" s="12" t="s">
        <v>2656</v>
      </c>
      <c r="H330" s="12" t="s">
        <v>2793</v>
      </c>
      <c r="I330" s="12" t="s">
        <v>2794</v>
      </c>
      <c r="J330" s="11" t="s">
        <v>1856</v>
      </c>
      <c r="K330" s="11" t="s">
        <v>1852</v>
      </c>
      <c r="L330" s="11" t="s">
        <v>1853</v>
      </c>
      <c r="M330" s="12" t="s">
        <v>2795</v>
      </c>
      <c r="N330" s="12"/>
      <c r="O330" s="11" t="s">
        <v>2334</v>
      </c>
      <c r="P330" s="56" t="s">
        <v>2796</v>
      </c>
    </row>
    <row r="331" spans="1:16" ht="15.75" customHeight="1" x14ac:dyDescent="0.2">
      <c r="A331" s="49">
        <v>1708</v>
      </c>
      <c r="B331" s="11" t="s">
        <v>1857</v>
      </c>
      <c r="C331" s="11" t="s">
        <v>1849</v>
      </c>
      <c r="D331" s="6" t="s">
        <v>1850</v>
      </c>
      <c r="E331" s="12" t="s">
        <v>1877</v>
      </c>
      <c r="F331" s="12" t="s">
        <v>1877</v>
      </c>
      <c r="G331" s="12" t="s">
        <v>2619</v>
      </c>
      <c r="H331" s="12" t="s">
        <v>2631</v>
      </c>
      <c r="I331" s="12" t="s">
        <v>2797</v>
      </c>
      <c r="J331" s="11" t="s">
        <v>1851</v>
      </c>
      <c r="K331" s="11" t="s">
        <v>1852</v>
      </c>
      <c r="L331" s="11" t="s">
        <v>1853</v>
      </c>
      <c r="M331" s="12" t="s">
        <v>2798</v>
      </c>
      <c r="N331" s="12" t="s">
        <v>2799</v>
      </c>
      <c r="O331" s="11" t="s">
        <v>1869</v>
      </c>
      <c r="P331" s="56"/>
    </row>
    <row r="332" spans="1:16" ht="15.75" customHeight="1" x14ac:dyDescent="0.2">
      <c r="A332" s="49">
        <v>1837</v>
      </c>
      <c r="B332" s="11" t="s">
        <v>1857</v>
      </c>
      <c r="C332" s="11" t="s">
        <v>1849</v>
      </c>
      <c r="D332" s="6" t="s">
        <v>1850</v>
      </c>
      <c r="E332" s="12" t="s">
        <v>1877</v>
      </c>
      <c r="F332" s="12" t="s">
        <v>1877</v>
      </c>
      <c r="G332" s="12" t="s">
        <v>1914</v>
      </c>
      <c r="H332" s="12" t="s">
        <v>1937</v>
      </c>
      <c r="I332" s="12" t="s">
        <v>1938</v>
      </c>
      <c r="J332" s="11" t="s">
        <v>1856</v>
      </c>
      <c r="K332" s="11" t="s">
        <v>1852</v>
      </c>
      <c r="L332" s="11" t="s">
        <v>1853</v>
      </c>
      <c r="M332" s="12" t="s">
        <v>1939</v>
      </c>
      <c r="N332" s="12" t="s">
        <v>1940</v>
      </c>
      <c r="O332" s="11" t="s">
        <v>1869</v>
      </c>
      <c r="P332" s="56"/>
    </row>
    <row r="333" spans="1:16" ht="15.75" customHeight="1" x14ac:dyDescent="0.2">
      <c r="A333" s="49">
        <v>1782</v>
      </c>
      <c r="B333" s="11" t="s">
        <v>1857</v>
      </c>
      <c r="C333" s="11" t="s">
        <v>1849</v>
      </c>
      <c r="D333" s="6" t="s">
        <v>1850</v>
      </c>
      <c r="E333" s="12" t="s">
        <v>1877</v>
      </c>
      <c r="F333" s="12" t="s">
        <v>1877</v>
      </c>
      <c r="G333" s="12" t="s">
        <v>2619</v>
      </c>
      <c r="H333" s="12" t="s">
        <v>2661</v>
      </c>
      <c r="I333" s="12" t="s">
        <v>2800</v>
      </c>
      <c r="J333" s="11" t="s">
        <v>1856</v>
      </c>
      <c r="K333" s="11" t="s">
        <v>1852</v>
      </c>
      <c r="L333" s="11" t="s">
        <v>1853</v>
      </c>
      <c r="M333" s="12" t="s">
        <v>2801</v>
      </c>
      <c r="N333" s="12" t="s">
        <v>2802</v>
      </c>
      <c r="O333" s="11" t="s">
        <v>1869</v>
      </c>
      <c r="P333" s="56"/>
    </row>
    <row r="334" spans="1:16" ht="15.75" customHeight="1" x14ac:dyDescent="0.2">
      <c r="A334" s="49">
        <v>1807</v>
      </c>
      <c r="B334" s="11" t="s">
        <v>1857</v>
      </c>
      <c r="C334" s="11" t="s">
        <v>1849</v>
      </c>
      <c r="D334" s="6" t="s">
        <v>1850</v>
      </c>
      <c r="E334" s="12" t="s">
        <v>1877</v>
      </c>
      <c r="F334" s="12" t="s">
        <v>1877</v>
      </c>
      <c r="G334" s="12" t="s">
        <v>1880</v>
      </c>
      <c r="H334" s="12" t="s">
        <v>1941</v>
      </c>
      <c r="I334" s="12" t="s">
        <v>1942</v>
      </c>
      <c r="J334" s="11" t="s">
        <v>1856</v>
      </c>
      <c r="K334" s="11" t="s">
        <v>1852</v>
      </c>
      <c r="L334" s="11" t="s">
        <v>1853</v>
      </c>
      <c r="M334" s="12" t="s">
        <v>1854</v>
      </c>
      <c r="N334" s="12"/>
      <c r="O334" s="11" t="s">
        <v>1858</v>
      </c>
      <c r="P334" s="56"/>
    </row>
    <row r="335" spans="1:16" ht="15.75" customHeight="1" x14ac:dyDescent="0.2">
      <c r="A335" s="49">
        <v>1885</v>
      </c>
      <c r="B335" s="11" t="s">
        <v>1857</v>
      </c>
      <c r="C335" s="11" t="s">
        <v>1849</v>
      </c>
      <c r="D335" s="6" t="s">
        <v>1850</v>
      </c>
      <c r="E335" s="12" t="s">
        <v>1877</v>
      </c>
      <c r="F335" s="12" t="s">
        <v>1877</v>
      </c>
      <c r="G335" s="12" t="s">
        <v>2656</v>
      </c>
      <c r="H335" s="12" t="s">
        <v>2773</v>
      </c>
      <c r="I335" s="12" t="s">
        <v>2803</v>
      </c>
      <c r="J335" s="11" t="s">
        <v>1856</v>
      </c>
      <c r="K335" s="11" t="s">
        <v>1852</v>
      </c>
      <c r="L335" s="11" t="s">
        <v>1853</v>
      </c>
      <c r="M335" s="12" t="s">
        <v>2804</v>
      </c>
      <c r="N335" s="12" t="s">
        <v>2805</v>
      </c>
      <c r="O335" s="11" t="s">
        <v>1859</v>
      </c>
      <c r="P335" s="56"/>
    </row>
    <row r="336" spans="1:16" ht="15.75" customHeight="1" x14ac:dyDescent="0.2">
      <c r="A336" s="49">
        <v>1917</v>
      </c>
      <c r="B336" s="11" t="s">
        <v>1857</v>
      </c>
      <c r="C336" s="11" t="s">
        <v>1849</v>
      </c>
      <c r="D336" s="6" t="s">
        <v>1850</v>
      </c>
      <c r="E336" s="12" t="s">
        <v>1877</v>
      </c>
      <c r="F336" s="12" t="s">
        <v>1877</v>
      </c>
      <c r="G336" s="12" t="s">
        <v>2656</v>
      </c>
      <c r="H336" s="12" t="s">
        <v>2773</v>
      </c>
      <c r="I336" s="12" t="s">
        <v>2806</v>
      </c>
      <c r="J336" s="11" t="s">
        <v>1856</v>
      </c>
      <c r="K336" s="11" t="s">
        <v>1852</v>
      </c>
      <c r="L336" s="11" t="s">
        <v>1853</v>
      </c>
      <c r="M336" s="12" t="s">
        <v>2807</v>
      </c>
      <c r="N336" s="12"/>
      <c r="O336" s="11" t="s">
        <v>1859</v>
      </c>
      <c r="P336" s="56"/>
    </row>
    <row r="337" spans="1:16" ht="15.75" customHeight="1" x14ac:dyDescent="0.2">
      <c r="A337" s="49">
        <v>1841</v>
      </c>
      <c r="B337" s="11" t="s">
        <v>1857</v>
      </c>
      <c r="C337" s="11" t="s">
        <v>1849</v>
      </c>
      <c r="D337" s="6" t="s">
        <v>1850</v>
      </c>
      <c r="E337" s="12" t="s">
        <v>1877</v>
      </c>
      <c r="F337" s="12" t="s">
        <v>1877</v>
      </c>
      <c r="G337" s="12" t="s">
        <v>1914</v>
      </c>
      <c r="H337" s="12" t="s">
        <v>1943</v>
      </c>
      <c r="I337" s="12" t="s">
        <v>1944</v>
      </c>
      <c r="J337" s="11" t="s">
        <v>1856</v>
      </c>
      <c r="K337" s="11" t="s">
        <v>1852</v>
      </c>
      <c r="L337" s="11" t="s">
        <v>1853</v>
      </c>
      <c r="M337" s="12" t="s">
        <v>1945</v>
      </c>
      <c r="N337" s="12"/>
      <c r="O337" s="11" t="s">
        <v>1859</v>
      </c>
      <c r="P337" s="56"/>
    </row>
    <row r="338" spans="1:16" ht="15.75" customHeight="1" x14ac:dyDescent="0.2">
      <c r="A338" s="49">
        <v>1625</v>
      </c>
      <c r="B338" s="11" t="s">
        <v>1857</v>
      </c>
      <c r="C338" s="11" t="s">
        <v>1849</v>
      </c>
      <c r="D338" s="6" t="s">
        <v>1850</v>
      </c>
      <c r="E338" s="12" t="s">
        <v>1877</v>
      </c>
      <c r="F338" s="12" t="s">
        <v>1877</v>
      </c>
      <c r="G338" s="12" t="s">
        <v>2653</v>
      </c>
      <c r="H338" s="12" t="s">
        <v>2728</v>
      </c>
      <c r="I338" s="12" t="s">
        <v>2808</v>
      </c>
      <c r="J338" s="11" t="s">
        <v>1856</v>
      </c>
      <c r="K338" s="11" t="s">
        <v>1852</v>
      </c>
      <c r="L338" s="11" t="s">
        <v>1853</v>
      </c>
      <c r="M338" s="12" t="s">
        <v>2809</v>
      </c>
      <c r="N338" s="12" t="s">
        <v>2810</v>
      </c>
      <c r="O338" s="11" t="s">
        <v>2755</v>
      </c>
      <c r="P338" s="56"/>
    </row>
    <row r="339" spans="1:16" ht="15.75" customHeight="1" x14ac:dyDescent="0.2">
      <c r="A339" s="49">
        <v>1458</v>
      </c>
      <c r="B339" s="11" t="s">
        <v>1857</v>
      </c>
      <c r="C339" s="11" t="s">
        <v>1849</v>
      </c>
      <c r="D339" s="6" t="s">
        <v>1850</v>
      </c>
      <c r="E339" s="12" t="s">
        <v>1877</v>
      </c>
      <c r="F339" s="12" t="s">
        <v>1877</v>
      </c>
      <c r="G339" s="12" t="s">
        <v>1883</v>
      </c>
      <c r="H339" s="12" t="s">
        <v>1946</v>
      </c>
      <c r="I339" s="12" t="s">
        <v>1947</v>
      </c>
      <c r="J339" s="11" t="s">
        <v>1856</v>
      </c>
      <c r="K339" s="11" t="s">
        <v>1852</v>
      </c>
      <c r="L339" s="11" t="s">
        <v>1853</v>
      </c>
      <c r="M339" s="12" t="s">
        <v>1948</v>
      </c>
      <c r="N339" s="12" t="s">
        <v>1949</v>
      </c>
      <c r="O339" s="11" t="s">
        <v>1858</v>
      </c>
      <c r="P339" s="56"/>
    </row>
    <row r="340" spans="1:16" ht="15.75" customHeight="1" x14ac:dyDescent="0.2">
      <c r="A340" s="49">
        <v>1301</v>
      </c>
      <c r="B340" s="11" t="s">
        <v>1857</v>
      </c>
      <c r="C340" s="11" t="s">
        <v>1849</v>
      </c>
      <c r="D340" s="6" t="s">
        <v>1850</v>
      </c>
      <c r="E340" s="12" t="s">
        <v>1877</v>
      </c>
      <c r="F340" s="12" t="s">
        <v>1877</v>
      </c>
      <c r="G340" s="12" t="s">
        <v>2684</v>
      </c>
      <c r="H340" s="12" t="s">
        <v>2811</v>
      </c>
      <c r="I340" s="12" t="s">
        <v>2812</v>
      </c>
      <c r="J340" s="11" t="s">
        <v>1856</v>
      </c>
      <c r="K340" s="11" t="s">
        <v>1852</v>
      </c>
      <c r="L340" s="11" t="s">
        <v>1853</v>
      </c>
      <c r="M340" s="12" t="s">
        <v>2813</v>
      </c>
      <c r="N340" s="12"/>
      <c r="O340" s="11" t="s">
        <v>1860</v>
      </c>
      <c r="P340" s="56"/>
    </row>
    <row r="341" spans="1:16" ht="15.75" customHeight="1" x14ac:dyDescent="0.2">
      <c r="A341" s="49">
        <v>1431</v>
      </c>
      <c r="B341" s="11" t="s">
        <v>1857</v>
      </c>
      <c r="C341" s="11" t="s">
        <v>1849</v>
      </c>
      <c r="D341" s="6" t="s">
        <v>1850</v>
      </c>
      <c r="E341" s="12" t="s">
        <v>1877</v>
      </c>
      <c r="F341" s="12" t="s">
        <v>1877</v>
      </c>
      <c r="G341" s="12" t="s">
        <v>1883</v>
      </c>
      <c r="H341" s="12" t="s">
        <v>1950</v>
      </c>
      <c r="I341" s="12" t="s">
        <v>1951</v>
      </c>
      <c r="J341" s="11" t="s">
        <v>1856</v>
      </c>
      <c r="K341" s="11" t="s">
        <v>1852</v>
      </c>
      <c r="L341" s="11" t="s">
        <v>1853</v>
      </c>
      <c r="M341" s="12" t="s">
        <v>1952</v>
      </c>
      <c r="N341" s="12"/>
      <c r="O341" s="11" t="s">
        <v>1858</v>
      </c>
      <c r="P341" s="56"/>
    </row>
    <row r="342" spans="1:16" ht="15.75" customHeight="1" x14ac:dyDescent="0.2">
      <c r="A342" s="49">
        <v>1921</v>
      </c>
      <c r="B342" s="11" t="s">
        <v>1857</v>
      </c>
      <c r="C342" s="11" t="s">
        <v>1849</v>
      </c>
      <c r="D342" s="6" t="s">
        <v>1850</v>
      </c>
      <c r="E342" s="12" t="s">
        <v>1877</v>
      </c>
      <c r="F342" s="12" t="s">
        <v>1877</v>
      </c>
      <c r="G342" s="12" t="s">
        <v>2656</v>
      </c>
      <c r="H342" s="12" t="s">
        <v>2657</v>
      </c>
      <c r="I342" s="12" t="s">
        <v>2814</v>
      </c>
      <c r="J342" s="11" t="s">
        <v>1856</v>
      </c>
      <c r="K342" s="11" t="s">
        <v>1852</v>
      </c>
      <c r="L342" s="11" t="s">
        <v>1853</v>
      </c>
      <c r="M342" s="12" t="s">
        <v>2815</v>
      </c>
      <c r="N342" s="12"/>
      <c r="O342" s="11" t="s">
        <v>1859</v>
      </c>
      <c r="P342" s="56"/>
    </row>
    <row r="343" spans="1:16" ht="15.75" customHeight="1" x14ac:dyDescent="0.2">
      <c r="A343" s="49">
        <v>1902</v>
      </c>
      <c r="B343" s="11" t="s">
        <v>1857</v>
      </c>
      <c r="C343" s="11" t="s">
        <v>1849</v>
      </c>
      <c r="D343" s="6" t="s">
        <v>1850</v>
      </c>
      <c r="E343" s="12" t="s">
        <v>1877</v>
      </c>
      <c r="F343" s="12" t="s">
        <v>1877</v>
      </c>
      <c r="G343" s="12" t="s">
        <v>2656</v>
      </c>
      <c r="H343" s="12" t="s">
        <v>2764</v>
      </c>
      <c r="I343" s="12" t="s">
        <v>2816</v>
      </c>
      <c r="J343" s="11" t="s">
        <v>1856</v>
      </c>
      <c r="K343" s="11" t="s">
        <v>1852</v>
      </c>
      <c r="L343" s="11" t="s">
        <v>1853</v>
      </c>
      <c r="M343" s="12" t="s">
        <v>1854</v>
      </c>
      <c r="N343" s="12"/>
      <c r="O343" s="11" t="s">
        <v>1859</v>
      </c>
      <c r="P343" s="56"/>
    </row>
    <row r="344" spans="1:16" ht="15.75" customHeight="1" x14ac:dyDescent="0.2">
      <c r="A344" s="49">
        <v>1440</v>
      </c>
      <c r="B344" s="11" t="s">
        <v>1857</v>
      </c>
      <c r="C344" s="11" t="s">
        <v>1849</v>
      </c>
      <c r="D344" s="6" t="s">
        <v>1850</v>
      </c>
      <c r="E344" s="12" t="s">
        <v>1877</v>
      </c>
      <c r="F344" s="12" t="s">
        <v>1877</v>
      </c>
      <c r="G344" s="12" t="s">
        <v>1883</v>
      </c>
      <c r="H344" s="12" t="s">
        <v>1946</v>
      </c>
      <c r="I344" s="12" t="s">
        <v>1953</v>
      </c>
      <c r="J344" s="11" t="s">
        <v>1851</v>
      </c>
      <c r="K344" s="11" t="s">
        <v>1852</v>
      </c>
      <c r="L344" s="11" t="s">
        <v>1853</v>
      </c>
      <c r="M344" s="12" t="s">
        <v>1954</v>
      </c>
      <c r="N344" s="12" t="s">
        <v>1955</v>
      </c>
      <c r="O344" s="11" t="s">
        <v>1866</v>
      </c>
      <c r="P344" s="56" t="s">
        <v>1956</v>
      </c>
    </row>
    <row r="345" spans="1:16" ht="15.75" customHeight="1" x14ac:dyDescent="0.2">
      <c r="A345" s="49">
        <v>1633</v>
      </c>
      <c r="B345" s="11" t="s">
        <v>1857</v>
      </c>
      <c r="C345" s="11" t="s">
        <v>1849</v>
      </c>
      <c r="D345" s="6" t="s">
        <v>1850</v>
      </c>
      <c r="E345" s="12" t="s">
        <v>1877</v>
      </c>
      <c r="F345" s="12" t="s">
        <v>1877</v>
      </c>
      <c r="G345" s="12" t="s">
        <v>2653</v>
      </c>
      <c r="H345" s="12" t="s">
        <v>2677</v>
      </c>
      <c r="I345" s="12" t="s">
        <v>2817</v>
      </c>
      <c r="J345" s="11" t="s">
        <v>1856</v>
      </c>
      <c r="K345" s="11" t="s">
        <v>1852</v>
      </c>
      <c r="L345" s="11" t="s">
        <v>1853</v>
      </c>
      <c r="M345" s="12" t="s">
        <v>2818</v>
      </c>
      <c r="N345" s="12"/>
      <c r="O345" s="11" t="s">
        <v>1864</v>
      </c>
      <c r="P345" s="56" t="s">
        <v>2819</v>
      </c>
    </row>
    <row r="346" spans="1:16" ht="15.75" customHeight="1" x14ac:dyDescent="0.2">
      <c r="A346" s="49">
        <v>1750</v>
      </c>
      <c r="B346" s="11" t="s">
        <v>1857</v>
      </c>
      <c r="C346" s="11" t="s">
        <v>1849</v>
      </c>
      <c r="D346" s="6" t="s">
        <v>1850</v>
      </c>
      <c r="E346" s="12" t="s">
        <v>1877</v>
      </c>
      <c r="F346" s="12" t="s">
        <v>1877</v>
      </c>
      <c r="G346" s="12" t="s">
        <v>2619</v>
      </c>
      <c r="H346" s="12" t="s">
        <v>2820</v>
      </c>
      <c r="I346" s="12" t="s">
        <v>2821</v>
      </c>
      <c r="J346" s="11" t="s">
        <v>1851</v>
      </c>
      <c r="K346" s="11" t="s">
        <v>1852</v>
      </c>
      <c r="L346" s="11" t="s">
        <v>1853</v>
      </c>
      <c r="M346" s="12" t="s">
        <v>2822</v>
      </c>
      <c r="N346" s="12"/>
      <c r="O346" s="11" t="s">
        <v>1866</v>
      </c>
      <c r="P346" s="56" t="s">
        <v>2823</v>
      </c>
    </row>
    <row r="347" spans="1:16" ht="15.75" customHeight="1" x14ac:dyDescent="0.2">
      <c r="A347" s="49">
        <v>2135</v>
      </c>
      <c r="B347" s="11" t="s">
        <v>1857</v>
      </c>
      <c r="C347" s="11" t="s">
        <v>1849</v>
      </c>
      <c r="D347" s="6" t="s">
        <v>1850</v>
      </c>
      <c r="E347" s="12" t="s">
        <v>1877</v>
      </c>
      <c r="F347" s="12" t="s">
        <v>1877</v>
      </c>
      <c r="G347" s="12" t="s">
        <v>2623</v>
      </c>
      <c r="H347" s="12" t="s">
        <v>2768</v>
      </c>
      <c r="I347" s="12" t="s">
        <v>2824</v>
      </c>
      <c r="J347" s="11" t="s">
        <v>1856</v>
      </c>
      <c r="K347" s="11" t="s">
        <v>1852</v>
      </c>
      <c r="L347" s="11" t="s">
        <v>1853</v>
      </c>
      <c r="M347" s="12" t="s">
        <v>2316</v>
      </c>
      <c r="N347" s="12" t="s">
        <v>2825</v>
      </c>
      <c r="O347" s="11" t="s">
        <v>1859</v>
      </c>
      <c r="P347" s="56"/>
    </row>
    <row r="348" spans="1:16" ht="15.75" customHeight="1" x14ac:dyDescent="0.2">
      <c r="A348" s="49">
        <v>1483</v>
      </c>
      <c r="B348" s="11" t="s">
        <v>1857</v>
      </c>
      <c r="C348" s="11" t="s">
        <v>1849</v>
      </c>
      <c r="D348" s="6" t="s">
        <v>1850</v>
      </c>
      <c r="E348" s="12" t="s">
        <v>1877</v>
      </c>
      <c r="F348" s="12" t="s">
        <v>1877</v>
      </c>
      <c r="G348" s="12" t="s">
        <v>2658</v>
      </c>
      <c r="H348" s="12" t="s">
        <v>2659</v>
      </c>
      <c r="I348" s="12" t="s">
        <v>2826</v>
      </c>
      <c r="J348" s="11" t="s">
        <v>1856</v>
      </c>
      <c r="K348" s="11" t="s">
        <v>1852</v>
      </c>
      <c r="L348" s="11" t="s">
        <v>1853</v>
      </c>
      <c r="M348" s="12" t="s">
        <v>2827</v>
      </c>
      <c r="N348" s="12"/>
      <c r="O348" s="11" t="s">
        <v>1858</v>
      </c>
      <c r="P348" s="56"/>
    </row>
    <row r="349" spans="1:16" ht="15.75" customHeight="1" x14ac:dyDescent="0.2">
      <c r="A349" s="49">
        <v>1482</v>
      </c>
      <c r="B349" s="11" t="s">
        <v>1857</v>
      </c>
      <c r="C349" s="11" t="s">
        <v>1849</v>
      </c>
      <c r="D349" s="6" t="s">
        <v>1850</v>
      </c>
      <c r="E349" s="12" t="s">
        <v>1877</v>
      </c>
      <c r="F349" s="12" t="s">
        <v>1877</v>
      </c>
      <c r="G349" s="12" t="s">
        <v>2658</v>
      </c>
      <c r="H349" s="12" t="s">
        <v>2659</v>
      </c>
      <c r="I349" s="12" t="s">
        <v>1663</v>
      </c>
      <c r="J349" s="11" t="s">
        <v>1856</v>
      </c>
      <c r="K349" s="11" t="s">
        <v>1852</v>
      </c>
      <c r="L349" s="11" t="s">
        <v>1853</v>
      </c>
      <c r="M349" s="12" t="s">
        <v>1854</v>
      </c>
      <c r="N349" s="12"/>
      <c r="O349" s="11" t="s">
        <v>1859</v>
      </c>
      <c r="P349" s="56"/>
    </row>
    <row r="350" spans="1:16" ht="15.75" customHeight="1" x14ac:dyDescent="0.2">
      <c r="A350" s="49">
        <v>2092</v>
      </c>
      <c r="B350" s="11" t="s">
        <v>1857</v>
      </c>
      <c r="C350" s="11" t="s">
        <v>1849</v>
      </c>
      <c r="D350" s="6" t="s">
        <v>1850</v>
      </c>
      <c r="E350" s="12" t="s">
        <v>1877</v>
      </c>
      <c r="F350" s="12" t="s">
        <v>1877</v>
      </c>
      <c r="G350" s="12" t="s">
        <v>2623</v>
      </c>
      <c r="H350" s="12" t="s">
        <v>2777</v>
      </c>
      <c r="I350" s="12" t="s">
        <v>2828</v>
      </c>
      <c r="J350" s="11" t="s">
        <v>1856</v>
      </c>
      <c r="K350" s="11" t="s">
        <v>1852</v>
      </c>
      <c r="L350" s="11" t="s">
        <v>1853</v>
      </c>
      <c r="M350" s="12" t="s">
        <v>2829</v>
      </c>
      <c r="N350" s="12"/>
      <c r="O350" s="11" t="s">
        <v>1859</v>
      </c>
      <c r="P350" s="56"/>
    </row>
    <row r="351" spans="1:16" ht="15.75" customHeight="1" x14ac:dyDescent="0.2">
      <c r="A351" s="49">
        <v>2116</v>
      </c>
      <c r="B351" s="11" t="s">
        <v>1857</v>
      </c>
      <c r="C351" s="11" t="s">
        <v>1849</v>
      </c>
      <c r="D351" s="6" t="s">
        <v>1850</v>
      </c>
      <c r="E351" s="12" t="s">
        <v>1877</v>
      </c>
      <c r="F351" s="12" t="s">
        <v>1877</v>
      </c>
      <c r="G351" s="12" t="s">
        <v>2623</v>
      </c>
      <c r="H351" s="12" t="s">
        <v>2777</v>
      </c>
      <c r="I351" s="12" t="s">
        <v>2830</v>
      </c>
      <c r="J351" s="11" t="s">
        <v>1856</v>
      </c>
      <c r="K351" s="11" t="s">
        <v>1852</v>
      </c>
      <c r="L351" s="11" t="s">
        <v>1853</v>
      </c>
      <c r="M351" s="12" t="s">
        <v>2831</v>
      </c>
      <c r="N351" s="12" t="s">
        <v>2831</v>
      </c>
      <c r="O351" s="11" t="s">
        <v>1859</v>
      </c>
      <c r="P351" s="56"/>
    </row>
    <row r="352" spans="1:16" ht="15.75" customHeight="1" x14ac:dyDescent="0.2">
      <c r="A352" s="49">
        <v>1920</v>
      </c>
      <c r="B352" s="11" t="s">
        <v>1857</v>
      </c>
      <c r="C352" s="11" t="s">
        <v>1849</v>
      </c>
      <c r="D352" s="6" t="s">
        <v>1850</v>
      </c>
      <c r="E352" s="12" t="s">
        <v>1877</v>
      </c>
      <c r="F352" s="12" t="s">
        <v>1877</v>
      </c>
      <c r="G352" s="12" t="s">
        <v>2656</v>
      </c>
      <c r="H352" s="12" t="s">
        <v>2657</v>
      </c>
      <c r="I352" s="12" t="s">
        <v>2832</v>
      </c>
      <c r="J352" s="11" t="s">
        <v>1856</v>
      </c>
      <c r="K352" s="11" t="s">
        <v>1852</v>
      </c>
      <c r="L352" s="11" t="s">
        <v>1853</v>
      </c>
      <c r="M352" s="12" t="s">
        <v>2698</v>
      </c>
      <c r="N352" s="12"/>
      <c r="O352" s="11" t="s">
        <v>1859</v>
      </c>
      <c r="P352" s="56"/>
    </row>
    <row r="353" spans="1:16" ht="15.75" customHeight="1" x14ac:dyDescent="0.2">
      <c r="A353" s="49">
        <v>2075</v>
      </c>
      <c r="B353" s="11" t="s">
        <v>1857</v>
      </c>
      <c r="C353" s="11" t="s">
        <v>1849</v>
      </c>
      <c r="D353" s="6" t="s">
        <v>1850</v>
      </c>
      <c r="E353" s="12" t="s">
        <v>1877</v>
      </c>
      <c r="F353" s="12" t="s">
        <v>1877</v>
      </c>
      <c r="G353" s="12" t="s">
        <v>2623</v>
      </c>
      <c r="H353" s="12" t="s">
        <v>2777</v>
      </c>
      <c r="I353" s="12" t="s">
        <v>2833</v>
      </c>
      <c r="J353" s="11" t="s">
        <v>1856</v>
      </c>
      <c r="K353" s="11" t="s">
        <v>1852</v>
      </c>
      <c r="L353" s="11" t="s">
        <v>1853</v>
      </c>
      <c r="M353" s="12" t="s">
        <v>2834</v>
      </c>
      <c r="N353" s="12"/>
      <c r="O353" s="11" t="s">
        <v>1858</v>
      </c>
      <c r="P353" s="56"/>
    </row>
    <row r="354" spans="1:16" ht="15.75" customHeight="1" x14ac:dyDescent="0.2">
      <c r="A354" s="49">
        <v>1643</v>
      </c>
      <c r="B354" s="11" t="s">
        <v>1857</v>
      </c>
      <c r="C354" s="11" t="s">
        <v>1849</v>
      </c>
      <c r="D354" s="6" t="s">
        <v>1850</v>
      </c>
      <c r="E354" s="12" t="s">
        <v>1877</v>
      </c>
      <c r="F354" s="12" t="s">
        <v>1877</v>
      </c>
      <c r="G354" s="12" t="s">
        <v>2653</v>
      </c>
      <c r="H354" s="12" t="s">
        <v>2835</v>
      </c>
      <c r="I354" s="12" t="s">
        <v>2836</v>
      </c>
      <c r="J354" s="11" t="s">
        <v>1856</v>
      </c>
      <c r="K354" s="11" t="s">
        <v>1852</v>
      </c>
      <c r="L354" s="11" t="s">
        <v>1853</v>
      </c>
      <c r="M354" s="12" t="s">
        <v>2837</v>
      </c>
      <c r="N354" s="12"/>
      <c r="O354" s="11" t="s">
        <v>1859</v>
      </c>
      <c r="P354" s="56"/>
    </row>
    <row r="355" spans="1:16" ht="15.75" customHeight="1" x14ac:dyDescent="0.2">
      <c r="A355" s="49">
        <v>1741</v>
      </c>
      <c r="B355" s="11" t="s">
        <v>1857</v>
      </c>
      <c r="C355" s="11" t="s">
        <v>1849</v>
      </c>
      <c r="D355" s="6" t="s">
        <v>1850</v>
      </c>
      <c r="E355" s="12" t="s">
        <v>1877</v>
      </c>
      <c r="F355" s="12" t="s">
        <v>1877</v>
      </c>
      <c r="G355" s="12" t="s">
        <v>2619</v>
      </c>
      <c r="H355" s="12" t="s">
        <v>1877</v>
      </c>
      <c r="I355" s="12" t="s">
        <v>2838</v>
      </c>
      <c r="J355" s="11" t="s">
        <v>1856</v>
      </c>
      <c r="K355" s="11" t="s">
        <v>1852</v>
      </c>
      <c r="L355" s="11" t="s">
        <v>1853</v>
      </c>
      <c r="M355" s="12" t="s">
        <v>2839</v>
      </c>
      <c r="N355" s="12"/>
      <c r="O355" s="11" t="s">
        <v>1858</v>
      </c>
      <c r="P355" s="56"/>
    </row>
    <row r="356" spans="1:16" ht="15.75" customHeight="1" x14ac:dyDescent="0.2">
      <c r="A356" s="49">
        <v>1310</v>
      </c>
      <c r="B356" s="11" t="s">
        <v>1857</v>
      </c>
      <c r="C356" s="11" t="s">
        <v>1849</v>
      </c>
      <c r="D356" s="6" t="s">
        <v>1850</v>
      </c>
      <c r="E356" s="12" t="s">
        <v>1877</v>
      </c>
      <c r="F356" s="12" t="s">
        <v>1877</v>
      </c>
      <c r="G356" s="12" t="s">
        <v>2684</v>
      </c>
      <c r="H356" s="12" t="s">
        <v>2840</v>
      </c>
      <c r="I356" s="12" t="s">
        <v>2841</v>
      </c>
      <c r="J356" s="11" t="s">
        <v>1856</v>
      </c>
      <c r="K356" s="11" t="s">
        <v>1852</v>
      </c>
      <c r="L356" s="11" t="s">
        <v>1853</v>
      </c>
      <c r="M356" s="12" t="s">
        <v>2842</v>
      </c>
      <c r="N356" s="12" t="s">
        <v>2842</v>
      </c>
      <c r="O356" s="11" t="s">
        <v>1869</v>
      </c>
      <c r="P356" s="56"/>
    </row>
    <row r="357" spans="1:16" ht="15.75" customHeight="1" x14ac:dyDescent="0.2">
      <c r="A357" s="49">
        <v>1840</v>
      </c>
      <c r="B357" s="11" t="s">
        <v>1857</v>
      </c>
      <c r="C357" s="11" t="s">
        <v>1849</v>
      </c>
      <c r="D357" s="6" t="s">
        <v>1850</v>
      </c>
      <c r="E357" s="12" t="s">
        <v>1877</v>
      </c>
      <c r="F357" s="12" t="s">
        <v>1877</v>
      </c>
      <c r="G357" s="12" t="s">
        <v>1914</v>
      </c>
      <c r="H357" s="12" t="s">
        <v>1937</v>
      </c>
      <c r="I357" s="12" t="s">
        <v>1957</v>
      </c>
      <c r="J357" s="11" t="s">
        <v>1856</v>
      </c>
      <c r="K357" s="11" t="s">
        <v>1852</v>
      </c>
      <c r="L357" s="11" t="s">
        <v>1853</v>
      </c>
      <c r="M357" s="12" t="s">
        <v>1958</v>
      </c>
      <c r="N357" s="12"/>
      <c r="O357" s="11" t="s">
        <v>1859</v>
      </c>
      <c r="P357" s="56"/>
    </row>
    <row r="358" spans="1:16" ht="15.75" customHeight="1" x14ac:dyDescent="0.2">
      <c r="A358" s="49">
        <v>1743</v>
      </c>
      <c r="B358" s="11" t="s">
        <v>1857</v>
      </c>
      <c r="C358" s="11" t="s">
        <v>1849</v>
      </c>
      <c r="D358" s="6" t="s">
        <v>1850</v>
      </c>
      <c r="E358" s="12" t="s">
        <v>1877</v>
      </c>
      <c r="F358" s="12" t="s">
        <v>1877</v>
      </c>
      <c r="G358" s="12" t="s">
        <v>2619</v>
      </c>
      <c r="H358" s="12" t="s">
        <v>1877</v>
      </c>
      <c r="I358" s="12" t="s">
        <v>2843</v>
      </c>
      <c r="J358" s="11" t="s">
        <v>1856</v>
      </c>
      <c r="K358" s="11" t="s">
        <v>1852</v>
      </c>
      <c r="L358" s="11" t="s">
        <v>1853</v>
      </c>
      <c r="M358" s="12" t="s">
        <v>2844</v>
      </c>
      <c r="N358" s="12"/>
      <c r="O358" s="11" t="s">
        <v>1860</v>
      </c>
      <c r="P358" s="56"/>
    </row>
    <row r="359" spans="1:16" ht="15.75" customHeight="1" x14ac:dyDescent="0.2">
      <c r="A359" s="49">
        <v>1453</v>
      </c>
      <c r="B359" s="11" t="s">
        <v>1857</v>
      </c>
      <c r="C359" s="11" t="s">
        <v>1849</v>
      </c>
      <c r="D359" s="6" t="s">
        <v>1850</v>
      </c>
      <c r="E359" s="12" t="s">
        <v>1877</v>
      </c>
      <c r="F359" s="12" t="s">
        <v>1877</v>
      </c>
      <c r="G359" s="12" t="s">
        <v>1883</v>
      </c>
      <c r="H359" s="12" t="s">
        <v>1946</v>
      </c>
      <c r="I359" s="12" t="s">
        <v>1959</v>
      </c>
      <c r="J359" s="11" t="s">
        <v>1856</v>
      </c>
      <c r="K359" s="11" t="s">
        <v>1852</v>
      </c>
      <c r="L359" s="11" t="s">
        <v>1853</v>
      </c>
      <c r="M359" s="12" t="s">
        <v>1960</v>
      </c>
      <c r="N359" s="12"/>
      <c r="O359" s="11" t="s">
        <v>1858</v>
      </c>
      <c r="P359" s="56"/>
    </row>
    <row r="360" spans="1:16" ht="15.75" customHeight="1" x14ac:dyDescent="0.2">
      <c r="A360" s="49">
        <v>2035</v>
      </c>
      <c r="B360" s="11" t="s">
        <v>1857</v>
      </c>
      <c r="C360" s="11" t="s">
        <v>1849</v>
      </c>
      <c r="D360" s="6" t="s">
        <v>1850</v>
      </c>
      <c r="E360" s="12" t="s">
        <v>1877</v>
      </c>
      <c r="F360" s="12" t="s">
        <v>1877</v>
      </c>
      <c r="G360" s="12" t="s">
        <v>2649</v>
      </c>
      <c r="H360" s="12" t="s">
        <v>2845</v>
      </c>
      <c r="I360" s="12" t="s">
        <v>2846</v>
      </c>
      <c r="J360" s="11" t="s">
        <v>1856</v>
      </c>
      <c r="K360" s="11" t="s">
        <v>1852</v>
      </c>
      <c r="L360" s="11" t="s">
        <v>1853</v>
      </c>
      <c r="M360" s="12" t="s">
        <v>2847</v>
      </c>
      <c r="N360" s="12" t="s">
        <v>2848</v>
      </c>
      <c r="O360" s="11" t="s">
        <v>1858</v>
      </c>
      <c r="P360" s="56"/>
    </row>
    <row r="361" spans="1:16" ht="15.75" customHeight="1" x14ac:dyDescent="0.2">
      <c r="A361" s="49">
        <v>1462</v>
      </c>
      <c r="B361" s="11" t="s">
        <v>1857</v>
      </c>
      <c r="C361" s="11" t="s">
        <v>1849</v>
      </c>
      <c r="D361" s="6" t="s">
        <v>1850</v>
      </c>
      <c r="E361" s="12" t="s">
        <v>1877</v>
      </c>
      <c r="F361" s="12" t="s">
        <v>1877</v>
      </c>
      <c r="G361" s="12" t="s">
        <v>1883</v>
      </c>
      <c r="H361" s="12" t="s">
        <v>1889</v>
      </c>
      <c r="I361" s="12" t="s">
        <v>1961</v>
      </c>
      <c r="J361" s="11" t="s">
        <v>1856</v>
      </c>
      <c r="K361" s="11" t="s">
        <v>1852</v>
      </c>
      <c r="L361" s="11" t="s">
        <v>1853</v>
      </c>
      <c r="M361" s="12" t="s">
        <v>1922</v>
      </c>
      <c r="N361" s="12" t="s">
        <v>1962</v>
      </c>
      <c r="O361" s="11" t="s">
        <v>1860</v>
      </c>
      <c r="P361" s="56"/>
    </row>
    <row r="362" spans="1:16" ht="15.75" customHeight="1" x14ac:dyDescent="0.2">
      <c r="A362" s="49">
        <v>1735</v>
      </c>
      <c r="B362" s="11" t="s">
        <v>1857</v>
      </c>
      <c r="C362" s="11" t="s">
        <v>1849</v>
      </c>
      <c r="D362" s="6" t="s">
        <v>1850</v>
      </c>
      <c r="E362" s="12" t="s">
        <v>1877</v>
      </c>
      <c r="F362" s="12" t="s">
        <v>1877</v>
      </c>
      <c r="G362" s="12" t="s">
        <v>2619</v>
      </c>
      <c r="H362" s="12" t="s">
        <v>2849</v>
      </c>
      <c r="I362" s="12" t="s">
        <v>2850</v>
      </c>
      <c r="J362" s="11" t="s">
        <v>1856</v>
      </c>
      <c r="K362" s="11" t="s">
        <v>1852</v>
      </c>
      <c r="L362" s="11" t="s">
        <v>1853</v>
      </c>
      <c r="M362" s="12" t="s">
        <v>1854</v>
      </c>
      <c r="N362" s="12"/>
      <c r="O362" s="11" t="s">
        <v>1858</v>
      </c>
      <c r="P362" s="56"/>
    </row>
    <row r="363" spans="1:16" ht="15.75" customHeight="1" x14ac:dyDescent="0.2">
      <c r="A363" s="49">
        <v>1676</v>
      </c>
      <c r="B363" s="11" t="s">
        <v>1857</v>
      </c>
      <c r="C363" s="11" t="s">
        <v>1849</v>
      </c>
      <c r="D363" s="6" t="s">
        <v>1850</v>
      </c>
      <c r="E363" s="12" t="s">
        <v>1877</v>
      </c>
      <c r="F363" s="12" t="s">
        <v>1877</v>
      </c>
      <c r="G363" s="12" t="s">
        <v>2619</v>
      </c>
      <c r="H363" s="12" t="s">
        <v>2619</v>
      </c>
      <c r="I363" s="12" t="s">
        <v>2851</v>
      </c>
      <c r="J363" s="11" t="s">
        <v>1851</v>
      </c>
      <c r="K363" s="11" t="s">
        <v>1852</v>
      </c>
      <c r="L363" s="11" t="s">
        <v>1853</v>
      </c>
      <c r="M363" s="12" t="s">
        <v>2852</v>
      </c>
      <c r="N363" s="12" t="s">
        <v>2853</v>
      </c>
      <c r="O363" s="11" t="s">
        <v>1864</v>
      </c>
      <c r="P363" s="56" t="s">
        <v>1865</v>
      </c>
    </row>
    <row r="364" spans="1:16" ht="15.75" customHeight="1" x14ac:dyDescent="0.2">
      <c r="A364" s="49">
        <v>1884</v>
      </c>
      <c r="B364" s="11" t="s">
        <v>1857</v>
      </c>
      <c r="C364" s="11" t="s">
        <v>1849</v>
      </c>
      <c r="D364" s="6" t="s">
        <v>1850</v>
      </c>
      <c r="E364" s="12" t="s">
        <v>1877</v>
      </c>
      <c r="F364" s="12" t="s">
        <v>1877</v>
      </c>
      <c r="G364" s="12" t="s">
        <v>2656</v>
      </c>
      <c r="H364" s="12" t="s">
        <v>2726</v>
      </c>
      <c r="I364" s="12" t="s">
        <v>2854</v>
      </c>
      <c r="J364" s="11" t="s">
        <v>1856</v>
      </c>
      <c r="K364" s="11" t="s">
        <v>1852</v>
      </c>
      <c r="L364" s="11" t="s">
        <v>1853</v>
      </c>
      <c r="M364" s="12" t="s">
        <v>2855</v>
      </c>
      <c r="N364" s="12" t="s">
        <v>2856</v>
      </c>
      <c r="O364" s="11" t="s">
        <v>1866</v>
      </c>
      <c r="P364" s="56" t="s">
        <v>2343</v>
      </c>
    </row>
    <row r="365" spans="1:16" ht="15.75" customHeight="1" x14ac:dyDescent="0.2">
      <c r="A365" s="49">
        <v>2072</v>
      </c>
      <c r="B365" s="11" t="s">
        <v>1857</v>
      </c>
      <c r="C365" s="11" t="s">
        <v>1849</v>
      </c>
      <c r="D365" s="6" t="s">
        <v>1850</v>
      </c>
      <c r="E365" s="12" t="s">
        <v>1877</v>
      </c>
      <c r="F365" s="12" t="s">
        <v>1877</v>
      </c>
      <c r="G365" s="12" t="s">
        <v>2623</v>
      </c>
      <c r="H365" s="12" t="s">
        <v>2623</v>
      </c>
      <c r="I365" s="12" t="s">
        <v>2857</v>
      </c>
      <c r="J365" s="11" t="s">
        <v>1856</v>
      </c>
      <c r="K365" s="11" t="s">
        <v>1852</v>
      </c>
      <c r="L365" s="11" t="s">
        <v>1853</v>
      </c>
      <c r="M365" s="12" t="s">
        <v>2858</v>
      </c>
      <c r="N365" s="12" t="s">
        <v>2859</v>
      </c>
      <c r="O365" s="11" t="s">
        <v>1866</v>
      </c>
      <c r="P365" s="56" t="s">
        <v>2860</v>
      </c>
    </row>
    <row r="366" spans="1:16" ht="15.75" customHeight="1" x14ac:dyDescent="0.2">
      <c r="A366" s="49">
        <v>1553</v>
      </c>
      <c r="B366" s="11" t="s">
        <v>1857</v>
      </c>
      <c r="C366" s="11" t="s">
        <v>1849</v>
      </c>
      <c r="D366" s="6" t="s">
        <v>1850</v>
      </c>
      <c r="E366" s="12" t="s">
        <v>1877</v>
      </c>
      <c r="F366" s="12" t="s">
        <v>1877</v>
      </c>
      <c r="G366" s="12" t="s">
        <v>2653</v>
      </c>
      <c r="H366" s="12" t="s">
        <v>2762</v>
      </c>
      <c r="I366" s="12" t="s">
        <v>2861</v>
      </c>
      <c r="J366" s="11" t="s">
        <v>1851</v>
      </c>
      <c r="K366" s="11" t="s">
        <v>1852</v>
      </c>
      <c r="L366" s="11" t="s">
        <v>1853</v>
      </c>
      <c r="M366" s="12" t="s">
        <v>2862</v>
      </c>
      <c r="N366" s="12"/>
      <c r="O366" s="11" t="s">
        <v>1866</v>
      </c>
      <c r="P366" s="56" t="s">
        <v>2863</v>
      </c>
    </row>
    <row r="367" spans="1:16" ht="15.75" customHeight="1" x14ac:dyDescent="0.2">
      <c r="A367" s="49">
        <v>1688</v>
      </c>
      <c r="B367" s="11" t="s">
        <v>1857</v>
      </c>
      <c r="C367" s="11" t="s">
        <v>1849</v>
      </c>
      <c r="D367" s="6" t="s">
        <v>1850</v>
      </c>
      <c r="E367" s="12" t="s">
        <v>1877</v>
      </c>
      <c r="F367" s="12" t="s">
        <v>1877</v>
      </c>
      <c r="G367" s="12" t="s">
        <v>2619</v>
      </c>
      <c r="H367" s="12" t="s">
        <v>2864</v>
      </c>
      <c r="I367" s="12" t="s">
        <v>2865</v>
      </c>
      <c r="J367" s="11" t="s">
        <v>1851</v>
      </c>
      <c r="K367" s="11" t="s">
        <v>1852</v>
      </c>
      <c r="L367" s="11" t="s">
        <v>1853</v>
      </c>
      <c r="M367" s="12" t="s">
        <v>2866</v>
      </c>
      <c r="N367" s="12" t="s">
        <v>2867</v>
      </c>
      <c r="O367" s="11" t="s">
        <v>1866</v>
      </c>
      <c r="P367" s="56" t="s">
        <v>2868</v>
      </c>
    </row>
    <row r="368" spans="1:16" ht="15.75" customHeight="1" x14ac:dyDescent="0.2">
      <c r="A368" s="49">
        <v>1304</v>
      </c>
      <c r="B368" s="11" t="s">
        <v>1857</v>
      </c>
      <c r="C368" s="11" t="s">
        <v>1849</v>
      </c>
      <c r="D368" s="6" t="s">
        <v>1850</v>
      </c>
      <c r="E368" s="12" t="s">
        <v>1877</v>
      </c>
      <c r="F368" s="12" t="s">
        <v>1877</v>
      </c>
      <c r="G368" s="12" t="s">
        <v>2684</v>
      </c>
      <c r="H368" s="12" t="s">
        <v>2869</v>
      </c>
      <c r="I368" s="12" t="s">
        <v>2870</v>
      </c>
      <c r="J368" s="11" t="s">
        <v>1856</v>
      </c>
      <c r="K368" s="11" t="s">
        <v>1852</v>
      </c>
      <c r="L368" s="11" t="s">
        <v>1853</v>
      </c>
      <c r="M368" s="12" t="s">
        <v>2871</v>
      </c>
      <c r="N368" s="12"/>
      <c r="O368" s="11" t="s">
        <v>1864</v>
      </c>
      <c r="P368" s="56" t="s">
        <v>1865</v>
      </c>
    </row>
    <row r="369" spans="1:16" ht="15.75" customHeight="1" x14ac:dyDescent="0.2">
      <c r="A369" s="49">
        <v>1937</v>
      </c>
      <c r="B369" s="11" t="s">
        <v>1857</v>
      </c>
      <c r="C369" s="11" t="s">
        <v>1849</v>
      </c>
      <c r="D369" s="6" t="s">
        <v>1850</v>
      </c>
      <c r="E369" s="12" t="s">
        <v>1877</v>
      </c>
      <c r="F369" s="12" t="s">
        <v>1877</v>
      </c>
      <c r="G369" s="12" t="s">
        <v>2627</v>
      </c>
      <c r="H369" s="12" t="s">
        <v>2628</v>
      </c>
      <c r="I369" s="12" t="s">
        <v>2872</v>
      </c>
      <c r="J369" s="11" t="s">
        <v>1856</v>
      </c>
      <c r="K369" s="11" t="s">
        <v>1852</v>
      </c>
      <c r="L369" s="11" t="s">
        <v>1853</v>
      </c>
      <c r="M369" s="12" t="s">
        <v>2873</v>
      </c>
      <c r="N369" s="12"/>
      <c r="O369" s="11" t="s">
        <v>1866</v>
      </c>
      <c r="P369" s="56" t="s">
        <v>2874</v>
      </c>
    </row>
    <row r="370" spans="1:16" ht="15.75" customHeight="1" x14ac:dyDescent="0.2">
      <c r="A370" s="49">
        <v>1794</v>
      </c>
      <c r="B370" s="11" t="s">
        <v>1857</v>
      </c>
      <c r="C370" s="11" t="s">
        <v>1849</v>
      </c>
      <c r="D370" s="6" t="s">
        <v>1850</v>
      </c>
      <c r="E370" s="12" t="s">
        <v>1877</v>
      </c>
      <c r="F370" s="12" t="s">
        <v>1877</v>
      </c>
      <c r="G370" s="12" t="s">
        <v>1880</v>
      </c>
      <c r="H370" s="12" t="s">
        <v>1880</v>
      </c>
      <c r="I370" s="12" t="s">
        <v>1963</v>
      </c>
      <c r="J370" s="11" t="s">
        <v>1851</v>
      </c>
      <c r="K370" s="11" t="s">
        <v>1852</v>
      </c>
      <c r="L370" s="11" t="s">
        <v>1853</v>
      </c>
      <c r="M370" s="12" t="s">
        <v>1964</v>
      </c>
      <c r="N370" s="12" t="s">
        <v>1965</v>
      </c>
      <c r="O370" s="11" t="s">
        <v>1866</v>
      </c>
      <c r="P370" s="56" t="s">
        <v>1966</v>
      </c>
    </row>
    <row r="371" spans="1:16" ht="15.75" customHeight="1" x14ac:dyDescent="0.2">
      <c r="A371" s="49">
        <v>1594</v>
      </c>
      <c r="B371" s="11" t="s">
        <v>1857</v>
      </c>
      <c r="C371" s="11" t="s">
        <v>1849</v>
      </c>
      <c r="D371" s="6" t="s">
        <v>1850</v>
      </c>
      <c r="E371" s="12" t="s">
        <v>1877</v>
      </c>
      <c r="F371" s="12" t="s">
        <v>1877</v>
      </c>
      <c r="G371" s="12" t="s">
        <v>2653</v>
      </c>
      <c r="H371" s="12" t="s">
        <v>2785</v>
      </c>
      <c r="I371" s="12" t="s">
        <v>2875</v>
      </c>
      <c r="J371" s="11" t="s">
        <v>1856</v>
      </c>
      <c r="K371" s="11" t="s">
        <v>1852</v>
      </c>
      <c r="L371" s="11" t="s">
        <v>1853</v>
      </c>
      <c r="M371" s="12" t="s">
        <v>1854</v>
      </c>
      <c r="N371" s="12"/>
      <c r="O371" s="11" t="s">
        <v>1859</v>
      </c>
      <c r="P371" s="56"/>
    </row>
    <row r="372" spans="1:16" ht="15.75" customHeight="1" x14ac:dyDescent="0.2">
      <c r="A372" s="49">
        <v>1475</v>
      </c>
      <c r="B372" s="11" t="s">
        <v>1857</v>
      </c>
      <c r="C372" s="11" t="s">
        <v>1849</v>
      </c>
      <c r="D372" s="6" t="s">
        <v>1850</v>
      </c>
      <c r="E372" s="12" t="s">
        <v>1877</v>
      </c>
      <c r="F372" s="12" t="s">
        <v>1877</v>
      </c>
      <c r="G372" s="12" t="s">
        <v>2658</v>
      </c>
      <c r="H372" s="12" t="s">
        <v>2658</v>
      </c>
      <c r="I372" s="12" t="s">
        <v>2876</v>
      </c>
      <c r="J372" s="11" t="s">
        <v>1851</v>
      </c>
      <c r="K372" s="11" t="s">
        <v>1852</v>
      </c>
      <c r="L372" s="11" t="s">
        <v>1853</v>
      </c>
      <c r="M372" s="12" t="s">
        <v>2877</v>
      </c>
      <c r="N372" s="12" t="s">
        <v>2878</v>
      </c>
      <c r="O372" s="11" t="s">
        <v>1866</v>
      </c>
      <c r="P372" s="56" t="s">
        <v>2879</v>
      </c>
    </row>
    <row r="373" spans="1:16" ht="15.75" customHeight="1" x14ac:dyDescent="0.2">
      <c r="A373" s="49">
        <v>1460</v>
      </c>
      <c r="B373" s="11" t="s">
        <v>1857</v>
      </c>
      <c r="C373" s="11" t="s">
        <v>1849</v>
      </c>
      <c r="D373" s="6" t="s">
        <v>1850</v>
      </c>
      <c r="E373" s="12" t="s">
        <v>1877</v>
      </c>
      <c r="F373" s="12" t="s">
        <v>1877</v>
      </c>
      <c r="G373" s="12" t="s">
        <v>1883</v>
      </c>
      <c r="H373" s="12" t="s">
        <v>1946</v>
      </c>
      <c r="I373" s="12" t="s">
        <v>1967</v>
      </c>
      <c r="J373" s="11" t="s">
        <v>1856</v>
      </c>
      <c r="K373" s="11" t="s">
        <v>1852</v>
      </c>
      <c r="L373" s="11" t="s">
        <v>1853</v>
      </c>
      <c r="M373" s="12" t="s">
        <v>1968</v>
      </c>
      <c r="N373" s="12" t="s">
        <v>1969</v>
      </c>
      <c r="O373" s="11" t="s">
        <v>1858</v>
      </c>
      <c r="P373" s="56"/>
    </row>
    <row r="374" spans="1:16" ht="15.75" customHeight="1" x14ac:dyDescent="0.2">
      <c r="A374" s="49">
        <v>1894</v>
      </c>
      <c r="B374" s="11" t="s">
        <v>1857</v>
      </c>
      <c r="C374" s="11" t="s">
        <v>1849</v>
      </c>
      <c r="D374" s="6" t="s">
        <v>1850</v>
      </c>
      <c r="E374" s="12" t="s">
        <v>1877</v>
      </c>
      <c r="F374" s="12" t="s">
        <v>1877</v>
      </c>
      <c r="G374" s="12" t="s">
        <v>2656</v>
      </c>
      <c r="H374" s="12" t="s">
        <v>2764</v>
      </c>
      <c r="I374" s="12" t="s">
        <v>2880</v>
      </c>
      <c r="J374" s="11" t="s">
        <v>1856</v>
      </c>
      <c r="K374" s="11" t="s">
        <v>1852</v>
      </c>
      <c r="L374" s="11" t="s">
        <v>1853</v>
      </c>
      <c r="M374" s="12" t="s">
        <v>2881</v>
      </c>
      <c r="N374" s="12"/>
      <c r="O374" s="11" t="s">
        <v>1859</v>
      </c>
      <c r="P374" s="56"/>
    </row>
    <row r="375" spans="1:16" ht="15.75" customHeight="1" x14ac:dyDescent="0.2">
      <c r="A375" s="49">
        <v>1459</v>
      </c>
      <c r="B375" s="11" t="s">
        <v>1857</v>
      </c>
      <c r="C375" s="11" t="s">
        <v>1849</v>
      </c>
      <c r="D375" s="6" t="s">
        <v>1850</v>
      </c>
      <c r="E375" s="12" t="s">
        <v>1877</v>
      </c>
      <c r="F375" s="12" t="s">
        <v>1877</v>
      </c>
      <c r="G375" s="12" t="s">
        <v>1883</v>
      </c>
      <c r="H375" s="12" t="s">
        <v>1946</v>
      </c>
      <c r="I375" s="12" t="s">
        <v>1970</v>
      </c>
      <c r="J375" s="11" t="s">
        <v>1856</v>
      </c>
      <c r="K375" s="11" t="s">
        <v>1852</v>
      </c>
      <c r="L375" s="11" t="s">
        <v>1853</v>
      </c>
      <c r="M375" s="12" t="s">
        <v>1971</v>
      </c>
      <c r="N375" s="12"/>
      <c r="O375" s="11" t="s">
        <v>1858</v>
      </c>
      <c r="P375" s="56"/>
    </row>
    <row r="376" spans="1:16" ht="15.75" customHeight="1" x14ac:dyDescent="0.2">
      <c r="A376" s="49">
        <v>1654</v>
      </c>
      <c r="B376" s="11" t="s">
        <v>1857</v>
      </c>
      <c r="C376" s="11" t="s">
        <v>1849</v>
      </c>
      <c r="D376" s="6" t="s">
        <v>1850</v>
      </c>
      <c r="E376" s="12" t="s">
        <v>1877</v>
      </c>
      <c r="F376" s="12" t="s">
        <v>1877</v>
      </c>
      <c r="G376" s="12" t="s">
        <v>2736</v>
      </c>
      <c r="H376" s="12" t="s">
        <v>2737</v>
      </c>
      <c r="I376" s="12" t="s">
        <v>2882</v>
      </c>
      <c r="J376" s="11" t="s">
        <v>1856</v>
      </c>
      <c r="K376" s="11" t="s">
        <v>1852</v>
      </c>
      <c r="L376" s="11" t="s">
        <v>1853</v>
      </c>
      <c r="M376" s="12" t="s">
        <v>2883</v>
      </c>
      <c r="N376" s="12"/>
      <c r="O376" s="11" t="s">
        <v>1858</v>
      </c>
      <c r="P376" s="56"/>
    </row>
    <row r="377" spans="1:16" ht="15.75" customHeight="1" x14ac:dyDescent="0.2">
      <c r="A377" s="49">
        <v>1850</v>
      </c>
      <c r="B377" s="11" t="s">
        <v>1857</v>
      </c>
      <c r="C377" s="11" t="s">
        <v>1849</v>
      </c>
      <c r="D377" s="6" t="s">
        <v>1850</v>
      </c>
      <c r="E377" s="12" t="s">
        <v>1877</v>
      </c>
      <c r="F377" s="12" t="s">
        <v>1877</v>
      </c>
      <c r="G377" s="12" t="s">
        <v>1914</v>
      </c>
      <c r="H377" s="12" t="s">
        <v>1972</v>
      </c>
      <c r="I377" s="12" t="s">
        <v>1973</v>
      </c>
      <c r="J377" s="11" t="s">
        <v>1856</v>
      </c>
      <c r="K377" s="11" t="s">
        <v>1852</v>
      </c>
      <c r="L377" s="11" t="s">
        <v>1853</v>
      </c>
      <c r="M377" s="12" t="s">
        <v>1974</v>
      </c>
      <c r="N377" s="12" t="s">
        <v>1975</v>
      </c>
      <c r="O377" s="11" t="s">
        <v>1859</v>
      </c>
      <c r="P377" s="56"/>
    </row>
    <row r="378" spans="1:16" ht="15.75" customHeight="1" x14ac:dyDescent="0.2">
      <c r="A378" s="49">
        <v>1538</v>
      </c>
      <c r="B378" s="11" t="s">
        <v>1857</v>
      </c>
      <c r="C378" s="11" t="s">
        <v>1849</v>
      </c>
      <c r="D378" s="6" t="s">
        <v>1850</v>
      </c>
      <c r="E378" s="12" t="s">
        <v>1877</v>
      </c>
      <c r="F378" s="12" t="s">
        <v>1877</v>
      </c>
      <c r="G378" s="12" t="s">
        <v>2635</v>
      </c>
      <c r="H378" s="12" t="s">
        <v>2639</v>
      </c>
      <c r="I378" s="12" t="s">
        <v>2884</v>
      </c>
      <c r="J378" s="11" t="s">
        <v>1856</v>
      </c>
      <c r="K378" s="11" t="s">
        <v>1852</v>
      </c>
      <c r="L378" s="11" t="s">
        <v>1853</v>
      </c>
      <c r="M378" s="12" t="s">
        <v>2885</v>
      </c>
      <c r="N378" s="12" t="s">
        <v>2886</v>
      </c>
      <c r="O378" s="11" t="s">
        <v>1859</v>
      </c>
      <c r="P378" s="56"/>
    </row>
    <row r="379" spans="1:16" ht="15.75" customHeight="1" x14ac:dyDescent="0.2">
      <c r="A379" s="49">
        <v>1919</v>
      </c>
      <c r="B379" s="11" t="s">
        <v>1857</v>
      </c>
      <c r="C379" s="11" t="s">
        <v>1849</v>
      </c>
      <c r="D379" s="6" t="s">
        <v>1850</v>
      </c>
      <c r="E379" s="12" t="s">
        <v>1877</v>
      </c>
      <c r="F379" s="12" t="s">
        <v>1877</v>
      </c>
      <c r="G379" s="12" t="s">
        <v>2656</v>
      </c>
      <c r="H379" s="12" t="s">
        <v>2657</v>
      </c>
      <c r="I379" s="12" t="s">
        <v>2887</v>
      </c>
      <c r="J379" s="11" t="s">
        <v>1856</v>
      </c>
      <c r="K379" s="11" t="s">
        <v>1852</v>
      </c>
      <c r="L379" s="11" t="s">
        <v>1853</v>
      </c>
      <c r="M379" s="12" t="s">
        <v>2683</v>
      </c>
      <c r="N379" s="12"/>
      <c r="O379" s="11" t="s">
        <v>1860</v>
      </c>
      <c r="P379" s="56"/>
    </row>
    <row r="380" spans="1:16" ht="15.75" customHeight="1" x14ac:dyDescent="0.2">
      <c r="A380" s="49">
        <v>2057</v>
      </c>
      <c r="B380" s="11" t="s">
        <v>1857</v>
      </c>
      <c r="C380" s="11" t="s">
        <v>1849</v>
      </c>
      <c r="D380" s="6" t="s">
        <v>1850</v>
      </c>
      <c r="E380" s="12" t="s">
        <v>1877</v>
      </c>
      <c r="F380" s="12" t="s">
        <v>1877</v>
      </c>
      <c r="G380" s="12" t="s">
        <v>2623</v>
      </c>
      <c r="H380" s="12" t="s">
        <v>2623</v>
      </c>
      <c r="I380" s="12" t="s">
        <v>2888</v>
      </c>
      <c r="J380" s="11" t="s">
        <v>1856</v>
      </c>
      <c r="K380" s="11" t="s">
        <v>1852</v>
      </c>
      <c r="L380" s="11" t="s">
        <v>1853</v>
      </c>
      <c r="M380" s="12" t="s">
        <v>1976</v>
      </c>
      <c r="N380" s="12"/>
      <c r="O380" s="11" t="s">
        <v>1859</v>
      </c>
      <c r="P380" s="56"/>
    </row>
    <row r="381" spans="1:16" ht="15.75" customHeight="1" x14ac:dyDescent="0.2">
      <c r="A381" s="49">
        <v>1800</v>
      </c>
      <c r="B381" s="11" t="s">
        <v>1857</v>
      </c>
      <c r="C381" s="11" t="s">
        <v>1849</v>
      </c>
      <c r="D381" s="6" t="s">
        <v>1850</v>
      </c>
      <c r="E381" s="12" t="s">
        <v>1877</v>
      </c>
      <c r="F381" s="12" t="s">
        <v>1877</v>
      </c>
      <c r="G381" s="12" t="s">
        <v>1880</v>
      </c>
      <c r="H381" s="12" t="s">
        <v>1880</v>
      </c>
      <c r="I381" s="12" t="s">
        <v>1977</v>
      </c>
      <c r="J381" s="11" t="s">
        <v>1856</v>
      </c>
      <c r="K381" s="11" t="s">
        <v>1852</v>
      </c>
      <c r="L381" s="11" t="s">
        <v>1853</v>
      </c>
      <c r="M381" s="12" t="s">
        <v>1978</v>
      </c>
      <c r="N381" s="12"/>
      <c r="O381" s="11" t="s">
        <v>1858</v>
      </c>
      <c r="P381" s="56"/>
    </row>
    <row r="382" spans="1:16" ht="15.75" customHeight="1" x14ac:dyDescent="0.2">
      <c r="A382" s="49">
        <v>2134</v>
      </c>
      <c r="B382" s="11" t="s">
        <v>1857</v>
      </c>
      <c r="C382" s="11" t="s">
        <v>1849</v>
      </c>
      <c r="D382" s="6" t="s">
        <v>1850</v>
      </c>
      <c r="E382" s="12" t="s">
        <v>1877</v>
      </c>
      <c r="F382" s="12" t="s">
        <v>1877</v>
      </c>
      <c r="G382" s="12" t="s">
        <v>2623</v>
      </c>
      <c r="H382" s="12" t="s">
        <v>2730</v>
      </c>
      <c r="I382" s="12" t="s">
        <v>2889</v>
      </c>
      <c r="J382" s="11" t="s">
        <v>1856</v>
      </c>
      <c r="K382" s="11" t="s">
        <v>1852</v>
      </c>
      <c r="L382" s="11" t="s">
        <v>1853</v>
      </c>
      <c r="M382" s="12" t="s">
        <v>2890</v>
      </c>
      <c r="N382" s="12" t="s">
        <v>2891</v>
      </c>
      <c r="O382" s="11" t="s">
        <v>1859</v>
      </c>
      <c r="P382" s="56"/>
    </row>
    <row r="383" spans="1:16" ht="15.75" customHeight="1" x14ac:dyDescent="0.2">
      <c r="A383" s="49">
        <v>2043</v>
      </c>
      <c r="B383" s="11" t="s">
        <v>1857</v>
      </c>
      <c r="C383" s="11" t="s">
        <v>1849</v>
      </c>
      <c r="D383" s="6" t="s">
        <v>1850</v>
      </c>
      <c r="E383" s="12" t="s">
        <v>1877</v>
      </c>
      <c r="F383" s="12" t="s">
        <v>1877</v>
      </c>
      <c r="G383" s="12" t="s">
        <v>2649</v>
      </c>
      <c r="H383" s="12" t="s">
        <v>2649</v>
      </c>
      <c r="I383" s="12" t="s">
        <v>2892</v>
      </c>
      <c r="J383" s="11" t="s">
        <v>1856</v>
      </c>
      <c r="K383" s="11" t="s">
        <v>1852</v>
      </c>
      <c r="L383" s="11" t="s">
        <v>1853</v>
      </c>
      <c r="M383" s="12" t="s">
        <v>2893</v>
      </c>
      <c r="N383" s="12" t="s">
        <v>2894</v>
      </c>
      <c r="O383" s="11" t="s">
        <v>1859</v>
      </c>
      <c r="P383" s="56"/>
    </row>
    <row r="384" spans="1:16" ht="15.75" customHeight="1" x14ac:dyDescent="0.2">
      <c r="A384" s="49">
        <v>2113</v>
      </c>
      <c r="B384" s="11" t="s">
        <v>1857</v>
      </c>
      <c r="C384" s="11" t="s">
        <v>1849</v>
      </c>
      <c r="D384" s="6" t="s">
        <v>1850</v>
      </c>
      <c r="E384" s="12" t="s">
        <v>1877</v>
      </c>
      <c r="F384" s="12" t="s">
        <v>1877</v>
      </c>
      <c r="G384" s="12" t="s">
        <v>2623</v>
      </c>
      <c r="H384" s="12" t="s">
        <v>2777</v>
      </c>
      <c r="I384" s="12" t="s">
        <v>2895</v>
      </c>
      <c r="J384" s="11" t="s">
        <v>1856</v>
      </c>
      <c r="K384" s="11" t="s">
        <v>1852</v>
      </c>
      <c r="L384" s="11" t="s">
        <v>1853</v>
      </c>
      <c r="M384" s="12" t="s">
        <v>1854</v>
      </c>
      <c r="N384" s="12"/>
      <c r="O384" s="11" t="s">
        <v>1859</v>
      </c>
      <c r="P384" s="56"/>
    </row>
    <row r="385" spans="1:16" ht="15.75" customHeight="1" x14ac:dyDescent="0.2">
      <c r="A385" s="49">
        <v>1941</v>
      </c>
      <c r="B385" s="11" t="s">
        <v>1857</v>
      </c>
      <c r="C385" s="11" t="s">
        <v>1849</v>
      </c>
      <c r="D385" s="6" t="s">
        <v>1850</v>
      </c>
      <c r="E385" s="12" t="s">
        <v>1877</v>
      </c>
      <c r="F385" s="12" t="s">
        <v>1877</v>
      </c>
      <c r="G385" s="12" t="s">
        <v>2627</v>
      </c>
      <c r="H385" s="12" t="s">
        <v>2628</v>
      </c>
      <c r="I385" s="12" t="s">
        <v>2896</v>
      </c>
      <c r="J385" s="11" t="s">
        <v>1856</v>
      </c>
      <c r="K385" s="11" t="s">
        <v>1852</v>
      </c>
      <c r="L385" s="11" t="s">
        <v>1853</v>
      </c>
      <c r="M385" s="12" t="s">
        <v>2897</v>
      </c>
      <c r="N385" s="12"/>
      <c r="O385" s="11" t="s">
        <v>1859</v>
      </c>
      <c r="P385" s="56"/>
    </row>
    <row r="386" spans="1:16" ht="15.75" customHeight="1" x14ac:dyDescent="0.2">
      <c r="A386" s="49">
        <v>1580</v>
      </c>
      <c r="B386" s="11" t="s">
        <v>1857</v>
      </c>
      <c r="C386" s="11" t="s">
        <v>1849</v>
      </c>
      <c r="D386" s="6" t="s">
        <v>1850</v>
      </c>
      <c r="E386" s="12" t="s">
        <v>1877</v>
      </c>
      <c r="F386" s="12" t="s">
        <v>1877</v>
      </c>
      <c r="G386" s="12" t="s">
        <v>2653</v>
      </c>
      <c r="H386" s="12" t="s">
        <v>2898</v>
      </c>
      <c r="I386" s="12" t="s">
        <v>2899</v>
      </c>
      <c r="J386" s="11" t="s">
        <v>1856</v>
      </c>
      <c r="K386" s="11" t="s">
        <v>1852</v>
      </c>
      <c r="L386" s="11" t="s">
        <v>1853</v>
      </c>
      <c r="M386" s="12" t="s">
        <v>2900</v>
      </c>
      <c r="N386" s="12"/>
      <c r="O386" s="11" t="s">
        <v>1869</v>
      </c>
      <c r="P386" s="56"/>
    </row>
    <row r="387" spans="1:16" ht="15.75" customHeight="1" x14ac:dyDescent="0.2">
      <c r="A387" s="49">
        <v>1561</v>
      </c>
      <c r="B387" s="11" t="s">
        <v>1857</v>
      </c>
      <c r="C387" s="11" t="s">
        <v>1849</v>
      </c>
      <c r="D387" s="6" t="s">
        <v>1850</v>
      </c>
      <c r="E387" s="12" t="s">
        <v>1877</v>
      </c>
      <c r="F387" s="12" t="s">
        <v>1877</v>
      </c>
      <c r="G387" s="12" t="s">
        <v>2653</v>
      </c>
      <c r="H387" s="12" t="s">
        <v>2762</v>
      </c>
      <c r="I387" s="12" t="s">
        <v>2901</v>
      </c>
      <c r="J387" s="11" t="s">
        <v>1851</v>
      </c>
      <c r="K387" s="11" t="s">
        <v>1852</v>
      </c>
      <c r="L387" s="11" t="s">
        <v>1853</v>
      </c>
      <c r="M387" s="12" t="s">
        <v>1854</v>
      </c>
      <c r="N387" s="12"/>
      <c r="O387" s="11" t="s">
        <v>1858</v>
      </c>
      <c r="P387" s="56"/>
    </row>
    <row r="388" spans="1:16" ht="15.75" customHeight="1" x14ac:dyDescent="0.2">
      <c r="A388" s="49">
        <v>1762</v>
      </c>
      <c r="B388" s="11" t="s">
        <v>1857</v>
      </c>
      <c r="C388" s="11" t="s">
        <v>1849</v>
      </c>
      <c r="D388" s="6" t="s">
        <v>1850</v>
      </c>
      <c r="E388" s="12" t="s">
        <v>1877</v>
      </c>
      <c r="F388" s="12" t="s">
        <v>1877</v>
      </c>
      <c r="G388" s="12" t="s">
        <v>2619</v>
      </c>
      <c r="H388" s="12" t="s">
        <v>2820</v>
      </c>
      <c r="I388" s="12" t="s">
        <v>2902</v>
      </c>
      <c r="J388" s="11" t="s">
        <v>1856</v>
      </c>
      <c r="K388" s="11" t="s">
        <v>1852</v>
      </c>
      <c r="L388" s="11" t="s">
        <v>1853</v>
      </c>
      <c r="M388" s="12" t="s">
        <v>2903</v>
      </c>
      <c r="N388" s="12"/>
      <c r="O388" s="11" t="s">
        <v>1858</v>
      </c>
      <c r="P388" s="56"/>
    </row>
    <row r="389" spans="1:16" ht="15.75" customHeight="1" x14ac:dyDescent="0.2">
      <c r="A389" s="49">
        <v>1749</v>
      </c>
      <c r="B389" s="11" t="s">
        <v>1857</v>
      </c>
      <c r="C389" s="11" t="s">
        <v>1849</v>
      </c>
      <c r="D389" s="6" t="s">
        <v>1850</v>
      </c>
      <c r="E389" s="12" t="s">
        <v>1877</v>
      </c>
      <c r="F389" s="12" t="s">
        <v>1877</v>
      </c>
      <c r="G389" s="12" t="s">
        <v>2619</v>
      </c>
      <c r="H389" s="12" t="s">
        <v>2705</v>
      </c>
      <c r="I389" s="12" t="s">
        <v>2904</v>
      </c>
      <c r="J389" s="11" t="s">
        <v>1856</v>
      </c>
      <c r="K389" s="11" t="s">
        <v>1852</v>
      </c>
      <c r="L389" s="11" t="s">
        <v>1853</v>
      </c>
      <c r="M389" s="12" t="s">
        <v>1979</v>
      </c>
      <c r="N389" s="12"/>
      <c r="O389" s="11" t="s">
        <v>2905</v>
      </c>
      <c r="P389" s="56"/>
    </row>
    <row r="390" spans="1:16" ht="15.75" customHeight="1" x14ac:dyDescent="0.2">
      <c r="A390" s="49">
        <v>1629</v>
      </c>
      <c r="B390" s="11" t="s">
        <v>1857</v>
      </c>
      <c r="C390" s="11" t="s">
        <v>1849</v>
      </c>
      <c r="D390" s="6" t="s">
        <v>1850</v>
      </c>
      <c r="E390" s="12" t="s">
        <v>1877</v>
      </c>
      <c r="F390" s="12" t="s">
        <v>1877</v>
      </c>
      <c r="G390" s="12" t="s">
        <v>2653</v>
      </c>
      <c r="H390" s="12" t="s">
        <v>2728</v>
      </c>
      <c r="I390" s="12" t="s">
        <v>2906</v>
      </c>
      <c r="J390" s="11" t="s">
        <v>1856</v>
      </c>
      <c r="K390" s="11" t="s">
        <v>1852</v>
      </c>
      <c r="L390" s="11" t="s">
        <v>1853</v>
      </c>
      <c r="M390" s="12" t="s">
        <v>2907</v>
      </c>
      <c r="N390" s="12"/>
      <c r="O390" s="11" t="s">
        <v>1858</v>
      </c>
      <c r="P390" s="56"/>
    </row>
    <row r="391" spans="1:16" ht="15.75" customHeight="1" x14ac:dyDescent="0.2">
      <c r="A391" s="49">
        <v>1318</v>
      </c>
      <c r="B391" s="11" t="s">
        <v>1857</v>
      </c>
      <c r="C391" s="11" t="s">
        <v>1849</v>
      </c>
      <c r="D391" s="6" t="s">
        <v>1850</v>
      </c>
      <c r="E391" s="12" t="s">
        <v>1877</v>
      </c>
      <c r="F391" s="12" t="s">
        <v>1877</v>
      </c>
      <c r="G391" s="12" t="s">
        <v>2684</v>
      </c>
      <c r="H391" s="12" t="s">
        <v>2869</v>
      </c>
      <c r="I391" s="12" t="s">
        <v>2908</v>
      </c>
      <c r="J391" s="11" t="s">
        <v>1856</v>
      </c>
      <c r="K391" s="11" t="s">
        <v>1852</v>
      </c>
      <c r="L391" s="11" t="s">
        <v>1853</v>
      </c>
      <c r="M391" s="12" t="s">
        <v>1854</v>
      </c>
      <c r="N391" s="12"/>
      <c r="O391" s="11" t="s">
        <v>1858</v>
      </c>
      <c r="P391" s="56"/>
    </row>
    <row r="392" spans="1:16" ht="15.75" customHeight="1" x14ac:dyDescent="0.2">
      <c r="A392" s="49">
        <v>1765</v>
      </c>
      <c r="B392" s="11" t="s">
        <v>1857</v>
      </c>
      <c r="C392" s="11" t="s">
        <v>1849</v>
      </c>
      <c r="D392" s="6" t="s">
        <v>1850</v>
      </c>
      <c r="E392" s="12" t="s">
        <v>1877</v>
      </c>
      <c r="F392" s="12" t="s">
        <v>1877</v>
      </c>
      <c r="G392" s="12" t="s">
        <v>2619</v>
      </c>
      <c r="H392" s="12" t="s">
        <v>2820</v>
      </c>
      <c r="I392" s="12" t="s">
        <v>2909</v>
      </c>
      <c r="J392" s="11" t="s">
        <v>1856</v>
      </c>
      <c r="K392" s="11" t="s">
        <v>1852</v>
      </c>
      <c r="L392" s="11" t="s">
        <v>1853</v>
      </c>
      <c r="M392" s="12" t="s">
        <v>2903</v>
      </c>
      <c r="N392" s="12"/>
      <c r="O392" s="11" t="s">
        <v>1858</v>
      </c>
      <c r="P392" s="56"/>
    </row>
    <row r="393" spans="1:16" ht="15.75" customHeight="1" x14ac:dyDescent="0.2">
      <c r="A393" s="49">
        <v>1658</v>
      </c>
      <c r="B393" s="11" t="s">
        <v>1857</v>
      </c>
      <c r="C393" s="11" t="s">
        <v>1849</v>
      </c>
      <c r="D393" s="6" t="s">
        <v>1850</v>
      </c>
      <c r="E393" s="12" t="s">
        <v>1877</v>
      </c>
      <c r="F393" s="12" t="s">
        <v>1877</v>
      </c>
      <c r="G393" s="12" t="s">
        <v>2736</v>
      </c>
      <c r="H393" s="12" t="s">
        <v>2750</v>
      </c>
      <c r="I393" s="12" t="s">
        <v>2909</v>
      </c>
      <c r="J393" s="11" t="s">
        <v>1851</v>
      </c>
      <c r="K393" s="11" t="s">
        <v>1852</v>
      </c>
      <c r="L393" s="11" t="s">
        <v>1853</v>
      </c>
      <c r="M393" s="12" t="s">
        <v>2910</v>
      </c>
      <c r="N393" s="12"/>
      <c r="O393" s="11" t="s">
        <v>1858</v>
      </c>
      <c r="P393" s="56"/>
    </row>
    <row r="394" spans="1:16" ht="15.75" customHeight="1" x14ac:dyDescent="0.2">
      <c r="A394" s="49">
        <v>1710</v>
      </c>
      <c r="B394" s="11" t="s">
        <v>1857</v>
      </c>
      <c r="C394" s="11" t="s">
        <v>1849</v>
      </c>
      <c r="D394" s="6" t="s">
        <v>1850</v>
      </c>
      <c r="E394" s="12" t="s">
        <v>1877</v>
      </c>
      <c r="F394" s="12" t="s">
        <v>1877</v>
      </c>
      <c r="G394" s="12" t="s">
        <v>2619</v>
      </c>
      <c r="H394" s="12" t="s">
        <v>2619</v>
      </c>
      <c r="I394" s="12" t="s">
        <v>2911</v>
      </c>
      <c r="J394" s="11" t="s">
        <v>1851</v>
      </c>
      <c r="K394" s="11" t="s">
        <v>1852</v>
      </c>
      <c r="L394" s="11" t="s">
        <v>1853</v>
      </c>
      <c r="M394" s="12" t="s">
        <v>2912</v>
      </c>
      <c r="N394" s="12"/>
      <c r="O394" s="11" t="s">
        <v>1858</v>
      </c>
      <c r="P394" s="56"/>
    </row>
    <row r="395" spans="1:16" ht="15.75" customHeight="1" x14ac:dyDescent="0.2">
      <c r="A395" s="49">
        <v>1820</v>
      </c>
      <c r="B395" s="11" t="s">
        <v>1857</v>
      </c>
      <c r="C395" s="11" t="s">
        <v>1849</v>
      </c>
      <c r="D395" s="6" t="s">
        <v>1850</v>
      </c>
      <c r="E395" s="12" t="s">
        <v>1877</v>
      </c>
      <c r="F395" s="12" t="s">
        <v>1877</v>
      </c>
      <c r="G395" s="12" t="s">
        <v>1880</v>
      </c>
      <c r="H395" s="12" t="s">
        <v>1910</v>
      </c>
      <c r="I395" s="12" t="s">
        <v>1980</v>
      </c>
      <c r="J395" s="11" t="s">
        <v>1856</v>
      </c>
      <c r="K395" s="11" t="s">
        <v>1852</v>
      </c>
      <c r="L395" s="11" t="s">
        <v>1853</v>
      </c>
      <c r="M395" s="12" t="s">
        <v>1981</v>
      </c>
      <c r="N395" s="11" t="s">
        <v>1982</v>
      </c>
      <c r="O395" s="11" t="s">
        <v>1858</v>
      </c>
      <c r="P395" s="56"/>
    </row>
    <row r="396" spans="1:16" ht="15.75" customHeight="1" x14ac:dyDescent="0.2">
      <c r="A396" s="49">
        <v>1338</v>
      </c>
      <c r="B396" s="11" t="s">
        <v>1857</v>
      </c>
      <c r="C396" s="11" t="s">
        <v>1849</v>
      </c>
      <c r="D396" s="6" t="s">
        <v>1850</v>
      </c>
      <c r="E396" s="12" t="s">
        <v>1877</v>
      </c>
      <c r="F396" s="12" t="s">
        <v>1877</v>
      </c>
      <c r="G396" s="12" t="s">
        <v>1883</v>
      </c>
      <c r="H396" s="12" t="s">
        <v>1895</v>
      </c>
      <c r="I396" s="12" t="s">
        <v>1983</v>
      </c>
      <c r="J396" s="11" t="s">
        <v>1856</v>
      </c>
      <c r="K396" s="11" t="s">
        <v>1852</v>
      </c>
      <c r="L396" s="11" t="s">
        <v>1853</v>
      </c>
      <c r="M396" s="12"/>
      <c r="N396" s="11"/>
      <c r="O396" s="11" t="s">
        <v>1859</v>
      </c>
      <c r="P396" s="56"/>
    </row>
    <row r="397" spans="1:16" ht="15.75" customHeight="1" x14ac:dyDescent="0.2">
      <c r="A397" s="49">
        <v>1373</v>
      </c>
      <c r="B397" s="11" t="s">
        <v>1857</v>
      </c>
      <c r="C397" s="11" t="s">
        <v>1849</v>
      </c>
      <c r="D397" s="6" t="s">
        <v>1850</v>
      </c>
      <c r="E397" s="12" t="s">
        <v>1877</v>
      </c>
      <c r="F397" s="12" t="s">
        <v>1877</v>
      </c>
      <c r="G397" s="12" t="s">
        <v>1883</v>
      </c>
      <c r="H397" s="12" t="s">
        <v>1895</v>
      </c>
      <c r="I397" s="12" t="s">
        <v>1984</v>
      </c>
      <c r="J397" s="11" t="s">
        <v>1851</v>
      </c>
      <c r="K397" s="11" t="s">
        <v>1852</v>
      </c>
      <c r="L397" s="11" t="s">
        <v>1853</v>
      </c>
      <c r="M397" s="12" t="s">
        <v>1985</v>
      </c>
      <c r="N397" s="12"/>
      <c r="O397" s="11" t="s">
        <v>1866</v>
      </c>
      <c r="P397" s="56" t="s">
        <v>1986</v>
      </c>
    </row>
    <row r="398" spans="1:16" ht="15.75" customHeight="1" x14ac:dyDescent="0.2">
      <c r="A398" s="49">
        <v>1520</v>
      </c>
      <c r="B398" s="11" t="s">
        <v>1857</v>
      </c>
      <c r="C398" s="11" t="s">
        <v>1849</v>
      </c>
      <c r="D398" s="6" t="s">
        <v>1850</v>
      </c>
      <c r="E398" s="12" t="s">
        <v>1877</v>
      </c>
      <c r="F398" s="12" t="s">
        <v>1877</v>
      </c>
      <c r="G398" s="12" t="s">
        <v>2635</v>
      </c>
      <c r="H398" s="12" t="s">
        <v>2690</v>
      </c>
      <c r="I398" s="12" t="s">
        <v>2913</v>
      </c>
      <c r="J398" s="11" t="s">
        <v>1851</v>
      </c>
      <c r="K398" s="11" t="s">
        <v>1852</v>
      </c>
      <c r="L398" s="11" t="s">
        <v>1853</v>
      </c>
      <c r="M398" s="12" t="s">
        <v>2914</v>
      </c>
      <c r="N398" s="12" t="s">
        <v>2915</v>
      </c>
      <c r="O398" s="11" t="s">
        <v>1866</v>
      </c>
      <c r="P398" s="56" t="s">
        <v>2916</v>
      </c>
    </row>
    <row r="399" spans="1:16" ht="15.75" customHeight="1" x14ac:dyDescent="0.2">
      <c r="A399" s="49">
        <v>5098</v>
      </c>
      <c r="B399" s="11" t="s">
        <v>1857</v>
      </c>
      <c r="C399" s="11" t="s">
        <v>1849</v>
      </c>
      <c r="D399" s="6" t="s">
        <v>1850</v>
      </c>
      <c r="E399" s="12" t="s">
        <v>1877</v>
      </c>
      <c r="F399" s="12" t="s">
        <v>1877</v>
      </c>
      <c r="G399" s="12" t="s">
        <v>2653</v>
      </c>
      <c r="H399" s="12" t="s">
        <v>2696</v>
      </c>
      <c r="I399" s="12" t="s">
        <v>2917</v>
      </c>
      <c r="J399" s="11" t="s">
        <v>1856</v>
      </c>
      <c r="K399" s="11" t="s">
        <v>1852</v>
      </c>
      <c r="L399" s="11" t="s">
        <v>1853</v>
      </c>
      <c r="M399" s="12" t="s">
        <v>2918</v>
      </c>
      <c r="N399" s="12" t="s">
        <v>2919</v>
      </c>
      <c r="O399" s="11" t="s">
        <v>1866</v>
      </c>
      <c r="P399" s="56" t="s">
        <v>2920</v>
      </c>
    </row>
    <row r="400" spans="1:16" ht="15.75" customHeight="1" x14ac:dyDescent="0.2">
      <c r="A400" s="49">
        <v>1647</v>
      </c>
      <c r="B400" s="11" t="s">
        <v>1857</v>
      </c>
      <c r="C400" s="11" t="s">
        <v>1849</v>
      </c>
      <c r="D400" s="6" t="s">
        <v>1850</v>
      </c>
      <c r="E400" s="12" t="s">
        <v>1877</v>
      </c>
      <c r="F400" s="12" t="s">
        <v>1877</v>
      </c>
      <c r="G400" s="12" t="s">
        <v>2736</v>
      </c>
      <c r="H400" s="12" t="s">
        <v>2750</v>
      </c>
      <c r="I400" s="12" t="s">
        <v>1652</v>
      </c>
      <c r="J400" s="11" t="s">
        <v>1856</v>
      </c>
      <c r="K400" s="11" t="s">
        <v>1852</v>
      </c>
      <c r="L400" s="11" t="s">
        <v>1853</v>
      </c>
      <c r="M400" s="12" t="s">
        <v>2921</v>
      </c>
      <c r="N400" s="12"/>
      <c r="O400" s="11" t="s">
        <v>1866</v>
      </c>
      <c r="P400" s="56" t="s">
        <v>2922</v>
      </c>
    </row>
    <row r="401" spans="1:16" ht="15.75" customHeight="1" x14ac:dyDescent="0.2">
      <c r="A401" s="49">
        <v>1371</v>
      </c>
      <c r="B401" s="11" t="s">
        <v>1857</v>
      </c>
      <c r="C401" s="11" t="s">
        <v>1849</v>
      </c>
      <c r="D401" s="6" t="s">
        <v>1850</v>
      </c>
      <c r="E401" s="12" t="s">
        <v>1877</v>
      </c>
      <c r="F401" s="12" t="s">
        <v>1877</v>
      </c>
      <c r="G401" s="12" t="s">
        <v>1883</v>
      </c>
      <c r="H401" s="12" t="s">
        <v>1884</v>
      </c>
      <c r="I401" s="12" t="s">
        <v>1987</v>
      </c>
      <c r="J401" s="11" t="s">
        <v>1856</v>
      </c>
      <c r="K401" s="11" t="s">
        <v>1852</v>
      </c>
      <c r="L401" s="11" t="s">
        <v>1853</v>
      </c>
      <c r="M401" s="12" t="s">
        <v>1988</v>
      </c>
      <c r="N401" s="12" t="s">
        <v>1989</v>
      </c>
      <c r="O401" s="11" t="s">
        <v>1864</v>
      </c>
      <c r="P401" s="56" t="s">
        <v>1865</v>
      </c>
    </row>
    <row r="402" spans="1:16" ht="15.75" customHeight="1" x14ac:dyDescent="0.2">
      <c r="A402" s="49">
        <v>1880</v>
      </c>
      <c r="B402" s="11" t="s">
        <v>1857</v>
      </c>
      <c r="C402" s="11" t="s">
        <v>1849</v>
      </c>
      <c r="D402" s="6" t="s">
        <v>1850</v>
      </c>
      <c r="E402" s="12" t="s">
        <v>1877</v>
      </c>
      <c r="F402" s="12" t="s">
        <v>1877</v>
      </c>
      <c r="G402" s="12" t="s">
        <v>2656</v>
      </c>
      <c r="H402" s="12" t="s">
        <v>2726</v>
      </c>
      <c r="I402" s="12" t="s">
        <v>2923</v>
      </c>
      <c r="J402" s="11" t="s">
        <v>1856</v>
      </c>
      <c r="K402" s="11" t="s">
        <v>1852</v>
      </c>
      <c r="L402" s="11" t="s">
        <v>1853</v>
      </c>
      <c r="M402" s="12" t="s">
        <v>2924</v>
      </c>
      <c r="N402" s="12" t="s">
        <v>2925</v>
      </c>
      <c r="O402" s="11" t="s">
        <v>1858</v>
      </c>
      <c r="P402" s="56"/>
    </row>
    <row r="403" spans="1:16" ht="15.75" customHeight="1" x14ac:dyDescent="0.2">
      <c r="A403" s="49">
        <v>1766</v>
      </c>
      <c r="B403" s="11" t="s">
        <v>1857</v>
      </c>
      <c r="C403" s="11" t="s">
        <v>1849</v>
      </c>
      <c r="D403" s="6" t="s">
        <v>1850</v>
      </c>
      <c r="E403" s="12" t="s">
        <v>1877</v>
      </c>
      <c r="F403" s="12" t="s">
        <v>1877</v>
      </c>
      <c r="G403" s="12" t="s">
        <v>2619</v>
      </c>
      <c r="H403" s="12" t="s">
        <v>2626</v>
      </c>
      <c r="I403" s="12" t="s">
        <v>2926</v>
      </c>
      <c r="J403" s="11" t="s">
        <v>1851</v>
      </c>
      <c r="K403" s="11" t="s">
        <v>1852</v>
      </c>
      <c r="L403" s="11" t="s">
        <v>1853</v>
      </c>
      <c r="M403" s="12" t="s">
        <v>2927</v>
      </c>
      <c r="N403" s="12" t="s">
        <v>2928</v>
      </c>
      <c r="O403" s="11" t="s">
        <v>1858</v>
      </c>
      <c r="P403" s="56"/>
    </row>
    <row r="404" spans="1:16" ht="15.75" customHeight="1" x14ac:dyDescent="0.2">
      <c r="A404" s="49">
        <v>1474</v>
      </c>
      <c r="B404" s="11" t="s">
        <v>1857</v>
      </c>
      <c r="C404" s="11" t="s">
        <v>1849</v>
      </c>
      <c r="D404" s="6" t="s">
        <v>1850</v>
      </c>
      <c r="E404" s="12" t="s">
        <v>1877</v>
      </c>
      <c r="F404" s="12" t="s">
        <v>1877</v>
      </c>
      <c r="G404" s="12" t="s">
        <v>2658</v>
      </c>
      <c r="H404" s="12" t="s">
        <v>2658</v>
      </c>
      <c r="I404" s="12" t="s">
        <v>2929</v>
      </c>
      <c r="J404" s="11" t="s">
        <v>1856</v>
      </c>
      <c r="K404" s="11" t="s">
        <v>1852</v>
      </c>
      <c r="L404" s="11" t="s">
        <v>1853</v>
      </c>
      <c r="M404" s="12" t="s">
        <v>2930</v>
      </c>
      <c r="N404" s="12" t="s">
        <v>2931</v>
      </c>
      <c r="O404" s="11" t="s">
        <v>1858</v>
      </c>
      <c r="P404" s="56"/>
    </row>
    <row r="405" spans="1:16" ht="15.75" customHeight="1" x14ac:dyDescent="0.2">
      <c r="A405" s="49">
        <v>1725</v>
      </c>
      <c r="B405" s="11" t="s">
        <v>1857</v>
      </c>
      <c r="C405" s="11" t="s">
        <v>1849</v>
      </c>
      <c r="D405" s="6" t="s">
        <v>1850</v>
      </c>
      <c r="E405" s="12" t="s">
        <v>1877</v>
      </c>
      <c r="F405" s="12" t="s">
        <v>1877</v>
      </c>
      <c r="G405" s="12" t="s">
        <v>2619</v>
      </c>
      <c r="H405" s="12" t="s">
        <v>2631</v>
      </c>
      <c r="I405" s="12" t="s">
        <v>2932</v>
      </c>
      <c r="J405" s="11" t="s">
        <v>1851</v>
      </c>
      <c r="K405" s="11" t="s">
        <v>1852</v>
      </c>
      <c r="L405" s="11" t="s">
        <v>1853</v>
      </c>
      <c r="M405" s="12" t="s">
        <v>2933</v>
      </c>
      <c r="N405" s="12"/>
      <c r="O405" s="11" t="s">
        <v>1858</v>
      </c>
      <c r="P405" s="56"/>
    </row>
    <row r="406" spans="1:16" ht="15.75" customHeight="1" x14ac:dyDescent="0.2">
      <c r="A406" s="49">
        <v>1831</v>
      </c>
      <c r="B406" s="11" t="s">
        <v>1857</v>
      </c>
      <c r="C406" s="11" t="s">
        <v>1849</v>
      </c>
      <c r="D406" s="6" t="s">
        <v>1850</v>
      </c>
      <c r="E406" s="12" t="s">
        <v>1877</v>
      </c>
      <c r="F406" s="12" t="s">
        <v>1877</v>
      </c>
      <c r="G406" s="12" t="s">
        <v>1914</v>
      </c>
      <c r="H406" s="12" t="s">
        <v>1914</v>
      </c>
      <c r="I406" s="12" t="s">
        <v>1990</v>
      </c>
      <c r="J406" s="11" t="s">
        <v>1851</v>
      </c>
      <c r="K406" s="11" t="s">
        <v>1852</v>
      </c>
      <c r="L406" s="11" t="s">
        <v>1853</v>
      </c>
      <c r="M406" s="12" t="s">
        <v>1991</v>
      </c>
      <c r="N406" s="12" t="s">
        <v>1992</v>
      </c>
      <c r="O406" s="11" t="s">
        <v>1858</v>
      </c>
      <c r="P406" s="56"/>
    </row>
    <row r="407" spans="1:16" ht="15.75" customHeight="1" x14ac:dyDescent="0.2">
      <c r="A407" s="49">
        <v>1717</v>
      </c>
      <c r="B407" s="11" t="s">
        <v>1857</v>
      </c>
      <c r="C407" s="11" t="s">
        <v>1849</v>
      </c>
      <c r="D407" s="6" t="s">
        <v>1850</v>
      </c>
      <c r="E407" s="12" t="s">
        <v>1877</v>
      </c>
      <c r="F407" s="12" t="s">
        <v>1877</v>
      </c>
      <c r="G407" s="12" t="s">
        <v>2619</v>
      </c>
      <c r="H407" s="12" t="s">
        <v>2631</v>
      </c>
      <c r="I407" s="12" t="s">
        <v>2934</v>
      </c>
      <c r="J407" s="11" t="s">
        <v>1851</v>
      </c>
      <c r="K407" s="11" t="s">
        <v>1852</v>
      </c>
      <c r="L407" s="11" t="s">
        <v>1853</v>
      </c>
      <c r="M407" s="12" t="s">
        <v>1861</v>
      </c>
      <c r="N407" s="12"/>
      <c r="O407" s="11" t="s">
        <v>1858</v>
      </c>
      <c r="P407" s="56"/>
    </row>
    <row r="408" spans="1:16" ht="15.75" customHeight="1" x14ac:dyDescent="0.2">
      <c r="A408" s="49">
        <v>1558</v>
      </c>
      <c r="B408" s="11" t="s">
        <v>1857</v>
      </c>
      <c r="C408" s="11" t="s">
        <v>1849</v>
      </c>
      <c r="D408" s="6" t="s">
        <v>1850</v>
      </c>
      <c r="E408" s="12" t="s">
        <v>1877</v>
      </c>
      <c r="F408" s="12" t="s">
        <v>1877</v>
      </c>
      <c r="G408" s="12" t="s">
        <v>2653</v>
      </c>
      <c r="H408" s="12" t="s">
        <v>2762</v>
      </c>
      <c r="I408" s="12" t="s">
        <v>2935</v>
      </c>
      <c r="J408" s="11" t="s">
        <v>1856</v>
      </c>
      <c r="K408" s="11" t="s">
        <v>1852</v>
      </c>
      <c r="L408" s="11" t="s">
        <v>1853</v>
      </c>
      <c r="M408" s="12" t="s">
        <v>2936</v>
      </c>
      <c r="N408" s="12"/>
      <c r="O408" s="11" t="s">
        <v>1858</v>
      </c>
      <c r="P408" s="56"/>
    </row>
    <row r="409" spans="1:16" ht="15.75" customHeight="1" x14ac:dyDescent="0.2">
      <c r="A409" s="49">
        <v>1308</v>
      </c>
      <c r="B409" s="11" t="s">
        <v>1857</v>
      </c>
      <c r="C409" s="11" t="s">
        <v>1849</v>
      </c>
      <c r="D409" s="6" t="s">
        <v>1850</v>
      </c>
      <c r="E409" s="12" t="s">
        <v>1877</v>
      </c>
      <c r="F409" s="12" t="s">
        <v>1877</v>
      </c>
      <c r="G409" s="12" t="s">
        <v>2684</v>
      </c>
      <c r="H409" s="12" t="s">
        <v>2937</v>
      </c>
      <c r="I409" s="12" t="s">
        <v>2938</v>
      </c>
      <c r="J409" s="11" t="s">
        <v>1856</v>
      </c>
      <c r="K409" s="11" t="s">
        <v>1852</v>
      </c>
      <c r="L409" s="11" t="s">
        <v>1853</v>
      </c>
      <c r="M409" s="12" t="s">
        <v>2939</v>
      </c>
      <c r="N409" s="12"/>
      <c r="O409" s="11" t="s">
        <v>1858</v>
      </c>
      <c r="P409" s="56"/>
    </row>
    <row r="410" spans="1:16" ht="15.75" customHeight="1" x14ac:dyDescent="0.2">
      <c r="A410" s="49">
        <v>1724</v>
      </c>
      <c r="B410" s="11" t="s">
        <v>1857</v>
      </c>
      <c r="C410" s="11" t="s">
        <v>1849</v>
      </c>
      <c r="D410" s="6" t="s">
        <v>1850</v>
      </c>
      <c r="E410" s="12" t="s">
        <v>1877</v>
      </c>
      <c r="F410" s="12" t="s">
        <v>1877</v>
      </c>
      <c r="G410" s="12" t="s">
        <v>2619</v>
      </c>
      <c r="H410" s="12" t="s">
        <v>2619</v>
      </c>
      <c r="I410" s="12" t="s">
        <v>2940</v>
      </c>
      <c r="J410" s="11" t="s">
        <v>1851</v>
      </c>
      <c r="K410" s="11" t="s">
        <v>1852</v>
      </c>
      <c r="L410" s="11" t="s">
        <v>1853</v>
      </c>
      <c r="M410" s="12" t="s">
        <v>2941</v>
      </c>
      <c r="N410" s="12"/>
      <c r="O410" s="11" t="s">
        <v>1860</v>
      </c>
      <c r="P410" s="56"/>
    </row>
    <row r="411" spans="1:16" ht="15.75" customHeight="1" x14ac:dyDescent="0.2">
      <c r="A411" s="49">
        <v>1419</v>
      </c>
      <c r="B411" s="11" t="s">
        <v>1857</v>
      </c>
      <c r="C411" s="11" t="s">
        <v>1849</v>
      </c>
      <c r="D411" s="6" t="s">
        <v>1850</v>
      </c>
      <c r="E411" s="12" t="s">
        <v>1877</v>
      </c>
      <c r="F411" s="12" t="s">
        <v>1877</v>
      </c>
      <c r="G411" s="12" t="s">
        <v>1883</v>
      </c>
      <c r="H411" s="12" t="s">
        <v>1918</v>
      </c>
      <c r="I411" s="12" t="s">
        <v>1993</v>
      </c>
      <c r="J411" s="11" t="s">
        <v>1856</v>
      </c>
      <c r="K411" s="11" t="s">
        <v>1852</v>
      </c>
      <c r="L411" s="11" t="s">
        <v>1853</v>
      </c>
      <c r="M411" s="12" t="s">
        <v>1994</v>
      </c>
      <c r="N411" s="12" t="s">
        <v>1995</v>
      </c>
      <c r="O411" s="11" t="s">
        <v>1858</v>
      </c>
      <c r="P411" s="56"/>
    </row>
    <row r="412" spans="1:16" ht="15.75" customHeight="1" x14ac:dyDescent="0.2">
      <c r="A412" s="49">
        <v>1723</v>
      </c>
      <c r="B412" s="11" t="s">
        <v>1857</v>
      </c>
      <c r="C412" s="11" t="s">
        <v>1849</v>
      </c>
      <c r="D412" s="6" t="s">
        <v>1850</v>
      </c>
      <c r="E412" s="12" t="s">
        <v>1877</v>
      </c>
      <c r="F412" s="12" t="s">
        <v>1877</v>
      </c>
      <c r="G412" s="12" t="s">
        <v>2619</v>
      </c>
      <c r="H412" s="12" t="s">
        <v>2864</v>
      </c>
      <c r="I412" s="12" t="s">
        <v>2942</v>
      </c>
      <c r="J412" s="11" t="s">
        <v>1851</v>
      </c>
      <c r="K412" s="11" t="s">
        <v>1852</v>
      </c>
      <c r="L412" s="11" t="s">
        <v>1853</v>
      </c>
      <c r="M412" s="12" t="s">
        <v>2943</v>
      </c>
      <c r="N412" s="12"/>
      <c r="O412" s="11" t="s">
        <v>1860</v>
      </c>
      <c r="P412" s="56"/>
    </row>
    <row r="413" spans="1:16" ht="15.75" customHeight="1" x14ac:dyDescent="0.2">
      <c r="A413" s="49">
        <v>1727</v>
      </c>
      <c r="B413" s="11" t="s">
        <v>1857</v>
      </c>
      <c r="C413" s="11" t="s">
        <v>1849</v>
      </c>
      <c r="D413" s="6" t="s">
        <v>1850</v>
      </c>
      <c r="E413" s="12" t="s">
        <v>1877</v>
      </c>
      <c r="F413" s="12" t="s">
        <v>1877</v>
      </c>
      <c r="G413" s="12" t="s">
        <v>2619</v>
      </c>
      <c r="H413" s="12" t="s">
        <v>2944</v>
      </c>
      <c r="I413" s="12" t="s">
        <v>2945</v>
      </c>
      <c r="J413" s="11" t="s">
        <v>1851</v>
      </c>
      <c r="K413" s="11" t="s">
        <v>1852</v>
      </c>
      <c r="L413" s="11" t="s">
        <v>1853</v>
      </c>
      <c r="M413" s="12" t="s">
        <v>2946</v>
      </c>
      <c r="N413" s="12" t="s">
        <v>2947</v>
      </c>
      <c r="O413" s="11" t="s">
        <v>1858</v>
      </c>
      <c r="P413" s="56"/>
    </row>
    <row r="414" spans="1:16" ht="15.75" customHeight="1" x14ac:dyDescent="0.2">
      <c r="A414" s="49">
        <v>1663</v>
      </c>
      <c r="B414" s="11" t="s">
        <v>1857</v>
      </c>
      <c r="C414" s="11" t="s">
        <v>1849</v>
      </c>
      <c r="D414" s="6" t="s">
        <v>1850</v>
      </c>
      <c r="E414" s="12" t="s">
        <v>1877</v>
      </c>
      <c r="F414" s="12" t="s">
        <v>1877</v>
      </c>
      <c r="G414" s="12" t="s">
        <v>2619</v>
      </c>
      <c r="H414" s="12" t="s">
        <v>2631</v>
      </c>
      <c r="I414" s="12" t="s">
        <v>2948</v>
      </c>
      <c r="J414" s="11" t="s">
        <v>1851</v>
      </c>
      <c r="K414" s="11" t="s">
        <v>1852</v>
      </c>
      <c r="L414" s="11" t="s">
        <v>1853</v>
      </c>
      <c r="M414" s="12" t="s">
        <v>2949</v>
      </c>
      <c r="N414" s="12" t="s">
        <v>2950</v>
      </c>
      <c r="O414" s="11" t="s">
        <v>1858</v>
      </c>
      <c r="P414" s="56"/>
    </row>
    <row r="415" spans="1:16" ht="15.75" customHeight="1" x14ac:dyDescent="0.2">
      <c r="A415" s="49">
        <v>1721</v>
      </c>
      <c r="B415" s="11" t="s">
        <v>1857</v>
      </c>
      <c r="C415" s="11" t="s">
        <v>1849</v>
      </c>
      <c r="D415" s="6" t="s">
        <v>1850</v>
      </c>
      <c r="E415" s="12" t="s">
        <v>1877</v>
      </c>
      <c r="F415" s="12" t="s">
        <v>1877</v>
      </c>
      <c r="G415" s="12" t="s">
        <v>2619</v>
      </c>
      <c r="H415" s="12" t="s">
        <v>2864</v>
      </c>
      <c r="I415" s="12" t="s">
        <v>2951</v>
      </c>
      <c r="J415" s="11" t="s">
        <v>1851</v>
      </c>
      <c r="K415" s="11" t="s">
        <v>1852</v>
      </c>
      <c r="L415" s="11" t="s">
        <v>1853</v>
      </c>
      <c r="M415" s="12" t="s">
        <v>2952</v>
      </c>
      <c r="N415" s="12"/>
      <c r="O415" s="11" t="s">
        <v>1858</v>
      </c>
      <c r="P415" s="56"/>
    </row>
    <row r="416" spans="1:16" ht="15.75" customHeight="1" x14ac:dyDescent="0.2">
      <c r="A416" s="49">
        <v>1598</v>
      </c>
      <c r="B416" s="11" t="s">
        <v>1857</v>
      </c>
      <c r="C416" s="11" t="s">
        <v>1849</v>
      </c>
      <c r="D416" s="6" t="s">
        <v>1850</v>
      </c>
      <c r="E416" s="12" t="s">
        <v>1877</v>
      </c>
      <c r="F416" s="12" t="s">
        <v>1877</v>
      </c>
      <c r="G416" s="12" t="s">
        <v>2736</v>
      </c>
      <c r="H416" s="12" t="s">
        <v>2953</v>
      </c>
      <c r="I416" s="11" t="s">
        <v>2954</v>
      </c>
      <c r="J416" s="11" t="s">
        <v>1856</v>
      </c>
      <c r="K416" s="11" t="s">
        <v>1852</v>
      </c>
      <c r="L416" s="11" t="s">
        <v>1853</v>
      </c>
      <c r="M416" s="12" t="s">
        <v>2955</v>
      </c>
      <c r="N416" s="12"/>
      <c r="O416" s="11" t="s">
        <v>1858</v>
      </c>
      <c r="P416" s="56"/>
    </row>
    <row r="417" spans="1:16" ht="15.75" customHeight="1" x14ac:dyDescent="0.2">
      <c r="A417" s="49">
        <v>1438</v>
      </c>
      <c r="B417" s="11" t="s">
        <v>1857</v>
      </c>
      <c r="C417" s="11" t="s">
        <v>1849</v>
      </c>
      <c r="D417" s="6" t="s">
        <v>1850</v>
      </c>
      <c r="E417" s="12" t="s">
        <v>1877</v>
      </c>
      <c r="F417" s="12" t="s">
        <v>1877</v>
      </c>
      <c r="G417" s="12" t="s">
        <v>1883</v>
      </c>
      <c r="H417" s="12" t="s">
        <v>1946</v>
      </c>
      <c r="I417" s="11" t="s">
        <v>1996</v>
      </c>
      <c r="J417" s="11" t="s">
        <v>1856</v>
      </c>
      <c r="K417" s="11" t="s">
        <v>1852</v>
      </c>
      <c r="L417" s="11" t="s">
        <v>1853</v>
      </c>
      <c r="M417" s="12" t="s">
        <v>1997</v>
      </c>
      <c r="N417" s="12" t="s">
        <v>1902</v>
      </c>
      <c r="O417" s="11" t="s">
        <v>1858</v>
      </c>
      <c r="P417" s="56"/>
    </row>
    <row r="418" spans="1:16" ht="15.75" customHeight="1" x14ac:dyDescent="0.2">
      <c r="A418" s="49">
        <v>1772</v>
      </c>
      <c r="B418" s="11" t="s">
        <v>1857</v>
      </c>
      <c r="C418" s="11" t="s">
        <v>1849</v>
      </c>
      <c r="D418" s="6" t="s">
        <v>1850</v>
      </c>
      <c r="E418" s="12" t="s">
        <v>1877</v>
      </c>
      <c r="F418" s="12" t="s">
        <v>1877</v>
      </c>
      <c r="G418" s="12" t="s">
        <v>2619</v>
      </c>
      <c r="H418" s="12" t="s">
        <v>2626</v>
      </c>
      <c r="I418" s="12" t="s">
        <v>2956</v>
      </c>
      <c r="J418" s="11" t="s">
        <v>1851</v>
      </c>
      <c r="K418" s="11" t="s">
        <v>1852</v>
      </c>
      <c r="L418" s="11" t="s">
        <v>1853</v>
      </c>
      <c r="M418" s="12" t="s">
        <v>2957</v>
      </c>
      <c r="N418" s="12"/>
      <c r="O418" s="11" t="s">
        <v>1858</v>
      </c>
      <c r="P418" s="56"/>
    </row>
    <row r="419" spans="1:16" ht="15.75" customHeight="1" x14ac:dyDescent="0.2">
      <c r="A419" s="49">
        <v>1662</v>
      </c>
      <c r="B419" s="11" t="s">
        <v>1857</v>
      </c>
      <c r="C419" s="11" t="s">
        <v>1849</v>
      </c>
      <c r="D419" s="6" t="s">
        <v>1850</v>
      </c>
      <c r="E419" s="12" t="s">
        <v>1877</v>
      </c>
      <c r="F419" s="12" t="s">
        <v>1877</v>
      </c>
      <c r="G419" s="12" t="s">
        <v>2619</v>
      </c>
      <c r="H419" s="12" t="s">
        <v>2619</v>
      </c>
      <c r="I419" s="12" t="s">
        <v>2958</v>
      </c>
      <c r="J419" s="11" t="s">
        <v>1851</v>
      </c>
      <c r="K419" s="11" t="s">
        <v>1852</v>
      </c>
      <c r="L419" s="11" t="s">
        <v>1853</v>
      </c>
      <c r="M419" s="12" t="s">
        <v>2959</v>
      </c>
      <c r="N419" s="12" t="s">
        <v>2960</v>
      </c>
      <c r="O419" s="11" t="s">
        <v>1858</v>
      </c>
      <c r="P419" s="56"/>
    </row>
    <row r="420" spans="1:16" ht="15.75" customHeight="1" x14ac:dyDescent="0.2">
      <c r="A420" s="49">
        <v>1964</v>
      </c>
      <c r="B420" s="11" t="s">
        <v>1857</v>
      </c>
      <c r="C420" s="11" t="s">
        <v>1849</v>
      </c>
      <c r="D420" s="6" t="s">
        <v>1850</v>
      </c>
      <c r="E420" s="12" t="s">
        <v>1877</v>
      </c>
      <c r="F420" s="12" t="s">
        <v>1877</v>
      </c>
      <c r="G420" s="12" t="s">
        <v>2627</v>
      </c>
      <c r="H420" s="12" t="s">
        <v>2961</v>
      </c>
      <c r="I420" s="12" t="s">
        <v>2962</v>
      </c>
      <c r="J420" s="11" t="s">
        <v>1856</v>
      </c>
      <c r="K420" s="11" t="s">
        <v>1852</v>
      </c>
      <c r="L420" s="11" t="s">
        <v>1853</v>
      </c>
      <c r="M420" s="12" t="s">
        <v>2963</v>
      </c>
      <c r="N420" s="12" t="s">
        <v>2964</v>
      </c>
      <c r="O420" s="11" t="s">
        <v>2307</v>
      </c>
      <c r="P420" s="56" t="s">
        <v>2965</v>
      </c>
    </row>
    <row r="421" spans="1:16" ht="15.75" customHeight="1" x14ac:dyDescent="0.2">
      <c r="A421" s="49">
        <v>1751</v>
      </c>
      <c r="B421" s="11" t="s">
        <v>1857</v>
      </c>
      <c r="C421" s="11" t="s">
        <v>1849</v>
      </c>
      <c r="D421" s="6" t="s">
        <v>1850</v>
      </c>
      <c r="E421" s="12" t="s">
        <v>1877</v>
      </c>
      <c r="F421" s="12" t="s">
        <v>1877</v>
      </c>
      <c r="G421" s="12" t="s">
        <v>2619</v>
      </c>
      <c r="H421" s="12" t="s">
        <v>2820</v>
      </c>
      <c r="I421" s="12" t="s">
        <v>2966</v>
      </c>
      <c r="J421" s="11" t="s">
        <v>1851</v>
      </c>
      <c r="K421" s="11" t="s">
        <v>1852</v>
      </c>
      <c r="L421" s="11" t="s">
        <v>1853</v>
      </c>
      <c r="M421" s="12" t="s">
        <v>1912</v>
      </c>
      <c r="N421" s="12"/>
      <c r="O421" s="11" t="s">
        <v>1858</v>
      </c>
      <c r="P421" s="56"/>
    </row>
    <row r="422" spans="1:16" ht="15.75" customHeight="1" x14ac:dyDescent="0.2">
      <c r="A422" s="49">
        <v>2059</v>
      </c>
      <c r="B422" s="11" t="s">
        <v>1857</v>
      </c>
      <c r="C422" s="11" t="s">
        <v>1849</v>
      </c>
      <c r="D422" s="6" t="s">
        <v>1850</v>
      </c>
      <c r="E422" s="12" t="s">
        <v>1877</v>
      </c>
      <c r="F422" s="12" t="s">
        <v>1877</v>
      </c>
      <c r="G422" s="12" t="s">
        <v>2623</v>
      </c>
      <c r="H422" s="12" t="s">
        <v>2623</v>
      </c>
      <c r="I422" s="12" t="s">
        <v>2967</v>
      </c>
      <c r="J422" s="11" t="s">
        <v>1856</v>
      </c>
      <c r="K422" s="11" t="s">
        <v>1852</v>
      </c>
      <c r="L422" s="11" t="s">
        <v>1853</v>
      </c>
      <c r="M422" s="12" t="s">
        <v>2968</v>
      </c>
      <c r="N422" s="12" t="s">
        <v>2969</v>
      </c>
      <c r="O422" s="11" t="s">
        <v>1858</v>
      </c>
      <c r="P422" s="56"/>
    </row>
    <row r="423" spans="1:16" ht="15.75" customHeight="1" x14ac:dyDescent="0.2">
      <c r="A423" s="49">
        <v>1755</v>
      </c>
      <c r="B423" s="11" t="s">
        <v>1857</v>
      </c>
      <c r="C423" s="11" t="s">
        <v>1849</v>
      </c>
      <c r="D423" s="6" t="s">
        <v>1850</v>
      </c>
      <c r="E423" s="12" t="s">
        <v>1877</v>
      </c>
      <c r="F423" s="12" t="s">
        <v>1877</v>
      </c>
      <c r="G423" s="12" t="s">
        <v>2619</v>
      </c>
      <c r="H423" s="12" t="s">
        <v>2820</v>
      </c>
      <c r="I423" s="12" t="s">
        <v>2970</v>
      </c>
      <c r="J423" s="11" t="s">
        <v>1851</v>
      </c>
      <c r="K423" s="11" t="s">
        <v>1852</v>
      </c>
      <c r="L423" s="11" t="s">
        <v>1853</v>
      </c>
      <c r="M423" s="12" t="s">
        <v>2971</v>
      </c>
      <c r="N423" s="12" t="s">
        <v>2972</v>
      </c>
      <c r="O423" s="11" t="s">
        <v>1858</v>
      </c>
      <c r="P423" s="56"/>
    </row>
    <row r="424" spans="1:16" ht="15.75" customHeight="1" x14ac:dyDescent="0.2">
      <c r="A424" s="49">
        <v>1415</v>
      </c>
      <c r="B424" s="11" t="s">
        <v>1857</v>
      </c>
      <c r="C424" s="11" t="s">
        <v>1849</v>
      </c>
      <c r="D424" s="6" t="s">
        <v>1850</v>
      </c>
      <c r="E424" s="12" t="s">
        <v>1877</v>
      </c>
      <c r="F424" s="12" t="s">
        <v>1877</v>
      </c>
      <c r="G424" s="12" t="s">
        <v>1883</v>
      </c>
      <c r="H424" s="12" t="s">
        <v>1895</v>
      </c>
      <c r="I424" s="12" t="s">
        <v>1998</v>
      </c>
      <c r="J424" s="11" t="s">
        <v>1851</v>
      </c>
      <c r="K424" s="11" t="s">
        <v>1852</v>
      </c>
      <c r="L424" s="11" t="s">
        <v>1853</v>
      </c>
      <c r="M424" s="12" t="s">
        <v>1999</v>
      </c>
      <c r="N424" s="12"/>
      <c r="O424" s="11" t="s">
        <v>1858</v>
      </c>
      <c r="P424" s="56"/>
    </row>
    <row r="425" spans="1:16" ht="15.75" customHeight="1" x14ac:dyDescent="0.2">
      <c r="A425" s="49">
        <v>1526</v>
      </c>
      <c r="B425" s="11" t="s">
        <v>1857</v>
      </c>
      <c r="C425" s="11" t="s">
        <v>1849</v>
      </c>
      <c r="D425" s="6" t="s">
        <v>1850</v>
      </c>
      <c r="E425" s="12" t="s">
        <v>1877</v>
      </c>
      <c r="F425" s="12" t="s">
        <v>1877</v>
      </c>
      <c r="G425" s="12" t="s">
        <v>2635</v>
      </c>
      <c r="H425" s="12" t="s">
        <v>2973</v>
      </c>
      <c r="I425" s="12" t="s">
        <v>2974</v>
      </c>
      <c r="J425" s="11" t="s">
        <v>1851</v>
      </c>
      <c r="K425" s="11" t="s">
        <v>1852</v>
      </c>
      <c r="L425" s="11" t="s">
        <v>1853</v>
      </c>
      <c r="M425" s="12" t="s">
        <v>2975</v>
      </c>
      <c r="N425" s="12" t="s">
        <v>2976</v>
      </c>
      <c r="O425" s="11" t="s">
        <v>1860</v>
      </c>
      <c r="P425" s="56"/>
    </row>
    <row r="426" spans="1:16" ht="15.75" customHeight="1" x14ac:dyDescent="0.2">
      <c r="A426" s="49">
        <v>1644</v>
      </c>
      <c r="B426" s="11" t="s">
        <v>1857</v>
      </c>
      <c r="C426" s="11" t="s">
        <v>1849</v>
      </c>
      <c r="D426" s="6" t="s">
        <v>1850</v>
      </c>
      <c r="E426" s="12" t="s">
        <v>1877</v>
      </c>
      <c r="F426" s="12" t="s">
        <v>1877</v>
      </c>
      <c r="G426" s="12" t="s">
        <v>2736</v>
      </c>
      <c r="H426" s="12" t="s">
        <v>2750</v>
      </c>
      <c r="I426" s="12" t="s">
        <v>2977</v>
      </c>
      <c r="J426" s="11" t="s">
        <v>1851</v>
      </c>
      <c r="K426" s="11" t="s">
        <v>1852</v>
      </c>
      <c r="L426" s="11" t="s">
        <v>1853</v>
      </c>
      <c r="M426" s="12" t="s">
        <v>2978</v>
      </c>
      <c r="N426" s="12" t="s">
        <v>2979</v>
      </c>
      <c r="O426" s="11" t="s">
        <v>1858</v>
      </c>
      <c r="P426" s="56"/>
    </row>
    <row r="427" spans="1:16" ht="15.75" customHeight="1" x14ac:dyDescent="0.2">
      <c r="A427" s="49">
        <v>1531</v>
      </c>
      <c r="B427" s="11" t="s">
        <v>1857</v>
      </c>
      <c r="C427" s="11" t="s">
        <v>1849</v>
      </c>
      <c r="D427" s="6" t="s">
        <v>1850</v>
      </c>
      <c r="E427" s="12" t="s">
        <v>1877</v>
      </c>
      <c r="F427" s="12" t="s">
        <v>1877</v>
      </c>
      <c r="G427" s="12" t="s">
        <v>2635</v>
      </c>
      <c r="H427" s="12" t="s">
        <v>2701</v>
      </c>
      <c r="I427" s="12" t="s">
        <v>2980</v>
      </c>
      <c r="J427" s="11" t="s">
        <v>1856</v>
      </c>
      <c r="K427" s="11" t="s">
        <v>1852</v>
      </c>
      <c r="L427" s="11" t="s">
        <v>1853</v>
      </c>
      <c r="M427" s="12" t="s">
        <v>2981</v>
      </c>
      <c r="N427" s="12"/>
      <c r="O427" s="11" t="s">
        <v>1859</v>
      </c>
      <c r="P427" s="56"/>
    </row>
    <row r="428" spans="1:16" ht="15.75" customHeight="1" x14ac:dyDescent="0.2">
      <c r="A428" s="49">
        <v>1844</v>
      </c>
      <c r="B428" s="11" t="s">
        <v>1857</v>
      </c>
      <c r="C428" s="11" t="s">
        <v>1849</v>
      </c>
      <c r="D428" s="6" t="s">
        <v>1850</v>
      </c>
      <c r="E428" s="12" t="s">
        <v>1877</v>
      </c>
      <c r="F428" s="12" t="s">
        <v>1877</v>
      </c>
      <c r="G428" s="12" t="s">
        <v>1914</v>
      </c>
      <c r="H428" s="12" t="s">
        <v>2000</v>
      </c>
      <c r="I428" s="12" t="s">
        <v>2001</v>
      </c>
      <c r="J428" s="11" t="s">
        <v>1856</v>
      </c>
      <c r="K428" s="11" t="s">
        <v>1852</v>
      </c>
      <c r="L428" s="11" t="s">
        <v>1853</v>
      </c>
      <c r="M428" s="12" t="s">
        <v>2002</v>
      </c>
      <c r="N428" s="12" t="s">
        <v>2003</v>
      </c>
      <c r="O428" s="11" t="s">
        <v>1860</v>
      </c>
      <c r="P428" s="56"/>
    </row>
    <row r="429" spans="1:16" ht="15.75" customHeight="1" x14ac:dyDescent="0.2">
      <c r="A429" s="49">
        <v>1579</v>
      </c>
      <c r="B429" s="11" t="s">
        <v>1857</v>
      </c>
      <c r="C429" s="11" t="s">
        <v>1849</v>
      </c>
      <c r="D429" s="6" t="s">
        <v>1850</v>
      </c>
      <c r="E429" s="12" t="s">
        <v>1877</v>
      </c>
      <c r="F429" s="12" t="s">
        <v>1877</v>
      </c>
      <c r="G429" s="12" t="s">
        <v>2653</v>
      </c>
      <c r="H429" s="12" t="s">
        <v>2696</v>
      </c>
      <c r="I429" s="12" t="s">
        <v>2982</v>
      </c>
      <c r="J429" s="11" t="s">
        <v>1856</v>
      </c>
      <c r="K429" s="11" t="s">
        <v>1852</v>
      </c>
      <c r="L429" s="11" t="s">
        <v>1853</v>
      </c>
      <c r="M429" s="12" t="s">
        <v>1854</v>
      </c>
      <c r="N429" s="12"/>
      <c r="O429" s="11" t="s">
        <v>1859</v>
      </c>
      <c r="P429" s="56"/>
    </row>
    <row r="430" spans="1:16" ht="15.75" customHeight="1" x14ac:dyDescent="0.2">
      <c r="A430" s="49">
        <v>1593</v>
      </c>
      <c r="B430" s="11" t="s">
        <v>1857</v>
      </c>
      <c r="C430" s="11" t="s">
        <v>1849</v>
      </c>
      <c r="D430" s="6" t="s">
        <v>1850</v>
      </c>
      <c r="E430" s="12" t="s">
        <v>1877</v>
      </c>
      <c r="F430" s="12" t="s">
        <v>1877</v>
      </c>
      <c r="G430" s="12" t="s">
        <v>2736</v>
      </c>
      <c r="H430" s="12" t="s">
        <v>2983</v>
      </c>
      <c r="I430" s="12" t="s">
        <v>2984</v>
      </c>
      <c r="J430" s="11" t="s">
        <v>1856</v>
      </c>
      <c r="K430" s="11" t="s">
        <v>1852</v>
      </c>
      <c r="L430" s="11" t="s">
        <v>1853</v>
      </c>
      <c r="M430" s="12" t="s">
        <v>2985</v>
      </c>
      <c r="N430" s="12" t="s">
        <v>2986</v>
      </c>
      <c r="O430" s="11" t="s">
        <v>1858</v>
      </c>
      <c r="P430" s="56"/>
    </row>
    <row r="431" spans="1:16" ht="15.75" customHeight="1" x14ac:dyDescent="0.2">
      <c r="A431" s="49">
        <v>1435</v>
      </c>
      <c r="B431" s="11" t="s">
        <v>1857</v>
      </c>
      <c r="C431" s="11" t="s">
        <v>1849</v>
      </c>
      <c r="D431" s="6" t="s">
        <v>1850</v>
      </c>
      <c r="E431" s="12" t="s">
        <v>1877</v>
      </c>
      <c r="F431" s="12" t="s">
        <v>1877</v>
      </c>
      <c r="G431" s="12" t="s">
        <v>1883</v>
      </c>
      <c r="H431" s="12" t="s">
        <v>1889</v>
      </c>
      <c r="I431" s="12" t="s">
        <v>2004</v>
      </c>
      <c r="J431" s="11" t="s">
        <v>1856</v>
      </c>
      <c r="K431" s="11" t="s">
        <v>1852</v>
      </c>
      <c r="L431" s="11" t="s">
        <v>1853</v>
      </c>
      <c r="M431" s="12" t="s">
        <v>2005</v>
      </c>
      <c r="N431" s="12"/>
      <c r="O431" s="11" t="s">
        <v>1860</v>
      </c>
      <c r="P431" s="56"/>
    </row>
    <row r="432" spans="1:16" ht="15.75" customHeight="1" x14ac:dyDescent="0.2">
      <c r="A432" s="49">
        <v>1404</v>
      </c>
      <c r="B432" s="11" t="s">
        <v>1857</v>
      </c>
      <c r="C432" s="11" t="s">
        <v>1849</v>
      </c>
      <c r="D432" s="6" t="s">
        <v>1850</v>
      </c>
      <c r="E432" s="12" t="s">
        <v>1877</v>
      </c>
      <c r="F432" s="12" t="s">
        <v>1877</v>
      </c>
      <c r="G432" s="12" t="s">
        <v>1883</v>
      </c>
      <c r="H432" s="12" t="s">
        <v>1884</v>
      </c>
      <c r="I432" s="12" t="s">
        <v>2006</v>
      </c>
      <c r="J432" s="11" t="s">
        <v>1856</v>
      </c>
      <c r="K432" s="11" t="s">
        <v>1852</v>
      </c>
      <c r="L432" s="11" t="s">
        <v>1853</v>
      </c>
      <c r="M432" s="12" t="s">
        <v>2007</v>
      </c>
      <c r="N432" s="12"/>
      <c r="O432" s="11" t="s">
        <v>1858</v>
      </c>
      <c r="P432" s="56"/>
    </row>
    <row r="433" spans="1:16" ht="15.75" customHeight="1" x14ac:dyDescent="0.2">
      <c r="A433" s="49">
        <v>1426</v>
      </c>
      <c r="B433" s="11" t="s">
        <v>1857</v>
      </c>
      <c r="C433" s="11" t="s">
        <v>1849</v>
      </c>
      <c r="D433" s="6" t="s">
        <v>1850</v>
      </c>
      <c r="E433" s="12" t="s">
        <v>1877</v>
      </c>
      <c r="F433" s="12" t="s">
        <v>1877</v>
      </c>
      <c r="G433" s="12" t="s">
        <v>1883</v>
      </c>
      <c r="H433" s="12" t="s">
        <v>1898</v>
      </c>
      <c r="I433" s="12" t="s">
        <v>2008</v>
      </c>
      <c r="J433" s="11" t="s">
        <v>1856</v>
      </c>
      <c r="K433" s="11" t="s">
        <v>1852</v>
      </c>
      <c r="L433" s="11" t="s">
        <v>1853</v>
      </c>
      <c r="M433" s="12" t="s">
        <v>2007</v>
      </c>
      <c r="N433" s="12" t="s">
        <v>2009</v>
      </c>
      <c r="O433" s="11" t="s">
        <v>1858</v>
      </c>
      <c r="P433" s="56"/>
    </row>
    <row r="434" spans="1:16" ht="15.75" customHeight="1" x14ac:dyDescent="0.2">
      <c r="A434" s="49">
        <v>1428</v>
      </c>
      <c r="B434" s="11" t="s">
        <v>1857</v>
      </c>
      <c r="C434" s="11" t="s">
        <v>1849</v>
      </c>
      <c r="D434" s="6" t="s">
        <v>1850</v>
      </c>
      <c r="E434" s="12" t="s">
        <v>1877</v>
      </c>
      <c r="F434" s="12" t="s">
        <v>1877</v>
      </c>
      <c r="G434" s="12" t="s">
        <v>1883</v>
      </c>
      <c r="H434" s="12" t="s">
        <v>1895</v>
      </c>
      <c r="I434" s="12" t="s">
        <v>2010</v>
      </c>
      <c r="J434" s="11" t="s">
        <v>1856</v>
      </c>
      <c r="K434" s="11" t="s">
        <v>1852</v>
      </c>
      <c r="L434" s="11" t="s">
        <v>1853</v>
      </c>
      <c r="M434" s="12" t="s">
        <v>2011</v>
      </c>
      <c r="N434" s="12"/>
      <c r="O434" s="11" t="s">
        <v>1858</v>
      </c>
      <c r="P434" s="56"/>
    </row>
    <row r="435" spans="1:16" ht="15.75" customHeight="1" x14ac:dyDescent="0.2">
      <c r="A435" s="49">
        <v>1842</v>
      </c>
      <c r="B435" s="11" t="s">
        <v>1857</v>
      </c>
      <c r="C435" s="11" t="s">
        <v>1849</v>
      </c>
      <c r="D435" s="6" t="s">
        <v>1850</v>
      </c>
      <c r="E435" s="12" t="s">
        <v>1877</v>
      </c>
      <c r="F435" s="12" t="s">
        <v>1877</v>
      </c>
      <c r="G435" s="12" t="s">
        <v>1914</v>
      </c>
      <c r="H435" s="12" t="s">
        <v>1937</v>
      </c>
      <c r="I435" s="12" t="s">
        <v>2012</v>
      </c>
      <c r="J435" s="11" t="s">
        <v>1856</v>
      </c>
      <c r="K435" s="11" t="s">
        <v>1852</v>
      </c>
      <c r="L435" s="11" t="s">
        <v>1853</v>
      </c>
      <c r="M435" s="12" t="s">
        <v>2011</v>
      </c>
      <c r="N435" s="12"/>
      <c r="O435" s="11" t="s">
        <v>1859</v>
      </c>
      <c r="P435" s="56"/>
    </row>
    <row r="436" spans="1:16" ht="15.75" customHeight="1" x14ac:dyDescent="0.2">
      <c r="A436" s="49">
        <v>1509</v>
      </c>
      <c r="B436" s="11" t="s">
        <v>1857</v>
      </c>
      <c r="C436" s="11" t="s">
        <v>1849</v>
      </c>
      <c r="D436" s="6" t="s">
        <v>1850</v>
      </c>
      <c r="E436" s="12" t="s">
        <v>1877</v>
      </c>
      <c r="F436" s="12" t="s">
        <v>1877</v>
      </c>
      <c r="G436" s="12" t="s">
        <v>2635</v>
      </c>
      <c r="H436" s="12" t="s">
        <v>2690</v>
      </c>
      <c r="I436" s="12" t="s">
        <v>2987</v>
      </c>
      <c r="J436" s="11" t="s">
        <v>1856</v>
      </c>
      <c r="K436" s="11" t="s">
        <v>1852</v>
      </c>
      <c r="L436" s="11" t="s">
        <v>1853</v>
      </c>
      <c r="M436" s="12" t="s">
        <v>2988</v>
      </c>
      <c r="N436" s="12"/>
      <c r="O436" s="11" t="s">
        <v>1858</v>
      </c>
      <c r="P436" s="56"/>
    </row>
    <row r="437" spans="1:16" ht="15.75" customHeight="1" x14ac:dyDescent="0.2">
      <c r="A437" s="49">
        <v>1851</v>
      </c>
      <c r="B437" s="11" t="s">
        <v>1857</v>
      </c>
      <c r="C437" s="11" t="s">
        <v>1849</v>
      </c>
      <c r="D437" s="6" t="s">
        <v>1850</v>
      </c>
      <c r="E437" s="12" t="s">
        <v>1877</v>
      </c>
      <c r="F437" s="12" t="s">
        <v>1877</v>
      </c>
      <c r="G437" s="12" t="s">
        <v>1914</v>
      </c>
      <c r="H437" s="12" t="s">
        <v>1972</v>
      </c>
      <c r="I437" s="12" t="s">
        <v>2013</v>
      </c>
      <c r="J437" s="11" t="s">
        <v>1856</v>
      </c>
      <c r="K437" s="11" t="s">
        <v>1852</v>
      </c>
      <c r="L437" s="11" t="s">
        <v>1853</v>
      </c>
      <c r="M437" s="12" t="s">
        <v>2011</v>
      </c>
      <c r="N437" s="12"/>
      <c r="O437" s="11" t="s">
        <v>1859</v>
      </c>
      <c r="P437" s="56"/>
    </row>
    <row r="438" spans="1:16" ht="15.75" customHeight="1" x14ac:dyDescent="0.2">
      <c r="A438" s="49">
        <v>1578</v>
      </c>
      <c r="B438" s="11" t="s">
        <v>1857</v>
      </c>
      <c r="C438" s="11" t="s">
        <v>1849</v>
      </c>
      <c r="D438" s="6" t="s">
        <v>1850</v>
      </c>
      <c r="E438" s="12" t="s">
        <v>1877</v>
      </c>
      <c r="F438" s="12" t="s">
        <v>1877</v>
      </c>
      <c r="G438" s="12" t="s">
        <v>2653</v>
      </c>
      <c r="H438" s="12" t="s">
        <v>2696</v>
      </c>
      <c r="I438" s="12" t="s">
        <v>2989</v>
      </c>
      <c r="J438" s="11" t="s">
        <v>1856</v>
      </c>
      <c r="K438" s="11" t="s">
        <v>1852</v>
      </c>
      <c r="L438" s="11" t="s">
        <v>1853</v>
      </c>
      <c r="M438" s="12" t="s">
        <v>1854</v>
      </c>
      <c r="N438" s="12"/>
      <c r="O438" s="11" t="s">
        <v>1858</v>
      </c>
      <c r="P438" s="56"/>
    </row>
    <row r="439" spans="1:16" ht="15.75" customHeight="1" x14ac:dyDescent="0.2">
      <c r="A439" s="49">
        <v>1638</v>
      </c>
      <c r="B439" s="11" t="s">
        <v>1857</v>
      </c>
      <c r="C439" s="11" t="s">
        <v>1849</v>
      </c>
      <c r="D439" s="6" t="s">
        <v>1850</v>
      </c>
      <c r="E439" s="12" t="s">
        <v>1877</v>
      </c>
      <c r="F439" s="12" t="s">
        <v>1877</v>
      </c>
      <c r="G439" s="12" t="s">
        <v>2653</v>
      </c>
      <c r="H439" s="12" t="s">
        <v>2677</v>
      </c>
      <c r="I439" s="12" t="s">
        <v>2990</v>
      </c>
      <c r="J439" s="11" t="s">
        <v>1856</v>
      </c>
      <c r="K439" s="11" t="s">
        <v>1852</v>
      </c>
      <c r="L439" s="11" t="s">
        <v>1853</v>
      </c>
      <c r="M439" s="12" t="s">
        <v>2991</v>
      </c>
      <c r="N439" s="12"/>
      <c r="O439" s="11" t="s">
        <v>1859</v>
      </c>
      <c r="P439" s="56"/>
    </row>
    <row r="440" spans="1:16" ht="15.75" customHeight="1" x14ac:dyDescent="0.2">
      <c r="A440" s="49">
        <v>1603</v>
      </c>
      <c r="B440" s="11" t="s">
        <v>1857</v>
      </c>
      <c r="C440" s="11" t="s">
        <v>1849</v>
      </c>
      <c r="D440" s="6" t="s">
        <v>1850</v>
      </c>
      <c r="E440" s="12" t="s">
        <v>1877</v>
      </c>
      <c r="F440" s="12" t="s">
        <v>1877</v>
      </c>
      <c r="G440" s="12" t="s">
        <v>2653</v>
      </c>
      <c r="H440" s="12" t="s">
        <v>2693</v>
      </c>
      <c r="I440" s="12" t="s">
        <v>2992</v>
      </c>
      <c r="J440" s="11" t="s">
        <v>1856</v>
      </c>
      <c r="K440" s="11" t="s">
        <v>1852</v>
      </c>
      <c r="L440" s="11" t="s">
        <v>1853</v>
      </c>
      <c r="M440" s="12" t="s">
        <v>2993</v>
      </c>
      <c r="N440" s="12" t="s">
        <v>2994</v>
      </c>
      <c r="O440" s="11" t="s">
        <v>1860</v>
      </c>
      <c r="P440" s="56"/>
    </row>
    <row r="441" spans="1:16" ht="15.75" customHeight="1" x14ac:dyDescent="0.2">
      <c r="A441" s="49">
        <v>1491</v>
      </c>
      <c r="B441" s="11" t="s">
        <v>1857</v>
      </c>
      <c r="C441" s="11" t="s">
        <v>1849</v>
      </c>
      <c r="D441" s="6" t="s">
        <v>1850</v>
      </c>
      <c r="E441" s="12" t="s">
        <v>1877</v>
      </c>
      <c r="F441" s="12" t="s">
        <v>1877</v>
      </c>
      <c r="G441" s="12" t="s">
        <v>2658</v>
      </c>
      <c r="H441" s="12" t="s">
        <v>2682</v>
      </c>
      <c r="I441" s="12" t="s">
        <v>2995</v>
      </c>
      <c r="J441" s="11" t="s">
        <v>1856</v>
      </c>
      <c r="K441" s="11" t="s">
        <v>1852</v>
      </c>
      <c r="L441" s="11" t="s">
        <v>1853</v>
      </c>
      <c r="M441" s="12" t="s">
        <v>2996</v>
      </c>
      <c r="N441" s="12"/>
      <c r="O441" s="11" t="s">
        <v>1859</v>
      </c>
      <c r="P441" s="56"/>
    </row>
    <row r="442" spans="1:16" ht="15.75" customHeight="1" x14ac:dyDescent="0.2">
      <c r="A442" s="49">
        <v>1746</v>
      </c>
      <c r="B442" s="11" t="s">
        <v>1857</v>
      </c>
      <c r="C442" s="11" t="s">
        <v>1849</v>
      </c>
      <c r="D442" s="6" t="s">
        <v>1850</v>
      </c>
      <c r="E442" s="12" t="s">
        <v>1877</v>
      </c>
      <c r="F442" s="12" t="s">
        <v>1877</v>
      </c>
      <c r="G442" s="12" t="s">
        <v>2619</v>
      </c>
      <c r="H442" s="12" t="s">
        <v>2705</v>
      </c>
      <c r="I442" s="12" t="s">
        <v>2997</v>
      </c>
      <c r="J442" s="11" t="s">
        <v>1856</v>
      </c>
      <c r="K442" s="11" t="s">
        <v>1852</v>
      </c>
      <c r="L442" s="11" t="s">
        <v>1853</v>
      </c>
      <c r="M442" s="12" t="s">
        <v>2998</v>
      </c>
      <c r="N442" s="12"/>
      <c r="O442" s="11" t="s">
        <v>1859</v>
      </c>
      <c r="P442" s="56"/>
    </row>
    <row r="443" spans="1:16" ht="15.75" customHeight="1" x14ac:dyDescent="0.2">
      <c r="A443" s="49">
        <v>1744</v>
      </c>
      <c r="B443" s="11" t="s">
        <v>1857</v>
      </c>
      <c r="C443" s="11" t="s">
        <v>1849</v>
      </c>
      <c r="D443" s="6" t="s">
        <v>1850</v>
      </c>
      <c r="E443" s="12" t="s">
        <v>1877</v>
      </c>
      <c r="F443" s="12" t="s">
        <v>1877</v>
      </c>
      <c r="G443" s="12" t="s">
        <v>2619</v>
      </c>
      <c r="H443" s="12" t="s">
        <v>2705</v>
      </c>
      <c r="I443" s="12" t="s">
        <v>1635</v>
      </c>
      <c r="J443" s="11" t="s">
        <v>1856</v>
      </c>
      <c r="K443" s="11" t="s">
        <v>1852</v>
      </c>
      <c r="L443" s="11" t="s">
        <v>1853</v>
      </c>
      <c r="M443" s="12" t="s">
        <v>2999</v>
      </c>
      <c r="N443" s="12"/>
      <c r="O443" s="11" t="s">
        <v>1858</v>
      </c>
      <c r="P443" s="56"/>
    </row>
    <row r="444" spans="1:16" ht="15.75" customHeight="1" x14ac:dyDescent="0.2">
      <c r="A444" s="49">
        <v>1322</v>
      </c>
      <c r="B444" s="11" t="s">
        <v>1857</v>
      </c>
      <c r="C444" s="11" t="s">
        <v>1849</v>
      </c>
      <c r="D444" s="6" t="s">
        <v>1850</v>
      </c>
      <c r="E444" s="12" t="s">
        <v>1877</v>
      </c>
      <c r="F444" s="12" t="s">
        <v>1877</v>
      </c>
      <c r="G444" s="12" t="s">
        <v>2684</v>
      </c>
      <c r="H444" s="12" t="s">
        <v>2789</v>
      </c>
      <c r="I444" s="12" t="s">
        <v>3000</v>
      </c>
      <c r="J444" s="11" t="s">
        <v>1856</v>
      </c>
      <c r="K444" s="11" t="s">
        <v>1852</v>
      </c>
      <c r="L444" s="11" t="s">
        <v>1853</v>
      </c>
      <c r="M444" s="12" t="s">
        <v>1854</v>
      </c>
      <c r="N444" s="12"/>
      <c r="O444" s="11" t="s">
        <v>1858</v>
      </c>
      <c r="P444" s="56"/>
    </row>
    <row r="445" spans="1:16" ht="15.75" customHeight="1" x14ac:dyDescent="0.2">
      <c r="A445" s="49">
        <v>1737</v>
      </c>
      <c r="B445" s="11" t="s">
        <v>1857</v>
      </c>
      <c r="C445" s="11" t="s">
        <v>1849</v>
      </c>
      <c r="D445" s="6" t="s">
        <v>1850</v>
      </c>
      <c r="E445" s="12" t="s">
        <v>1877</v>
      </c>
      <c r="F445" s="12" t="s">
        <v>1877</v>
      </c>
      <c r="G445" s="12" t="s">
        <v>2619</v>
      </c>
      <c r="H445" s="12" t="s">
        <v>2849</v>
      </c>
      <c r="I445" s="12" t="s">
        <v>3001</v>
      </c>
      <c r="J445" s="11" t="s">
        <v>1856</v>
      </c>
      <c r="K445" s="11" t="s">
        <v>1852</v>
      </c>
      <c r="L445" s="11" t="s">
        <v>1853</v>
      </c>
      <c r="M445" s="12" t="s">
        <v>2999</v>
      </c>
      <c r="N445" s="12"/>
      <c r="O445" s="11" t="s">
        <v>1858</v>
      </c>
      <c r="P445" s="56"/>
    </row>
    <row r="446" spans="1:16" ht="15.75" customHeight="1" x14ac:dyDescent="0.2">
      <c r="A446" s="49">
        <v>1425</v>
      </c>
      <c r="B446" s="11" t="s">
        <v>1857</v>
      </c>
      <c r="C446" s="11" t="s">
        <v>1849</v>
      </c>
      <c r="D446" s="6" t="s">
        <v>1850</v>
      </c>
      <c r="E446" s="12" t="s">
        <v>1877</v>
      </c>
      <c r="F446" s="12" t="s">
        <v>1877</v>
      </c>
      <c r="G446" s="12" t="s">
        <v>1883</v>
      </c>
      <c r="H446" s="12" t="s">
        <v>1898</v>
      </c>
      <c r="I446" s="12" t="s">
        <v>1870</v>
      </c>
      <c r="J446" s="11" t="s">
        <v>1856</v>
      </c>
      <c r="K446" s="11" t="s">
        <v>1852</v>
      </c>
      <c r="L446" s="11" t="s">
        <v>1853</v>
      </c>
      <c r="M446" s="12" t="s">
        <v>2007</v>
      </c>
      <c r="N446" s="12"/>
      <c r="O446" s="11" t="s">
        <v>1858</v>
      </c>
      <c r="P446" s="56"/>
    </row>
    <row r="447" spans="1:16" ht="15.75" customHeight="1" x14ac:dyDescent="0.2">
      <c r="A447" s="49">
        <v>2033</v>
      </c>
      <c r="B447" s="11" t="s">
        <v>1857</v>
      </c>
      <c r="C447" s="11" t="s">
        <v>1849</v>
      </c>
      <c r="D447" s="6" t="s">
        <v>1850</v>
      </c>
      <c r="E447" s="12" t="s">
        <v>1877</v>
      </c>
      <c r="F447" s="12" t="s">
        <v>1877</v>
      </c>
      <c r="G447" s="12" t="s">
        <v>2649</v>
      </c>
      <c r="H447" s="12" t="s">
        <v>2845</v>
      </c>
      <c r="I447" s="12" t="s">
        <v>3002</v>
      </c>
      <c r="J447" s="11" t="s">
        <v>1856</v>
      </c>
      <c r="K447" s="11" t="s">
        <v>1852</v>
      </c>
      <c r="L447" s="11" t="s">
        <v>1853</v>
      </c>
      <c r="M447" s="12" t="s">
        <v>3003</v>
      </c>
      <c r="N447" s="12"/>
      <c r="O447" s="11" t="s">
        <v>1860</v>
      </c>
      <c r="P447" s="56"/>
    </row>
    <row r="448" spans="1:16" ht="15.75" customHeight="1" x14ac:dyDescent="0.2">
      <c r="A448" s="49">
        <v>1835</v>
      </c>
      <c r="B448" s="11" t="s">
        <v>1857</v>
      </c>
      <c r="C448" s="11" t="s">
        <v>1849</v>
      </c>
      <c r="D448" s="6" t="s">
        <v>1850</v>
      </c>
      <c r="E448" s="12" t="s">
        <v>1877</v>
      </c>
      <c r="F448" s="12" t="s">
        <v>1877</v>
      </c>
      <c r="G448" s="12" t="s">
        <v>1914</v>
      </c>
      <c r="H448" s="12" t="s">
        <v>1914</v>
      </c>
      <c r="I448" s="12" t="s">
        <v>2014</v>
      </c>
      <c r="J448" s="11" t="s">
        <v>1856</v>
      </c>
      <c r="K448" s="11" t="s">
        <v>1852</v>
      </c>
      <c r="L448" s="11" t="s">
        <v>1853</v>
      </c>
      <c r="M448" s="12" t="s">
        <v>2015</v>
      </c>
      <c r="N448" s="12" t="s">
        <v>2016</v>
      </c>
      <c r="O448" s="11" t="s">
        <v>1858</v>
      </c>
      <c r="P448" s="56"/>
    </row>
    <row r="449" spans="1:16" ht="15.75" customHeight="1" x14ac:dyDescent="0.2">
      <c r="A449" s="49">
        <v>1336</v>
      </c>
      <c r="B449" s="11" t="s">
        <v>1857</v>
      </c>
      <c r="C449" s="11" t="s">
        <v>1849</v>
      </c>
      <c r="D449" s="6" t="s">
        <v>1850</v>
      </c>
      <c r="E449" s="12" t="s">
        <v>1877</v>
      </c>
      <c r="F449" s="12" t="s">
        <v>1877</v>
      </c>
      <c r="G449" s="12" t="s">
        <v>1883</v>
      </c>
      <c r="H449" s="12" t="s">
        <v>1884</v>
      </c>
      <c r="I449" s="12" t="s">
        <v>2017</v>
      </c>
      <c r="J449" s="11" t="s">
        <v>1856</v>
      </c>
      <c r="K449" s="11" t="s">
        <v>1852</v>
      </c>
      <c r="L449" s="11" t="s">
        <v>1853</v>
      </c>
      <c r="M449" s="12" t="s">
        <v>2018</v>
      </c>
      <c r="N449" s="12"/>
      <c r="O449" s="11" t="s">
        <v>1858</v>
      </c>
      <c r="P449" s="56"/>
    </row>
    <row r="450" spans="1:16" ht="15.75" customHeight="1" x14ac:dyDescent="0.2">
      <c r="A450" s="49">
        <v>1348</v>
      </c>
      <c r="B450" s="11" t="s">
        <v>1857</v>
      </c>
      <c r="C450" s="11" t="s">
        <v>1849</v>
      </c>
      <c r="D450" s="6" t="s">
        <v>1850</v>
      </c>
      <c r="E450" s="12" t="s">
        <v>1877</v>
      </c>
      <c r="F450" s="12" t="s">
        <v>1877</v>
      </c>
      <c r="G450" s="12" t="s">
        <v>1883</v>
      </c>
      <c r="H450" s="12" t="s">
        <v>1898</v>
      </c>
      <c r="I450" s="12" t="s">
        <v>2019</v>
      </c>
      <c r="J450" s="11" t="s">
        <v>1856</v>
      </c>
      <c r="K450" s="11" t="s">
        <v>1852</v>
      </c>
      <c r="L450" s="11" t="s">
        <v>1853</v>
      </c>
      <c r="M450" s="12" t="s">
        <v>2020</v>
      </c>
      <c r="N450" s="12" t="s">
        <v>2021</v>
      </c>
      <c r="O450" s="11" t="s">
        <v>1859</v>
      </c>
      <c r="P450" s="56"/>
    </row>
    <row r="451" spans="1:16" ht="15.75" customHeight="1" x14ac:dyDescent="0.2">
      <c r="A451" s="49">
        <v>1552</v>
      </c>
      <c r="B451" s="11" t="s">
        <v>1857</v>
      </c>
      <c r="C451" s="11" t="s">
        <v>1849</v>
      </c>
      <c r="D451" s="6" t="s">
        <v>1850</v>
      </c>
      <c r="E451" s="12" t="s">
        <v>1877</v>
      </c>
      <c r="F451" s="12" t="s">
        <v>1877</v>
      </c>
      <c r="G451" s="12" t="s">
        <v>2653</v>
      </c>
      <c r="H451" s="12" t="s">
        <v>3004</v>
      </c>
      <c r="I451" s="12" t="s">
        <v>3005</v>
      </c>
      <c r="J451" s="11" t="s">
        <v>1851</v>
      </c>
      <c r="K451" s="11" t="s">
        <v>1852</v>
      </c>
      <c r="L451" s="11" t="s">
        <v>1853</v>
      </c>
      <c r="M451" s="12" t="s">
        <v>3006</v>
      </c>
      <c r="N451" s="12" t="s">
        <v>3007</v>
      </c>
      <c r="O451" s="11" t="s">
        <v>2022</v>
      </c>
      <c r="P451" s="53" t="s">
        <v>3008</v>
      </c>
    </row>
    <row r="452" spans="1:16" ht="15.75" customHeight="1" x14ac:dyDescent="0.2">
      <c r="A452" s="49">
        <v>1369</v>
      </c>
      <c r="B452" s="11" t="s">
        <v>1857</v>
      </c>
      <c r="C452" s="11" t="s">
        <v>1849</v>
      </c>
      <c r="D452" s="6" t="s">
        <v>1850</v>
      </c>
      <c r="E452" s="12" t="s">
        <v>1877</v>
      </c>
      <c r="F452" s="12" t="s">
        <v>1877</v>
      </c>
      <c r="G452" s="12" t="s">
        <v>1883</v>
      </c>
      <c r="H452" s="12" t="s">
        <v>1898</v>
      </c>
      <c r="I452" s="12" t="s">
        <v>2023</v>
      </c>
      <c r="J452" s="11" t="s">
        <v>1856</v>
      </c>
      <c r="K452" s="11" t="s">
        <v>1852</v>
      </c>
      <c r="L452" s="11" t="s">
        <v>1853</v>
      </c>
      <c r="M452" s="12" t="s">
        <v>2024</v>
      </c>
      <c r="N452" s="12"/>
      <c r="O452" s="11" t="s">
        <v>2022</v>
      </c>
      <c r="P452" s="56" t="s">
        <v>2025</v>
      </c>
    </row>
    <row r="453" spans="1:16" ht="15.75" customHeight="1" x14ac:dyDescent="0.2">
      <c r="A453" s="49">
        <v>2046</v>
      </c>
      <c r="B453" s="11" t="s">
        <v>1857</v>
      </c>
      <c r="C453" s="11" t="s">
        <v>1849</v>
      </c>
      <c r="D453" s="6" t="s">
        <v>1850</v>
      </c>
      <c r="E453" s="12" t="s">
        <v>1877</v>
      </c>
      <c r="F453" s="12" t="s">
        <v>1877</v>
      </c>
      <c r="G453" s="12" t="s">
        <v>2649</v>
      </c>
      <c r="H453" s="12" t="s">
        <v>2649</v>
      </c>
      <c r="I453" s="12" t="s">
        <v>3009</v>
      </c>
      <c r="J453" s="11" t="s">
        <v>1856</v>
      </c>
      <c r="K453" s="11" t="s">
        <v>1852</v>
      </c>
      <c r="L453" s="11" t="s">
        <v>1853</v>
      </c>
      <c r="M453" s="12" t="s">
        <v>3010</v>
      </c>
      <c r="N453" s="12" t="s">
        <v>3011</v>
      </c>
      <c r="O453" s="11" t="s">
        <v>1866</v>
      </c>
      <c r="P453" s="56" t="s">
        <v>3012</v>
      </c>
    </row>
    <row r="454" spans="1:16" ht="15.75" customHeight="1" x14ac:dyDescent="0.2">
      <c r="A454" s="49">
        <v>1857</v>
      </c>
      <c r="B454" s="11" t="s">
        <v>1857</v>
      </c>
      <c r="C454" s="11" t="s">
        <v>1849</v>
      </c>
      <c r="D454" s="6" t="s">
        <v>1850</v>
      </c>
      <c r="E454" s="12" t="s">
        <v>1877</v>
      </c>
      <c r="F454" s="12" t="s">
        <v>1877</v>
      </c>
      <c r="G454" s="12" t="s">
        <v>2643</v>
      </c>
      <c r="H454" s="12" t="s">
        <v>3013</v>
      </c>
      <c r="I454" s="12" t="s">
        <v>3014</v>
      </c>
      <c r="J454" s="11" t="s">
        <v>1856</v>
      </c>
      <c r="K454" s="11" t="s">
        <v>1852</v>
      </c>
      <c r="L454" s="11" t="s">
        <v>1853</v>
      </c>
      <c r="M454" s="12" t="s">
        <v>3015</v>
      </c>
      <c r="N454" s="12"/>
      <c r="O454" s="11" t="s">
        <v>3016</v>
      </c>
      <c r="P454" s="56" t="s">
        <v>3017</v>
      </c>
    </row>
    <row r="455" spans="1:16" ht="15.75" customHeight="1" x14ac:dyDescent="0.2">
      <c r="A455" s="49">
        <v>1687</v>
      </c>
      <c r="B455" s="11" t="s">
        <v>1857</v>
      </c>
      <c r="C455" s="11" t="s">
        <v>1849</v>
      </c>
      <c r="D455" s="6" t="s">
        <v>1850</v>
      </c>
      <c r="E455" s="12" t="s">
        <v>1877</v>
      </c>
      <c r="F455" s="12" t="s">
        <v>1877</v>
      </c>
      <c r="G455" s="12" t="s">
        <v>2619</v>
      </c>
      <c r="H455" s="12" t="s">
        <v>2619</v>
      </c>
      <c r="I455" s="12" t="s">
        <v>3018</v>
      </c>
      <c r="J455" s="11" t="s">
        <v>1851</v>
      </c>
      <c r="K455" s="11" t="s">
        <v>1852</v>
      </c>
      <c r="L455" s="11" t="s">
        <v>1853</v>
      </c>
      <c r="M455" s="12" t="s">
        <v>3019</v>
      </c>
      <c r="N455" s="12"/>
      <c r="O455" s="11" t="s">
        <v>2022</v>
      </c>
      <c r="P455" s="56" t="s">
        <v>3020</v>
      </c>
    </row>
    <row r="456" spans="1:16" ht="15.75" customHeight="1" x14ac:dyDescent="0.2">
      <c r="A456" s="49">
        <v>5371</v>
      </c>
      <c r="B456" s="11" t="s">
        <v>1857</v>
      </c>
      <c r="C456" s="11" t="s">
        <v>1849</v>
      </c>
      <c r="D456" s="6" t="s">
        <v>1850</v>
      </c>
      <c r="E456" s="12" t="s">
        <v>1877</v>
      </c>
      <c r="F456" s="12" t="s">
        <v>1877</v>
      </c>
      <c r="G456" s="12" t="s">
        <v>2684</v>
      </c>
      <c r="H456" s="12" t="s">
        <v>2937</v>
      </c>
      <c r="I456" s="12" t="s">
        <v>3021</v>
      </c>
      <c r="J456" s="11" t="s">
        <v>1856</v>
      </c>
      <c r="K456" s="11" t="s">
        <v>1852</v>
      </c>
      <c r="L456" s="11" t="s">
        <v>1853</v>
      </c>
      <c r="M456" s="12" t="s">
        <v>3022</v>
      </c>
      <c r="N456" s="12"/>
      <c r="O456" s="11" t="s">
        <v>2022</v>
      </c>
      <c r="P456" s="56" t="s">
        <v>3023</v>
      </c>
    </row>
    <row r="457" spans="1:16" ht="15.75" customHeight="1" x14ac:dyDescent="0.2">
      <c r="A457" s="49">
        <v>1617</v>
      </c>
      <c r="B457" s="11" t="s">
        <v>1857</v>
      </c>
      <c r="C457" s="11" t="s">
        <v>1849</v>
      </c>
      <c r="D457" s="6" t="s">
        <v>1850</v>
      </c>
      <c r="E457" s="12" t="s">
        <v>1877</v>
      </c>
      <c r="F457" s="12" t="s">
        <v>1877</v>
      </c>
      <c r="G457" s="12" t="s">
        <v>2653</v>
      </c>
      <c r="H457" s="12" t="s">
        <v>3024</v>
      </c>
      <c r="I457" s="12" t="s">
        <v>3025</v>
      </c>
      <c r="J457" s="11" t="s">
        <v>1856</v>
      </c>
      <c r="K457" s="11" t="s">
        <v>1852</v>
      </c>
      <c r="L457" s="11" t="s">
        <v>1853</v>
      </c>
      <c r="M457" s="12" t="s">
        <v>3026</v>
      </c>
      <c r="N457" s="12" t="s">
        <v>3027</v>
      </c>
      <c r="O457" s="11" t="s">
        <v>2022</v>
      </c>
      <c r="P457" s="56" t="s">
        <v>3028</v>
      </c>
    </row>
    <row r="458" spans="1:16" ht="15.75" customHeight="1" x14ac:dyDescent="0.2">
      <c r="A458" s="49">
        <v>1828</v>
      </c>
      <c r="B458" s="11" t="s">
        <v>1857</v>
      </c>
      <c r="C458" s="11" t="s">
        <v>1849</v>
      </c>
      <c r="D458" s="6" t="s">
        <v>1850</v>
      </c>
      <c r="E458" s="12" t="s">
        <v>1877</v>
      </c>
      <c r="F458" s="12" t="s">
        <v>1877</v>
      </c>
      <c r="G458" s="12" t="s">
        <v>1914</v>
      </c>
      <c r="H458" s="12" t="s">
        <v>1914</v>
      </c>
      <c r="I458" s="12" t="s">
        <v>2026</v>
      </c>
      <c r="J458" s="11" t="s">
        <v>1856</v>
      </c>
      <c r="K458" s="11" t="s">
        <v>1852</v>
      </c>
      <c r="L458" s="11" t="s">
        <v>1853</v>
      </c>
      <c r="M458" s="12" t="s">
        <v>2027</v>
      </c>
      <c r="N458" s="12" t="s">
        <v>2028</v>
      </c>
      <c r="O458" s="11" t="s">
        <v>1859</v>
      </c>
      <c r="P458" s="56"/>
    </row>
    <row r="459" spans="1:16" ht="15.75" customHeight="1" x14ac:dyDescent="0.2">
      <c r="A459" s="49">
        <v>1675</v>
      </c>
      <c r="B459" s="11" t="s">
        <v>1857</v>
      </c>
      <c r="C459" s="11" t="s">
        <v>1849</v>
      </c>
      <c r="D459" s="6" t="s">
        <v>1850</v>
      </c>
      <c r="E459" s="12" t="s">
        <v>1877</v>
      </c>
      <c r="F459" s="12" t="s">
        <v>1877</v>
      </c>
      <c r="G459" s="12" t="s">
        <v>2619</v>
      </c>
      <c r="H459" s="12" t="s">
        <v>2631</v>
      </c>
      <c r="I459" s="12" t="s">
        <v>3029</v>
      </c>
      <c r="J459" s="11" t="s">
        <v>1851</v>
      </c>
      <c r="K459" s="11" t="s">
        <v>1852</v>
      </c>
      <c r="L459" s="11" t="s">
        <v>1853</v>
      </c>
      <c r="M459" s="12" t="s">
        <v>3030</v>
      </c>
      <c r="N459" s="12" t="s">
        <v>3031</v>
      </c>
      <c r="O459" s="11" t="s">
        <v>2412</v>
      </c>
      <c r="P459" s="56" t="s">
        <v>3032</v>
      </c>
    </row>
    <row r="460" spans="1:16" ht="15.75" customHeight="1" x14ac:dyDescent="0.2">
      <c r="A460" s="49">
        <v>1372</v>
      </c>
      <c r="B460" s="11" t="s">
        <v>1857</v>
      </c>
      <c r="C460" s="11" t="s">
        <v>1849</v>
      </c>
      <c r="D460" s="6" t="s">
        <v>1850</v>
      </c>
      <c r="E460" s="12" t="s">
        <v>1877</v>
      </c>
      <c r="F460" s="12" t="s">
        <v>1877</v>
      </c>
      <c r="G460" s="12" t="s">
        <v>1883</v>
      </c>
      <c r="H460" s="12" t="s">
        <v>1918</v>
      </c>
      <c r="I460" s="12" t="s">
        <v>2029</v>
      </c>
      <c r="J460" s="11" t="s">
        <v>1856</v>
      </c>
      <c r="K460" s="11" t="s">
        <v>1852</v>
      </c>
      <c r="L460" s="11" t="s">
        <v>1853</v>
      </c>
      <c r="M460" s="12" t="s">
        <v>2030</v>
      </c>
      <c r="N460" s="12"/>
      <c r="O460" s="11" t="s">
        <v>1864</v>
      </c>
      <c r="P460" s="56" t="s">
        <v>1865</v>
      </c>
    </row>
    <row r="461" spans="1:16" ht="15.75" customHeight="1" x14ac:dyDescent="0.2">
      <c r="A461" s="49">
        <v>2111</v>
      </c>
      <c r="B461" s="11" t="s">
        <v>1857</v>
      </c>
      <c r="C461" s="11" t="s">
        <v>1849</v>
      </c>
      <c r="D461" s="6" t="s">
        <v>1850</v>
      </c>
      <c r="E461" s="12" t="s">
        <v>1877</v>
      </c>
      <c r="F461" s="12" t="s">
        <v>1877</v>
      </c>
      <c r="G461" s="12" t="s">
        <v>2623</v>
      </c>
      <c r="H461" s="12" t="s">
        <v>2777</v>
      </c>
      <c r="I461" s="12" t="s">
        <v>3033</v>
      </c>
      <c r="J461" s="11" t="s">
        <v>1856</v>
      </c>
      <c r="K461" s="11" t="s">
        <v>1852</v>
      </c>
      <c r="L461" s="11" t="s">
        <v>1853</v>
      </c>
      <c r="M461" s="12" t="s">
        <v>3034</v>
      </c>
      <c r="N461" s="12" t="s">
        <v>3035</v>
      </c>
      <c r="O461" s="11" t="s">
        <v>2022</v>
      </c>
      <c r="P461" s="56" t="s">
        <v>2796</v>
      </c>
    </row>
    <row r="462" spans="1:16" ht="15.75" customHeight="1" x14ac:dyDescent="0.2">
      <c r="A462" s="49">
        <v>1686</v>
      </c>
      <c r="B462" s="11" t="s">
        <v>1857</v>
      </c>
      <c r="C462" s="11" t="s">
        <v>1849</v>
      </c>
      <c r="D462" s="6" t="s">
        <v>1850</v>
      </c>
      <c r="E462" s="12" t="s">
        <v>1877</v>
      </c>
      <c r="F462" s="12" t="s">
        <v>1877</v>
      </c>
      <c r="G462" s="12" t="s">
        <v>2619</v>
      </c>
      <c r="H462" s="12" t="s">
        <v>2631</v>
      </c>
      <c r="I462" s="12" t="s">
        <v>3036</v>
      </c>
      <c r="J462" s="11" t="s">
        <v>1851</v>
      </c>
      <c r="K462" s="11" t="s">
        <v>1852</v>
      </c>
      <c r="L462" s="11" t="s">
        <v>1853</v>
      </c>
      <c r="M462" s="12" t="s">
        <v>3037</v>
      </c>
      <c r="N462" s="12" t="s">
        <v>3038</v>
      </c>
      <c r="O462" s="11" t="s">
        <v>2412</v>
      </c>
      <c r="P462" s="56" t="s">
        <v>2823</v>
      </c>
    </row>
    <row r="463" spans="1:16" ht="15.75" customHeight="1" x14ac:dyDescent="0.2">
      <c r="A463" s="49">
        <v>1564</v>
      </c>
      <c r="B463" s="11" t="s">
        <v>1857</v>
      </c>
      <c r="C463" s="11" t="s">
        <v>1849</v>
      </c>
      <c r="D463" s="6" t="s">
        <v>1850</v>
      </c>
      <c r="E463" s="12" t="s">
        <v>1877</v>
      </c>
      <c r="F463" s="12" t="s">
        <v>1877</v>
      </c>
      <c r="G463" s="12" t="s">
        <v>2653</v>
      </c>
      <c r="H463" s="12" t="s">
        <v>2898</v>
      </c>
      <c r="I463" s="12" t="s">
        <v>3039</v>
      </c>
      <c r="J463" s="11" t="s">
        <v>1856</v>
      </c>
      <c r="K463" s="11" t="s">
        <v>1852</v>
      </c>
      <c r="L463" s="11" t="s">
        <v>1853</v>
      </c>
      <c r="M463" s="12" t="s">
        <v>3040</v>
      </c>
      <c r="N463" s="12"/>
      <c r="O463" s="11" t="s">
        <v>1858</v>
      </c>
      <c r="P463" s="56"/>
    </row>
    <row r="464" spans="1:16" ht="15.75" customHeight="1" x14ac:dyDescent="0.2">
      <c r="A464" s="49">
        <v>1510</v>
      </c>
      <c r="B464" s="11" t="s">
        <v>1857</v>
      </c>
      <c r="C464" s="11" t="s">
        <v>1849</v>
      </c>
      <c r="D464" s="6" t="s">
        <v>1850</v>
      </c>
      <c r="E464" s="12" t="s">
        <v>1877</v>
      </c>
      <c r="F464" s="12" t="s">
        <v>1877</v>
      </c>
      <c r="G464" s="12" t="s">
        <v>2635</v>
      </c>
      <c r="H464" s="12" t="s">
        <v>2701</v>
      </c>
      <c r="I464" s="12" t="s">
        <v>3041</v>
      </c>
      <c r="J464" s="11" t="s">
        <v>1856</v>
      </c>
      <c r="K464" s="11" t="s">
        <v>1852</v>
      </c>
      <c r="L464" s="11" t="s">
        <v>1853</v>
      </c>
      <c r="M464" s="12" t="s">
        <v>3042</v>
      </c>
      <c r="N464" s="12"/>
      <c r="O464" s="11" t="s">
        <v>1858</v>
      </c>
      <c r="P464" s="56"/>
    </row>
    <row r="465" spans="1:16" ht="15.75" customHeight="1" x14ac:dyDescent="0.2">
      <c r="A465" s="49">
        <v>1512</v>
      </c>
      <c r="B465" s="11" t="s">
        <v>1857</v>
      </c>
      <c r="C465" s="11" t="s">
        <v>1849</v>
      </c>
      <c r="D465" s="6" t="s">
        <v>1850</v>
      </c>
      <c r="E465" s="12" t="s">
        <v>1877</v>
      </c>
      <c r="F465" s="12" t="s">
        <v>1877</v>
      </c>
      <c r="G465" s="12" t="s">
        <v>2635</v>
      </c>
      <c r="H465" s="12" t="s">
        <v>2701</v>
      </c>
      <c r="I465" s="12" t="s">
        <v>3043</v>
      </c>
      <c r="J465" s="11" t="s">
        <v>1856</v>
      </c>
      <c r="K465" s="11" t="s">
        <v>1852</v>
      </c>
      <c r="L465" s="11" t="s">
        <v>1853</v>
      </c>
      <c r="M465" s="12" t="s">
        <v>1854</v>
      </c>
      <c r="N465" s="12"/>
      <c r="O465" s="11" t="s">
        <v>1858</v>
      </c>
      <c r="P465" s="56"/>
    </row>
    <row r="466" spans="1:16" ht="15.75" customHeight="1" x14ac:dyDescent="0.2">
      <c r="A466" s="49">
        <v>1830</v>
      </c>
      <c r="B466" s="11" t="s">
        <v>1857</v>
      </c>
      <c r="C466" s="11" t="s">
        <v>1849</v>
      </c>
      <c r="D466" s="6" t="s">
        <v>1850</v>
      </c>
      <c r="E466" s="12" t="s">
        <v>1877</v>
      </c>
      <c r="F466" s="12" t="s">
        <v>1877</v>
      </c>
      <c r="G466" s="12" t="s">
        <v>1914</v>
      </c>
      <c r="H466" s="12" t="s">
        <v>1914</v>
      </c>
      <c r="I466" s="12" t="s">
        <v>2031</v>
      </c>
      <c r="J466" s="11" t="s">
        <v>1851</v>
      </c>
      <c r="K466" s="11" t="s">
        <v>1852</v>
      </c>
      <c r="L466" s="11" t="s">
        <v>1853</v>
      </c>
      <c r="M466" s="12" t="s">
        <v>2032</v>
      </c>
      <c r="N466" s="12" t="s">
        <v>2033</v>
      </c>
      <c r="O466" s="11" t="s">
        <v>1864</v>
      </c>
      <c r="P466" s="56" t="s">
        <v>1865</v>
      </c>
    </row>
    <row r="467" spans="1:16" ht="15.75" customHeight="1" x14ac:dyDescent="0.2">
      <c r="A467" s="49">
        <v>1427</v>
      </c>
      <c r="B467" s="11" t="s">
        <v>1857</v>
      </c>
      <c r="C467" s="11" t="s">
        <v>1849</v>
      </c>
      <c r="D467" s="6" t="s">
        <v>1850</v>
      </c>
      <c r="E467" s="12" t="s">
        <v>1877</v>
      </c>
      <c r="F467" s="12" t="s">
        <v>1877</v>
      </c>
      <c r="G467" s="12" t="s">
        <v>1883</v>
      </c>
      <c r="H467" s="12" t="s">
        <v>1898</v>
      </c>
      <c r="I467" s="12" t="s">
        <v>2034</v>
      </c>
      <c r="J467" s="11" t="s">
        <v>1856</v>
      </c>
      <c r="K467" s="11" t="s">
        <v>1852</v>
      </c>
      <c r="L467" s="11" t="s">
        <v>1853</v>
      </c>
      <c r="M467" s="12" t="s">
        <v>1906</v>
      </c>
      <c r="N467" s="12"/>
      <c r="O467" s="11" t="s">
        <v>1858</v>
      </c>
      <c r="P467" s="56"/>
    </row>
    <row r="468" spans="1:16" ht="15.75" customHeight="1" x14ac:dyDescent="0.2">
      <c r="A468" s="49">
        <v>1802</v>
      </c>
      <c r="B468" s="11" t="s">
        <v>1857</v>
      </c>
      <c r="C468" s="11" t="s">
        <v>1849</v>
      </c>
      <c r="D468" s="6" t="s">
        <v>1850</v>
      </c>
      <c r="E468" s="12" t="s">
        <v>1877</v>
      </c>
      <c r="F468" s="12" t="s">
        <v>1877</v>
      </c>
      <c r="G468" s="12" t="s">
        <v>1880</v>
      </c>
      <c r="H468" s="12" t="s">
        <v>1881</v>
      </c>
      <c r="I468" s="12" t="s">
        <v>2035</v>
      </c>
      <c r="J468" s="11" t="s">
        <v>1856</v>
      </c>
      <c r="K468" s="11" t="s">
        <v>1852</v>
      </c>
      <c r="L468" s="11" t="s">
        <v>1853</v>
      </c>
      <c r="M468" s="12" t="s">
        <v>2036</v>
      </c>
      <c r="N468" s="12" t="s">
        <v>2036</v>
      </c>
      <c r="O468" s="11" t="s">
        <v>1858</v>
      </c>
      <c r="P468" s="56"/>
    </row>
    <row r="469" spans="1:16" ht="15.75" customHeight="1" x14ac:dyDescent="0.2">
      <c r="A469" s="49">
        <v>1541</v>
      </c>
      <c r="B469" s="11" t="s">
        <v>1857</v>
      </c>
      <c r="C469" s="11" t="s">
        <v>1849</v>
      </c>
      <c r="D469" s="6" t="s">
        <v>1850</v>
      </c>
      <c r="E469" s="12" t="s">
        <v>1877</v>
      </c>
      <c r="F469" s="12" t="s">
        <v>1877</v>
      </c>
      <c r="G469" s="12" t="s">
        <v>2653</v>
      </c>
      <c r="H469" s="12" t="s">
        <v>2762</v>
      </c>
      <c r="I469" s="12" t="s">
        <v>3044</v>
      </c>
      <c r="J469" s="11" t="s">
        <v>1851</v>
      </c>
      <c r="K469" s="11" t="s">
        <v>1852</v>
      </c>
      <c r="L469" s="11" t="s">
        <v>1853</v>
      </c>
      <c r="M469" s="12" t="s">
        <v>3045</v>
      </c>
      <c r="N469" s="12"/>
      <c r="O469" s="11" t="s">
        <v>1858</v>
      </c>
      <c r="P469" s="56"/>
    </row>
    <row r="470" spans="1:16" ht="15.75" customHeight="1" x14ac:dyDescent="0.2">
      <c r="A470" s="49">
        <v>1450</v>
      </c>
      <c r="B470" s="11" t="s">
        <v>1857</v>
      </c>
      <c r="C470" s="11" t="s">
        <v>1849</v>
      </c>
      <c r="D470" s="6" t="s">
        <v>1850</v>
      </c>
      <c r="E470" s="12" t="s">
        <v>1877</v>
      </c>
      <c r="F470" s="12" t="s">
        <v>1877</v>
      </c>
      <c r="G470" s="12" t="s">
        <v>1883</v>
      </c>
      <c r="H470" s="12" t="s">
        <v>1889</v>
      </c>
      <c r="I470" s="12" t="s">
        <v>2037</v>
      </c>
      <c r="J470" s="11" t="s">
        <v>1856</v>
      </c>
      <c r="K470" s="11" t="s">
        <v>1852</v>
      </c>
      <c r="L470" s="11" t="s">
        <v>1853</v>
      </c>
      <c r="M470" s="12" t="s">
        <v>1854</v>
      </c>
      <c r="N470" s="12"/>
      <c r="O470" s="11" t="s">
        <v>1858</v>
      </c>
      <c r="P470" s="56"/>
    </row>
    <row r="471" spans="1:16" ht="15.75" customHeight="1" x14ac:dyDescent="0.2">
      <c r="A471" s="49">
        <v>1815</v>
      </c>
      <c r="B471" s="11" t="s">
        <v>1857</v>
      </c>
      <c r="C471" s="11" t="s">
        <v>1849</v>
      </c>
      <c r="D471" s="6" t="s">
        <v>1850</v>
      </c>
      <c r="E471" s="12" t="s">
        <v>1877</v>
      </c>
      <c r="F471" s="12" t="s">
        <v>1877</v>
      </c>
      <c r="G471" s="12" t="s">
        <v>1880</v>
      </c>
      <c r="H471" s="12" t="s">
        <v>1890</v>
      </c>
      <c r="I471" s="12" t="s">
        <v>2038</v>
      </c>
      <c r="J471" s="11" t="s">
        <v>1856</v>
      </c>
      <c r="K471" s="11" t="s">
        <v>1852</v>
      </c>
      <c r="L471" s="11" t="s">
        <v>1853</v>
      </c>
      <c r="M471" s="12" t="s">
        <v>2039</v>
      </c>
      <c r="N471" s="12"/>
      <c r="O471" s="11" t="s">
        <v>1859</v>
      </c>
      <c r="P471" s="56"/>
    </row>
    <row r="472" spans="1:16" ht="15.75" customHeight="1" x14ac:dyDescent="0.2">
      <c r="A472" s="49">
        <v>1424</v>
      </c>
      <c r="B472" s="11" t="s">
        <v>1857</v>
      </c>
      <c r="C472" s="11" t="s">
        <v>1849</v>
      </c>
      <c r="D472" s="6" t="s">
        <v>1850</v>
      </c>
      <c r="E472" s="12" t="s">
        <v>1877</v>
      </c>
      <c r="F472" s="12" t="s">
        <v>1877</v>
      </c>
      <c r="G472" s="12" t="s">
        <v>1883</v>
      </c>
      <c r="H472" s="12" t="s">
        <v>1898</v>
      </c>
      <c r="I472" s="12" t="s">
        <v>2040</v>
      </c>
      <c r="J472" s="11" t="s">
        <v>1856</v>
      </c>
      <c r="K472" s="11" t="s">
        <v>1852</v>
      </c>
      <c r="L472" s="11" t="s">
        <v>1853</v>
      </c>
      <c r="M472" s="12" t="s">
        <v>1906</v>
      </c>
      <c r="N472" s="12"/>
      <c r="O472" s="11" t="s">
        <v>1859</v>
      </c>
      <c r="P472" s="56"/>
    </row>
    <row r="473" spans="1:16" ht="15.75" customHeight="1" x14ac:dyDescent="0.2">
      <c r="A473" s="49">
        <v>1569</v>
      </c>
      <c r="B473" s="11" t="s">
        <v>1857</v>
      </c>
      <c r="C473" s="11" t="s">
        <v>1849</v>
      </c>
      <c r="D473" s="6" t="s">
        <v>1850</v>
      </c>
      <c r="E473" s="12" t="s">
        <v>1877</v>
      </c>
      <c r="F473" s="12" t="s">
        <v>1877</v>
      </c>
      <c r="G473" s="12" t="s">
        <v>2653</v>
      </c>
      <c r="H473" s="12" t="s">
        <v>2898</v>
      </c>
      <c r="I473" s="12" t="s">
        <v>3046</v>
      </c>
      <c r="J473" s="11" t="s">
        <v>1856</v>
      </c>
      <c r="K473" s="11" t="s">
        <v>1852</v>
      </c>
      <c r="L473" s="11" t="s">
        <v>1853</v>
      </c>
      <c r="M473" s="12" t="s">
        <v>3047</v>
      </c>
      <c r="N473" s="12" t="s">
        <v>3048</v>
      </c>
      <c r="O473" s="11" t="s">
        <v>1858</v>
      </c>
      <c r="P473" s="56"/>
    </row>
    <row r="474" spans="1:16" ht="15.75" customHeight="1" x14ac:dyDescent="0.2">
      <c r="A474" s="49">
        <v>1641</v>
      </c>
      <c r="B474" s="11" t="s">
        <v>1857</v>
      </c>
      <c r="C474" s="11" t="s">
        <v>1849</v>
      </c>
      <c r="D474" s="6" t="s">
        <v>1850</v>
      </c>
      <c r="E474" s="12" t="s">
        <v>1877</v>
      </c>
      <c r="F474" s="12" t="s">
        <v>1877</v>
      </c>
      <c r="G474" s="12" t="s">
        <v>2653</v>
      </c>
      <c r="H474" s="12" t="s">
        <v>2835</v>
      </c>
      <c r="I474" s="12" t="s">
        <v>3049</v>
      </c>
      <c r="J474" s="11" t="s">
        <v>1856</v>
      </c>
      <c r="K474" s="11" t="s">
        <v>1852</v>
      </c>
      <c r="L474" s="11" t="s">
        <v>1853</v>
      </c>
      <c r="M474" s="12" t="s">
        <v>3050</v>
      </c>
      <c r="N474" s="12"/>
      <c r="O474" s="11" t="s">
        <v>1859</v>
      </c>
      <c r="P474" s="56"/>
    </row>
    <row r="475" spans="1:16" ht="15.75" customHeight="1" x14ac:dyDescent="0.2">
      <c r="A475" s="49">
        <v>2076</v>
      </c>
      <c r="B475" s="11" t="s">
        <v>1857</v>
      </c>
      <c r="C475" s="11" t="s">
        <v>1849</v>
      </c>
      <c r="D475" s="6" t="s">
        <v>1850</v>
      </c>
      <c r="E475" s="12" t="s">
        <v>1877</v>
      </c>
      <c r="F475" s="12" t="s">
        <v>1877</v>
      </c>
      <c r="G475" s="12" t="s">
        <v>2623</v>
      </c>
      <c r="H475" s="12" t="s">
        <v>2768</v>
      </c>
      <c r="I475" s="12" t="s">
        <v>3051</v>
      </c>
      <c r="J475" s="11" t="s">
        <v>1856</v>
      </c>
      <c r="K475" s="11" t="s">
        <v>1852</v>
      </c>
      <c r="L475" s="11" t="s">
        <v>1853</v>
      </c>
      <c r="M475" s="12" t="s">
        <v>3052</v>
      </c>
      <c r="N475" s="12"/>
      <c r="O475" s="11" t="s">
        <v>1859</v>
      </c>
      <c r="P475" s="56"/>
    </row>
    <row r="476" spans="1:16" ht="15.75" customHeight="1" x14ac:dyDescent="0.2">
      <c r="A476" s="49">
        <v>1540</v>
      </c>
      <c r="B476" s="11" t="s">
        <v>1857</v>
      </c>
      <c r="C476" s="11" t="s">
        <v>1849</v>
      </c>
      <c r="D476" s="6" t="s">
        <v>1850</v>
      </c>
      <c r="E476" s="12" t="s">
        <v>1877</v>
      </c>
      <c r="F476" s="12" t="s">
        <v>1877</v>
      </c>
      <c r="G476" s="12" t="s">
        <v>2653</v>
      </c>
      <c r="H476" s="12" t="s">
        <v>2669</v>
      </c>
      <c r="I476" s="12" t="s">
        <v>3053</v>
      </c>
      <c r="J476" s="11" t="s">
        <v>1856</v>
      </c>
      <c r="K476" s="11" t="s">
        <v>1852</v>
      </c>
      <c r="L476" s="11" t="s">
        <v>1853</v>
      </c>
      <c r="M476" s="12" t="s">
        <v>3054</v>
      </c>
      <c r="N476" s="12"/>
      <c r="O476" s="11" t="s">
        <v>1860</v>
      </c>
      <c r="P476" s="56"/>
    </row>
    <row r="477" spans="1:16" ht="15.75" customHeight="1" x14ac:dyDescent="0.2">
      <c r="A477" s="49">
        <v>2159</v>
      </c>
      <c r="B477" s="11" t="s">
        <v>1857</v>
      </c>
      <c r="C477" s="11" t="s">
        <v>1849</v>
      </c>
      <c r="D477" s="6" t="s">
        <v>1850</v>
      </c>
      <c r="E477" s="12" t="s">
        <v>1877</v>
      </c>
      <c r="F477" s="12" t="s">
        <v>1877</v>
      </c>
      <c r="G477" s="12" t="s">
        <v>2623</v>
      </c>
      <c r="H477" s="12" t="s">
        <v>2675</v>
      </c>
      <c r="I477" s="12" t="s">
        <v>3055</v>
      </c>
      <c r="J477" s="11" t="s">
        <v>1856</v>
      </c>
      <c r="K477" s="11" t="s">
        <v>1852</v>
      </c>
      <c r="L477" s="11" t="s">
        <v>1853</v>
      </c>
      <c r="M477" s="12" t="s">
        <v>1854</v>
      </c>
      <c r="N477" s="12"/>
      <c r="O477" s="11" t="s">
        <v>1859</v>
      </c>
      <c r="P477" s="56"/>
    </row>
    <row r="478" spans="1:16" ht="15.75" customHeight="1" x14ac:dyDescent="0.2">
      <c r="A478" s="49">
        <v>1836</v>
      </c>
      <c r="B478" s="11" t="s">
        <v>1857</v>
      </c>
      <c r="C478" s="11" t="s">
        <v>1849</v>
      </c>
      <c r="D478" s="6" t="s">
        <v>1850</v>
      </c>
      <c r="E478" s="12" t="s">
        <v>1877</v>
      </c>
      <c r="F478" s="12" t="s">
        <v>1877</v>
      </c>
      <c r="G478" s="12" t="s">
        <v>1914</v>
      </c>
      <c r="H478" s="12" t="s">
        <v>1914</v>
      </c>
      <c r="I478" s="12" t="s">
        <v>2041</v>
      </c>
      <c r="J478" s="11" t="s">
        <v>1856</v>
      </c>
      <c r="K478" s="11" t="s">
        <v>1852</v>
      </c>
      <c r="L478" s="11" t="s">
        <v>1853</v>
      </c>
      <c r="M478" s="12" t="s">
        <v>1976</v>
      </c>
      <c r="N478" s="12" t="s">
        <v>2042</v>
      </c>
      <c r="O478" s="11" t="s">
        <v>1859</v>
      </c>
      <c r="P478" s="56"/>
    </row>
    <row r="479" spans="1:16" ht="15.75" customHeight="1" x14ac:dyDescent="0.2">
      <c r="A479" s="49">
        <v>1619</v>
      </c>
      <c r="B479" s="11" t="s">
        <v>1857</v>
      </c>
      <c r="C479" s="11" t="s">
        <v>1849</v>
      </c>
      <c r="D479" s="6" t="s">
        <v>1850</v>
      </c>
      <c r="E479" s="12" t="s">
        <v>1877</v>
      </c>
      <c r="F479" s="12" t="s">
        <v>1877</v>
      </c>
      <c r="G479" s="12" t="s">
        <v>2653</v>
      </c>
      <c r="H479" s="12" t="s">
        <v>3024</v>
      </c>
      <c r="I479" s="12" t="s">
        <v>2041</v>
      </c>
      <c r="J479" s="11" t="s">
        <v>1856</v>
      </c>
      <c r="K479" s="11" t="s">
        <v>1852</v>
      </c>
      <c r="L479" s="11" t="s">
        <v>1853</v>
      </c>
      <c r="M479" s="12" t="s">
        <v>3056</v>
      </c>
      <c r="N479" s="12" t="s">
        <v>3057</v>
      </c>
      <c r="O479" s="11" t="s">
        <v>1859</v>
      </c>
      <c r="P479" s="56"/>
    </row>
    <row r="480" spans="1:16" ht="15.75" customHeight="1" x14ac:dyDescent="0.2">
      <c r="A480" s="49">
        <v>1437</v>
      </c>
      <c r="B480" s="11" t="s">
        <v>1857</v>
      </c>
      <c r="C480" s="11" t="s">
        <v>1849</v>
      </c>
      <c r="D480" s="6" t="s">
        <v>1850</v>
      </c>
      <c r="E480" s="12" t="s">
        <v>1877</v>
      </c>
      <c r="F480" s="12" t="s">
        <v>1877</v>
      </c>
      <c r="G480" s="12" t="s">
        <v>1883</v>
      </c>
      <c r="H480" s="12" t="s">
        <v>1889</v>
      </c>
      <c r="I480" s="12" t="s">
        <v>2043</v>
      </c>
      <c r="J480" s="11" t="s">
        <v>1856</v>
      </c>
      <c r="K480" s="11" t="s">
        <v>1852</v>
      </c>
      <c r="L480" s="11" t="s">
        <v>1853</v>
      </c>
      <c r="M480" s="12" t="s">
        <v>2044</v>
      </c>
      <c r="N480" s="12" t="s">
        <v>2045</v>
      </c>
      <c r="O480" s="11" t="s">
        <v>1858</v>
      </c>
      <c r="P480" s="56"/>
    </row>
    <row r="481" spans="1:16" ht="15.75" customHeight="1" x14ac:dyDescent="0.2">
      <c r="A481" s="49">
        <v>1612</v>
      </c>
      <c r="B481" s="11" t="s">
        <v>1857</v>
      </c>
      <c r="C481" s="11" t="s">
        <v>1849</v>
      </c>
      <c r="D481" s="6" t="s">
        <v>1850</v>
      </c>
      <c r="E481" s="12" t="s">
        <v>1877</v>
      </c>
      <c r="F481" s="12" t="s">
        <v>1877</v>
      </c>
      <c r="G481" s="12" t="s">
        <v>2653</v>
      </c>
      <c r="H481" s="12" t="s">
        <v>2654</v>
      </c>
      <c r="I481" s="12" t="s">
        <v>3058</v>
      </c>
      <c r="J481" s="11" t="s">
        <v>1856</v>
      </c>
      <c r="K481" s="11" t="s">
        <v>1852</v>
      </c>
      <c r="L481" s="11" t="s">
        <v>1853</v>
      </c>
      <c r="M481" s="12" t="s">
        <v>3059</v>
      </c>
      <c r="N481" s="12"/>
      <c r="O481" s="11" t="s">
        <v>1858</v>
      </c>
      <c r="P481" s="56"/>
    </row>
    <row r="482" spans="1:16" ht="15.75" customHeight="1" x14ac:dyDescent="0.2">
      <c r="A482" s="49">
        <v>1499</v>
      </c>
      <c r="B482" s="11" t="s">
        <v>1857</v>
      </c>
      <c r="C482" s="11" t="s">
        <v>1849</v>
      </c>
      <c r="D482" s="6" t="s">
        <v>1850</v>
      </c>
      <c r="E482" s="12" t="s">
        <v>1877</v>
      </c>
      <c r="F482" s="12" t="s">
        <v>1877</v>
      </c>
      <c r="G482" s="12" t="s">
        <v>2658</v>
      </c>
      <c r="H482" s="12" t="s">
        <v>2626</v>
      </c>
      <c r="I482" s="12" t="s">
        <v>3060</v>
      </c>
      <c r="J482" s="11" t="s">
        <v>1856</v>
      </c>
      <c r="K482" s="11" t="s">
        <v>1852</v>
      </c>
      <c r="L482" s="11" t="s">
        <v>1853</v>
      </c>
      <c r="M482" s="12" t="s">
        <v>3061</v>
      </c>
      <c r="N482" s="12" t="s">
        <v>3062</v>
      </c>
      <c r="O482" s="11" t="s">
        <v>1858</v>
      </c>
      <c r="P482" s="56"/>
    </row>
    <row r="483" spans="1:16" ht="15.75" customHeight="1" x14ac:dyDescent="0.2">
      <c r="A483" s="49">
        <v>1584</v>
      </c>
      <c r="B483" s="11" t="s">
        <v>1857</v>
      </c>
      <c r="C483" s="11" t="s">
        <v>1849</v>
      </c>
      <c r="D483" s="6" t="s">
        <v>1850</v>
      </c>
      <c r="E483" s="12" t="s">
        <v>1877</v>
      </c>
      <c r="F483" s="12" t="s">
        <v>1877</v>
      </c>
      <c r="G483" s="12" t="s">
        <v>2653</v>
      </c>
      <c r="H483" s="12" t="s">
        <v>2653</v>
      </c>
      <c r="I483" s="12" t="s">
        <v>3063</v>
      </c>
      <c r="J483" s="11" t="s">
        <v>1856</v>
      </c>
      <c r="K483" s="11" t="s">
        <v>1852</v>
      </c>
      <c r="L483" s="11" t="s">
        <v>1853</v>
      </c>
      <c r="M483" s="12" t="s">
        <v>3064</v>
      </c>
      <c r="N483" s="12"/>
      <c r="O483" s="11" t="s">
        <v>1858</v>
      </c>
      <c r="P483" s="56"/>
    </row>
    <row r="484" spans="1:16" ht="15.75" customHeight="1" x14ac:dyDescent="0.2">
      <c r="A484" s="49">
        <v>1476</v>
      </c>
      <c r="B484" s="11" t="s">
        <v>1857</v>
      </c>
      <c r="C484" s="11" t="s">
        <v>1849</v>
      </c>
      <c r="D484" s="6" t="s">
        <v>1850</v>
      </c>
      <c r="E484" s="12" t="s">
        <v>1877</v>
      </c>
      <c r="F484" s="12" t="s">
        <v>1877</v>
      </c>
      <c r="G484" s="12" t="s">
        <v>2658</v>
      </c>
      <c r="H484" s="12" t="s">
        <v>2658</v>
      </c>
      <c r="I484" s="12" t="s">
        <v>3065</v>
      </c>
      <c r="J484" s="11" t="s">
        <v>1856</v>
      </c>
      <c r="K484" s="11" t="s">
        <v>1852</v>
      </c>
      <c r="L484" s="11" t="s">
        <v>1853</v>
      </c>
      <c r="M484" s="12" t="s">
        <v>3066</v>
      </c>
      <c r="N484" s="12"/>
      <c r="O484" s="11" t="s">
        <v>1858</v>
      </c>
      <c r="P484" s="56"/>
    </row>
    <row r="485" spans="1:16" ht="15.75" customHeight="1" x14ac:dyDescent="0.2">
      <c r="A485" s="49">
        <v>1605</v>
      </c>
      <c r="B485" s="11" t="s">
        <v>1857</v>
      </c>
      <c r="C485" s="11" t="s">
        <v>1849</v>
      </c>
      <c r="D485" s="6" t="s">
        <v>1850</v>
      </c>
      <c r="E485" s="12" t="s">
        <v>1877</v>
      </c>
      <c r="F485" s="12" t="s">
        <v>1877</v>
      </c>
      <c r="G485" s="12" t="s">
        <v>2653</v>
      </c>
      <c r="H485" s="12" t="s">
        <v>2693</v>
      </c>
      <c r="I485" s="12" t="s">
        <v>3065</v>
      </c>
      <c r="J485" s="11" t="s">
        <v>1856</v>
      </c>
      <c r="K485" s="11" t="s">
        <v>1852</v>
      </c>
      <c r="L485" s="11" t="s">
        <v>1853</v>
      </c>
      <c r="M485" s="12" t="s">
        <v>2674</v>
      </c>
      <c r="N485" s="12"/>
      <c r="O485" s="11" t="s">
        <v>1859</v>
      </c>
      <c r="P485" s="56"/>
    </row>
    <row r="486" spans="1:16" ht="15.75" customHeight="1" x14ac:dyDescent="0.2">
      <c r="A486" s="49">
        <v>1742</v>
      </c>
      <c r="B486" s="11" t="s">
        <v>1857</v>
      </c>
      <c r="C486" s="11" t="s">
        <v>1849</v>
      </c>
      <c r="D486" s="6" t="s">
        <v>1850</v>
      </c>
      <c r="E486" s="12" t="s">
        <v>1877</v>
      </c>
      <c r="F486" s="12" t="s">
        <v>1877</v>
      </c>
      <c r="G486" s="12" t="s">
        <v>2619</v>
      </c>
      <c r="H486" s="12" t="s">
        <v>1877</v>
      </c>
      <c r="I486" s="12" t="s">
        <v>3067</v>
      </c>
      <c r="J486" s="11" t="s">
        <v>1856</v>
      </c>
      <c r="K486" s="11" t="s">
        <v>1852</v>
      </c>
      <c r="L486" s="11" t="s">
        <v>1853</v>
      </c>
      <c r="M486" s="12" t="s">
        <v>1854</v>
      </c>
      <c r="N486" s="12"/>
      <c r="O486" s="11" t="s">
        <v>1860</v>
      </c>
      <c r="P486" s="56"/>
    </row>
    <row r="487" spans="1:16" ht="15.75" customHeight="1" x14ac:dyDescent="0.2">
      <c r="A487" s="49">
        <v>1607</v>
      </c>
      <c r="B487" s="11" t="s">
        <v>1857</v>
      </c>
      <c r="C487" s="11" t="s">
        <v>1849</v>
      </c>
      <c r="D487" s="6" t="s">
        <v>1850</v>
      </c>
      <c r="E487" s="12" t="s">
        <v>1877</v>
      </c>
      <c r="F487" s="12" t="s">
        <v>1877</v>
      </c>
      <c r="G487" s="12" t="s">
        <v>2653</v>
      </c>
      <c r="H487" s="12" t="s">
        <v>2654</v>
      </c>
      <c r="I487" s="12" t="s">
        <v>198</v>
      </c>
      <c r="J487" s="11" t="s">
        <v>1856</v>
      </c>
      <c r="K487" s="11" t="s">
        <v>1852</v>
      </c>
      <c r="L487" s="11" t="s">
        <v>1853</v>
      </c>
      <c r="M487" s="12" t="s">
        <v>1854</v>
      </c>
      <c r="N487" s="12" t="s">
        <v>3068</v>
      </c>
      <c r="O487" s="11" t="s">
        <v>2334</v>
      </c>
      <c r="P487" s="56" t="s">
        <v>3069</v>
      </c>
    </row>
    <row r="488" spans="1:16" ht="15.75" customHeight="1" x14ac:dyDescent="0.2">
      <c r="A488" s="49">
        <v>1504</v>
      </c>
      <c r="B488" s="11" t="s">
        <v>1857</v>
      </c>
      <c r="C488" s="11" t="s">
        <v>1849</v>
      </c>
      <c r="D488" s="6" t="s">
        <v>1850</v>
      </c>
      <c r="E488" s="12" t="s">
        <v>1877</v>
      </c>
      <c r="F488" s="12" t="s">
        <v>1877</v>
      </c>
      <c r="G488" s="12" t="s">
        <v>2658</v>
      </c>
      <c r="H488" s="12" t="s">
        <v>2626</v>
      </c>
      <c r="I488" s="12" t="s">
        <v>2046</v>
      </c>
      <c r="J488" s="11" t="s">
        <v>1856</v>
      </c>
      <c r="K488" s="11" t="s">
        <v>1852</v>
      </c>
      <c r="L488" s="11" t="s">
        <v>1853</v>
      </c>
      <c r="M488" s="12" t="s">
        <v>3050</v>
      </c>
      <c r="N488" s="12"/>
      <c r="O488" s="11" t="s">
        <v>1858</v>
      </c>
      <c r="P488" s="56"/>
    </row>
    <row r="489" spans="1:16" ht="15.75" customHeight="1" x14ac:dyDescent="0.2">
      <c r="A489" s="49">
        <v>1346</v>
      </c>
      <c r="B489" s="11" t="s">
        <v>1857</v>
      </c>
      <c r="C489" s="11" t="s">
        <v>1849</v>
      </c>
      <c r="D489" s="6" t="s">
        <v>1850</v>
      </c>
      <c r="E489" s="12" t="s">
        <v>1877</v>
      </c>
      <c r="F489" s="12" t="s">
        <v>1877</v>
      </c>
      <c r="G489" s="12" t="s">
        <v>1883</v>
      </c>
      <c r="H489" s="12" t="s">
        <v>1884</v>
      </c>
      <c r="I489" s="12" t="s">
        <v>2046</v>
      </c>
      <c r="J489" s="11" t="s">
        <v>1856</v>
      </c>
      <c r="K489" s="11" t="s">
        <v>1852</v>
      </c>
      <c r="L489" s="11" t="s">
        <v>1853</v>
      </c>
      <c r="M489" s="12" t="s">
        <v>2047</v>
      </c>
      <c r="N489" s="12"/>
      <c r="O489" s="11" t="s">
        <v>1858</v>
      </c>
      <c r="P489" s="56"/>
    </row>
    <row r="490" spans="1:16" ht="15.75" customHeight="1" x14ac:dyDescent="0.2">
      <c r="A490" s="49">
        <v>1940</v>
      </c>
      <c r="B490" s="11" t="s">
        <v>1857</v>
      </c>
      <c r="C490" s="11" t="s">
        <v>1849</v>
      </c>
      <c r="D490" s="6" t="s">
        <v>1850</v>
      </c>
      <c r="E490" s="12" t="s">
        <v>1877</v>
      </c>
      <c r="F490" s="12" t="s">
        <v>1877</v>
      </c>
      <c r="G490" s="12" t="s">
        <v>2627</v>
      </c>
      <c r="H490" s="12" t="s">
        <v>3070</v>
      </c>
      <c r="I490" s="12" t="s">
        <v>1639</v>
      </c>
      <c r="J490" s="11" t="s">
        <v>1856</v>
      </c>
      <c r="K490" s="11" t="s">
        <v>1852</v>
      </c>
      <c r="L490" s="11" t="s">
        <v>1853</v>
      </c>
      <c r="M490" s="12" t="s">
        <v>3071</v>
      </c>
      <c r="N490" s="12"/>
      <c r="O490" s="11" t="s">
        <v>1858</v>
      </c>
      <c r="P490" s="56"/>
    </row>
    <row r="491" spans="1:16" ht="15.75" customHeight="1" x14ac:dyDescent="0.2">
      <c r="A491" s="49">
        <v>1801</v>
      </c>
      <c r="B491" s="11" t="s">
        <v>1857</v>
      </c>
      <c r="C491" s="11" t="s">
        <v>1849</v>
      </c>
      <c r="D491" s="6" t="s">
        <v>1850</v>
      </c>
      <c r="E491" s="12" t="s">
        <v>1877</v>
      </c>
      <c r="F491" s="12" t="s">
        <v>1877</v>
      </c>
      <c r="G491" s="12" t="s">
        <v>1880</v>
      </c>
      <c r="H491" s="12" t="s">
        <v>1892</v>
      </c>
      <c r="I491" s="12" t="s">
        <v>2048</v>
      </c>
      <c r="J491" s="11" t="s">
        <v>1856</v>
      </c>
      <c r="K491" s="11" t="s">
        <v>1852</v>
      </c>
      <c r="L491" s="11" t="s">
        <v>1853</v>
      </c>
      <c r="M491" s="12" t="s">
        <v>2049</v>
      </c>
      <c r="N491" s="12"/>
      <c r="O491" s="11" t="s">
        <v>1859</v>
      </c>
      <c r="P491" s="56"/>
    </row>
    <row r="492" spans="1:16" ht="15.75" customHeight="1" x14ac:dyDescent="0.2">
      <c r="A492" s="49">
        <v>1490</v>
      </c>
      <c r="B492" s="11" t="s">
        <v>1857</v>
      </c>
      <c r="C492" s="11" t="s">
        <v>1849</v>
      </c>
      <c r="D492" s="6" t="s">
        <v>1850</v>
      </c>
      <c r="E492" s="12" t="s">
        <v>1877</v>
      </c>
      <c r="F492" s="12" t="s">
        <v>1877</v>
      </c>
      <c r="G492" s="12" t="s">
        <v>2658</v>
      </c>
      <c r="H492" s="12" t="s">
        <v>2682</v>
      </c>
      <c r="I492" s="12" t="s">
        <v>3072</v>
      </c>
      <c r="J492" s="11" t="s">
        <v>1856</v>
      </c>
      <c r="K492" s="11" t="s">
        <v>1852</v>
      </c>
      <c r="L492" s="11" t="s">
        <v>1853</v>
      </c>
      <c r="M492" s="12" t="s">
        <v>2991</v>
      </c>
      <c r="N492" s="12"/>
      <c r="O492" s="11" t="s">
        <v>1859</v>
      </c>
      <c r="P492" s="56"/>
    </row>
    <row r="493" spans="1:16" ht="15.75" customHeight="1" x14ac:dyDescent="0.2">
      <c r="A493" s="49">
        <v>1934</v>
      </c>
      <c r="B493" s="11" t="s">
        <v>1857</v>
      </c>
      <c r="C493" s="11" t="s">
        <v>1849</v>
      </c>
      <c r="D493" s="6" t="s">
        <v>1850</v>
      </c>
      <c r="E493" s="12" t="s">
        <v>1877</v>
      </c>
      <c r="F493" s="12" t="s">
        <v>1877</v>
      </c>
      <c r="G493" s="12" t="s">
        <v>2627</v>
      </c>
      <c r="H493" s="12" t="s">
        <v>2628</v>
      </c>
      <c r="I493" s="12" t="s">
        <v>3073</v>
      </c>
      <c r="J493" s="11" t="s">
        <v>1856</v>
      </c>
      <c r="K493" s="11" t="s">
        <v>1852</v>
      </c>
      <c r="L493" s="11" t="s">
        <v>1853</v>
      </c>
      <c r="M493" s="12" t="s">
        <v>3074</v>
      </c>
      <c r="N493" s="12" t="s">
        <v>3075</v>
      </c>
      <c r="O493" s="11" t="s">
        <v>1858</v>
      </c>
      <c r="P493" s="56"/>
    </row>
    <row r="494" spans="1:16" ht="15.75" customHeight="1" x14ac:dyDescent="0.2">
      <c r="A494" s="49">
        <v>1386</v>
      </c>
      <c r="B494" s="11" t="s">
        <v>1857</v>
      </c>
      <c r="C494" s="11" t="s">
        <v>1849</v>
      </c>
      <c r="D494" s="6" t="s">
        <v>1850</v>
      </c>
      <c r="E494" s="12" t="s">
        <v>1877</v>
      </c>
      <c r="F494" s="12" t="s">
        <v>1877</v>
      </c>
      <c r="G494" s="12" t="s">
        <v>1883</v>
      </c>
      <c r="H494" s="12" t="s">
        <v>1895</v>
      </c>
      <c r="I494" s="12" t="s">
        <v>2050</v>
      </c>
      <c r="J494" s="11" t="s">
        <v>1856</v>
      </c>
      <c r="K494" s="11" t="s">
        <v>1852</v>
      </c>
      <c r="L494" s="11" t="s">
        <v>1853</v>
      </c>
      <c r="M494" s="12" t="s">
        <v>2051</v>
      </c>
      <c r="N494" s="12"/>
      <c r="O494" s="11" t="s">
        <v>1859</v>
      </c>
      <c r="P494" s="56"/>
    </row>
    <row r="495" spans="1:16" ht="15.75" customHeight="1" x14ac:dyDescent="0.2">
      <c r="A495" s="49">
        <v>1306</v>
      </c>
      <c r="B495" s="11" t="s">
        <v>1857</v>
      </c>
      <c r="C495" s="11" t="s">
        <v>1849</v>
      </c>
      <c r="D495" s="6" t="s">
        <v>1850</v>
      </c>
      <c r="E495" s="12" t="s">
        <v>1877</v>
      </c>
      <c r="F495" s="12" t="s">
        <v>1877</v>
      </c>
      <c r="G495" s="12" t="s">
        <v>2684</v>
      </c>
      <c r="H495" s="12" t="s">
        <v>2840</v>
      </c>
      <c r="I495" s="12" t="s">
        <v>3076</v>
      </c>
      <c r="J495" s="11" t="s">
        <v>1856</v>
      </c>
      <c r="K495" s="11" t="s">
        <v>1852</v>
      </c>
      <c r="L495" s="11" t="s">
        <v>1853</v>
      </c>
      <c r="M495" s="12" t="s">
        <v>1902</v>
      </c>
      <c r="N495" s="12"/>
      <c r="O495" s="11" t="s">
        <v>1858</v>
      </c>
      <c r="P495" s="56"/>
    </row>
    <row r="496" spans="1:16" ht="15.75" customHeight="1" x14ac:dyDescent="0.2">
      <c r="A496" s="49">
        <v>1592</v>
      </c>
      <c r="B496" s="11" t="s">
        <v>1857</v>
      </c>
      <c r="C496" s="11" t="s">
        <v>1849</v>
      </c>
      <c r="D496" s="6" t="s">
        <v>1850</v>
      </c>
      <c r="E496" s="12" t="s">
        <v>1877</v>
      </c>
      <c r="F496" s="12" t="s">
        <v>1877</v>
      </c>
      <c r="G496" s="12" t="s">
        <v>2736</v>
      </c>
      <c r="H496" s="12" t="s">
        <v>2785</v>
      </c>
      <c r="I496" s="12" t="s">
        <v>3077</v>
      </c>
      <c r="J496" s="11" t="s">
        <v>1856</v>
      </c>
      <c r="K496" s="11" t="s">
        <v>1852</v>
      </c>
      <c r="L496" s="11" t="s">
        <v>1853</v>
      </c>
      <c r="M496" s="12" t="s">
        <v>3078</v>
      </c>
      <c r="N496" s="12"/>
      <c r="O496" s="11" t="s">
        <v>1858</v>
      </c>
      <c r="P496" s="56"/>
    </row>
    <row r="497" spans="1:16" ht="15.75" customHeight="1" x14ac:dyDescent="0.2">
      <c r="A497" s="49">
        <v>1656</v>
      </c>
      <c r="B497" s="11" t="s">
        <v>1857</v>
      </c>
      <c r="C497" s="11" t="s">
        <v>1849</v>
      </c>
      <c r="D497" s="6" t="s">
        <v>1850</v>
      </c>
      <c r="E497" s="12" t="s">
        <v>1877</v>
      </c>
      <c r="F497" s="12" t="s">
        <v>1877</v>
      </c>
      <c r="G497" s="12" t="s">
        <v>2736</v>
      </c>
      <c r="H497" s="12" t="s">
        <v>3079</v>
      </c>
      <c r="I497" s="12" t="s">
        <v>3080</v>
      </c>
      <c r="J497" s="11" t="s">
        <v>1856</v>
      </c>
      <c r="K497" s="11" t="s">
        <v>1852</v>
      </c>
      <c r="L497" s="11" t="s">
        <v>1853</v>
      </c>
      <c r="M497" s="12" t="s">
        <v>3081</v>
      </c>
      <c r="N497" s="12" t="s">
        <v>3082</v>
      </c>
      <c r="O497" s="11" t="s">
        <v>1858</v>
      </c>
      <c r="P497" s="56"/>
    </row>
    <row r="498" spans="1:16" ht="15.75" customHeight="1" x14ac:dyDescent="0.2">
      <c r="A498" s="49">
        <v>1562</v>
      </c>
      <c r="B498" s="11" t="s">
        <v>1857</v>
      </c>
      <c r="C498" s="11" t="s">
        <v>1849</v>
      </c>
      <c r="D498" s="6" t="s">
        <v>1850</v>
      </c>
      <c r="E498" s="12" t="s">
        <v>1877</v>
      </c>
      <c r="F498" s="12" t="s">
        <v>1877</v>
      </c>
      <c r="G498" s="12" t="s">
        <v>2653</v>
      </c>
      <c r="H498" s="12" t="s">
        <v>2669</v>
      </c>
      <c r="I498" s="12" t="s">
        <v>3083</v>
      </c>
      <c r="J498" s="11" t="s">
        <v>1856</v>
      </c>
      <c r="K498" s="11" t="s">
        <v>1852</v>
      </c>
      <c r="L498" s="11" t="s">
        <v>1853</v>
      </c>
      <c r="M498" s="12" t="s">
        <v>3003</v>
      </c>
      <c r="N498" s="12"/>
      <c r="O498" s="11" t="s">
        <v>1858</v>
      </c>
      <c r="P498" s="56"/>
    </row>
    <row r="499" spans="1:16" ht="15.75" customHeight="1" x14ac:dyDescent="0.2">
      <c r="A499" s="49">
        <v>2007</v>
      </c>
      <c r="B499" s="11" t="s">
        <v>1857</v>
      </c>
      <c r="C499" s="11" t="s">
        <v>1849</v>
      </c>
      <c r="D499" s="6" t="s">
        <v>1850</v>
      </c>
      <c r="E499" s="12" t="s">
        <v>1877</v>
      </c>
      <c r="F499" s="12" t="s">
        <v>1877</v>
      </c>
      <c r="G499" s="12" t="s">
        <v>2649</v>
      </c>
      <c r="H499" s="12" t="s">
        <v>2711</v>
      </c>
      <c r="I499" s="12" t="s">
        <v>3084</v>
      </c>
      <c r="J499" s="11" t="s">
        <v>1856</v>
      </c>
      <c r="K499" s="11" t="s">
        <v>1852</v>
      </c>
      <c r="L499" s="11" t="s">
        <v>1853</v>
      </c>
      <c r="M499" s="12" t="s">
        <v>3085</v>
      </c>
      <c r="N499" s="11" t="s">
        <v>3086</v>
      </c>
      <c r="O499" s="11" t="s">
        <v>1860</v>
      </c>
      <c r="P499" s="56"/>
    </row>
    <row r="500" spans="1:16" ht="15.75" customHeight="1" x14ac:dyDescent="0.2">
      <c r="A500" s="49">
        <v>1788</v>
      </c>
      <c r="B500" s="11" t="s">
        <v>1857</v>
      </c>
      <c r="C500" s="11" t="s">
        <v>1849</v>
      </c>
      <c r="D500" s="6" t="s">
        <v>1850</v>
      </c>
      <c r="E500" s="12" t="s">
        <v>1877</v>
      </c>
      <c r="F500" s="12" t="s">
        <v>1877</v>
      </c>
      <c r="G500" s="12" t="s">
        <v>1880</v>
      </c>
      <c r="H500" s="12" t="s">
        <v>1880</v>
      </c>
      <c r="I500" s="12" t="s">
        <v>1642</v>
      </c>
      <c r="J500" s="11" t="s">
        <v>1851</v>
      </c>
      <c r="K500" s="11" t="s">
        <v>1852</v>
      </c>
      <c r="L500" s="11" t="s">
        <v>1853</v>
      </c>
      <c r="M500" s="12" t="s">
        <v>1854</v>
      </c>
      <c r="N500" s="12" t="s">
        <v>2052</v>
      </c>
      <c r="O500" s="11" t="s">
        <v>1858</v>
      </c>
      <c r="P500" s="56"/>
    </row>
    <row r="501" spans="1:16" ht="15.75" customHeight="1" x14ac:dyDescent="0.2">
      <c r="A501" s="49">
        <v>2085</v>
      </c>
      <c r="B501" s="11" t="s">
        <v>1857</v>
      </c>
      <c r="C501" s="11" t="s">
        <v>1849</v>
      </c>
      <c r="D501" s="6" t="s">
        <v>1850</v>
      </c>
      <c r="E501" s="12" t="s">
        <v>1877</v>
      </c>
      <c r="F501" s="12" t="s">
        <v>1877</v>
      </c>
      <c r="G501" s="12" t="s">
        <v>2623</v>
      </c>
      <c r="H501" s="12" t="s">
        <v>2624</v>
      </c>
      <c r="I501" s="12" t="s">
        <v>3087</v>
      </c>
      <c r="J501" s="11" t="s">
        <v>1856</v>
      </c>
      <c r="K501" s="11" t="s">
        <v>1852</v>
      </c>
      <c r="L501" s="11" t="s">
        <v>1853</v>
      </c>
      <c r="M501" s="12" t="s">
        <v>3088</v>
      </c>
      <c r="N501" s="11" t="s">
        <v>3089</v>
      </c>
      <c r="O501" s="11" t="s">
        <v>2334</v>
      </c>
      <c r="P501" s="56" t="s">
        <v>1863</v>
      </c>
    </row>
    <row r="502" spans="1:16" ht="15.75" customHeight="1" x14ac:dyDescent="0.2">
      <c r="A502" s="49">
        <v>1763</v>
      </c>
      <c r="B502" s="11" t="s">
        <v>1857</v>
      </c>
      <c r="C502" s="11" t="s">
        <v>1849</v>
      </c>
      <c r="D502" s="6" t="s">
        <v>1850</v>
      </c>
      <c r="E502" s="12" t="s">
        <v>1877</v>
      </c>
      <c r="F502" s="12" t="s">
        <v>1877</v>
      </c>
      <c r="G502" s="12" t="s">
        <v>2619</v>
      </c>
      <c r="H502" s="12" t="s">
        <v>2820</v>
      </c>
      <c r="I502" s="12" t="s">
        <v>3090</v>
      </c>
      <c r="J502" s="11" t="s">
        <v>1856</v>
      </c>
      <c r="K502" s="11" t="s">
        <v>1852</v>
      </c>
      <c r="L502" s="11" t="s">
        <v>1853</v>
      </c>
      <c r="M502" s="12" t="s">
        <v>2053</v>
      </c>
      <c r="N502" s="12"/>
      <c r="O502" s="11" t="s">
        <v>1858</v>
      </c>
      <c r="P502" s="56"/>
    </row>
    <row r="503" spans="1:16" ht="15.75" customHeight="1" x14ac:dyDescent="0.2">
      <c r="A503" s="49">
        <v>1760</v>
      </c>
      <c r="B503" s="11" t="s">
        <v>1857</v>
      </c>
      <c r="C503" s="11" t="s">
        <v>1849</v>
      </c>
      <c r="D503" s="6" t="s">
        <v>1850</v>
      </c>
      <c r="E503" s="12" t="s">
        <v>1877</v>
      </c>
      <c r="F503" s="12" t="s">
        <v>1877</v>
      </c>
      <c r="G503" s="12" t="s">
        <v>2619</v>
      </c>
      <c r="H503" s="12" t="s">
        <v>2820</v>
      </c>
      <c r="I503" s="12" t="s">
        <v>3091</v>
      </c>
      <c r="J503" s="11" t="s">
        <v>1851</v>
      </c>
      <c r="K503" s="11" t="s">
        <v>1852</v>
      </c>
      <c r="L503" s="11" t="s">
        <v>1853</v>
      </c>
      <c r="M503" s="12" t="s">
        <v>3092</v>
      </c>
      <c r="N503" s="12" t="s">
        <v>3093</v>
      </c>
      <c r="O503" s="11" t="s">
        <v>1858</v>
      </c>
      <c r="P503" s="56"/>
    </row>
    <row r="504" spans="1:16" ht="15.75" customHeight="1" x14ac:dyDescent="0.2">
      <c r="A504" s="49">
        <v>2077</v>
      </c>
      <c r="B504" s="11" t="s">
        <v>1857</v>
      </c>
      <c r="C504" s="11" t="s">
        <v>1849</v>
      </c>
      <c r="D504" s="6" t="s">
        <v>1850</v>
      </c>
      <c r="E504" s="12" t="s">
        <v>1877</v>
      </c>
      <c r="F504" s="12" t="s">
        <v>1877</v>
      </c>
      <c r="G504" s="12" t="s">
        <v>2623</v>
      </c>
      <c r="H504" s="12" t="s">
        <v>2699</v>
      </c>
      <c r="I504" s="12" t="s">
        <v>3094</v>
      </c>
      <c r="J504" s="11" t="s">
        <v>1856</v>
      </c>
      <c r="K504" s="11" t="s">
        <v>1852</v>
      </c>
      <c r="L504" s="11" t="s">
        <v>1853</v>
      </c>
      <c r="M504" s="12" t="s">
        <v>3095</v>
      </c>
      <c r="N504" s="12"/>
      <c r="O504" s="11" t="s">
        <v>1858</v>
      </c>
      <c r="P504" s="56"/>
    </row>
    <row r="505" spans="1:16" ht="15.75" customHeight="1" x14ac:dyDescent="0.2">
      <c r="A505" s="49">
        <v>1822</v>
      </c>
      <c r="B505" s="11" t="s">
        <v>1857</v>
      </c>
      <c r="C505" s="11" t="s">
        <v>1849</v>
      </c>
      <c r="D505" s="6" t="s">
        <v>1850</v>
      </c>
      <c r="E505" s="12" t="s">
        <v>1877</v>
      </c>
      <c r="F505" s="12" t="s">
        <v>1877</v>
      </c>
      <c r="G505" s="12" t="s">
        <v>1880</v>
      </c>
      <c r="H505" s="12" t="s">
        <v>1910</v>
      </c>
      <c r="I505" s="12" t="s">
        <v>2054</v>
      </c>
      <c r="J505" s="11" t="s">
        <v>1856</v>
      </c>
      <c r="K505" s="11" t="s">
        <v>1852</v>
      </c>
      <c r="L505" s="11" t="s">
        <v>1853</v>
      </c>
      <c r="M505" s="12" t="s">
        <v>2055</v>
      </c>
      <c r="N505" s="12"/>
      <c r="O505" s="11" t="s">
        <v>1859</v>
      </c>
      <c r="P505" s="56"/>
    </row>
    <row r="506" spans="1:16" ht="15.75" customHeight="1" x14ac:dyDescent="0.2">
      <c r="A506" s="49">
        <v>1316</v>
      </c>
      <c r="B506" s="11" t="s">
        <v>1857</v>
      </c>
      <c r="C506" s="11" t="s">
        <v>1849</v>
      </c>
      <c r="D506" s="6" t="s">
        <v>1850</v>
      </c>
      <c r="E506" s="12" t="s">
        <v>1877</v>
      </c>
      <c r="F506" s="12" t="s">
        <v>1877</v>
      </c>
      <c r="G506" s="12" t="s">
        <v>2684</v>
      </c>
      <c r="H506" s="12" t="s">
        <v>2869</v>
      </c>
      <c r="I506" s="12" t="s">
        <v>3096</v>
      </c>
      <c r="J506" s="11" t="s">
        <v>1856</v>
      </c>
      <c r="K506" s="11" t="s">
        <v>1852</v>
      </c>
      <c r="L506" s="11" t="s">
        <v>1853</v>
      </c>
      <c r="M506" s="12" t="s">
        <v>1904</v>
      </c>
      <c r="N506" s="12"/>
      <c r="O506" s="11" t="s">
        <v>1858</v>
      </c>
      <c r="P506" s="56"/>
    </row>
    <row r="507" spans="1:16" ht="15.75" customHeight="1" x14ac:dyDescent="0.2">
      <c r="A507" s="49">
        <v>1789</v>
      </c>
      <c r="B507" s="11" t="s">
        <v>1857</v>
      </c>
      <c r="C507" s="11" t="s">
        <v>1849</v>
      </c>
      <c r="D507" s="6" t="s">
        <v>1850</v>
      </c>
      <c r="E507" s="12" t="s">
        <v>1877</v>
      </c>
      <c r="F507" s="12" t="s">
        <v>1877</v>
      </c>
      <c r="G507" s="12" t="s">
        <v>1880</v>
      </c>
      <c r="H507" s="12" t="s">
        <v>1892</v>
      </c>
      <c r="I507" s="12" t="s">
        <v>2056</v>
      </c>
      <c r="J507" s="11" t="s">
        <v>1856</v>
      </c>
      <c r="K507" s="11" t="s">
        <v>1852</v>
      </c>
      <c r="L507" s="11" t="s">
        <v>1853</v>
      </c>
      <c r="M507" s="12" t="s">
        <v>2057</v>
      </c>
      <c r="N507" s="12" t="s">
        <v>2058</v>
      </c>
      <c r="O507" s="11" t="s">
        <v>1860</v>
      </c>
      <c r="P507" s="56"/>
    </row>
    <row r="508" spans="1:16" ht="15.75" customHeight="1" x14ac:dyDescent="0.2">
      <c r="A508" s="49">
        <v>1799</v>
      </c>
      <c r="B508" s="11" t="s">
        <v>1857</v>
      </c>
      <c r="C508" s="11" t="s">
        <v>1849</v>
      </c>
      <c r="D508" s="6" t="s">
        <v>1850</v>
      </c>
      <c r="E508" s="12" t="s">
        <v>1877</v>
      </c>
      <c r="F508" s="12" t="s">
        <v>1877</v>
      </c>
      <c r="G508" s="12" t="s">
        <v>1880</v>
      </c>
      <c r="H508" s="12" t="s">
        <v>1892</v>
      </c>
      <c r="I508" s="12" t="s">
        <v>2059</v>
      </c>
      <c r="J508" s="11" t="s">
        <v>1856</v>
      </c>
      <c r="K508" s="11" t="s">
        <v>1852</v>
      </c>
      <c r="L508" s="11" t="s">
        <v>1853</v>
      </c>
      <c r="M508" s="12" t="s">
        <v>2060</v>
      </c>
      <c r="N508" s="12"/>
      <c r="O508" s="11" t="s">
        <v>1858</v>
      </c>
      <c r="P508" s="56"/>
    </row>
    <row r="509" spans="1:16" ht="15.75" customHeight="1" x14ac:dyDescent="0.2">
      <c r="A509" s="49">
        <v>1808</v>
      </c>
      <c r="B509" s="11" t="s">
        <v>1857</v>
      </c>
      <c r="C509" s="11" t="s">
        <v>1849</v>
      </c>
      <c r="D509" s="6" t="s">
        <v>1850</v>
      </c>
      <c r="E509" s="12" t="s">
        <v>1877</v>
      </c>
      <c r="F509" s="12" t="s">
        <v>1877</v>
      </c>
      <c r="G509" s="12" t="s">
        <v>1880</v>
      </c>
      <c r="H509" s="12" t="s">
        <v>1941</v>
      </c>
      <c r="I509" s="12" t="s">
        <v>2061</v>
      </c>
      <c r="J509" s="11" t="s">
        <v>1856</v>
      </c>
      <c r="K509" s="11" t="s">
        <v>1852</v>
      </c>
      <c r="L509" s="11" t="s">
        <v>1853</v>
      </c>
      <c r="M509" s="12" t="s">
        <v>2062</v>
      </c>
      <c r="N509" s="12"/>
      <c r="O509" s="11" t="s">
        <v>1858</v>
      </c>
      <c r="P509" s="56"/>
    </row>
    <row r="510" spans="1:16" ht="15.75" customHeight="1" x14ac:dyDescent="0.2">
      <c r="A510" s="49">
        <v>1330</v>
      </c>
      <c r="B510" s="11" t="s">
        <v>1857</v>
      </c>
      <c r="C510" s="11" t="s">
        <v>1849</v>
      </c>
      <c r="D510" s="6" t="s">
        <v>1850</v>
      </c>
      <c r="E510" s="12" t="s">
        <v>1877</v>
      </c>
      <c r="F510" s="12" t="s">
        <v>1877</v>
      </c>
      <c r="G510" s="12" t="s">
        <v>1883</v>
      </c>
      <c r="H510" s="12" t="s">
        <v>1895</v>
      </c>
      <c r="I510" s="12" t="s">
        <v>2063</v>
      </c>
      <c r="J510" s="11" t="s">
        <v>1851</v>
      </c>
      <c r="K510" s="11" t="s">
        <v>1852</v>
      </c>
      <c r="L510" s="11" t="s">
        <v>1853</v>
      </c>
      <c r="M510" s="12" t="s">
        <v>1979</v>
      </c>
      <c r="N510" s="12"/>
      <c r="O510" s="11" t="s">
        <v>1858</v>
      </c>
      <c r="P510" s="56"/>
    </row>
    <row r="511" spans="1:16" ht="15.75" customHeight="1" x14ac:dyDescent="0.2">
      <c r="A511" s="49">
        <v>1790</v>
      </c>
      <c r="B511" s="11" t="s">
        <v>1857</v>
      </c>
      <c r="C511" s="11" t="s">
        <v>1849</v>
      </c>
      <c r="D511" s="6" t="s">
        <v>1850</v>
      </c>
      <c r="E511" s="12" t="s">
        <v>1877</v>
      </c>
      <c r="F511" s="12" t="s">
        <v>1877</v>
      </c>
      <c r="G511" s="12" t="s">
        <v>1880</v>
      </c>
      <c r="H511" s="12" t="s">
        <v>1892</v>
      </c>
      <c r="I511" s="12" t="s">
        <v>2064</v>
      </c>
      <c r="J511" s="11" t="s">
        <v>1856</v>
      </c>
      <c r="K511" s="11" t="s">
        <v>1852</v>
      </c>
      <c r="L511" s="11" t="s">
        <v>1853</v>
      </c>
      <c r="M511" s="12" t="s">
        <v>2065</v>
      </c>
      <c r="N511" s="12"/>
      <c r="O511" s="11" t="s">
        <v>2066</v>
      </c>
      <c r="P511" s="56"/>
    </row>
    <row r="512" spans="1:16" ht="15.75" customHeight="1" x14ac:dyDescent="0.2">
      <c r="A512" s="49">
        <v>1845</v>
      </c>
      <c r="B512" s="11" t="s">
        <v>1857</v>
      </c>
      <c r="C512" s="11" t="s">
        <v>1849</v>
      </c>
      <c r="D512" s="6" t="s">
        <v>1850</v>
      </c>
      <c r="E512" s="12" t="s">
        <v>1877</v>
      </c>
      <c r="F512" s="12" t="s">
        <v>1877</v>
      </c>
      <c r="G512" s="12" t="s">
        <v>1914</v>
      </c>
      <c r="H512" s="12" t="s">
        <v>2000</v>
      </c>
      <c r="I512" s="12" t="s">
        <v>2067</v>
      </c>
      <c r="J512" s="11" t="s">
        <v>1856</v>
      </c>
      <c r="K512" s="11" t="s">
        <v>1852</v>
      </c>
      <c r="L512" s="11" t="s">
        <v>1853</v>
      </c>
      <c r="M512" s="12" t="s">
        <v>2068</v>
      </c>
      <c r="N512" s="12"/>
      <c r="O512" s="11" t="s">
        <v>2066</v>
      </c>
      <c r="P512" s="56"/>
    </row>
    <row r="513" spans="1:16" ht="15.75" customHeight="1" x14ac:dyDescent="0.2">
      <c r="A513" s="49">
        <v>1728</v>
      </c>
      <c r="B513" s="11" t="s">
        <v>1857</v>
      </c>
      <c r="C513" s="11" t="s">
        <v>1849</v>
      </c>
      <c r="D513" s="6" t="s">
        <v>1850</v>
      </c>
      <c r="E513" s="12" t="s">
        <v>1877</v>
      </c>
      <c r="F513" s="12" t="s">
        <v>1877</v>
      </c>
      <c r="G513" s="12" t="s">
        <v>2619</v>
      </c>
      <c r="H513" s="12" t="s">
        <v>3097</v>
      </c>
      <c r="I513" s="12" t="s">
        <v>3098</v>
      </c>
      <c r="J513" s="11" t="s">
        <v>1856</v>
      </c>
      <c r="K513" s="11" t="s">
        <v>1852</v>
      </c>
      <c r="L513" s="11" t="s">
        <v>1853</v>
      </c>
      <c r="M513" s="12" t="s">
        <v>2903</v>
      </c>
      <c r="N513" s="12"/>
      <c r="O513" s="11" t="s">
        <v>2066</v>
      </c>
      <c r="P513" s="56"/>
    </row>
    <row r="514" spans="1:16" ht="15.75" customHeight="1" x14ac:dyDescent="0.2">
      <c r="A514" s="49">
        <v>1307</v>
      </c>
      <c r="B514" s="11" t="s">
        <v>1857</v>
      </c>
      <c r="C514" s="11" t="s">
        <v>1849</v>
      </c>
      <c r="D514" s="6" t="s">
        <v>1850</v>
      </c>
      <c r="E514" s="12" t="s">
        <v>1877</v>
      </c>
      <c r="F514" s="12" t="s">
        <v>1877</v>
      </c>
      <c r="G514" s="12" t="s">
        <v>2684</v>
      </c>
      <c r="H514" s="12" t="s">
        <v>2937</v>
      </c>
      <c r="I514" s="12" t="s">
        <v>3099</v>
      </c>
      <c r="J514" s="11" t="s">
        <v>1856</v>
      </c>
      <c r="K514" s="11" t="s">
        <v>1852</v>
      </c>
      <c r="L514" s="11" t="s">
        <v>1853</v>
      </c>
      <c r="M514" s="12" t="s">
        <v>2069</v>
      </c>
      <c r="N514" s="12" t="s">
        <v>3100</v>
      </c>
      <c r="O514" s="11" t="s">
        <v>1859</v>
      </c>
      <c r="P514" s="56"/>
    </row>
    <row r="515" spans="1:16" ht="15.75" customHeight="1" x14ac:dyDescent="0.2">
      <c r="A515" s="49">
        <v>1397</v>
      </c>
      <c r="B515" s="11" t="s">
        <v>1857</v>
      </c>
      <c r="C515" s="11" t="s">
        <v>1849</v>
      </c>
      <c r="D515" s="6" t="s">
        <v>1850</v>
      </c>
      <c r="E515" s="12" t="s">
        <v>1877</v>
      </c>
      <c r="F515" s="12" t="s">
        <v>1877</v>
      </c>
      <c r="G515" s="12" t="s">
        <v>1883</v>
      </c>
      <c r="H515" s="12" t="s">
        <v>1898</v>
      </c>
      <c r="I515" s="12" t="s">
        <v>2070</v>
      </c>
      <c r="J515" s="11" t="s">
        <v>1856</v>
      </c>
      <c r="K515" s="11" t="s">
        <v>1852</v>
      </c>
      <c r="L515" s="11" t="s">
        <v>1853</v>
      </c>
      <c r="M515" s="12" t="s">
        <v>2071</v>
      </c>
      <c r="N515" s="12" t="s">
        <v>2072</v>
      </c>
      <c r="O515" s="11" t="s">
        <v>1858</v>
      </c>
      <c r="P515" s="56"/>
    </row>
    <row r="516" spans="1:16" ht="15.75" customHeight="1" x14ac:dyDescent="0.2">
      <c r="A516" s="49">
        <v>1825</v>
      </c>
      <c r="B516" s="11" t="s">
        <v>1857</v>
      </c>
      <c r="C516" s="11" t="s">
        <v>1849</v>
      </c>
      <c r="D516" s="6" t="s">
        <v>1850</v>
      </c>
      <c r="E516" s="12" t="s">
        <v>1877</v>
      </c>
      <c r="F516" s="12" t="s">
        <v>1877</v>
      </c>
      <c r="G516" s="12" t="s">
        <v>1880</v>
      </c>
      <c r="H516" s="12" t="s">
        <v>1886</v>
      </c>
      <c r="I516" s="12" t="s">
        <v>2073</v>
      </c>
      <c r="J516" s="11" t="s">
        <v>1856</v>
      </c>
      <c r="K516" s="11" t="s">
        <v>1852</v>
      </c>
      <c r="L516" s="11" t="s">
        <v>1853</v>
      </c>
      <c r="M516" s="12" t="s">
        <v>1854</v>
      </c>
      <c r="N516" s="12"/>
      <c r="O516" s="11" t="s">
        <v>1858</v>
      </c>
      <c r="P516" s="56"/>
    </row>
    <row r="517" spans="1:16" ht="15.75" customHeight="1" x14ac:dyDescent="0.2">
      <c r="A517" s="49">
        <v>1838</v>
      </c>
      <c r="B517" s="11" t="s">
        <v>1857</v>
      </c>
      <c r="C517" s="11" t="s">
        <v>1849</v>
      </c>
      <c r="D517" s="6" t="s">
        <v>1850</v>
      </c>
      <c r="E517" s="12" t="s">
        <v>1877</v>
      </c>
      <c r="F517" s="12" t="s">
        <v>1877</v>
      </c>
      <c r="G517" s="12" t="s">
        <v>1914</v>
      </c>
      <c r="H517" s="12" t="s">
        <v>1914</v>
      </c>
      <c r="I517" s="12" t="s">
        <v>2074</v>
      </c>
      <c r="J517" s="11" t="s">
        <v>1856</v>
      </c>
      <c r="K517" s="11" t="s">
        <v>1852</v>
      </c>
      <c r="L517" s="11" t="s">
        <v>1853</v>
      </c>
      <c r="M517" s="12" t="s">
        <v>2075</v>
      </c>
      <c r="N517" s="12"/>
      <c r="O517" s="11" t="s">
        <v>1859</v>
      </c>
      <c r="P517" s="56"/>
    </row>
    <row r="518" spans="1:16" ht="15.75" customHeight="1" x14ac:dyDescent="0.2">
      <c r="A518" s="49">
        <v>1896</v>
      </c>
      <c r="B518" s="11" t="s">
        <v>1857</v>
      </c>
      <c r="C518" s="11" t="s">
        <v>1849</v>
      </c>
      <c r="D518" s="6" t="s">
        <v>1850</v>
      </c>
      <c r="E518" s="12" t="s">
        <v>1877</v>
      </c>
      <c r="F518" s="12" t="s">
        <v>1877</v>
      </c>
      <c r="G518" s="12" t="s">
        <v>2656</v>
      </c>
      <c r="H518" s="12" t="s">
        <v>2764</v>
      </c>
      <c r="I518" s="12" t="s">
        <v>2074</v>
      </c>
      <c r="J518" s="11" t="s">
        <v>1856</v>
      </c>
      <c r="K518" s="11" t="s">
        <v>1852</v>
      </c>
      <c r="L518" s="11" t="s">
        <v>1853</v>
      </c>
      <c r="M518" s="12" t="s">
        <v>3101</v>
      </c>
      <c r="N518" s="12" t="s">
        <v>3102</v>
      </c>
      <c r="O518" s="11" t="s">
        <v>1859</v>
      </c>
      <c r="P518" s="56"/>
    </row>
    <row r="519" spans="1:16" ht="15.75" customHeight="1" x14ac:dyDescent="0.2">
      <c r="A519" s="49">
        <v>1319</v>
      </c>
      <c r="B519" s="11" t="s">
        <v>1857</v>
      </c>
      <c r="C519" s="11" t="s">
        <v>1849</v>
      </c>
      <c r="D519" s="6" t="s">
        <v>1850</v>
      </c>
      <c r="E519" s="12" t="s">
        <v>1877</v>
      </c>
      <c r="F519" s="12" t="s">
        <v>1877</v>
      </c>
      <c r="G519" s="12" t="s">
        <v>2684</v>
      </c>
      <c r="H519" s="12" t="s">
        <v>2789</v>
      </c>
      <c r="I519" s="12" t="s">
        <v>3103</v>
      </c>
      <c r="J519" s="11" t="s">
        <v>1856</v>
      </c>
      <c r="K519" s="11" t="s">
        <v>1852</v>
      </c>
      <c r="L519" s="11" t="s">
        <v>1853</v>
      </c>
      <c r="M519" s="12" t="s">
        <v>3104</v>
      </c>
      <c r="N519" s="12"/>
      <c r="O519" s="11" t="s">
        <v>1859</v>
      </c>
      <c r="P519" s="56"/>
    </row>
    <row r="520" spans="1:16" ht="15.75" customHeight="1" x14ac:dyDescent="0.2">
      <c r="A520" s="49">
        <v>1732</v>
      </c>
      <c r="B520" s="11" t="s">
        <v>1857</v>
      </c>
      <c r="C520" s="11" t="s">
        <v>1849</v>
      </c>
      <c r="D520" s="6" t="s">
        <v>1850</v>
      </c>
      <c r="E520" s="12" t="s">
        <v>1877</v>
      </c>
      <c r="F520" s="12" t="s">
        <v>1877</v>
      </c>
      <c r="G520" s="12" t="s">
        <v>2619</v>
      </c>
      <c r="H520" s="12" t="s">
        <v>2849</v>
      </c>
      <c r="I520" s="12" t="s">
        <v>2673</v>
      </c>
      <c r="J520" s="11" t="s">
        <v>1856</v>
      </c>
      <c r="K520" s="11" t="s">
        <v>1852</v>
      </c>
      <c r="L520" s="11" t="s">
        <v>1853</v>
      </c>
      <c r="M520" s="12" t="s">
        <v>2698</v>
      </c>
      <c r="N520" s="12"/>
      <c r="O520" s="11" t="s">
        <v>1859</v>
      </c>
      <c r="P520" s="56"/>
    </row>
    <row r="521" spans="1:16" ht="15.75" customHeight="1" x14ac:dyDescent="0.2">
      <c r="A521" s="49">
        <v>1493</v>
      </c>
      <c r="B521" s="11" t="s">
        <v>1857</v>
      </c>
      <c r="C521" s="11" t="s">
        <v>1849</v>
      </c>
      <c r="D521" s="6" t="s">
        <v>1850</v>
      </c>
      <c r="E521" s="12" t="s">
        <v>1877</v>
      </c>
      <c r="F521" s="12" t="s">
        <v>1877</v>
      </c>
      <c r="G521" s="12" t="s">
        <v>2658</v>
      </c>
      <c r="H521" s="12" t="s">
        <v>2743</v>
      </c>
      <c r="I521" s="12" t="s">
        <v>3105</v>
      </c>
      <c r="J521" s="11" t="s">
        <v>1856</v>
      </c>
      <c r="K521" s="11" t="s">
        <v>1852</v>
      </c>
      <c r="L521" s="11" t="s">
        <v>1853</v>
      </c>
      <c r="M521" s="12" t="s">
        <v>2076</v>
      </c>
      <c r="N521" s="12"/>
      <c r="O521" s="11" t="s">
        <v>1859</v>
      </c>
      <c r="P521" s="56"/>
    </row>
    <row r="522" spans="1:16" ht="15.75" customHeight="1" x14ac:dyDescent="0.2">
      <c r="A522" s="49">
        <v>1422</v>
      </c>
      <c r="B522" s="11" t="s">
        <v>1857</v>
      </c>
      <c r="C522" s="11" t="s">
        <v>1849</v>
      </c>
      <c r="D522" s="6" t="s">
        <v>1850</v>
      </c>
      <c r="E522" s="12" t="s">
        <v>1877</v>
      </c>
      <c r="F522" s="12" t="s">
        <v>1877</v>
      </c>
      <c r="G522" s="12" t="s">
        <v>1883</v>
      </c>
      <c r="H522" s="12" t="s">
        <v>1898</v>
      </c>
      <c r="I522" s="12" t="s">
        <v>2077</v>
      </c>
      <c r="J522" s="11" t="s">
        <v>1856</v>
      </c>
      <c r="K522" s="11" t="s">
        <v>1852</v>
      </c>
      <c r="L522" s="11" t="s">
        <v>1853</v>
      </c>
      <c r="M522" s="12" t="s">
        <v>2078</v>
      </c>
      <c r="N522" s="12" t="s">
        <v>2079</v>
      </c>
      <c r="O522" s="11" t="s">
        <v>1859</v>
      </c>
      <c r="P522" s="56"/>
    </row>
    <row r="523" spans="1:16" ht="15.75" customHeight="1" x14ac:dyDescent="0.2">
      <c r="A523" s="49">
        <v>1465</v>
      </c>
      <c r="B523" s="11" t="s">
        <v>1857</v>
      </c>
      <c r="C523" s="11" t="s">
        <v>1849</v>
      </c>
      <c r="D523" s="6" t="s">
        <v>1850</v>
      </c>
      <c r="E523" s="12" t="s">
        <v>1877</v>
      </c>
      <c r="F523" s="12" t="s">
        <v>1877</v>
      </c>
      <c r="G523" s="12" t="s">
        <v>1883</v>
      </c>
      <c r="H523" s="12" t="s">
        <v>1898</v>
      </c>
      <c r="I523" s="12" t="s">
        <v>2080</v>
      </c>
      <c r="J523" s="11" t="s">
        <v>1856</v>
      </c>
      <c r="K523" s="11" t="s">
        <v>1852</v>
      </c>
      <c r="L523" s="11" t="s">
        <v>1853</v>
      </c>
      <c r="M523" s="12" t="s">
        <v>2081</v>
      </c>
      <c r="N523" s="12" t="s">
        <v>2082</v>
      </c>
      <c r="O523" s="11" t="s">
        <v>1858</v>
      </c>
      <c r="P523" s="56"/>
    </row>
    <row r="524" spans="1:16" ht="15.75" customHeight="1" x14ac:dyDescent="0.2">
      <c r="A524" s="49">
        <v>1332</v>
      </c>
      <c r="B524" s="11" t="s">
        <v>1857</v>
      </c>
      <c r="C524" s="11" t="s">
        <v>1849</v>
      </c>
      <c r="D524" s="6" t="s">
        <v>1850</v>
      </c>
      <c r="E524" s="12" t="s">
        <v>1877</v>
      </c>
      <c r="F524" s="12" t="s">
        <v>1877</v>
      </c>
      <c r="G524" s="12" t="s">
        <v>1883</v>
      </c>
      <c r="H524" s="12" t="s">
        <v>1898</v>
      </c>
      <c r="I524" s="12" t="s">
        <v>2083</v>
      </c>
      <c r="J524" s="11" t="s">
        <v>1856</v>
      </c>
      <c r="K524" s="11" t="s">
        <v>1852</v>
      </c>
      <c r="L524" s="11" t="s">
        <v>1853</v>
      </c>
      <c r="M524" s="12" t="s">
        <v>2084</v>
      </c>
      <c r="N524" s="12"/>
      <c r="O524" s="11" t="s">
        <v>1858</v>
      </c>
      <c r="P524" s="56"/>
    </row>
    <row r="525" spans="1:16" ht="15.75" customHeight="1" x14ac:dyDescent="0.2">
      <c r="A525" s="49">
        <v>1636</v>
      </c>
      <c r="B525" s="11" t="s">
        <v>1857</v>
      </c>
      <c r="C525" s="11" t="s">
        <v>1849</v>
      </c>
      <c r="D525" s="6" t="s">
        <v>1850</v>
      </c>
      <c r="E525" s="12" t="s">
        <v>1877</v>
      </c>
      <c r="F525" s="12" t="s">
        <v>1877</v>
      </c>
      <c r="G525" s="12" t="s">
        <v>2653</v>
      </c>
      <c r="H525" s="12" t="s">
        <v>2677</v>
      </c>
      <c r="I525" s="12" t="s">
        <v>3106</v>
      </c>
      <c r="J525" s="11" t="s">
        <v>1856</v>
      </c>
      <c r="K525" s="11" t="s">
        <v>1852</v>
      </c>
      <c r="L525" s="11" t="s">
        <v>1853</v>
      </c>
      <c r="M525" s="12" t="s">
        <v>3107</v>
      </c>
      <c r="N525" s="12"/>
      <c r="O525" s="11" t="s">
        <v>1858</v>
      </c>
      <c r="P525" s="56"/>
    </row>
    <row r="526" spans="1:16" ht="15.75" customHeight="1" x14ac:dyDescent="0.2">
      <c r="A526" s="49">
        <v>1736</v>
      </c>
      <c r="B526" s="11" t="s">
        <v>1857</v>
      </c>
      <c r="C526" s="11" t="s">
        <v>1849</v>
      </c>
      <c r="D526" s="6" t="s">
        <v>1850</v>
      </c>
      <c r="E526" s="12" t="s">
        <v>1877</v>
      </c>
      <c r="F526" s="12" t="s">
        <v>1877</v>
      </c>
      <c r="G526" s="12" t="s">
        <v>2619</v>
      </c>
      <c r="H526" s="12" t="s">
        <v>2849</v>
      </c>
      <c r="I526" s="12" t="s">
        <v>3108</v>
      </c>
      <c r="J526" s="11" t="s">
        <v>1856</v>
      </c>
      <c r="K526" s="11" t="s">
        <v>1852</v>
      </c>
      <c r="L526" s="11" t="s">
        <v>1853</v>
      </c>
      <c r="M526" s="12" t="s">
        <v>3109</v>
      </c>
      <c r="N526" s="12" t="s">
        <v>3110</v>
      </c>
      <c r="O526" s="11" t="s">
        <v>1858</v>
      </c>
      <c r="P526" s="56"/>
    </row>
    <row r="527" spans="1:16" ht="15.75" customHeight="1" x14ac:dyDescent="0.2">
      <c r="A527" s="49">
        <v>1398</v>
      </c>
      <c r="B527" s="11" t="s">
        <v>1857</v>
      </c>
      <c r="C527" s="11" t="s">
        <v>1849</v>
      </c>
      <c r="D527" s="6" t="s">
        <v>1850</v>
      </c>
      <c r="E527" s="12" t="s">
        <v>1877</v>
      </c>
      <c r="F527" s="12" t="s">
        <v>1877</v>
      </c>
      <c r="G527" s="12" t="s">
        <v>1883</v>
      </c>
      <c r="H527" s="12" t="s">
        <v>1895</v>
      </c>
      <c r="I527" s="12" t="s">
        <v>2085</v>
      </c>
      <c r="J527" s="11" t="s">
        <v>1856</v>
      </c>
      <c r="K527" s="11" t="s">
        <v>1852</v>
      </c>
      <c r="L527" s="11" t="s">
        <v>1853</v>
      </c>
      <c r="M527" s="12" t="s">
        <v>2086</v>
      </c>
      <c r="N527" s="12"/>
      <c r="O527" s="11" t="s">
        <v>1858</v>
      </c>
      <c r="P527" s="56"/>
    </row>
    <row r="528" spans="1:16" ht="15.75" customHeight="1" x14ac:dyDescent="0.2">
      <c r="A528" s="49">
        <v>1722</v>
      </c>
      <c r="B528" s="11" t="s">
        <v>1857</v>
      </c>
      <c r="C528" s="11" t="s">
        <v>1849</v>
      </c>
      <c r="D528" s="6" t="s">
        <v>1850</v>
      </c>
      <c r="E528" s="12" t="s">
        <v>1877</v>
      </c>
      <c r="F528" s="12" t="s">
        <v>1877</v>
      </c>
      <c r="G528" s="12" t="s">
        <v>2619</v>
      </c>
      <c r="H528" s="12" t="s">
        <v>2864</v>
      </c>
      <c r="I528" s="12" t="s">
        <v>3111</v>
      </c>
      <c r="J528" s="11" t="s">
        <v>1851</v>
      </c>
      <c r="K528" s="11" t="s">
        <v>1852</v>
      </c>
      <c r="L528" s="11" t="s">
        <v>1853</v>
      </c>
      <c r="M528" s="12" t="s">
        <v>3112</v>
      </c>
      <c r="N528" s="12" t="s">
        <v>3113</v>
      </c>
      <c r="O528" s="11" t="s">
        <v>1858</v>
      </c>
      <c r="P528" s="56"/>
    </row>
    <row r="529" spans="1:16" ht="15.75" customHeight="1" x14ac:dyDescent="0.2">
      <c r="A529" s="49">
        <v>1730</v>
      </c>
      <c r="B529" s="11" t="s">
        <v>1857</v>
      </c>
      <c r="C529" s="11" t="s">
        <v>1849</v>
      </c>
      <c r="D529" s="6" t="s">
        <v>1850</v>
      </c>
      <c r="E529" s="12" t="s">
        <v>1877</v>
      </c>
      <c r="F529" s="12" t="s">
        <v>1877</v>
      </c>
      <c r="G529" s="12" t="s">
        <v>2619</v>
      </c>
      <c r="H529" s="12" t="s">
        <v>3097</v>
      </c>
      <c r="I529" s="12" t="s">
        <v>3114</v>
      </c>
      <c r="J529" s="11" t="s">
        <v>1856</v>
      </c>
      <c r="K529" s="11" t="s">
        <v>1852</v>
      </c>
      <c r="L529" s="11" t="s">
        <v>1853</v>
      </c>
      <c r="M529" s="12" t="s">
        <v>3115</v>
      </c>
      <c r="N529" s="12" t="s">
        <v>3116</v>
      </c>
      <c r="O529" s="11" t="s">
        <v>1859</v>
      </c>
      <c r="P529" s="56"/>
    </row>
    <row r="530" spans="1:16" ht="15.75" customHeight="1" x14ac:dyDescent="0.2">
      <c r="A530" s="49">
        <v>1764</v>
      </c>
      <c r="B530" s="11" t="s">
        <v>1857</v>
      </c>
      <c r="C530" s="11" t="s">
        <v>1849</v>
      </c>
      <c r="D530" s="6" t="s">
        <v>1850</v>
      </c>
      <c r="E530" s="12" t="s">
        <v>1877</v>
      </c>
      <c r="F530" s="12" t="s">
        <v>1877</v>
      </c>
      <c r="G530" s="12" t="s">
        <v>2619</v>
      </c>
      <c r="H530" s="12" t="s">
        <v>2820</v>
      </c>
      <c r="I530" s="12" t="s">
        <v>3117</v>
      </c>
      <c r="J530" s="11" t="s">
        <v>1856</v>
      </c>
      <c r="K530" s="11" t="s">
        <v>1852</v>
      </c>
      <c r="L530" s="11" t="s">
        <v>1853</v>
      </c>
      <c r="M530" s="12" t="s">
        <v>3118</v>
      </c>
      <c r="N530" s="12" t="s">
        <v>3119</v>
      </c>
      <c r="O530" s="11" t="s">
        <v>1858</v>
      </c>
      <c r="P530" s="56"/>
    </row>
    <row r="531" spans="1:16" ht="15.75" customHeight="1" x14ac:dyDescent="0.2">
      <c r="A531" s="49">
        <v>1818</v>
      </c>
      <c r="B531" s="11" t="s">
        <v>1857</v>
      </c>
      <c r="C531" s="11" t="s">
        <v>1849</v>
      </c>
      <c r="D531" s="6" t="s">
        <v>1850</v>
      </c>
      <c r="E531" s="12" t="s">
        <v>1877</v>
      </c>
      <c r="F531" s="12" t="s">
        <v>1877</v>
      </c>
      <c r="G531" s="12" t="s">
        <v>1880</v>
      </c>
      <c r="H531" s="12" t="s">
        <v>1910</v>
      </c>
      <c r="I531" s="12" t="s">
        <v>2087</v>
      </c>
      <c r="J531" s="11" t="s">
        <v>1856</v>
      </c>
      <c r="K531" s="11" t="s">
        <v>1852</v>
      </c>
      <c r="L531" s="11" t="s">
        <v>1853</v>
      </c>
      <c r="M531" s="12" t="s">
        <v>1854</v>
      </c>
      <c r="N531" s="12"/>
      <c r="O531" s="11" t="s">
        <v>1859</v>
      </c>
      <c r="P531" s="56"/>
    </row>
    <row r="532" spans="1:16" ht="15.75" customHeight="1" x14ac:dyDescent="0.2">
      <c r="A532" s="49">
        <v>1712</v>
      </c>
      <c r="B532" s="11" t="s">
        <v>1857</v>
      </c>
      <c r="C532" s="11" t="s">
        <v>1849</v>
      </c>
      <c r="D532" s="6" t="s">
        <v>1850</v>
      </c>
      <c r="E532" s="12" t="s">
        <v>1877</v>
      </c>
      <c r="F532" s="12" t="s">
        <v>1877</v>
      </c>
      <c r="G532" s="12" t="s">
        <v>2619</v>
      </c>
      <c r="H532" s="12" t="s">
        <v>2864</v>
      </c>
      <c r="I532" s="12" t="s">
        <v>2088</v>
      </c>
      <c r="J532" s="11" t="s">
        <v>1851</v>
      </c>
      <c r="K532" s="11" t="s">
        <v>1852</v>
      </c>
      <c r="L532" s="11" t="s">
        <v>1853</v>
      </c>
      <c r="M532" s="12" t="s">
        <v>3120</v>
      </c>
      <c r="N532" s="12"/>
      <c r="O532" s="11" t="s">
        <v>1860</v>
      </c>
      <c r="P532" s="56"/>
    </row>
    <row r="533" spans="1:16" ht="15.75" customHeight="1" x14ac:dyDescent="0.2">
      <c r="A533" s="49">
        <v>1485</v>
      </c>
      <c r="B533" s="11" t="s">
        <v>1857</v>
      </c>
      <c r="C533" s="11" t="s">
        <v>1849</v>
      </c>
      <c r="D533" s="6" t="s">
        <v>1850</v>
      </c>
      <c r="E533" s="12" t="s">
        <v>1877</v>
      </c>
      <c r="F533" s="12" t="s">
        <v>1877</v>
      </c>
      <c r="G533" s="12" t="s">
        <v>2658</v>
      </c>
      <c r="H533" s="12" t="s">
        <v>2659</v>
      </c>
      <c r="I533" s="12" t="s">
        <v>3121</v>
      </c>
      <c r="J533" s="11" t="s">
        <v>1856</v>
      </c>
      <c r="K533" s="11" t="s">
        <v>1852</v>
      </c>
      <c r="L533" s="11" t="s">
        <v>1853</v>
      </c>
      <c r="M533" s="12" t="s">
        <v>3122</v>
      </c>
      <c r="N533" s="12" t="s">
        <v>3123</v>
      </c>
      <c r="O533" s="11" t="s">
        <v>1858</v>
      </c>
      <c r="P533" s="56"/>
    </row>
    <row r="534" spans="1:16" ht="15.75" customHeight="1" x14ac:dyDescent="0.2">
      <c r="A534" s="49">
        <v>1886</v>
      </c>
      <c r="B534" s="11" t="s">
        <v>1857</v>
      </c>
      <c r="C534" s="11" t="s">
        <v>1849</v>
      </c>
      <c r="D534" s="6" t="s">
        <v>1850</v>
      </c>
      <c r="E534" s="12" t="s">
        <v>1877</v>
      </c>
      <c r="F534" s="12" t="s">
        <v>1877</v>
      </c>
      <c r="G534" s="12" t="s">
        <v>2656</v>
      </c>
      <c r="H534" s="12" t="s">
        <v>2726</v>
      </c>
      <c r="I534" s="12" t="s">
        <v>2432</v>
      </c>
      <c r="J534" s="11" t="s">
        <v>1856</v>
      </c>
      <c r="K534" s="11" t="s">
        <v>1852</v>
      </c>
      <c r="L534" s="11" t="s">
        <v>1853</v>
      </c>
      <c r="M534" s="12" t="s">
        <v>2991</v>
      </c>
      <c r="N534" s="12"/>
      <c r="O534" s="11" t="s">
        <v>1858</v>
      </c>
      <c r="P534" s="56"/>
    </row>
    <row r="535" spans="1:16" ht="15.75" customHeight="1" x14ac:dyDescent="0.2">
      <c r="A535" s="49">
        <v>1421</v>
      </c>
      <c r="B535" s="11" t="s">
        <v>1857</v>
      </c>
      <c r="C535" s="11" t="s">
        <v>1849</v>
      </c>
      <c r="D535" s="6" t="s">
        <v>1850</v>
      </c>
      <c r="E535" s="12" t="s">
        <v>1877</v>
      </c>
      <c r="F535" s="12" t="s">
        <v>1877</v>
      </c>
      <c r="G535" s="12" t="s">
        <v>1883</v>
      </c>
      <c r="H535" s="12" t="s">
        <v>1895</v>
      </c>
      <c r="I535" s="12" t="s">
        <v>2089</v>
      </c>
      <c r="J535" s="11" t="s">
        <v>1856</v>
      </c>
      <c r="K535" s="11" t="s">
        <v>1852</v>
      </c>
      <c r="L535" s="11" t="s">
        <v>1853</v>
      </c>
      <c r="M535" s="12" t="s">
        <v>2090</v>
      </c>
      <c r="N535" s="12"/>
      <c r="O535" s="11" t="s">
        <v>1858</v>
      </c>
      <c r="P535" s="56"/>
    </row>
    <row r="536" spans="1:16" ht="15.75" customHeight="1" x14ac:dyDescent="0.2">
      <c r="A536" s="49">
        <v>1785</v>
      </c>
      <c r="B536" s="11" t="s">
        <v>1857</v>
      </c>
      <c r="C536" s="11" t="s">
        <v>1849</v>
      </c>
      <c r="D536" s="6" t="s">
        <v>1850</v>
      </c>
      <c r="E536" s="12" t="s">
        <v>1877</v>
      </c>
      <c r="F536" s="12" t="s">
        <v>1877</v>
      </c>
      <c r="G536" s="12" t="s">
        <v>2619</v>
      </c>
      <c r="H536" s="12" t="s">
        <v>2661</v>
      </c>
      <c r="I536" s="12" t="s">
        <v>3124</v>
      </c>
      <c r="J536" s="11" t="s">
        <v>1856</v>
      </c>
      <c r="K536" s="11" t="s">
        <v>1852</v>
      </c>
      <c r="L536" s="11" t="s">
        <v>1853</v>
      </c>
      <c r="M536" s="12" t="s">
        <v>3125</v>
      </c>
      <c r="N536" s="12"/>
      <c r="O536" s="11" t="s">
        <v>1859</v>
      </c>
      <c r="P536" s="56"/>
    </row>
    <row r="537" spans="1:16" ht="15.75" customHeight="1" x14ac:dyDescent="0.2">
      <c r="A537" s="49">
        <v>1298</v>
      </c>
      <c r="B537" s="11" t="s">
        <v>1857</v>
      </c>
      <c r="C537" s="11" t="s">
        <v>1849</v>
      </c>
      <c r="D537" s="6" t="s">
        <v>1850</v>
      </c>
      <c r="E537" s="12" t="s">
        <v>1877</v>
      </c>
      <c r="F537" s="12" t="s">
        <v>1877</v>
      </c>
      <c r="G537" s="12" t="s">
        <v>2684</v>
      </c>
      <c r="H537" s="12" t="s">
        <v>2684</v>
      </c>
      <c r="I537" s="12" t="s">
        <v>3126</v>
      </c>
      <c r="J537" s="11" t="s">
        <v>1856</v>
      </c>
      <c r="K537" s="11" t="s">
        <v>1852</v>
      </c>
      <c r="L537" s="11" t="s">
        <v>1853</v>
      </c>
      <c r="M537" s="12" t="s">
        <v>3127</v>
      </c>
      <c r="N537" s="12"/>
      <c r="O537" s="11" t="s">
        <v>1858</v>
      </c>
      <c r="P537" s="56"/>
    </row>
    <row r="538" spans="1:16" ht="15.75" customHeight="1" x14ac:dyDescent="0.2">
      <c r="A538" s="49">
        <v>1745</v>
      </c>
      <c r="B538" s="11" t="s">
        <v>1857</v>
      </c>
      <c r="C538" s="11" t="s">
        <v>1849</v>
      </c>
      <c r="D538" s="6" t="s">
        <v>1850</v>
      </c>
      <c r="E538" s="12" t="s">
        <v>1877</v>
      </c>
      <c r="F538" s="12" t="s">
        <v>1877</v>
      </c>
      <c r="G538" s="12" t="s">
        <v>2619</v>
      </c>
      <c r="H538" s="12" t="s">
        <v>2705</v>
      </c>
      <c r="I538" s="12" t="s">
        <v>3128</v>
      </c>
      <c r="J538" s="11" t="s">
        <v>1856</v>
      </c>
      <c r="K538" s="11" t="s">
        <v>1852</v>
      </c>
      <c r="L538" s="11" t="s">
        <v>1853</v>
      </c>
      <c r="M538" s="12" t="s">
        <v>3129</v>
      </c>
      <c r="N538" s="12"/>
      <c r="O538" s="11" t="s">
        <v>1859</v>
      </c>
      <c r="P538" s="56"/>
    </row>
    <row r="539" spans="1:16" ht="15.75" customHeight="1" x14ac:dyDescent="0.2">
      <c r="A539" s="49">
        <v>1657</v>
      </c>
      <c r="B539" s="11" t="s">
        <v>1857</v>
      </c>
      <c r="C539" s="11" t="s">
        <v>1849</v>
      </c>
      <c r="D539" s="6" t="s">
        <v>1850</v>
      </c>
      <c r="E539" s="12" t="s">
        <v>1877</v>
      </c>
      <c r="F539" s="12" t="s">
        <v>1877</v>
      </c>
      <c r="G539" s="12" t="s">
        <v>2736</v>
      </c>
      <c r="H539" s="12" t="s">
        <v>3079</v>
      </c>
      <c r="I539" s="12" t="s">
        <v>3130</v>
      </c>
      <c r="J539" s="11" t="s">
        <v>1851</v>
      </c>
      <c r="K539" s="11" t="s">
        <v>1852</v>
      </c>
      <c r="L539" s="11" t="s">
        <v>1853</v>
      </c>
      <c r="M539" s="12" t="s">
        <v>2091</v>
      </c>
      <c r="N539" s="12"/>
      <c r="O539" s="11" t="s">
        <v>1869</v>
      </c>
      <c r="P539" s="56"/>
    </row>
    <row r="540" spans="1:16" ht="15.75" customHeight="1" x14ac:dyDescent="0.2">
      <c r="A540" s="49">
        <v>1897</v>
      </c>
      <c r="B540" s="11" t="s">
        <v>1857</v>
      </c>
      <c r="C540" s="11" t="s">
        <v>1849</v>
      </c>
      <c r="D540" s="6" t="s">
        <v>1850</v>
      </c>
      <c r="E540" s="12" t="s">
        <v>1877</v>
      </c>
      <c r="F540" s="12" t="s">
        <v>1877</v>
      </c>
      <c r="G540" s="12" t="s">
        <v>2656</v>
      </c>
      <c r="H540" s="12" t="s">
        <v>2764</v>
      </c>
      <c r="I540" s="12" t="s">
        <v>3131</v>
      </c>
      <c r="J540" s="11" t="s">
        <v>1856</v>
      </c>
      <c r="K540" s="11" t="s">
        <v>1852</v>
      </c>
      <c r="L540" s="11" t="s">
        <v>1853</v>
      </c>
      <c r="M540" s="12" t="s">
        <v>2807</v>
      </c>
      <c r="N540" s="12"/>
      <c r="O540" s="11" t="s">
        <v>1859</v>
      </c>
      <c r="P540" s="56"/>
    </row>
    <row r="541" spans="1:16" ht="15.75" customHeight="1" x14ac:dyDescent="0.2">
      <c r="A541" s="49">
        <v>1597</v>
      </c>
      <c r="B541" s="11" t="s">
        <v>1857</v>
      </c>
      <c r="C541" s="11" t="s">
        <v>1849</v>
      </c>
      <c r="D541" s="6" t="s">
        <v>1850</v>
      </c>
      <c r="E541" s="12" t="s">
        <v>1877</v>
      </c>
      <c r="F541" s="12" t="s">
        <v>1877</v>
      </c>
      <c r="G541" s="12" t="s">
        <v>2736</v>
      </c>
      <c r="H541" s="12" t="s">
        <v>2953</v>
      </c>
      <c r="I541" s="12" t="s">
        <v>3132</v>
      </c>
      <c r="J541" s="11" t="s">
        <v>1856</v>
      </c>
      <c r="K541" s="11" t="s">
        <v>1852</v>
      </c>
      <c r="L541" s="11" t="s">
        <v>1853</v>
      </c>
      <c r="M541" s="12" t="s">
        <v>3133</v>
      </c>
      <c r="N541" s="11" t="s">
        <v>3133</v>
      </c>
      <c r="O541" s="11" t="s">
        <v>1858</v>
      </c>
      <c r="P541" s="56"/>
    </row>
    <row r="542" spans="1:16" ht="15.75" customHeight="1" x14ac:dyDescent="0.2">
      <c r="A542" s="49">
        <v>1720</v>
      </c>
      <c r="B542" s="11" t="s">
        <v>1857</v>
      </c>
      <c r="C542" s="11" t="s">
        <v>1849</v>
      </c>
      <c r="D542" s="6" t="s">
        <v>1850</v>
      </c>
      <c r="E542" s="12" t="s">
        <v>1877</v>
      </c>
      <c r="F542" s="12" t="s">
        <v>1877</v>
      </c>
      <c r="G542" s="12" t="s">
        <v>2619</v>
      </c>
      <c r="H542" s="12" t="s">
        <v>2631</v>
      </c>
      <c r="I542" s="12" t="s">
        <v>3134</v>
      </c>
      <c r="J542" s="11" t="s">
        <v>1851</v>
      </c>
      <c r="K542" s="11" t="s">
        <v>1852</v>
      </c>
      <c r="L542" s="11" t="s">
        <v>1853</v>
      </c>
      <c r="M542" s="12" t="s">
        <v>3135</v>
      </c>
      <c r="N542" s="11" t="s">
        <v>3133</v>
      </c>
      <c r="O542" s="11" t="s">
        <v>1858</v>
      </c>
      <c r="P542" s="56"/>
    </row>
    <row r="543" spans="1:16" ht="15.75" customHeight="1" x14ac:dyDescent="0.2">
      <c r="A543" s="49">
        <v>2104</v>
      </c>
      <c r="B543" s="11" t="s">
        <v>1857</v>
      </c>
      <c r="C543" s="11" t="s">
        <v>1849</v>
      </c>
      <c r="D543" s="6" t="s">
        <v>1850</v>
      </c>
      <c r="E543" s="12" t="s">
        <v>1877</v>
      </c>
      <c r="F543" s="12" t="s">
        <v>1877</v>
      </c>
      <c r="G543" s="12" t="s">
        <v>2623</v>
      </c>
      <c r="H543" s="12" t="s">
        <v>2777</v>
      </c>
      <c r="I543" s="12" t="s">
        <v>3136</v>
      </c>
      <c r="J543" s="11" t="s">
        <v>1856</v>
      </c>
      <c r="K543" s="11" t="s">
        <v>1852</v>
      </c>
      <c r="L543" s="11" t="s">
        <v>1853</v>
      </c>
      <c r="M543" s="12" t="s">
        <v>3137</v>
      </c>
      <c r="N543" s="12"/>
      <c r="O543" s="11" t="s">
        <v>1859</v>
      </c>
      <c r="P543" s="56"/>
    </row>
    <row r="544" spans="1:16" ht="15.75" customHeight="1" x14ac:dyDescent="0.2">
      <c r="A544" s="49">
        <v>1726</v>
      </c>
      <c r="B544" s="11" t="s">
        <v>1857</v>
      </c>
      <c r="C544" s="11" t="s">
        <v>1849</v>
      </c>
      <c r="D544" s="6" t="s">
        <v>1850</v>
      </c>
      <c r="E544" s="12" t="s">
        <v>1877</v>
      </c>
      <c r="F544" s="12" t="s">
        <v>1877</v>
      </c>
      <c r="G544" s="12" t="s">
        <v>2619</v>
      </c>
      <c r="H544" s="12" t="s">
        <v>2864</v>
      </c>
      <c r="I544" s="12" t="s">
        <v>3138</v>
      </c>
      <c r="J544" s="11" t="s">
        <v>1851</v>
      </c>
      <c r="K544" s="11" t="s">
        <v>1852</v>
      </c>
      <c r="L544" s="11" t="s">
        <v>1853</v>
      </c>
      <c r="M544" s="12" t="s">
        <v>3139</v>
      </c>
      <c r="N544" s="12"/>
      <c r="O544" s="11" t="s">
        <v>1858</v>
      </c>
      <c r="P544" s="56"/>
    </row>
    <row r="545" spans="1:16" ht="15.75" customHeight="1" x14ac:dyDescent="0.2">
      <c r="A545" s="49">
        <v>4968</v>
      </c>
      <c r="B545" s="11" t="s">
        <v>1857</v>
      </c>
      <c r="C545" s="11" t="s">
        <v>1849</v>
      </c>
      <c r="D545" s="6" t="s">
        <v>1850</v>
      </c>
      <c r="E545" s="12" t="s">
        <v>1877</v>
      </c>
      <c r="F545" s="12" t="s">
        <v>1877</v>
      </c>
      <c r="G545" s="12" t="s">
        <v>2635</v>
      </c>
      <c r="H545" s="12" t="s">
        <v>2636</v>
      </c>
      <c r="I545" s="12" t="s">
        <v>3140</v>
      </c>
      <c r="J545" s="11" t="s">
        <v>1851</v>
      </c>
      <c r="K545" s="11" t="s">
        <v>1852</v>
      </c>
      <c r="L545" s="11" t="s">
        <v>1853</v>
      </c>
      <c r="M545" s="12" t="s">
        <v>3141</v>
      </c>
      <c r="N545" s="12" t="s">
        <v>3142</v>
      </c>
      <c r="O545" s="11" t="s">
        <v>1858</v>
      </c>
      <c r="P545" s="56"/>
    </row>
    <row r="546" spans="1:16" ht="15.75" customHeight="1" x14ac:dyDescent="0.2">
      <c r="A546" s="49">
        <v>1481</v>
      </c>
      <c r="B546" s="11" t="s">
        <v>1857</v>
      </c>
      <c r="C546" s="11" t="s">
        <v>1849</v>
      </c>
      <c r="D546" s="6" t="s">
        <v>1850</v>
      </c>
      <c r="E546" s="12" t="s">
        <v>1877</v>
      </c>
      <c r="F546" s="12" t="s">
        <v>1877</v>
      </c>
      <c r="G546" s="12" t="s">
        <v>2658</v>
      </c>
      <c r="H546" s="12" t="s">
        <v>2659</v>
      </c>
      <c r="I546" s="12" t="s">
        <v>2441</v>
      </c>
      <c r="J546" s="11" t="s">
        <v>1856</v>
      </c>
      <c r="K546" s="11" t="s">
        <v>1852</v>
      </c>
      <c r="L546" s="11" t="s">
        <v>1853</v>
      </c>
      <c r="M546" s="12" t="s">
        <v>3143</v>
      </c>
      <c r="N546" s="12"/>
      <c r="O546" s="11" t="s">
        <v>1859</v>
      </c>
      <c r="P546" s="56"/>
    </row>
    <row r="547" spans="1:16" ht="15.75" customHeight="1" x14ac:dyDescent="0.2">
      <c r="A547" s="49">
        <v>1659</v>
      </c>
      <c r="B547" s="11" t="s">
        <v>1857</v>
      </c>
      <c r="C547" s="11" t="s">
        <v>1849</v>
      </c>
      <c r="D547" s="6" t="s">
        <v>1850</v>
      </c>
      <c r="E547" s="12" t="s">
        <v>1877</v>
      </c>
      <c r="F547" s="12" t="s">
        <v>1877</v>
      </c>
      <c r="G547" s="12" t="s">
        <v>2653</v>
      </c>
      <c r="H547" s="12" t="s">
        <v>2732</v>
      </c>
      <c r="I547" s="12" t="s">
        <v>2441</v>
      </c>
      <c r="J547" s="11" t="s">
        <v>1856</v>
      </c>
      <c r="K547" s="11" t="s">
        <v>1852</v>
      </c>
      <c r="L547" s="11" t="s">
        <v>1853</v>
      </c>
      <c r="M547" s="12" t="s">
        <v>1854</v>
      </c>
      <c r="N547" s="12"/>
      <c r="O547" s="11" t="s">
        <v>1859</v>
      </c>
      <c r="P547" s="56"/>
    </row>
    <row r="548" spans="1:16" ht="15.75" customHeight="1" x14ac:dyDescent="0.2">
      <c r="A548" s="49">
        <v>1891</v>
      </c>
      <c r="B548" s="11" t="s">
        <v>1857</v>
      </c>
      <c r="C548" s="11" t="s">
        <v>1849</v>
      </c>
      <c r="D548" s="6" t="s">
        <v>1850</v>
      </c>
      <c r="E548" s="12" t="s">
        <v>1877</v>
      </c>
      <c r="F548" s="12" t="s">
        <v>1877</v>
      </c>
      <c r="G548" s="12" t="s">
        <v>2656</v>
      </c>
      <c r="H548" s="12" t="s">
        <v>2753</v>
      </c>
      <c r="I548" s="12" t="s">
        <v>2441</v>
      </c>
      <c r="J548" s="11" t="s">
        <v>1856</v>
      </c>
      <c r="K548" s="11" t="s">
        <v>1852</v>
      </c>
      <c r="L548" s="11" t="s">
        <v>1853</v>
      </c>
      <c r="M548" s="12" t="s">
        <v>3144</v>
      </c>
      <c r="N548" s="12"/>
      <c r="O548" s="11" t="s">
        <v>1858</v>
      </c>
      <c r="P548" s="56"/>
    </row>
    <row r="549" spans="1:16" ht="15.75" customHeight="1" x14ac:dyDescent="0.2">
      <c r="A549" s="49">
        <v>1327</v>
      </c>
      <c r="B549" s="11" t="s">
        <v>1857</v>
      </c>
      <c r="C549" s="11" t="s">
        <v>1849</v>
      </c>
      <c r="D549" s="6" t="s">
        <v>1850</v>
      </c>
      <c r="E549" s="12" t="s">
        <v>1877</v>
      </c>
      <c r="F549" s="12" t="s">
        <v>1877</v>
      </c>
      <c r="G549" s="12" t="s">
        <v>2684</v>
      </c>
      <c r="H549" s="12" t="s">
        <v>3145</v>
      </c>
      <c r="I549" s="12" t="s">
        <v>3146</v>
      </c>
      <c r="J549" s="11" t="s">
        <v>1856</v>
      </c>
      <c r="K549" s="11" t="s">
        <v>1852</v>
      </c>
      <c r="L549" s="11" t="s">
        <v>1853</v>
      </c>
      <c r="M549" s="12" t="s">
        <v>2069</v>
      </c>
      <c r="N549" s="12"/>
      <c r="O549" s="11" t="s">
        <v>1860</v>
      </c>
      <c r="P549" s="56"/>
    </row>
    <row r="550" spans="1:16" ht="15.75" customHeight="1" x14ac:dyDescent="0.2">
      <c r="A550" s="49">
        <v>1767</v>
      </c>
      <c r="B550" s="11" t="s">
        <v>1857</v>
      </c>
      <c r="C550" s="11" t="s">
        <v>1849</v>
      </c>
      <c r="D550" s="6" t="s">
        <v>1850</v>
      </c>
      <c r="E550" s="12" t="s">
        <v>1877</v>
      </c>
      <c r="F550" s="12" t="s">
        <v>1877</v>
      </c>
      <c r="G550" s="12" t="s">
        <v>2619</v>
      </c>
      <c r="H550" s="12" t="s">
        <v>2626</v>
      </c>
      <c r="I550" s="12" t="s">
        <v>3147</v>
      </c>
      <c r="J550" s="11" t="s">
        <v>1851</v>
      </c>
      <c r="K550" s="11" t="s">
        <v>1852</v>
      </c>
      <c r="L550" s="11" t="s">
        <v>1853</v>
      </c>
      <c r="M550" s="12" t="s">
        <v>3148</v>
      </c>
      <c r="N550" s="12" t="s">
        <v>3149</v>
      </c>
      <c r="O550" s="11" t="s">
        <v>1866</v>
      </c>
      <c r="P550" s="56" t="s">
        <v>3150</v>
      </c>
    </row>
    <row r="551" spans="1:16" ht="15.75" customHeight="1" x14ac:dyDescent="0.2">
      <c r="A551" s="49">
        <v>1433</v>
      </c>
      <c r="B551" s="11" t="s">
        <v>1857</v>
      </c>
      <c r="C551" s="11" t="s">
        <v>1849</v>
      </c>
      <c r="D551" s="6" t="s">
        <v>1850</v>
      </c>
      <c r="E551" s="12" t="s">
        <v>1877</v>
      </c>
      <c r="F551" s="12" t="s">
        <v>1877</v>
      </c>
      <c r="G551" s="12" t="s">
        <v>1883</v>
      </c>
      <c r="H551" s="12" t="s">
        <v>1950</v>
      </c>
      <c r="I551" s="12" t="s">
        <v>2092</v>
      </c>
      <c r="J551" s="11" t="s">
        <v>1856</v>
      </c>
      <c r="K551" s="11" t="s">
        <v>1852</v>
      </c>
      <c r="L551" s="11" t="s">
        <v>1853</v>
      </c>
      <c r="M551" s="12" t="s">
        <v>2093</v>
      </c>
      <c r="N551" s="12"/>
      <c r="O551" s="11" t="s">
        <v>1873</v>
      </c>
      <c r="P551" s="56"/>
    </row>
    <row r="552" spans="1:16" ht="15.75" customHeight="1" x14ac:dyDescent="0.2">
      <c r="A552" s="49">
        <v>1823</v>
      </c>
      <c r="B552" s="11" t="s">
        <v>1857</v>
      </c>
      <c r="C552" s="11" t="s">
        <v>1849</v>
      </c>
      <c r="D552" s="6" t="s">
        <v>1850</v>
      </c>
      <c r="E552" s="12" t="s">
        <v>1877</v>
      </c>
      <c r="F552" s="12" t="s">
        <v>1877</v>
      </c>
      <c r="G552" s="12" t="s">
        <v>1880</v>
      </c>
      <c r="H552" s="12" t="s">
        <v>1910</v>
      </c>
      <c r="I552" s="12" t="s">
        <v>1868</v>
      </c>
      <c r="J552" s="11" t="s">
        <v>1856</v>
      </c>
      <c r="K552" s="11" t="s">
        <v>1852</v>
      </c>
      <c r="L552" s="11" t="s">
        <v>1853</v>
      </c>
      <c r="M552" s="12" t="s">
        <v>1952</v>
      </c>
      <c r="N552" s="12" t="s">
        <v>2094</v>
      </c>
      <c r="O552" s="11" t="s">
        <v>1858</v>
      </c>
      <c r="P552" s="56"/>
    </row>
    <row r="553" spans="1:16" ht="15.75" customHeight="1" x14ac:dyDescent="0.2">
      <c r="A553" s="49">
        <v>1420</v>
      </c>
      <c r="B553" s="11" t="s">
        <v>1857</v>
      </c>
      <c r="C553" s="11" t="s">
        <v>1849</v>
      </c>
      <c r="D553" s="6" t="s">
        <v>1850</v>
      </c>
      <c r="E553" s="12" t="s">
        <v>1877</v>
      </c>
      <c r="F553" s="12" t="s">
        <v>1877</v>
      </c>
      <c r="G553" s="12" t="s">
        <v>1883</v>
      </c>
      <c r="H553" s="12" t="s">
        <v>1918</v>
      </c>
      <c r="I553" s="12" t="s">
        <v>2095</v>
      </c>
      <c r="J553" s="11" t="s">
        <v>1856</v>
      </c>
      <c r="K553" s="11" t="s">
        <v>1852</v>
      </c>
      <c r="L553" s="11" t="s">
        <v>1853</v>
      </c>
      <c r="M553" s="12" t="s">
        <v>2096</v>
      </c>
      <c r="N553" s="12" t="s">
        <v>2097</v>
      </c>
      <c r="O553" s="11" t="s">
        <v>1858</v>
      </c>
      <c r="P553" s="56"/>
    </row>
    <row r="554" spans="1:16" ht="15.75" customHeight="1" x14ac:dyDescent="0.2">
      <c r="A554" s="49">
        <v>1904</v>
      </c>
      <c r="B554" s="11" t="s">
        <v>1857</v>
      </c>
      <c r="C554" s="11" t="s">
        <v>1849</v>
      </c>
      <c r="D554" s="6" t="s">
        <v>1850</v>
      </c>
      <c r="E554" s="12" t="s">
        <v>1877</v>
      </c>
      <c r="F554" s="12" t="s">
        <v>1877</v>
      </c>
      <c r="G554" s="12" t="s">
        <v>2656</v>
      </c>
      <c r="H554" s="12" t="s">
        <v>3151</v>
      </c>
      <c r="I554" s="12" t="s">
        <v>3152</v>
      </c>
      <c r="J554" s="11" t="s">
        <v>1856</v>
      </c>
      <c r="K554" s="11" t="s">
        <v>1852</v>
      </c>
      <c r="L554" s="11" t="s">
        <v>1853</v>
      </c>
      <c r="M554" s="12" t="s">
        <v>2807</v>
      </c>
      <c r="N554" s="12"/>
      <c r="O554" s="11" t="s">
        <v>1858</v>
      </c>
      <c r="P554" s="56"/>
    </row>
    <row r="555" spans="1:16" ht="15.75" customHeight="1" x14ac:dyDescent="0.2">
      <c r="A555" s="49">
        <v>1537</v>
      </c>
      <c r="B555" s="11" t="s">
        <v>1857</v>
      </c>
      <c r="C555" s="11" t="s">
        <v>1849</v>
      </c>
      <c r="D555" s="6" t="s">
        <v>1850</v>
      </c>
      <c r="E555" s="12" t="s">
        <v>1877</v>
      </c>
      <c r="F555" s="12" t="s">
        <v>1877</v>
      </c>
      <c r="G555" s="12" t="s">
        <v>2635</v>
      </c>
      <c r="H555" s="12" t="s">
        <v>2639</v>
      </c>
      <c r="I555" s="12" t="s">
        <v>3153</v>
      </c>
      <c r="J555" s="11" t="s">
        <v>1856</v>
      </c>
      <c r="K555" s="11" t="s">
        <v>1852</v>
      </c>
      <c r="L555" s="11" t="s">
        <v>1853</v>
      </c>
      <c r="M555" s="12" t="s">
        <v>3154</v>
      </c>
      <c r="N555" s="12"/>
      <c r="O555" s="11" t="s">
        <v>1860</v>
      </c>
      <c r="P555" s="56"/>
    </row>
    <row r="556" spans="1:16" ht="15.75" customHeight="1" x14ac:dyDescent="0.2">
      <c r="A556" s="49">
        <v>1535</v>
      </c>
      <c r="B556" s="11" t="s">
        <v>1857</v>
      </c>
      <c r="C556" s="11" t="s">
        <v>1849</v>
      </c>
      <c r="D556" s="6" t="s">
        <v>1850</v>
      </c>
      <c r="E556" s="12" t="s">
        <v>1877</v>
      </c>
      <c r="F556" s="12" t="s">
        <v>1877</v>
      </c>
      <c r="G556" s="12" t="s">
        <v>2635</v>
      </c>
      <c r="H556" s="12" t="s">
        <v>2639</v>
      </c>
      <c r="I556" s="12" t="s">
        <v>3155</v>
      </c>
      <c r="J556" s="11" t="s">
        <v>1856</v>
      </c>
      <c r="K556" s="11" t="s">
        <v>1852</v>
      </c>
      <c r="L556" s="11" t="s">
        <v>1853</v>
      </c>
      <c r="M556" s="12" t="s">
        <v>3156</v>
      </c>
      <c r="N556" s="12"/>
      <c r="O556" s="11" t="s">
        <v>1859</v>
      </c>
      <c r="P556" s="56"/>
    </row>
    <row r="557" spans="1:16" ht="15.75" customHeight="1" x14ac:dyDescent="0.2">
      <c r="A557" s="49">
        <v>1748</v>
      </c>
      <c r="B557" s="11" t="s">
        <v>1857</v>
      </c>
      <c r="C557" s="11" t="s">
        <v>1849</v>
      </c>
      <c r="D557" s="6" t="s">
        <v>1850</v>
      </c>
      <c r="E557" s="12" t="s">
        <v>1877</v>
      </c>
      <c r="F557" s="12" t="s">
        <v>1877</v>
      </c>
      <c r="G557" s="12" t="s">
        <v>2619</v>
      </c>
      <c r="H557" s="12" t="s">
        <v>2705</v>
      </c>
      <c r="I557" s="12" t="s">
        <v>3157</v>
      </c>
      <c r="J557" s="11" t="s">
        <v>1856</v>
      </c>
      <c r="K557" s="11" t="s">
        <v>1852</v>
      </c>
      <c r="L557" s="11" t="s">
        <v>1853</v>
      </c>
      <c r="M557" s="12" t="s">
        <v>3158</v>
      </c>
      <c r="N557" s="12"/>
      <c r="O557" s="11" t="s">
        <v>1859</v>
      </c>
      <c r="P557" s="56"/>
    </row>
    <row r="558" spans="1:16" ht="15.75" customHeight="1" x14ac:dyDescent="0.2">
      <c r="A558" s="49">
        <v>1395</v>
      </c>
      <c r="B558" s="11" t="s">
        <v>1857</v>
      </c>
      <c r="C558" s="11" t="s">
        <v>1849</v>
      </c>
      <c r="D558" s="6" t="s">
        <v>1850</v>
      </c>
      <c r="E558" s="12" t="s">
        <v>1877</v>
      </c>
      <c r="F558" s="12" t="s">
        <v>1877</v>
      </c>
      <c r="G558" s="12" t="s">
        <v>1883</v>
      </c>
      <c r="H558" s="12" t="s">
        <v>1884</v>
      </c>
      <c r="I558" s="12" t="s">
        <v>2098</v>
      </c>
      <c r="J558" s="11" t="s">
        <v>1856</v>
      </c>
      <c r="K558" s="11" t="s">
        <v>1852</v>
      </c>
      <c r="L558" s="11" t="s">
        <v>1853</v>
      </c>
      <c r="M558" s="12"/>
      <c r="N558" s="12"/>
      <c r="O558" s="11" t="s">
        <v>1859</v>
      </c>
      <c r="P558" s="56"/>
    </row>
    <row r="559" spans="1:16" ht="15.75" customHeight="1" x14ac:dyDescent="0.2">
      <c r="A559" s="49">
        <v>1513</v>
      </c>
      <c r="B559" s="11" t="s">
        <v>1857</v>
      </c>
      <c r="C559" s="11" t="s">
        <v>1849</v>
      </c>
      <c r="D559" s="6" t="s">
        <v>1850</v>
      </c>
      <c r="E559" s="12" t="s">
        <v>1877</v>
      </c>
      <c r="F559" s="12" t="s">
        <v>1877</v>
      </c>
      <c r="G559" s="12" t="s">
        <v>2635</v>
      </c>
      <c r="H559" s="12" t="s">
        <v>2636</v>
      </c>
      <c r="I559" s="12" t="s">
        <v>3159</v>
      </c>
      <c r="J559" s="11" t="s">
        <v>1856</v>
      </c>
      <c r="K559" s="11" t="s">
        <v>1852</v>
      </c>
      <c r="L559" s="11" t="s">
        <v>1853</v>
      </c>
      <c r="M559" s="12" t="s">
        <v>3160</v>
      </c>
      <c r="N559" s="12"/>
      <c r="O559" s="11" t="s">
        <v>1858</v>
      </c>
      <c r="P559" s="56"/>
    </row>
    <row r="560" spans="1:16" ht="15.75" customHeight="1" x14ac:dyDescent="0.2">
      <c r="A560" s="49">
        <v>1498</v>
      </c>
      <c r="B560" s="11" t="s">
        <v>1857</v>
      </c>
      <c r="C560" s="11" t="s">
        <v>1849</v>
      </c>
      <c r="D560" s="6" t="s">
        <v>1850</v>
      </c>
      <c r="E560" s="12" t="s">
        <v>1877</v>
      </c>
      <c r="F560" s="12" t="s">
        <v>1877</v>
      </c>
      <c r="G560" s="12" t="s">
        <v>2658</v>
      </c>
      <c r="H560" s="12" t="s">
        <v>3161</v>
      </c>
      <c r="I560" s="12" t="s">
        <v>3162</v>
      </c>
      <c r="J560" s="11" t="s">
        <v>1856</v>
      </c>
      <c r="K560" s="11" t="s">
        <v>1852</v>
      </c>
      <c r="L560" s="11" t="s">
        <v>1853</v>
      </c>
      <c r="M560" s="12" t="s">
        <v>3163</v>
      </c>
      <c r="N560" s="12"/>
      <c r="O560" s="11" t="s">
        <v>1858</v>
      </c>
      <c r="P560" s="56"/>
    </row>
    <row r="561" spans="1:16" ht="15.75" customHeight="1" x14ac:dyDescent="0.2">
      <c r="A561" s="49">
        <v>1441</v>
      </c>
      <c r="B561" s="11" t="s">
        <v>1857</v>
      </c>
      <c r="C561" s="11" t="s">
        <v>1849</v>
      </c>
      <c r="D561" s="6" t="s">
        <v>1850</v>
      </c>
      <c r="E561" s="12" t="s">
        <v>1877</v>
      </c>
      <c r="F561" s="12" t="s">
        <v>1877</v>
      </c>
      <c r="G561" s="12" t="s">
        <v>1883</v>
      </c>
      <c r="H561" s="12" t="s">
        <v>1946</v>
      </c>
      <c r="I561" s="12" t="s">
        <v>2099</v>
      </c>
      <c r="J561" s="11" t="s">
        <v>1851</v>
      </c>
      <c r="K561" s="11" t="s">
        <v>1852</v>
      </c>
      <c r="L561" s="11" t="s">
        <v>1853</v>
      </c>
      <c r="M561" s="12" t="s">
        <v>1861</v>
      </c>
      <c r="N561" s="12" t="s">
        <v>2100</v>
      </c>
      <c r="O561" s="11" t="s">
        <v>1860</v>
      </c>
      <c r="P561" s="56"/>
    </row>
    <row r="562" spans="1:16" ht="15.75" customHeight="1" x14ac:dyDescent="0.2">
      <c r="A562" s="49">
        <v>1500</v>
      </c>
      <c r="B562" s="11" t="s">
        <v>1857</v>
      </c>
      <c r="C562" s="11" t="s">
        <v>1849</v>
      </c>
      <c r="D562" s="6" t="s">
        <v>1850</v>
      </c>
      <c r="E562" s="12" t="s">
        <v>1877</v>
      </c>
      <c r="F562" s="12" t="s">
        <v>1877</v>
      </c>
      <c r="G562" s="12" t="s">
        <v>2658</v>
      </c>
      <c r="H562" s="12" t="s">
        <v>2626</v>
      </c>
      <c r="I562" s="12" t="s">
        <v>3164</v>
      </c>
      <c r="J562" s="11" t="s">
        <v>1856</v>
      </c>
      <c r="K562" s="11" t="s">
        <v>1852</v>
      </c>
      <c r="L562" s="11" t="s">
        <v>1853</v>
      </c>
      <c r="M562" s="12" t="s">
        <v>1854</v>
      </c>
      <c r="N562" s="12"/>
      <c r="O562" s="11" t="s">
        <v>1859</v>
      </c>
      <c r="P562" s="56"/>
    </row>
    <row r="563" spans="1:16" ht="15.75" customHeight="1" x14ac:dyDescent="0.2">
      <c r="A563" s="49">
        <v>1890</v>
      </c>
      <c r="B563" s="11" t="s">
        <v>1857</v>
      </c>
      <c r="C563" s="11" t="s">
        <v>1849</v>
      </c>
      <c r="D563" s="6" t="s">
        <v>1850</v>
      </c>
      <c r="E563" s="12" t="s">
        <v>1877</v>
      </c>
      <c r="F563" s="12" t="s">
        <v>1877</v>
      </c>
      <c r="G563" s="12" t="s">
        <v>2656</v>
      </c>
      <c r="H563" s="12" t="s">
        <v>2726</v>
      </c>
      <c r="I563" s="12" t="s">
        <v>3165</v>
      </c>
      <c r="J563" s="11" t="s">
        <v>1856</v>
      </c>
      <c r="K563" s="11" t="s">
        <v>1852</v>
      </c>
      <c r="L563" s="11" t="s">
        <v>1853</v>
      </c>
      <c r="M563" s="12" t="s">
        <v>2053</v>
      </c>
      <c r="N563" s="12"/>
      <c r="O563" s="11" t="s">
        <v>1860</v>
      </c>
      <c r="P563" s="56"/>
    </row>
    <row r="564" spans="1:16" ht="15.75" customHeight="1" x14ac:dyDescent="0.2">
      <c r="A564" s="49">
        <v>1711</v>
      </c>
      <c r="B564" s="11" t="s">
        <v>1857</v>
      </c>
      <c r="C564" s="11" t="s">
        <v>1849</v>
      </c>
      <c r="D564" s="6" t="s">
        <v>1850</v>
      </c>
      <c r="E564" s="12" t="s">
        <v>1877</v>
      </c>
      <c r="F564" s="12" t="s">
        <v>1877</v>
      </c>
      <c r="G564" s="12" t="s">
        <v>2619</v>
      </c>
      <c r="H564" s="12" t="s">
        <v>2619</v>
      </c>
      <c r="I564" s="12" t="s">
        <v>3166</v>
      </c>
      <c r="J564" s="11" t="s">
        <v>1856</v>
      </c>
      <c r="K564" s="11" t="s">
        <v>1852</v>
      </c>
      <c r="L564" s="11" t="s">
        <v>1853</v>
      </c>
      <c r="M564" s="12" t="s">
        <v>3167</v>
      </c>
      <c r="N564" s="11" t="s">
        <v>3167</v>
      </c>
      <c r="O564" s="11" t="s">
        <v>1858</v>
      </c>
      <c r="P564" s="56"/>
    </row>
    <row r="565" spans="1:16" ht="15.75" customHeight="1" x14ac:dyDescent="0.2">
      <c r="A565" s="49">
        <v>5414</v>
      </c>
      <c r="B565" s="11" t="s">
        <v>1857</v>
      </c>
      <c r="C565" s="11" t="s">
        <v>1849</v>
      </c>
      <c r="D565" s="6" t="s">
        <v>1850</v>
      </c>
      <c r="E565" s="12" t="s">
        <v>1877</v>
      </c>
      <c r="F565" s="12" t="s">
        <v>1877</v>
      </c>
      <c r="G565" s="12" t="s">
        <v>2643</v>
      </c>
      <c r="H565" s="12" t="s">
        <v>2643</v>
      </c>
      <c r="I565" s="12" t="s">
        <v>3168</v>
      </c>
      <c r="J565" s="11" t="s">
        <v>1856</v>
      </c>
      <c r="K565" s="11" t="s">
        <v>1852</v>
      </c>
      <c r="L565" s="11" t="s">
        <v>1853</v>
      </c>
      <c r="M565" s="12" t="s">
        <v>3169</v>
      </c>
      <c r="N565" s="12" t="s">
        <v>3170</v>
      </c>
      <c r="O565" s="11" t="s">
        <v>1872</v>
      </c>
      <c r="P565" s="56"/>
    </row>
    <row r="566" spans="1:16" ht="15.75" customHeight="1" x14ac:dyDescent="0.2">
      <c r="A566" s="49">
        <v>1368</v>
      </c>
      <c r="B566" s="11" t="s">
        <v>1857</v>
      </c>
      <c r="C566" s="11" t="s">
        <v>1849</v>
      </c>
      <c r="D566" s="6" t="s">
        <v>1850</v>
      </c>
      <c r="E566" s="12" t="s">
        <v>1877</v>
      </c>
      <c r="F566" s="12" t="s">
        <v>1877</v>
      </c>
      <c r="G566" s="12" t="s">
        <v>1883</v>
      </c>
      <c r="H566" s="12" t="s">
        <v>1884</v>
      </c>
      <c r="I566" s="12" t="s">
        <v>2101</v>
      </c>
      <c r="J566" s="11" t="s">
        <v>1856</v>
      </c>
      <c r="K566" s="11" t="s">
        <v>1852</v>
      </c>
      <c r="L566" s="11" t="s">
        <v>1853</v>
      </c>
      <c r="M566" s="12" t="s">
        <v>2093</v>
      </c>
      <c r="N566" s="12"/>
      <c r="O566" s="11" t="s">
        <v>1872</v>
      </c>
      <c r="P566" s="56"/>
    </row>
    <row r="567" spans="1:16" ht="15.75" customHeight="1" x14ac:dyDescent="0.2">
      <c r="A567" s="49">
        <v>2156</v>
      </c>
      <c r="B567" s="11" t="s">
        <v>1857</v>
      </c>
      <c r="C567" s="11" t="s">
        <v>1849</v>
      </c>
      <c r="D567" s="6" t="s">
        <v>1850</v>
      </c>
      <c r="E567" s="12" t="s">
        <v>1877</v>
      </c>
      <c r="F567" s="12" t="s">
        <v>1877</v>
      </c>
      <c r="G567" s="12" t="s">
        <v>2623</v>
      </c>
      <c r="H567" s="12" t="s">
        <v>3171</v>
      </c>
      <c r="I567" s="12" t="s">
        <v>3172</v>
      </c>
      <c r="J567" s="11" t="s">
        <v>1856</v>
      </c>
      <c r="K567" s="11" t="s">
        <v>1852</v>
      </c>
      <c r="L567" s="11" t="s">
        <v>1853</v>
      </c>
      <c r="M567" s="12" t="s">
        <v>1854</v>
      </c>
      <c r="N567" s="12"/>
      <c r="O567" s="11" t="s">
        <v>1872</v>
      </c>
      <c r="P567" s="56"/>
    </row>
    <row r="568" spans="1:16" ht="15.75" customHeight="1" x14ac:dyDescent="0.2">
      <c r="A568" s="49">
        <v>1456</v>
      </c>
      <c r="B568" s="11" t="s">
        <v>1857</v>
      </c>
      <c r="C568" s="11" t="s">
        <v>1849</v>
      </c>
      <c r="D568" s="6" t="s">
        <v>1850</v>
      </c>
      <c r="E568" s="12" t="s">
        <v>1877</v>
      </c>
      <c r="F568" s="12" t="s">
        <v>1877</v>
      </c>
      <c r="G568" s="12" t="s">
        <v>1883</v>
      </c>
      <c r="H568" s="12" t="s">
        <v>1946</v>
      </c>
      <c r="I568" s="12" t="s">
        <v>2102</v>
      </c>
      <c r="J568" s="11" t="s">
        <v>1851</v>
      </c>
      <c r="K568" s="11" t="s">
        <v>1852</v>
      </c>
      <c r="L568" s="11" t="s">
        <v>1853</v>
      </c>
      <c r="M568" s="12" t="s">
        <v>2069</v>
      </c>
      <c r="N568" s="12"/>
      <c r="O568" s="11" t="s">
        <v>1858</v>
      </c>
      <c r="P568" s="56"/>
    </row>
    <row r="569" spans="1:16" ht="15.75" customHeight="1" x14ac:dyDescent="0.2">
      <c r="A569" s="49">
        <v>1529</v>
      </c>
      <c r="B569" s="11" t="s">
        <v>1857</v>
      </c>
      <c r="C569" s="11" t="s">
        <v>1849</v>
      </c>
      <c r="D569" s="6" t="s">
        <v>1850</v>
      </c>
      <c r="E569" s="12" t="s">
        <v>1877</v>
      </c>
      <c r="F569" s="12" t="s">
        <v>1877</v>
      </c>
      <c r="G569" s="12" t="s">
        <v>2635</v>
      </c>
      <c r="H569" s="12" t="s">
        <v>2781</v>
      </c>
      <c r="I569" s="12" t="s">
        <v>3173</v>
      </c>
      <c r="J569" s="11" t="s">
        <v>1856</v>
      </c>
      <c r="K569" s="11" t="s">
        <v>1852</v>
      </c>
      <c r="L569" s="11" t="s">
        <v>1853</v>
      </c>
      <c r="M569" s="12" t="s">
        <v>3174</v>
      </c>
      <c r="N569" s="12"/>
      <c r="O569" s="11" t="s">
        <v>1859</v>
      </c>
      <c r="P569" s="56"/>
    </row>
    <row r="570" spans="1:16" ht="15.75" customHeight="1" x14ac:dyDescent="0.2">
      <c r="A570" s="49">
        <v>1418</v>
      </c>
      <c r="B570" s="11" t="s">
        <v>1857</v>
      </c>
      <c r="C570" s="11" t="s">
        <v>1849</v>
      </c>
      <c r="D570" s="6" t="s">
        <v>1850</v>
      </c>
      <c r="E570" s="12" t="s">
        <v>1877</v>
      </c>
      <c r="F570" s="12" t="s">
        <v>1877</v>
      </c>
      <c r="G570" s="12" t="s">
        <v>1883</v>
      </c>
      <c r="H570" s="12" t="s">
        <v>1895</v>
      </c>
      <c r="I570" s="12" t="s">
        <v>2103</v>
      </c>
      <c r="J570" s="11" t="s">
        <v>1851</v>
      </c>
      <c r="K570" s="11" t="s">
        <v>1852</v>
      </c>
      <c r="L570" s="11" t="s">
        <v>1853</v>
      </c>
      <c r="M570" s="12" t="s">
        <v>2104</v>
      </c>
      <c r="N570" s="12" t="s">
        <v>2105</v>
      </c>
      <c r="O570" s="11" t="s">
        <v>1858</v>
      </c>
      <c r="P570" s="56"/>
    </row>
    <row r="571" spans="1:16" ht="15.75" customHeight="1" x14ac:dyDescent="0.2">
      <c r="A571" s="49">
        <v>1434</v>
      </c>
      <c r="B571" s="11" t="s">
        <v>1857</v>
      </c>
      <c r="C571" s="11" t="s">
        <v>1849</v>
      </c>
      <c r="D571" s="6" t="s">
        <v>1850</v>
      </c>
      <c r="E571" s="12" t="s">
        <v>1877</v>
      </c>
      <c r="F571" s="12" t="s">
        <v>1877</v>
      </c>
      <c r="G571" s="12" t="s">
        <v>1883</v>
      </c>
      <c r="H571" s="12" t="s">
        <v>1950</v>
      </c>
      <c r="I571" s="12" t="s">
        <v>2106</v>
      </c>
      <c r="J571" s="11" t="s">
        <v>1856</v>
      </c>
      <c r="K571" s="11" t="s">
        <v>1852</v>
      </c>
      <c r="L571" s="11" t="s">
        <v>1853</v>
      </c>
      <c r="M571" s="12" t="s">
        <v>2107</v>
      </c>
      <c r="N571" s="12"/>
      <c r="O571" s="11" t="s">
        <v>1859</v>
      </c>
      <c r="P571" s="56"/>
    </row>
    <row r="572" spans="1:16" ht="15.75" customHeight="1" x14ac:dyDescent="0.2">
      <c r="A572" s="49">
        <v>1567</v>
      </c>
      <c r="B572" s="11" t="s">
        <v>1857</v>
      </c>
      <c r="C572" s="11" t="s">
        <v>1849</v>
      </c>
      <c r="D572" s="6" t="s">
        <v>1850</v>
      </c>
      <c r="E572" s="12" t="s">
        <v>1877</v>
      </c>
      <c r="F572" s="12" t="s">
        <v>1877</v>
      </c>
      <c r="G572" s="12" t="s">
        <v>2653</v>
      </c>
      <c r="H572" s="12" t="s">
        <v>2898</v>
      </c>
      <c r="I572" s="12" t="s">
        <v>3175</v>
      </c>
      <c r="J572" s="11" t="s">
        <v>1856</v>
      </c>
      <c r="K572" s="11" t="s">
        <v>1852</v>
      </c>
      <c r="L572" s="11" t="s">
        <v>1853</v>
      </c>
      <c r="M572" s="12" t="s">
        <v>2683</v>
      </c>
      <c r="N572" s="12" t="s">
        <v>3176</v>
      </c>
      <c r="O572" s="11" t="s">
        <v>1859</v>
      </c>
      <c r="P572" s="56"/>
    </row>
    <row r="573" spans="1:16" ht="15.75" customHeight="1" x14ac:dyDescent="0.2">
      <c r="A573" s="49">
        <v>1852</v>
      </c>
      <c r="B573" s="11" t="s">
        <v>1857</v>
      </c>
      <c r="C573" s="11" t="s">
        <v>1849</v>
      </c>
      <c r="D573" s="6" t="s">
        <v>1850</v>
      </c>
      <c r="E573" s="12" t="s">
        <v>1877</v>
      </c>
      <c r="F573" s="12" t="s">
        <v>1877</v>
      </c>
      <c r="G573" s="12" t="s">
        <v>1914</v>
      </c>
      <c r="H573" s="12" t="s">
        <v>1972</v>
      </c>
      <c r="I573" s="12" t="s">
        <v>2108</v>
      </c>
      <c r="J573" s="11" t="s">
        <v>1856</v>
      </c>
      <c r="K573" s="11" t="s">
        <v>1852</v>
      </c>
      <c r="L573" s="11" t="s">
        <v>1853</v>
      </c>
      <c r="M573" s="12" t="s">
        <v>1854</v>
      </c>
      <c r="N573" s="12"/>
      <c r="O573" s="11" t="s">
        <v>1859</v>
      </c>
      <c r="P573" s="56"/>
    </row>
    <row r="574" spans="1:16" ht="15.75" customHeight="1" x14ac:dyDescent="0.2">
      <c r="A574" s="49">
        <v>2133</v>
      </c>
      <c r="B574" s="11" t="s">
        <v>1857</v>
      </c>
      <c r="C574" s="11" t="s">
        <v>1849</v>
      </c>
      <c r="D574" s="6" t="s">
        <v>1850</v>
      </c>
      <c r="E574" s="12" t="s">
        <v>1877</v>
      </c>
      <c r="F574" s="12" t="s">
        <v>1877</v>
      </c>
      <c r="G574" s="12" t="s">
        <v>2623</v>
      </c>
      <c r="H574" s="12" t="s">
        <v>2730</v>
      </c>
      <c r="I574" s="12" t="s">
        <v>3177</v>
      </c>
      <c r="J574" s="11" t="s">
        <v>1856</v>
      </c>
      <c r="K574" s="11" t="s">
        <v>1852</v>
      </c>
      <c r="L574" s="11" t="s">
        <v>1853</v>
      </c>
      <c r="M574" s="12" t="s">
        <v>2831</v>
      </c>
      <c r="N574" s="12"/>
      <c r="O574" s="11" t="s">
        <v>1859</v>
      </c>
      <c r="P574" s="56"/>
    </row>
    <row r="575" spans="1:16" ht="15.75" customHeight="1" x14ac:dyDescent="0.2">
      <c r="A575" s="49">
        <v>1621</v>
      </c>
      <c r="B575" s="11" t="s">
        <v>1857</v>
      </c>
      <c r="C575" s="11" t="s">
        <v>1849</v>
      </c>
      <c r="D575" s="6" t="s">
        <v>1850</v>
      </c>
      <c r="E575" s="12" t="s">
        <v>1877</v>
      </c>
      <c r="F575" s="12" t="s">
        <v>1877</v>
      </c>
      <c r="G575" s="12" t="s">
        <v>2653</v>
      </c>
      <c r="H575" s="12" t="s">
        <v>3024</v>
      </c>
      <c r="I575" s="12" t="s">
        <v>3178</v>
      </c>
      <c r="J575" s="11" t="s">
        <v>1856</v>
      </c>
      <c r="K575" s="11" t="s">
        <v>1852</v>
      </c>
      <c r="L575" s="11" t="s">
        <v>1853</v>
      </c>
      <c r="M575" s="12" t="s">
        <v>1854</v>
      </c>
      <c r="N575" s="12"/>
      <c r="O575" s="11" t="s">
        <v>1859</v>
      </c>
      <c r="P575" s="56"/>
    </row>
    <row r="576" spans="1:16" ht="15.75" customHeight="1" x14ac:dyDescent="0.2">
      <c r="A576" s="49">
        <v>1660</v>
      </c>
      <c r="B576" s="11" t="s">
        <v>1857</v>
      </c>
      <c r="C576" s="11" t="s">
        <v>1849</v>
      </c>
      <c r="D576" s="6" t="s">
        <v>1850</v>
      </c>
      <c r="E576" s="12" t="s">
        <v>1877</v>
      </c>
      <c r="F576" s="12" t="s">
        <v>1877</v>
      </c>
      <c r="G576" s="12" t="s">
        <v>2653</v>
      </c>
      <c r="H576" s="12" t="s">
        <v>2677</v>
      </c>
      <c r="I576" s="12" t="s">
        <v>3179</v>
      </c>
      <c r="J576" s="11" t="s">
        <v>1856</v>
      </c>
      <c r="K576" s="11" t="s">
        <v>1852</v>
      </c>
      <c r="L576" s="11" t="s">
        <v>1853</v>
      </c>
      <c r="M576" s="12" t="s">
        <v>2109</v>
      </c>
      <c r="N576" s="12"/>
      <c r="O576" s="11" t="s">
        <v>1858</v>
      </c>
      <c r="P576" s="56"/>
    </row>
    <row r="577" spans="1:16" ht="15.75" customHeight="1" x14ac:dyDescent="0.2">
      <c r="A577" s="49">
        <v>1325</v>
      </c>
      <c r="B577" s="11" t="s">
        <v>1857</v>
      </c>
      <c r="C577" s="11" t="s">
        <v>1849</v>
      </c>
      <c r="D577" s="6" t="s">
        <v>1850</v>
      </c>
      <c r="E577" s="12" t="s">
        <v>1877</v>
      </c>
      <c r="F577" s="12" t="s">
        <v>1877</v>
      </c>
      <c r="G577" s="12" t="s">
        <v>2684</v>
      </c>
      <c r="H577" s="12" t="s">
        <v>3145</v>
      </c>
      <c r="I577" s="12" t="s">
        <v>3180</v>
      </c>
      <c r="J577" s="11" t="s">
        <v>1856</v>
      </c>
      <c r="K577" s="11" t="s">
        <v>1852</v>
      </c>
      <c r="L577" s="11" t="s">
        <v>1853</v>
      </c>
      <c r="M577" s="12" t="s">
        <v>2903</v>
      </c>
      <c r="N577" s="12"/>
      <c r="O577" s="11" t="s">
        <v>1858</v>
      </c>
      <c r="P577" s="56"/>
    </row>
    <row r="578" spans="1:16" ht="15.75" customHeight="1" x14ac:dyDescent="0.2">
      <c r="A578" s="49">
        <v>1868</v>
      </c>
      <c r="B578" s="11" t="s">
        <v>1857</v>
      </c>
      <c r="C578" s="11" t="s">
        <v>1849</v>
      </c>
      <c r="D578" s="6" t="s">
        <v>1850</v>
      </c>
      <c r="E578" s="12" t="s">
        <v>1877</v>
      </c>
      <c r="F578" s="12" t="s">
        <v>1877</v>
      </c>
      <c r="G578" s="12" t="s">
        <v>2643</v>
      </c>
      <c r="H578" s="12" t="s">
        <v>3181</v>
      </c>
      <c r="I578" s="12" t="s">
        <v>3182</v>
      </c>
      <c r="J578" s="11" t="s">
        <v>1856</v>
      </c>
      <c r="K578" s="11" t="s">
        <v>1852</v>
      </c>
      <c r="L578" s="11" t="s">
        <v>1853</v>
      </c>
      <c r="M578" s="12" t="s">
        <v>3183</v>
      </c>
      <c r="N578" s="12" t="s">
        <v>3184</v>
      </c>
      <c r="O578" s="11" t="s">
        <v>1858</v>
      </c>
      <c r="P578" s="56"/>
    </row>
    <row r="579" spans="1:16" ht="15.75" customHeight="1" x14ac:dyDescent="0.2">
      <c r="A579" s="49">
        <v>1848</v>
      </c>
      <c r="B579" s="11" t="s">
        <v>1857</v>
      </c>
      <c r="C579" s="11" t="s">
        <v>1849</v>
      </c>
      <c r="D579" s="6" t="s">
        <v>1850</v>
      </c>
      <c r="E579" s="12" t="s">
        <v>1877</v>
      </c>
      <c r="F579" s="12" t="s">
        <v>1877</v>
      </c>
      <c r="G579" s="12" t="s">
        <v>1914</v>
      </c>
      <c r="H579" s="12" t="s">
        <v>1972</v>
      </c>
      <c r="I579" s="12" t="s">
        <v>2110</v>
      </c>
      <c r="J579" s="11" t="s">
        <v>1856</v>
      </c>
      <c r="K579" s="11" t="s">
        <v>1852</v>
      </c>
      <c r="L579" s="11" t="s">
        <v>1853</v>
      </c>
      <c r="M579" s="12" t="s">
        <v>1976</v>
      </c>
      <c r="N579" s="12"/>
      <c r="O579" s="11" t="s">
        <v>1858</v>
      </c>
      <c r="P579" s="56"/>
    </row>
    <row r="580" spans="1:16" ht="15.75" customHeight="1" x14ac:dyDescent="0.2">
      <c r="A580" s="49">
        <v>1804</v>
      </c>
      <c r="B580" s="11" t="s">
        <v>1857</v>
      </c>
      <c r="C580" s="11" t="s">
        <v>1849</v>
      </c>
      <c r="D580" s="6" t="s">
        <v>1850</v>
      </c>
      <c r="E580" s="12" t="s">
        <v>1877</v>
      </c>
      <c r="F580" s="12" t="s">
        <v>1877</v>
      </c>
      <c r="G580" s="12" t="s">
        <v>1880</v>
      </c>
      <c r="H580" s="12" t="s">
        <v>1941</v>
      </c>
      <c r="I580" s="12" t="s">
        <v>2111</v>
      </c>
      <c r="J580" s="11" t="s">
        <v>1856</v>
      </c>
      <c r="K580" s="11" t="s">
        <v>1852</v>
      </c>
      <c r="L580" s="11" t="s">
        <v>1853</v>
      </c>
      <c r="M580" s="12" t="s">
        <v>2112</v>
      </c>
      <c r="N580" s="12"/>
      <c r="O580" s="11" t="s">
        <v>1858</v>
      </c>
      <c r="P580" s="56"/>
    </row>
    <row r="581" spans="1:16" ht="15.75" customHeight="1" x14ac:dyDescent="0.2">
      <c r="A581" s="49">
        <v>5691</v>
      </c>
      <c r="B581" s="11" t="s">
        <v>1857</v>
      </c>
      <c r="C581" s="11" t="s">
        <v>1849</v>
      </c>
      <c r="D581" s="6" t="s">
        <v>1850</v>
      </c>
      <c r="E581" s="12" t="s">
        <v>1877</v>
      </c>
      <c r="F581" s="12" t="s">
        <v>1877</v>
      </c>
      <c r="G581" s="12" t="s">
        <v>2656</v>
      </c>
      <c r="H581" s="12" t="s">
        <v>3151</v>
      </c>
      <c r="I581" s="12" t="s">
        <v>3185</v>
      </c>
      <c r="J581" s="11" t="s">
        <v>1856</v>
      </c>
      <c r="K581" s="11" t="s">
        <v>1852</v>
      </c>
      <c r="L581" s="11" t="s">
        <v>1853</v>
      </c>
      <c r="M581" s="12" t="s">
        <v>1906</v>
      </c>
      <c r="N581" s="12" t="s">
        <v>3186</v>
      </c>
      <c r="O581" s="11" t="s">
        <v>1858</v>
      </c>
      <c r="P581" s="56"/>
    </row>
    <row r="582" spans="1:16" ht="15.75" customHeight="1" x14ac:dyDescent="0.2">
      <c r="A582" s="49">
        <v>1416</v>
      </c>
      <c r="B582" s="11" t="s">
        <v>1857</v>
      </c>
      <c r="C582" s="11" t="s">
        <v>1849</v>
      </c>
      <c r="D582" s="6" t="s">
        <v>1850</v>
      </c>
      <c r="E582" s="12" t="s">
        <v>1877</v>
      </c>
      <c r="F582" s="12" t="s">
        <v>1877</v>
      </c>
      <c r="G582" s="12" t="s">
        <v>1883</v>
      </c>
      <c r="H582" s="12" t="s">
        <v>1895</v>
      </c>
      <c r="I582" s="12" t="s">
        <v>2113</v>
      </c>
      <c r="J582" s="11" t="s">
        <v>1851</v>
      </c>
      <c r="K582" s="11" t="s">
        <v>1852</v>
      </c>
      <c r="L582" s="11" t="s">
        <v>1853</v>
      </c>
      <c r="M582" s="12" t="s">
        <v>2114</v>
      </c>
      <c r="N582" s="12"/>
      <c r="O582" s="11" t="s">
        <v>1858</v>
      </c>
      <c r="P582" s="56"/>
    </row>
    <row r="583" spans="1:16" ht="15.75" customHeight="1" x14ac:dyDescent="0.2">
      <c r="A583" s="49">
        <v>1826</v>
      </c>
      <c r="B583" s="11" t="s">
        <v>1857</v>
      </c>
      <c r="C583" s="11" t="s">
        <v>1849</v>
      </c>
      <c r="D583" s="6" t="s">
        <v>1850</v>
      </c>
      <c r="E583" s="12" t="s">
        <v>1877</v>
      </c>
      <c r="F583" s="12" t="s">
        <v>1877</v>
      </c>
      <c r="G583" s="12" t="s">
        <v>1880</v>
      </c>
      <c r="H583" s="12" t="s">
        <v>1886</v>
      </c>
      <c r="I583" s="12" t="s">
        <v>2115</v>
      </c>
      <c r="J583" s="11" t="s">
        <v>1856</v>
      </c>
      <c r="K583" s="11" t="s">
        <v>1852</v>
      </c>
      <c r="L583" s="11" t="s">
        <v>1853</v>
      </c>
      <c r="M583" s="12" t="s">
        <v>1854</v>
      </c>
      <c r="N583" s="12" t="s">
        <v>2116</v>
      </c>
      <c r="O583" s="11" t="s">
        <v>1860</v>
      </c>
      <c r="P583" s="56"/>
    </row>
    <row r="584" spans="1:16" ht="15.75" customHeight="1" x14ac:dyDescent="0.2">
      <c r="A584" s="49">
        <v>1817</v>
      </c>
      <c r="B584" s="11" t="s">
        <v>1857</v>
      </c>
      <c r="C584" s="11" t="s">
        <v>1849</v>
      </c>
      <c r="D584" s="6" t="s">
        <v>1850</v>
      </c>
      <c r="E584" s="12" t="s">
        <v>1877</v>
      </c>
      <c r="F584" s="12" t="s">
        <v>1877</v>
      </c>
      <c r="G584" s="12" t="s">
        <v>1880</v>
      </c>
      <c r="H584" s="12" t="s">
        <v>1910</v>
      </c>
      <c r="I584" s="12" t="s">
        <v>2117</v>
      </c>
      <c r="J584" s="11" t="s">
        <v>1856</v>
      </c>
      <c r="K584" s="11" t="s">
        <v>1852</v>
      </c>
      <c r="L584" s="11" t="s">
        <v>1853</v>
      </c>
      <c r="M584" s="12" t="s">
        <v>2109</v>
      </c>
      <c r="N584" s="12"/>
      <c r="O584" s="11" t="s">
        <v>1858</v>
      </c>
      <c r="P584" s="56"/>
    </row>
    <row r="585" spans="1:16" ht="15.75" customHeight="1" x14ac:dyDescent="0.2">
      <c r="A585" s="49">
        <v>2011</v>
      </c>
      <c r="B585" s="11" t="s">
        <v>1857</v>
      </c>
      <c r="C585" s="11" t="s">
        <v>1849</v>
      </c>
      <c r="D585" s="6" t="s">
        <v>1850</v>
      </c>
      <c r="E585" s="12" t="s">
        <v>1877</v>
      </c>
      <c r="F585" s="12" t="s">
        <v>1877</v>
      </c>
      <c r="G585" s="12" t="s">
        <v>2649</v>
      </c>
      <c r="H585" s="12" t="s">
        <v>2711</v>
      </c>
      <c r="I585" s="12" t="s">
        <v>3187</v>
      </c>
      <c r="J585" s="11" t="s">
        <v>1856</v>
      </c>
      <c r="K585" s="11" t="s">
        <v>1852</v>
      </c>
      <c r="L585" s="11" t="s">
        <v>1853</v>
      </c>
      <c r="M585" s="12" t="s">
        <v>1976</v>
      </c>
      <c r="N585" s="12" t="s">
        <v>3188</v>
      </c>
      <c r="O585" s="11" t="s">
        <v>1858</v>
      </c>
      <c r="P585" s="56"/>
    </row>
    <row r="586" spans="1:16" ht="15.75" customHeight="1" x14ac:dyDescent="0.2">
      <c r="A586" s="49">
        <v>1929</v>
      </c>
      <c r="B586" s="11" t="s">
        <v>1857</v>
      </c>
      <c r="C586" s="11" t="s">
        <v>1849</v>
      </c>
      <c r="D586" s="6" t="s">
        <v>1850</v>
      </c>
      <c r="E586" s="12" t="s">
        <v>1877</v>
      </c>
      <c r="F586" s="12" t="s">
        <v>1877</v>
      </c>
      <c r="G586" s="12" t="s">
        <v>2656</v>
      </c>
      <c r="H586" s="12" t="s">
        <v>3189</v>
      </c>
      <c r="I586" s="12" t="s">
        <v>3190</v>
      </c>
      <c r="J586" s="11" t="s">
        <v>1856</v>
      </c>
      <c r="K586" s="11" t="s">
        <v>1852</v>
      </c>
      <c r="L586" s="11" t="s">
        <v>1853</v>
      </c>
      <c r="M586" s="12" t="s">
        <v>3056</v>
      </c>
      <c r="N586" s="12"/>
      <c r="O586" s="11" t="s">
        <v>1860</v>
      </c>
      <c r="P586" s="56"/>
    </row>
    <row r="587" spans="1:16" ht="15.75" customHeight="1" x14ac:dyDescent="0.2">
      <c r="A587" s="49">
        <v>1615</v>
      </c>
      <c r="B587" s="11" t="s">
        <v>1857</v>
      </c>
      <c r="C587" s="11" t="s">
        <v>1849</v>
      </c>
      <c r="D587" s="6" t="s">
        <v>1850</v>
      </c>
      <c r="E587" s="12" t="s">
        <v>1877</v>
      </c>
      <c r="F587" s="12" t="s">
        <v>1877</v>
      </c>
      <c r="G587" s="12" t="s">
        <v>2653</v>
      </c>
      <c r="H587" s="12" t="s">
        <v>3024</v>
      </c>
      <c r="I587" s="12" t="s">
        <v>3191</v>
      </c>
      <c r="J587" s="11" t="s">
        <v>1856</v>
      </c>
      <c r="K587" s="11" t="s">
        <v>1852</v>
      </c>
      <c r="L587" s="11" t="s">
        <v>1853</v>
      </c>
      <c r="M587" s="12" t="s">
        <v>2118</v>
      </c>
      <c r="N587" s="12"/>
      <c r="O587" s="11" t="s">
        <v>1858</v>
      </c>
      <c r="P587" s="56"/>
    </row>
    <row r="588" spans="1:16" ht="15.75" customHeight="1" x14ac:dyDescent="0.2">
      <c r="A588" s="49">
        <v>1912</v>
      </c>
      <c r="B588" s="11" t="s">
        <v>1857</v>
      </c>
      <c r="C588" s="11" t="s">
        <v>1849</v>
      </c>
      <c r="D588" s="6" t="s">
        <v>1850</v>
      </c>
      <c r="E588" s="12" t="s">
        <v>1877</v>
      </c>
      <c r="F588" s="12" t="s">
        <v>1877</v>
      </c>
      <c r="G588" s="12" t="s">
        <v>2656</v>
      </c>
      <c r="H588" s="12" t="s">
        <v>2793</v>
      </c>
      <c r="I588" s="12" t="s">
        <v>3192</v>
      </c>
      <c r="J588" s="11" t="s">
        <v>1856</v>
      </c>
      <c r="K588" s="11" t="s">
        <v>1852</v>
      </c>
      <c r="L588" s="11" t="s">
        <v>1853</v>
      </c>
      <c r="M588" s="12" t="s">
        <v>3193</v>
      </c>
      <c r="N588" s="12" t="s">
        <v>3194</v>
      </c>
      <c r="O588" s="11" t="s">
        <v>1858</v>
      </c>
      <c r="P588" s="56"/>
    </row>
    <row r="589" spans="1:16" ht="15.75" customHeight="1" x14ac:dyDescent="0.2">
      <c r="A589" s="49">
        <v>5515</v>
      </c>
      <c r="B589" s="11" t="s">
        <v>1857</v>
      </c>
      <c r="C589" s="11" t="s">
        <v>1849</v>
      </c>
      <c r="D589" s="6" t="s">
        <v>1850</v>
      </c>
      <c r="E589" s="12" t="s">
        <v>1877</v>
      </c>
      <c r="F589" s="12" t="s">
        <v>1877</v>
      </c>
      <c r="G589" s="12" t="s">
        <v>1883</v>
      </c>
      <c r="H589" s="12" t="s">
        <v>1884</v>
      </c>
      <c r="I589" s="12" t="s">
        <v>2119</v>
      </c>
      <c r="J589" s="11" t="s">
        <v>1856</v>
      </c>
      <c r="K589" s="11" t="s">
        <v>1852</v>
      </c>
      <c r="L589" s="11" t="s">
        <v>1853</v>
      </c>
      <c r="M589" s="12" t="s">
        <v>1906</v>
      </c>
      <c r="N589" s="12"/>
      <c r="O589" s="11" t="s">
        <v>1858</v>
      </c>
      <c r="P589" s="56"/>
    </row>
    <row r="590" spans="1:16" ht="15.75" customHeight="1" x14ac:dyDescent="0.2">
      <c r="A590" s="49">
        <v>1392</v>
      </c>
      <c r="B590" s="11" t="s">
        <v>1857</v>
      </c>
      <c r="C590" s="11" t="s">
        <v>1849</v>
      </c>
      <c r="D590" s="6" t="s">
        <v>1850</v>
      </c>
      <c r="E590" s="12" t="s">
        <v>1877</v>
      </c>
      <c r="F590" s="12" t="s">
        <v>1877</v>
      </c>
      <c r="G590" s="12" t="s">
        <v>1883</v>
      </c>
      <c r="H590" s="12" t="s">
        <v>1918</v>
      </c>
      <c r="I590" s="12" t="s">
        <v>2120</v>
      </c>
      <c r="J590" s="11" t="s">
        <v>1856</v>
      </c>
      <c r="K590" s="11" t="s">
        <v>1852</v>
      </c>
      <c r="L590" s="11" t="s">
        <v>1853</v>
      </c>
      <c r="M590" s="12" t="s">
        <v>2053</v>
      </c>
      <c r="N590" s="12"/>
      <c r="O590" s="11" t="s">
        <v>1859</v>
      </c>
      <c r="P590" s="56"/>
    </row>
    <row r="591" spans="1:16" ht="15.75" customHeight="1" x14ac:dyDescent="0.2">
      <c r="A591" s="49">
        <v>1414</v>
      </c>
      <c r="B591" s="11" t="s">
        <v>1857</v>
      </c>
      <c r="C591" s="11" t="s">
        <v>1849</v>
      </c>
      <c r="D591" s="6" t="s">
        <v>1850</v>
      </c>
      <c r="E591" s="12" t="s">
        <v>1877</v>
      </c>
      <c r="F591" s="12" t="s">
        <v>1877</v>
      </c>
      <c r="G591" s="12" t="s">
        <v>1883</v>
      </c>
      <c r="H591" s="12" t="s">
        <v>1918</v>
      </c>
      <c r="I591" s="12" t="s">
        <v>2121</v>
      </c>
      <c r="J591" s="11" t="s">
        <v>1856</v>
      </c>
      <c r="K591" s="11" t="s">
        <v>1852</v>
      </c>
      <c r="L591" s="11" t="s">
        <v>1853</v>
      </c>
      <c r="M591" s="12" t="s">
        <v>2118</v>
      </c>
      <c r="N591" s="12"/>
      <c r="O591" s="11" t="s">
        <v>1858</v>
      </c>
      <c r="P591" s="56"/>
    </row>
    <row r="592" spans="1:16" ht="15.75" customHeight="1" x14ac:dyDescent="0.2">
      <c r="A592" s="49">
        <v>1773</v>
      </c>
      <c r="B592" s="11" t="s">
        <v>1857</v>
      </c>
      <c r="C592" s="11" t="s">
        <v>1849</v>
      </c>
      <c r="D592" s="6" t="s">
        <v>1850</v>
      </c>
      <c r="E592" s="12" t="s">
        <v>1877</v>
      </c>
      <c r="F592" s="12" t="s">
        <v>1877</v>
      </c>
      <c r="G592" s="12" t="s">
        <v>2619</v>
      </c>
      <c r="H592" s="12" t="s">
        <v>2723</v>
      </c>
      <c r="I592" s="12" t="s">
        <v>3195</v>
      </c>
      <c r="J592" s="11" t="s">
        <v>1856</v>
      </c>
      <c r="K592" s="11" t="s">
        <v>1852</v>
      </c>
      <c r="L592" s="11" t="s">
        <v>1853</v>
      </c>
      <c r="M592" s="12" t="s">
        <v>3095</v>
      </c>
      <c r="N592" s="12"/>
      <c r="O592" s="11" t="s">
        <v>1858</v>
      </c>
      <c r="P592" s="56"/>
    </row>
    <row r="593" spans="1:16" ht="15.75" customHeight="1" x14ac:dyDescent="0.2">
      <c r="A593" s="49">
        <v>1707</v>
      </c>
      <c r="B593" s="11" t="s">
        <v>1857</v>
      </c>
      <c r="C593" s="11" t="s">
        <v>1849</v>
      </c>
      <c r="D593" s="6" t="s">
        <v>1850</v>
      </c>
      <c r="E593" s="12" t="s">
        <v>1877</v>
      </c>
      <c r="F593" s="12" t="s">
        <v>1877</v>
      </c>
      <c r="G593" s="12" t="s">
        <v>2619</v>
      </c>
      <c r="H593" s="12" t="s">
        <v>2631</v>
      </c>
      <c r="I593" s="12" t="s">
        <v>3196</v>
      </c>
      <c r="J593" s="11" t="s">
        <v>1851</v>
      </c>
      <c r="K593" s="11" t="s">
        <v>1852</v>
      </c>
      <c r="L593" s="11" t="s">
        <v>1853</v>
      </c>
      <c r="M593" s="12" t="s">
        <v>3197</v>
      </c>
      <c r="N593" s="12" t="s">
        <v>3198</v>
      </c>
      <c r="O593" s="11" t="s">
        <v>1858</v>
      </c>
      <c r="P593" s="56"/>
    </row>
    <row r="594" spans="1:16" ht="15.75" customHeight="1" x14ac:dyDescent="0.2">
      <c r="A594" s="49">
        <v>1582</v>
      </c>
      <c r="B594" s="11" t="s">
        <v>1857</v>
      </c>
      <c r="C594" s="11" t="s">
        <v>1849</v>
      </c>
      <c r="D594" s="6" t="s">
        <v>1850</v>
      </c>
      <c r="E594" s="12" t="s">
        <v>1877</v>
      </c>
      <c r="F594" s="12" t="s">
        <v>1877</v>
      </c>
      <c r="G594" s="12" t="s">
        <v>2653</v>
      </c>
      <c r="H594" s="12" t="s">
        <v>2898</v>
      </c>
      <c r="I594" s="12" t="s">
        <v>3199</v>
      </c>
      <c r="J594" s="11" t="s">
        <v>1856</v>
      </c>
      <c r="K594" s="11" t="s">
        <v>1852</v>
      </c>
      <c r="L594" s="11" t="s">
        <v>1853</v>
      </c>
      <c r="M594" s="12" t="s">
        <v>3200</v>
      </c>
      <c r="N594" s="12" t="s">
        <v>3201</v>
      </c>
      <c r="O594" s="11" t="s">
        <v>1858</v>
      </c>
      <c r="P594" s="56"/>
    </row>
    <row r="595" spans="1:16" ht="15.75" customHeight="1" x14ac:dyDescent="0.2">
      <c r="A595" s="49">
        <v>2032</v>
      </c>
      <c r="B595" s="11" t="s">
        <v>1857</v>
      </c>
      <c r="C595" s="11" t="s">
        <v>1849</v>
      </c>
      <c r="D595" s="6" t="s">
        <v>1850</v>
      </c>
      <c r="E595" s="12" t="s">
        <v>1877</v>
      </c>
      <c r="F595" s="12" t="s">
        <v>1877</v>
      </c>
      <c r="G595" s="12" t="s">
        <v>2649</v>
      </c>
      <c r="H595" s="12" t="s">
        <v>2845</v>
      </c>
      <c r="I595" s="12" t="s">
        <v>3202</v>
      </c>
      <c r="J595" s="11" t="s">
        <v>1856</v>
      </c>
      <c r="K595" s="11" t="s">
        <v>1852</v>
      </c>
      <c r="L595" s="11" t="s">
        <v>1853</v>
      </c>
      <c r="M595" s="12" t="s">
        <v>3203</v>
      </c>
      <c r="N595" s="12"/>
      <c r="O595" s="11" t="s">
        <v>1858</v>
      </c>
      <c r="P595" s="56"/>
    </row>
    <row r="596" spans="1:16" ht="15.75" customHeight="1" x14ac:dyDescent="0.2">
      <c r="A596" s="49">
        <v>1784</v>
      </c>
      <c r="B596" s="11" t="s">
        <v>1857</v>
      </c>
      <c r="C596" s="11" t="s">
        <v>1849</v>
      </c>
      <c r="D596" s="6" t="s">
        <v>1850</v>
      </c>
      <c r="E596" s="12" t="s">
        <v>1877</v>
      </c>
      <c r="F596" s="12" t="s">
        <v>1877</v>
      </c>
      <c r="G596" s="12" t="s">
        <v>2619</v>
      </c>
      <c r="H596" s="12" t="s">
        <v>2661</v>
      </c>
      <c r="I596" s="12" t="s">
        <v>3204</v>
      </c>
      <c r="J596" s="11" t="s">
        <v>1856</v>
      </c>
      <c r="K596" s="11" t="s">
        <v>1852</v>
      </c>
      <c r="L596" s="11" t="s">
        <v>1853</v>
      </c>
      <c r="M596" s="12" t="s">
        <v>1854</v>
      </c>
      <c r="N596" s="12"/>
      <c r="O596" s="11" t="s">
        <v>1858</v>
      </c>
      <c r="P596" s="56"/>
    </row>
    <row r="597" spans="1:16" ht="15.75" customHeight="1" x14ac:dyDescent="0.2">
      <c r="A597" s="49">
        <v>2040</v>
      </c>
      <c r="B597" s="11" t="s">
        <v>1857</v>
      </c>
      <c r="C597" s="11" t="s">
        <v>1849</v>
      </c>
      <c r="D597" s="6" t="s">
        <v>1850</v>
      </c>
      <c r="E597" s="12" t="s">
        <v>1877</v>
      </c>
      <c r="F597" s="12" t="s">
        <v>1877</v>
      </c>
      <c r="G597" s="12" t="s">
        <v>2649</v>
      </c>
      <c r="H597" s="12" t="s">
        <v>2649</v>
      </c>
      <c r="I597" s="12" t="s">
        <v>3205</v>
      </c>
      <c r="J597" s="11" t="s">
        <v>1856</v>
      </c>
      <c r="K597" s="11" t="s">
        <v>1852</v>
      </c>
      <c r="L597" s="11" t="s">
        <v>1853</v>
      </c>
      <c r="M597" s="12" t="s">
        <v>3206</v>
      </c>
      <c r="N597" s="12" t="s">
        <v>3207</v>
      </c>
      <c r="O597" s="11" t="s">
        <v>1858</v>
      </c>
      <c r="P597" s="56"/>
    </row>
    <row r="598" spans="1:16" ht="15.75" customHeight="1" x14ac:dyDescent="0.2">
      <c r="A598" s="49">
        <v>1328</v>
      </c>
      <c r="B598" s="11" t="s">
        <v>1857</v>
      </c>
      <c r="C598" s="11" t="s">
        <v>1849</v>
      </c>
      <c r="D598" s="6" t="s">
        <v>1850</v>
      </c>
      <c r="E598" s="12" t="s">
        <v>1877</v>
      </c>
      <c r="F598" s="12" t="s">
        <v>1877</v>
      </c>
      <c r="G598" s="12" t="s">
        <v>2684</v>
      </c>
      <c r="H598" s="12" t="s">
        <v>3208</v>
      </c>
      <c r="I598" s="12" t="s">
        <v>3209</v>
      </c>
      <c r="J598" s="11" t="s">
        <v>1856</v>
      </c>
      <c r="K598" s="11" t="s">
        <v>1852</v>
      </c>
      <c r="L598" s="11" t="s">
        <v>1853</v>
      </c>
      <c r="M598" s="12" t="s">
        <v>1854</v>
      </c>
      <c r="N598" s="12"/>
      <c r="O598" s="11" t="s">
        <v>1858</v>
      </c>
      <c r="P598" s="56"/>
    </row>
    <row r="599" spans="1:16" ht="15.75" customHeight="1" x14ac:dyDescent="0.2">
      <c r="A599" s="49">
        <v>1604</v>
      </c>
      <c r="B599" s="11" t="s">
        <v>1857</v>
      </c>
      <c r="C599" s="11" t="s">
        <v>1849</v>
      </c>
      <c r="D599" s="6" t="s">
        <v>1850</v>
      </c>
      <c r="E599" s="12" t="s">
        <v>1877</v>
      </c>
      <c r="F599" s="12" t="s">
        <v>1877</v>
      </c>
      <c r="G599" s="12" t="s">
        <v>2653</v>
      </c>
      <c r="H599" s="12" t="s">
        <v>2693</v>
      </c>
      <c r="I599" s="12" t="s">
        <v>3210</v>
      </c>
      <c r="J599" s="11" t="s">
        <v>1856</v>
      </c>
      <c r="K599" s="11" t="s">
        <v>1852</v>
      </c>
      <c r="L599" s="11" t="s">
        <v>1853</v>
      </c>
      <c r="M599" s="12" t="s">
        <v>3211</v>
      </c>
      <c r="N599" s="12"/>
      <c r="O599" s="11" t="s">
        <v>1858</v>
      </c>
      <c r="P599" s="56"/>
    </row>
    <row r="600" spans="1:16" ht="15.75" customHeight="1" x14ac:dyDescent="0.2">
      <c r="A600" s="49">
        <v>1787</v>
      </c>
      <c r="B600" s="11" t="s">
        <v>1857</v>
      </c>
      <c r="C600" s="11" t="s">
        <v>1849</v>
      </c>
      <c r="D600" s="6" t="s">
        <v>1850</v>
      </c>
      <c r="E600" s="12" t="s">
        <v>1877</v>
      </c>
      <c r="F600" s="12" t="s">
        <v>1877</v>
      </c>
      <c r="G600" s="12" t="s">
        <v>2619</v>
      </c>
      <c r="H600" s="12" t="s">
        <v>2661</v>
      </c>
      <c r="I600" s="12" t="s">
        <v>3212</v>
      </c>
      <c r="J600" s="11" t="s">
        <v>1856</v>
      </c>
      <c r="K600" s="11" t="s">
        <v>1852</v>
      </c>
      <c r="L600" s="11" t="s">
        <v>1853</v>
      </c>
      <c r="M600" s="12" t="s">
        <v>3213</v>
      </c>
      <c r="N600" s="12" t="s">
        <v>3214</v>
      </c>
      <c r="O600" s="11" t="s">
        <v>1858</v>
      </c>
      <c r="P600" s="56"/>
    </row>
    <row r="601" spans="1:16" ht="15.75" customHeight="1" x14ac:dyDescent="0.2">
      <c r="A601" s="49">
        <v>1583</v>
      </c>
      <c r="B601" s="11" t="s">
        <v>1857</v>
      </c>
      <c r="C601" s="11" t="s">
        <v>1849</v>
      </c>
      <c r="D601" s="6" t="s">
        <v>1850</v>
      </c>
      <c r="E601" s="12" t="s">
        <v>1877</v>
      </c>
      <c r="F601" s="12" t="s">
        <v>1877</v>
      </c>
      <c r="G601" s="12" t="s">
        <v>2653</v>
      </c>
      <c r="H601" s="12" t="s">
        <v>2898</v>
      </c>
      <c r="I601" s="12" t="s">
        <v>3215</v>
      </c>
      <c r="J601" s="11" t="s">
        <v>1856</v>
      </c>
      <c r="K601" s="11" t="s">
        <v>1852</v>
      </c>
      <c r="L601" s="11" t="s">
        <v>1853</v>
      </c>
      <c r="M601" s="12" t="s">
        <v>3216</v>
      </c>
      <c r="N601" s="12"/>
      <c r="O601" s="11" t="s">
        <v>1858</v>
      </c>
      <c r="P601" s="56"/>
    </row>
    <row r="602" spans="1:16" ht="15.75" customHeight="1" x14ac:dyDescent="0.2">
      <c r="A602" s="49">
        <v>1454</v>
      </c>
      <c r="B602" s="11" t="s">
        <v>1857</v>
      </c>
      <c r="C602" s="11" t="s">
        <v>1849</v>
      </c>
      <c r="D602" s="6" t="s">
        <v>1850</v>
      </c>
      <c r="E602" s="12" t="s">
        <v>1877</v>
      </c>
      <c r="F602" s="12" t="s">
        <v>1877</v>
      </c>
      <c r="G602" s="12" t="s">
        <v>1883</v>
      </c>
      <c r="H602" s="12" t="s">
        <v>1889</v>
      </c>
      <c r="I602" s="12" t="s">
        <v>2122</v>
      </c>
      <c r="J602" s="11" t="s">
        <v>1856</v>
      </c>
      <c r="K602" s="11" t="s">
        <v>1852</v>
      </c>
      <c r="L602" s="11" t="s">
        <v>1853</v>
      </c>
      <c r="M602" s="12" t="s">
        <v>2011</v>
      </c>
      <c r="N602" s="12"/>
      <c r="O602" s="11" t="s">
        <v>1858</v>
      </c>
      <c r="P602" s="56"/>
    </row>
    <row r="603" spans="1:16" ht="15.75" customHeight="1" x14ac:dyDescent="0.2">
      <c r="A603" s="49">
        <v>1560</v>
      </c>
      <c r="B603" s="11" t="s">
        <v>1857</v>
      </c>
      <c r="C603" s="11" t="s">
        <v>1849</v>
      </c>
      <c r="D603" s="6" t="s">
        <v>1850</v>
      </c>
      <c r="E603" s="12" t="s">
        <v>1877</v>
      </c>
      <c r="F603" s="12" t="s">
        <v>1877</v>
      </c>
      <c r="G603" s="12" t="s">
        <v>2653</v>
      </c>
      <c r="H603" s="12" t="s">
        <v>2762</v>
      </c>
      <c r="I603" s="12" t="s">
        <v>3217</v>
      </c>
      <c r="J603" s="11" t="s">
        <v>1856</v>
      </c>
      <c r="K603" s="11" t="s">
        <v>1852</v>
      </c>
      <c r="L603" s="11" t="s">
        <v>1853</v>
      </c>
      <c r="M603" s="12" t="s">
        <v>3218</v>
      </c>
      <c r="N603" s="12" t="s">
        <v>3219</v>
      </c>
      <c r="O603" s="11" t="s">
        <v>1858</v>
      </c>
      <c r="P603" s="56"/>
    </row>
    <row r="604" spans="1:16" ht="15.75" customHeight="1" x14ac:dyDescent="0.2">
      <c r="A604" s="49">
        <v>1911</v>
      </c>
      <c r="B604" s="11" t="s">
        <v>1857</v>
      </c>
      <c r="C604" s="11" t="s">
        <v>1849</v>
      </c>
      <c r="D604" s="6" t="s">
        <v>1850</v>
      </c>
      <c r="E604" s="12" t="s">
        <v>1877</v>
      </c>
      <c r="F604" s="12" t="s">
        <v>1877</v>
      </c>
      <c r="G604" s="12" t="s">
        <v>2656</v>
      </c>
      <c r="H604" s="12" t="s">
        <v>3151</v>
      </c>
      <c r="I604" s="12" t="s">
        <v>2483</v>
      </c>
      <c r="J604" s="11" t="s">
        <v>1856</v>
      </c>
      <c r="K604" s="11" t="s">
        <v>1852</v>
      </c>
      <c r="L604" s="11" t="s">
        <v>1853</v>
      </c>
      <c r="M604" s="12" t="s">
        <v>3220</v>
      </c>
      <c r="N604" s="12"/>
      <c r="O604" s="11" t="s">
        <v>1869</v>
      </c>
      <c r="P604" s="56"/>
    </row>
    <row r="605" spans="1:16" ht="15.75" customHeight="1" x14ac:dyDescent="0.2">
      <c r="A605" s="49">
        <v>1903</v>
      </c>
      <c r="B605" s="11" t="s">
        <v>1857</v>
      </c>
      <c r="C605" s="11" t="s">
        <v>1849</v>
      </c>
      <c r="D605" s="6" t="s">
        <v>1850</v>
      </c>
      <c r="E605" s="12" t="s">
        <v>1877</v>
      </c>
      <c r="F605" s="12" t="s">
        <v>1877</v>
      </c>
      <c r="G605" s="12" t="s">
        <v>2656</v>
      </c>
      <c r="H605" s="12" t="s">
        <v>2793</v>
      </c>
      <c r="I605" s="12" t="s">
        <v>3221</v>
      </c>
      <c r="J605" s="11" t="s">
        <v>1856</v>
      </c>
      <c r="K605" s="11" t="s">
        <v>1852</v>
      </c>
      <c r="L605" s="11" t="s">
        <v>1853</v>
      </c>
      <c r="M605" s="12" t="s">
        <v>3222</v>
      </c>
      <c r="N605" s="12"/>
      <c r="O605" s="11" t="s">
        <v>1859</v>
      </c>
      <c r="P605" s="56"/>
    </row>
    <row r="606" spans="1:16" ht="15.75" customHeight="1" x14ac:dyDescent="0.2">
      <c r="A606" s="49">
        <v>1709</v>
      </c>
      <c r="B606" s="11" t="s">
        <v>1857</v>
      </c>
      <c r="C606" s="11" t="s">
        <v>1849</v>
      </c>
      <c r="D606" s="6" t="s">
        <v>1850</v>
      </c>
      <c r="E606" s="12" t="s">
        <v>1877</v>
      </c>
      <c r="F606" s="12" t="s">
        <v>1877</v>
      </c>
      <c r="G606" s="12" t="s">
        <v>2619</v>
      </c>
      <c r="H606" s="12" t="s">
        <v>2619</v>
      </c>
      <c r="I606" s="12" t="s">
        <v>3223</v>
      </c>
      <c r="J606" s="11" t="s">
        <v>1851</v>
      </c>
      <c r="K606" s="11" t="s">
        <v>1852</v>
      </c>
      <c r="L606" s="11" t="s">
        <v>1853</v>
      </c>
      <c r="M606" s="12" t="s">
        <v>3224</v>
      </c>
      <c r="N606" s="12"/>
      <c r="O606" s="11" t="s">
        <v>1858</v>
      </c>
      <c r="P606" s="56"/>
    </row>
    <row r="607" spans="1:16" ht="15.75" customHeight="1" x14ac:dyDescent="0.2">
      <c r="A607" s="49">
        <v>1933</v>
      </c>
      <c r="B607" s="11" t="s">
        <v>1857</v>
      </c>
      <c r="C607" s="11" t="s">
        <v>1849</v>
      </c>
      <c r="D607" s="6" t="s">
        <v>1850</v>
      </c>
      <c r="E607" s="12" t="s">
        <v>1877</v>
      </c>
      <c r="F607" s="12" t="s">
        <v>1877</v>
      </c>
      <c r="G607" s="12" t="s">
        <v>2627</v>
      </c>
      <c r="H607" s="12" t="s">
        <v>3189</v>
      </c>
      <c r="I607" s="12" t="s">
        <v>3225</v>
      </c>
      <c r="J607" s="11" t="s">
        <v>1856</v>
      </c>
      <c r="K607" s="11" t="s">
        <v>1852</v>
      </c>
      <c r="L607" s="11" t="s">
        <v>1853</v>
      </c>
      <c r="M607" s="12" t="s">
        <v>1854</v>
      </c>
      <c r="N607" s="12"/>
      <c r="O607" s="11" t="s">
        <v>1859</v>
      </c>
      <c r="P607" s="56"/>
    </row>
    <row r="608" spans="1:16" ht="15.75" customHeight="1" x14ac:dyDescent="0.2">
      <c r="A608" s="49">
        <v>1622</v>
      </c>
      <c r="B608" s="11" t="s">
        <v>1857</v>
      </c>
      <c r="C608" s="11" t="s">
        <v>1849</v>
      </c>
      <c r="D608" s="6" t="s">
        <v>1850</v>
      </c>
      <c r="E608" s="12" t="s">
        <v>1877</v>
      </c>
      <c r="F608" s="12" t="s">
        <v>1877</v>
      </c>
      <c r="G608" s="12" t="s">
        <v>2658</v>
      </c>
      <c r="H608" s="12" t="s">
        <v>3161</v>
      </c>
      <c r="I608" s="12" t="s">
        <v>3226</v>
      </c>
      <c r="J608" s="11" t="s">
        <v>1856</v>
      </c>
      <c r="K608" s="11" t="s">
        <v>1852</v>
      </c>
      <c r="L608" s="11" t="s">
        <v>1853</v>
      </c>
      <c r="M608" s="12" t="s">
        <v>3227</v>
      </c>
      <c r="N608" s="12" t="s">
        <v>2767</v>
      </c>
      <c r="O608" s="11" t="s">
        <v>3228</v>
      </c>
      <c r="P608" s="56" t="s">
        <v>3069</v>
      </c>
    </row>
    <row r="609" spans="1:16" ht="15.75" customHeight="1" x14ac:dyDescent="0.2">
      <c r="A609" s="49">
        <v>1624</v>
      </c>
      <c r="B609" s="11" t="s">
        <v>1857</v>
      </c>
      <c r="C609" s="11" t="s">
        <v>1849</v>
      </c>
      <c r="D609" s="6" t="s">
        <v>1850</v>
      </c>
      <c r="E609" s="12" t="s">
        <v>1877</v>
      </c>
      <c r="F609" s="12" t="s">
        <v>1877</v>
      </c>
      <c r="G609" s="12" t="s">
        <v>2653</v>
      </c>
      <c r="H609" s="12" t="s">
        <v>2732</v>
      </c>
      <c r="I609" s="12" t="s">
        <v>3229</v>
      </c>
      <c r="J609" s="11" t="s">
        <v>1856</v>
      </c>
      <c r="K609" s="11" t="s">
        <v>1852</v>
      </c>
      <c r="L609" s="11" t="s">
        <v>1853</v>
      </c>
      <c r="M609" s="12" t="s">
        <v>3230</v>
      </c>
      <c r="N609" s="12"/>
      <c r="O609" s="11" t="s">
        <v>1858</v>
      </c>
      <c r="P609" s="56"/>
    </row>
    <row r="610" spans="1:16" ht="15.75" customHeight="1" x14ac:dyDescent="0.2">
      <c r="A610" s="49">
        <v>1497</v>
      </c>
      <c r="B610" s="11" t="s">
        <v>1857</v>
      </c>
      <c r="C610" s="11" t="s">
        <v>1849</v>
      </c>
      <c r="D610" s="6" t="s">
        <v>1850</v>
      </c>
      <c r="E610" s="12" t="s">
        <v>1877</v>
      </c>
      <c r="F610" s="12" t="s">
        <v>1877</v>
      </c>
      <c r="G610" s="12" t="s">
        <v>2658</v>
      </c>
      <c r="H610" s="12" t="s">
        <v>2743</v>
      </c>
      <c r="I610" s="12" t="s">
        <v>3231</v>
      </c>
      <c r="J610" s="11" t="s">
        <v>1856</v>
      </c>
      <c r="K610" s="11" t="s">
        <v>1852</v>
      </c>
      <c r="L610" s="11" t="s">
        <v>1853</v>
      </c>
      <c r="M610" s="12" t="s">
        <v>3232</v>
      </c>
      <c r="N610" s="12"/>
      <c r="O610" s="11" t="s">
        <v>1858</v>
      </c>
      <c r="P610" s="56"/>
    </row>
    <row r="611" spans="1:16" ht="15.75" customHeight="1" x14ac:dyDescent="0.2">
      <c r="A611" s="49">
        <v>1798</v>
      </c>
      <c r="B611" s="11" t="s">
        <v>1857</v>
      </c>
      <c r="C611" s="11" t="s">
        <v>1849</v>
      </c>
      <c r="D611" s="6" t="s">
        <v>1850</v>
      </c>
      <c r="E611" s="12" t="s">
        <v>1877</v>
      </c>
      <c r="F611" s="12" t="s">
        <v>1877</v>
      </c>
      <c r="G611" s="12" t="s">
        <v>1880</v>
      </c>
      <c r="H611" s="12" t="s">
        <v>1892</v>
      </c>
      <c r="I611" s="12" t="s">
        <v>2123</v>
      </c>
      <c r="J611" s="11" t="s">
        <v>1856</v>
      </c>
      <c r="K611" s="11" t="s">
        <v>1852</v>
      </c>
      <c r="L611" s="11" t="s">
        <v>1853</v>
      </c>
      <c r="M611" s="12" t="s">
        <v>2091</v>
      </c>
      <c r="N611" s="12"/>
      <c r="O611" s="11" t="s">
        <v>1858</v>
      </c>
      <c r="P611" s="56"/>
    </row>
    <row r="612" spans="1:16" ht="15.75" customHeight="1" x14ac:dyDescent="0.2">
      <c r="A612" s="49">
        <v>1628</v>
      </c>
      <c r="B612" s="11" t="s">
        <v>1857</v>
      </c>
      <c r="C612" s="11" t="s">
        <v>1849</v>
      </c>
      <c r="D612" s="6" t="s">
        <v>1850</v>
      </c>
      <c r="E612" s="12" t="s">
        <v>1877</v>
      </c>
      <c r="F612" s="12" t="s">
        <v>1877</v>
      </c>
      <c r="G612" s="12" t="s">
        <v>2653</v>
      </c>
      <c r="H612" s="12" t="s">
        <v>2728</v>
      </c>
      <c r="I612" s="12" t="s">
        <v>2523</v>
      </c>
      <c r="J612" s="11" t="s">
        <v>1856</v>
      </c>
      <c r="K612" s="11" t="s">
        <v>1852</v>
      </c>
      <c r="L612" s="11" t="s">
        <v>1853</v>
      </c>
      <c r="M612" s="12" t="s">
        <v>3233</v>
      </c>
      <c r="N612" s="12"/>
      <c r="O612" s="11" t="s">
        <v>1859</v>
      </c>
      <c r="P612" s="56"/>
    </row>
    <row r="613" spans="1:16" ht="15.75" customHeight="1" x14ac:dyDescent="0.2">
      <c r="A613" s="49">
        <v>1632</v>
      </c>
      <c r="B613" s="11" t="s">
        <v>1857</v>
      </c>
      <c r="C613" s="11" t="s">
        <v>1849</v>
      </c>
      <c r="D613" s="6" t="s">
        <v>1850</v>
      </c>
      <c r="E613" s="12" t="s">
        <v>1877</v>
      </c>
      <c r="F613" s="12" t="s">
        <v>1877</v>
      </c>
      <c r="G613" s="12" t="s">
        <v>2619</v>
      </c>
      <c r="H613" s="12" t="s">
        <v>2661</v>
      </c>
      <c r="I613" s="12" t="s">
        <v>3234</v>
      </c>
      <c r="J613" s="11" t="s">
        <v>1856</v>
      </c>
      <c r="K613" s="11" t="s">
        <v>1852</v>
      </c>
      <c r="L613" s="11" t="s">
        <v>1853</v>
      </c>
      <c r="M613" s="12" t="s">
        <v>1854</v>
      </c>
      <c r="N613" s="12"/>
      <c r="O613" s="11" t="s">
        <v>1858</v>
      </c>
      <c r="P613" s="56"/>
    </row>
    <row r="614" spans="1:16" ht="15.75" customHeight="1" x14ac:dyDescent="0.2">
      <c r="A614" s="49">
        <v>1329</v>
      </c>
      <c r="B614" s="11" t="s">
        <v>1857</v>
      </c>
      <c r="C614" s="11" t="s">
        <v>1849</v>
      </c>
      <c r="D614" s="6" t="s">
        <v>1850</v>
      </c>
      <c r="E614" s="12" t="s">
        <v>1877</v>
      </c>
      <c r="F614" s="12" t="s">
        <v>1877</v>
      </c>
      <c r="G614" s="12" t="s">
        <v>2684</v>
      </c>
      <c r="H614" s="12" t="s">
        <v>3208</v>
      </c>
      <c r="I614" s="12" t="s">
        <v>3235</v>
      </c>
      <c r="J614" s="11" t="s">
        <v>1856</v>
      </c>
      <c r="K614" s="11" t="s">
        <v>1852</v>
      </c>
      <c r="L614" s="11" t="s">
        <v>1853</v>
      </c>
      <c r="M614" s="12" t="s">
        <v>3236</v>
      </c>
      <c r="N614" s="12" t="s">
        <v>3237</v>
      </c>
      <c r="O614" s="11" t="s">
        <v>1860</v>
      </c>
      <c r="P614" s="56"/>
    </row>
    <row r="615" spans="1:16" ht="15.75" customHeight="1" x14ac:dyDescent="0.2">
      <c r="A615" s="49">
        <v>1993</v>
      </c>
      <c r="B615" s="11" t="s">
        <v>1857</v>
      </c>
      <c r="C615" s="11" t="s">
        <v>1849</v>
      </c>
      <c r="D615" s="6" t="s">
        <v>1850</v>
      </c>
      <c r="E615" s="12" t="s">
        <v>1877</v>
      </c>
      <c r="F615" s="12" t="s">
        <v>1877</v>
      </c>
      <c r="G615" s="12" t="s">
        <v>2649</v>
      </c>
      <c r="H615" s="12" t="s">
        <v>2650</v>
      </c>
      <c r="I615" s="12" t="s">
        <v>3238</v>
      </c>
      <c r="J615" s="11" t="s">
        <v>1856</v>
      </c>
      <c r="K615" s="11" t="s">
        <v>1852</v>
      </c>
      <c r="L615" s="11" t="s">
        <v>1853</v>
      </c>
      <c r="M615" s="12" t="s">
        <v>3239</v>
      </c>
      <c r="N615" s="12" t="s">
        <v>3240</v>
      </c>
      <c r="O615" s="11" t="s">
        <v>1858</v>
      </c>
      <c r="P615" s="56"/>
    </row>
    <row r="616" spans="1:16" ht="15.75" customHeight="1" x14ac:dyDescent="0.2">
      <c r="A616" s="49">
        <v>1606</v>
      </c>
      <c r="B616" s="11" t="s">
        <v>1857</v>
      </c>
      <c r="C616" s="11" t="s">
        <v>1849</v>
      </c>
      <c r="D616" s="6" t="s">
        <v>1850</v>
      </c>
      <c r="E616" s="12" t="s">
        <v>1877</v>
      </c>
      <c r="F616" s="12" t="s">
        <v>1877</v>
      </c>
      <c r="G616" s="12" t="s">
        <v>2653</v>
      </c>
      <c r="H616" s="12" t="s">
        <v>2654</v>
      </c>
      <c r="I616" s="12" t="s">
        <v>3241</v>
      </c>
      <c r="J616" s="11" t="s">
        <v>1856</v>
      </c>
      <c r="K616" s="11" t="s">
        <v>1852</v>
      </c>
      <c r="L616" s="11" t="s">
        <v>1853</v>
      </c>
      <c r="M616" s="12" t="s">
        <v>1971</v>
      </c>
      <c r="N616" s="12" t="s">
        <v>3242</v>
      </c>
      <c r="O616" s="11" t="s">
        <v>1858</v>
      </c>
      <c r="P616" s="56"/>
    </row>
    <row r="617" spans="1:16" ht="15.75" customHeight="1" x14ac:dyDescent="0.2">
      <c r="A617" s="49">
        <v>1613</v>
      </c>
      <c r="B617" s="11" t="s">
        <v>1857</v>
      </c>
      <c r="C617" s="11" t="s">
        <v>1849</v>
      </c>
      <c r="D617" s="6" t="s">
        <v>1850</v>
      </c>
      <c r="E617" s="12" t="s">
        <v>1877</v>
      </c>
      <c r="F617" s="12" t="s">
        <v>1877</v>
      </c>
      <c r="G617" s="12" t="s">
        <v>2653</v>
      </c>
      <c r="H617" s="12" t="s">
        <v>2654</v>
      </c>
      <c r="I617" s="12" t="s">
        <v>3243</v>
      </c>
      <c r="J617" s="11" t="s">
        <v>1856</v>
      </c>
      <c r="K617" s="11" t="s">
        <v>1852</v>
      </c>
      <c r="L617" s="11" t="s">
        <v>1853</v>
      </c>
      <c r="M617" s="12" t="s">
        <v>2683</v>
      </c>
      <c r="N617" s="12" t="s">
        <v>3244</v>
      </c>
      <c r="O617" s="11" t="s">
        <v>1858</v>
      </c>
      <c r="P617" s="56"/>
    </row>
    <row r="618" spans="1:16" ht="15.75" customHeight="1" x14ac:dyDescent="0.2">
      <c r="A618" s="49">
        <v>1614</v>
      </c>
      <c r="B618" s="11" t="s">
        <v>1857</v>
      </c>
      <c r="C618" s="11" t="s">
        <v>1849</v>
      </c>
      <c r="D618" s="6" t="s">
        <v>1850</v>
      </c>
      <c r="E618" s="12" t="s">
        <v>1877</v>
      </c>
      <c r="F618" s="12" t="s">
        <v>1877</v>
      </c>
      <c r="G618" s="12" t="s">
        <v>2653</v>
      </c>
      <c r="H618" s="12" t="s">
        <v>2654</v>
      </c>
      <c r="I618" s="12" t="s">
        <v>3245</v>
      </c>
      <c r="J618" s="11" t="s">
        <v>1856</v>
      </c>
      <c r="K618" s="11" t="s">
        <v>1852</v>
      </c>
      <c r="L618" s="11" t="s">
        <v>1853</v>
      </c>
      <c r="M618" s="12" t="s">
        <v>3246</v>
      </c>
      <c r="N618" s="12" t="s">
        <v>3247</v>
      </c>
      <c r="O618" s="11" t="s">
        <v>1858</v>
      </c>
      <c r="P618" s="56"/>
    </row>
    <row r="619" spans="1:16" ht="15.75" customHeight="1" x14ac:dyDescent="0.2">
      <c r="A619" s="49">
        <v>1505</v>
      </c>
      <c r="B619" s="11" t="s">
        <v>1857</v>
      </c>
      <c r="C619" s="11" t="s">
        <v>1849</v>
      </c>
      <c r="D619" s="6" t="s">
        <v>1850</v>
      </c>
      <c r="E619" s="12" t="s">
        <v>1877</v>
      </c>
      <c r="F619" s="12" t="s">
        <v>1877</v>
      </c>
      <c r="G619" s="12" t="s">
        <v>2658</v>
      </c>
      <c r="H619" s="12" t="s">
        <v>3248</v>
      </c>
      <c r="I619" s="12" t="s">
        <v>3249</v>
      </c>
      <c r="J619" s="11" t="s">
        <v>1856</v>
      </c>
      <c r="K619" s="11" t="s">
        <v>1852</v>
      </c>
      <c r="L619" s="11" t="s">
        <v>1853</v>
      </c>
      <c r="M619" s="12" t="s">
        <v>3250</v>
      </c>
      <c r="N619" s="12"/>
      <c r="O619" s="11" t="s">
        <v>1859</v>
      </c>
      <c r="P619" s="56"/>
    </row>
    <row r="620" spans="1:16" ht="15.75" customHeight="1" x14ac:dyDescent="0.2">
      <c r="A620" s="49">
        <v>1559</v>
      </c>
      <c r="B620" s="11" t="s">
        <v>1857</v>
      </c>
      <c r="C620" s="11" t="s">
        <v>1849</v>
      </c>
      <c r="D620" s="6" t="s">
        <v>1850</v>
      </c>
      <c r="E620" s="12" t="s">
        <v>1877</v>
      </c>
      <c r="F620" s="12" t="s">
        <v>1877</v>
      </c>
      <c r="G620" s="12" t="s">
        <v>2653</v>
      </c>
      <c r="H620" s="12" t="s">
        <v>3004</v>
      </c>
      <c r="I620" s="12" t="s">
        <v>3251</v>
      </c>
      <c r="J620" s="11" t="s">
        <v>1856</v>
      </c>
      <c r="K620" s="11" t="s">
        <v>1852</v>
      </c>
      <c r="L620" s="11" t="s">
        <v>1853</v>
      </c>
      <c r="M620" s="12" t="s">
        <v>3252</v>
      </c>
      <c r="N620" s="12" t="s">
        <v>3253</v>
      </c>
      <c r="O620" s="11" t="s">
        <v>1858</v>
      </c>
      <c r="P620" s="56"/>
    </row>
    <row r="621" spans="1:16" ht="15.75" customHeight="1" x14ac:dyDescent="0.2">
      <c r="A621" s="49">
        <v>1843</v>
      </c>
      <c r="B621" s="11" t="s">
        <v>1857</v>
      </c>
      <c r="C621" s="11" t="s">
        <v>1849</v>
      </c>
      <c r="D621" s="6" t="s">
        <v>1850</v>
      </c>
      <c r="E621" s="12" t="s">
        <v>1877</v>
      </c>
      <c r="F621" s="12" t="s">
        <v>1877</v>
      </c>
      <c r="G621" s="12" t="s">
        <v>1914</v>
      </c>
      <c r="H621" s="12" t="s">
        <v>1937</v>
      </c>
      <c r="I621" s="12" t="s">
        <v>2124</v>
      </c>
      <c r="J621" s="11" t="s">
        <v>1856</v>
      </c>
      <c r="K621" s="11" t="s">
        <v>1852</v>
      </c>
      <c r="L621" s="11" t="s">
        <v>1853</v>
      </c>
      <c r="M621" s="12" t="s">
        <v>1905</v>
      </c>
      <c r="N621" s="12"/>
      <c r="O621" s="11" t="s">
        <v>1859</v>
      </c>
      <c r="P621" s="56"/>
    </row>
    <row r="622" spans="1:16" ht="15.75" customHeight="1" x14ac:dyDescent="0.2">
      <c r="A622" s="49">
        <v>1642</v>
      </c>
      <c r="B622" s="11" t="s">
        <v>1857</v>
      </c>
      <c r="C622" s="11" t="s">
        <v>1849</v>
      </c>
      <c r="D622" s="6" t="s">
        <v>1850</v>
      </c>
      <c r="E622" s="12" t="s">
        <v>1877</v>
      </c>
      <c r="F622" s="12" t="s">
        <v>1877</v>
      </c>
      <c r="G622" s="12" t="s">
        <v>2653</v>
      </c>
      <c r="H622" s="12" t="s">
        <v>2835</v>
      </c>
      <c r="I622" s="12" t="s">
        <v>3254</v>
      </c>
      <c r="J622" s="11" t="s">
        <v>1856</v>
      </c>
      <c r="K622" s="11" t="s">
        <v>1852</v>
      </c>
      <c r="L622" s="11" t="s">
        <v>1853</v>
      </c>
      <c r="M622" s="12" t="s">
        <v>1854</v>
      </c>
      <c r="N622" s="12"/>
      <c r="O622" s="11" t="s">
        <v>1858</v>
      </c>
      <c r="P622" s="56"/>
    </row>
    <row r="623" spans="1:16" ht="15.75" customHeight="1" x14ac:dyDescent="0.2">
      <c r="A623" s="49">
        <v>2078</v>
      </c>
      <c r="B623" s="11" t="s">
        <v>1857</v>
      </c>
      <c r="C623" s="11" t="s">
        <v>1849</v>
      </c>
      <c r="D623" s="6" t="s">
        <v>1850</v>
      </c>
      <c r="E623" s="12" t="s">
        <v>1877</v>
      </c>
      <c r="F623" s="12" t="s">
        <v>1877</v>
      </c>
      <c r="G623" s="12" t="s">
        <v>2623</v>
      </c>
      <c r="H623" s="12" t="s">
        <v>2768</v>
      </c>
      <c r="I623" s="12" t="s">
        <v>3255</v>
      </c>
      <c r="J623" s="11" t="s">
        <v>1856</v>
      </c>
      <c r="K623" s="11" t="s">
        <v>1852</v>
      </c>
      <c r="L623" s="11" t="s">
        <v>1853</v>
      </c>
      <c r="M623" s="12" t="s">
        <v>2047</v>
      </c>
      <c r="N623" s="12"/>
      <c r="O623" s="11" t="s">
        <v>1859</v>
      </c>
      <c r="P623" s="56"/>
    </row>
    <row r="624" spans="1:16" ht="15.75" customHeight="1" x14ac:dyDescent="0.2">
      <c r="A624" s="49">
        <v>2096</v>
      </c>
      <c r="B624" s="11" t="s">
        <v>1857</v>
      </c>
      <c r="C624" s="11" t="s">
        <v>1849</v>
      </c>
      <c r="D624" s="6" t="s">
        <v>1850</v>
      </c>
      <c r="E624" s="12" t="s">
        <v>1877</v>
      </c>
      <c r="F624" s="12" t="s">
        <v>1877</v>
      </c>
      <c r="G624" s="12" t="s">
        <v>2623</v>
      </c>
      <c r="H624" s="12" t="s">
        <v>2624</v>
      </c>
      <c r="I624" s="12" t="s">
        <v>3256</v>
      </c>
      <c r="J624" s="11" t="s">
        <v>1856</v>
      </c>
      <c r="K624" s="11" t="s">
        <v>1852</v>
      </c>
      <c r="L624" s="11" t="s">
        <v>1853</v>
      </c>
      <c r="M624" s="12" t="s">
        <v>2076</v>
      </c>
      <c r="N624" s="12"/>
      <c r="O624" s="11" t="s">
        <v>1860</v>
      </c>
      <c r="P624" s="56"/>
    </row>
    <row r="625" spans="1:16" ht="15.75" customHeight="1" x14ac:dyDescent="0.2">
      <c r="A625" s="49">
        <v>1455</v>
      </c>
      <c r="B625" s="11" t="s">
        <v>1857</v>
      </c>
      <c r="C625" s="11" t="s">
        <v>1849</v>
      </c>
      <c r="D625" s="6" t="s">
        <v>1850</v>
      </c>
      <c r="E625" s="12" t="s">
        <v>1877</v>
      </c>
      <c r="F625" s="12" t="s">
        <v>1877</v>
      </c>
      <c r="G625" s="12" t="s">
        <v>1883</v>
      </c>
      <c r="H625" s="12" t="s">
        <v>1889</v>
      </c>
      <c r="I625" s="12" t="s">
        <v>2125</v>
      </c>
      <c r="J625" s="11" t="s">
        <v>1856</v>
      </c>
      <c r="K625" s="11" t="s">
        <v>1852</v>
      </c>
      <c r="L625" s="11" t="s">
        <v>1853</v>
      </c>
      <c r="M625" s="12" t="s">
        <v>2126</v>
      </c>
      <c r="N625" s="12" t="s">
        <v>2127</v>
      </c>
      <c r="O625" s="11" t="s">
        <v>1858</v>
      </c>
      <c r="P625" s="56"/>
    </row>
    <row r="626" spans="1:16" ht="15.75" customHeight="1" x14ac:dyDescent="0.2">
      <c r="A626" s="49">
        <v>1506</v>
      </c>
      <c r="B626" s="11" t="s">
        <v>1857</v>
      </c>
      <c r="C626" s="11" t="s">
        <v>1849</v>
      </c>
      <c r="D626" s="6" t="s">
        <v>1850</v>
      </c>
      <c r="E626" s="12" t="s">
        <v>1877</v>
      </c>
      <c r="F626" s="12" t="s">
        <v>1877</v>
      </c>
      <c r="G626" s="12" t="s">
        <v>2658</v>
      </c>
      <c r="H626" s="12" t="s">
        <v>3248</v>
      </c>
      <c r="I626" s="12" t="s">
        <v>3257</v>
      </c>
      <c r="J626" s="11" t="s">
        <v>1856</v>
      </c>
      <c r="K626" s="11" t="s">
        <v>1852</v>
      </c>
      <c r="L626" s="11" t="s">
        <v>1853</v>
      </c>
      <c r="M626" s="12" t="s">
        <v>2039</v>
      </c>
      <c r="N626" s="12"/>
      <c r="O626" s="11" t="s">
        <v>1858</v>
      </c>
      <c r="P626" s="56"/>
    </row>
    <row r="627" spans="1:16" ht="15.75" customHeight="1" x14ac:dyDescent="0.2">
      <c r="A627" s="49">
        <v>1413</v>
      </c>
      <c r="B627" s="11" t="s">
        <v>1857</v>
      </c>
      <c r="C627" s="11" t="s">
        <v>1849</v>
      </c>
      <c r="D627" s="6" t="s">
        <v>1850</v>
      </c>
      <c r="E627" s="12" t="s">
        <v>1877</v>
      </c>
      <c r="F627" s="12" t="s">
        <v>1877</v>
      </c>
      <c r="G627" s="12" t="s">
        <v>1883</v>
      </c>
      <c r="H627" s="12" t="s">
        <v>1895</v>
      </c>
      <c r="I627" s="12" t="s">
        <v>2128</v>
      </c>
      <c r="J627" s="11" t="s">
        <v>1851</v>
      </c>
      <c r="K627" s="11" t="s">
        <v>1852</v>
      </c>
      <c r="L627" s="11" t="s">
        <v>1853</v>
      </c>
      <c r="M627" s="12" t="s">
        <v>2129</v>
      </c>
      <c r="N627" s="12" t="s">
        <v>2130</v>
      </c>
      <c r="O627" s="11" t="s">
        <v>1858</v>
      </c>
      <c r="P627" s="56"/>
    </row>
    <row r="628" spans="1:16" ht="15.75" customHeight="1" x14ac:dyDescent="0.2">
      <c r="A628" s="49">
        <v>1344</v>
      </c>
      <c r="B628" s="11" t="s">
        <v>1857</v>
      </c>
      <c r="C628" s="11" t="s">
        <v>1849</v>
      </c>
      <c r="D628" s="6" t="s">
        <v>1850</v>
      </c>
      <c r="E628" s="12" t="s">
        <v>1877</v>
      </c>
      <c r="F628" s="12" t="s">
        <v>1877</v>
      </c>
      <c r="G628" s="12" t="s">
        <v>1883</v>
      </c>
      <c r="H628" s="12" t="s">
        <v>1918</v>
      </c>
      <c r="I628" s="12" t="s">
        <v>2131</v>
      </c>
      <c r="J628" s="11" t="s">
        <v>1856</v>
      </c>
      <c r="K628" s="11" t="s">
        <v>1852</v>
      </c>
      <c r="L628" s="11" t="s">
        <v>1853</v>
      </c>
      <c r="M628" s="12" t="s">
        <v>2132</v>
      </c>
      <c r="N628" s="12" t="s">
        <v>2133</v>
      </c>
      <c r="O628" s="11" t="s">
        <v>1859</v>
      </c>
      <c r="P628" s="56"/>
    </row>
    <row r="629" spans="1:16" ht="15.75" customHeight="1" x14ac:dyDescent="0.2">
      <c r="A629" s="49">
        <v>2058</v>
      </c>
      <c r="B629" s="11" t="s">
        <v>1857</v>
      </c>
      <c r="C629" s="11" t="s">
        <v>1849</v>
      </c>
      <c r="D629" s="6" t="s">
        <v>1850</v>
      </c>
      <c r="E629" s="12" t="s">
        <v>1877</v>
      </c>
      <c r="F629" s="12" t="s">
        <v>1877</v>
      </c>
      <c r="G629" s="12" t="s">
        <v>2623</v>
      </c>
      <c r="H629" s="12" t="s">
        <v>2768</v>
      </c>
      <c r="I629" s="12" t="s">
        <v>3258</v>
      </c>
      <c r="J629" s="11" t="s">
        <v>1856</v>
      </c>
      <c r="K629" s="11" t="s">
        <v>1852</v>
      </c>
      <c r="L629" s="11" t="s">
        <v>1853</v>
      </c>
      <c r="M629" s="12" t="s">
        <v>3259</v>
      </c>
      <c r="N629" s="12"/>
      <c r="O629" s="11" t="s">
        <v>1859</v>
      </c>
      <c r="P629" s="56"/>
    </row>
    <row r="630" spans="1:16" ht="15.75" customHeight="1" x14ac:dyDescent="0.2">
      <c r="A630" s="49">
        <v>1881</v>
      </c>
      <c r="B630" s="11" t="s">
        <v>1857</v>
      </c>
      <c r="C630" s="11" t="s">
        <v>1849</v>
      </c>
      <c r="D630" s="6" t="s">
        <v>1850</v>
      </c>
      <c r="E630" s="12" t="s">
        <v>1877</v>
      </c>
      <c r="F630" s="12" t="s">
        <v>1877</v>
      </c>
      <c r="G630" s="12" t="s">
        <v>2656</v>
      </c>
      <c r="H630" s="12" t="s">
        <v>2726</v>
      </c>
      <c r="I630" s="12" t="s">
        <v>3260</v>
      </c>
      <c r="J630" s="11" t="s">
        <v>1856</v>
      </c>
      <c r="K630" s="11" t="s">
        <v>1852</v>
      </c>
      <c r="L630" s="11" t="s">
        <v>1853</v>
      </c>
      <c r="M630" s="12" t="s">
        <v>1854</v>
      </c>
      <c r="N630" s="12"/>
      <c r="O630" s="11" t="s">
        <v>1858</v>
      </c>
      <c r="P630" s="56"/>
    </row>
    <row r="631" spans="1:16" ht="15.75" customHeight="1" x14ac:dyDescent="0.2">
      <c r="A631" s="49">
        <v>1739</v>
      </c>
      <c r="B631" s="11" t="s">
        <v>1857</v>
      </c>
      <c r="C631" s="11" t="s">
        <v>1849</v>
      </c>
      <c r="D631" s="6" t="s">
        <v>1850</v>
      </c>
      <c r="E631" s="12" t="s">
        <v>1877</v>
      </c>
      <c r="F631" s="12" t="s">
        <v>1877</v>
      </c>
      <c r="G631" s="12" t="s">
        <v>2619</v>
      </c>
      <c r="H631" s="12" t="s">
        <v>3261</v>
      </c>
      <c r="I631" s="12" t="s">
        <v>3262</v>
      </c>
      <c r="J631" s="11" t="s">
        <v>1856</v>
      </c>
      <c r="K631" s="11" t="s">
        <v>1852</v>
      </c>
      <c r="L631" s="11" t="s">
        <v>1853</v>
      </c>
      <c r="M631" s="12" t="s">
        <v>3263</v>
      </c>
      <c r="N631" s="12"/>
      <c r="O631" s="11" t="s">
        <v>1858</v>
      </c>
      <c r="P631" s="56"/>
    </row>
    <row r="632" spans="1:16" ht="15.75" customHeight="1" x14ac:dyDescent="0.2">
      <c r="A632" s="49">
        <v>2056</v>
      </c>
      <c r="B632" s="11" t="s">
        <v>1857</v>
      </c>
      <c r="C632" s="11" t="s">
        <v>1849</v>
      </c>
      <c r="D632" s="6" t="s">
        <v>1850</v>
      </c>
      <c r="E632" s="12" t="s">
        <v>1877</v>
      </c>
      <c r="F632" s="12" t="s">
        <v>1877</v>
      </c>
      <c r="G632" s="12" t="s">
        <v>2623</v>
      </c>
      <c r="H632" s="12" t="s">
        <v>2623</v>
      </c>
      <c r="I632" s="12" t="s">
        <v>3262</v>
      </c>
      <c r="J632" s="11" t="s">
        <v>1856</v>
      </c>
      <c r="K632" s="11" t="s">
        <v>1852</v>
      </c>
      <c r="L632" s="11" t="s">
        <v>1853</v>
      </c>
      <c r="M632" s="12" t="s">
        <v>3264</v>
      </c>
      <c r="N632" s="12"/>
      <c r="O632" s="11" t="s">
        <v>1858</v>
      </c>
      <c r="P632" s="56"/>
    </row>
    <row r="633" spans="1:16" ht="15.75" customHeight="1" x14ac:dyDescent="0.2">
      <c r="A633" s="49">
        <v>2109</v>
      </c>
      <c r="B633" s="11" t="s">
        <v>1857</v>
      </c>
      <c r="C633" s="11" t="s">
        <v>1849</v>
      </c>
      <c r="D633" s="6" t="s">
        <v>1850</v>
      </c>
      <c r="E633" s="12" t="s">
        <v>1877</v>
      </c>
      <c r="F633" s="12" t="s">
        <v>1877</v>
      </c>
      <c r="G633" s="12" t="s">
        <v>2623</v>
      </c>
      <c r="H633" s="12" t="s">
        <v>2777</v>
      </c>
      <c r="I633" s="12" t="s">
        <v>3265</v>
      </c>
      <c r="J633" s="11" t="s">
        <v>1856</v>
      </c>
      <c r="K633" s="11" t="s">
        <v>1852</v>
      </c>
      <c r="L633" s="11" t="s">
        <v>1853</v>
      </c>
      <c r="M633" s="12" t="s">
        <v>1854</v>
      </c>
      <c r="N633" s="12"/>
      <c r="O633" s="11" t="s">
        <v>1859</v>
      </c>
      <c r="P633" s="56"/>
    </row>
    <row r="634" spans="1:16" ht="15.75" customHeight="1" x14ac:dyDescent="0.2">
      <c r="A634" s="49">
        <v>1639</v>
      </c>
      <c r="B634" s="11" t="s">
        <v>1857</v>
      </c>
      <c r="C634" s="11" t="s">
        <v>1849</v>
      </c>
      <c r="D634" s="6" t="s">
        <v>1850</v>
      </c>
      <c r="E634" s="12" t="s">
        <v>1877</v>
      </c>
      <c r="F634" s="12" t="s">
        <v>1877</v>
      </c>
      <c r="G634" s="12" t="s">
        <v>2653</v>
      </c>
      <c r="H634" s="12" t="s">
        <v>2835</v>
      </c>
      <c r="I634" s="12" t="s">
        <v>3266</v>
      </c>
      <c r="J634" s="11" t="s">
        <v>1856</v>
      </c>
      <c r="K634" s="11" t="s">
        <v>1852</v>
      </c>
      <c r="L634" s="11" t="s">
        <v>1853</v>
      </c>
      <c r="M634" s="12" t="s">
        <v>3222</v>
      </c>
      <c r="N634" s="12"/>
      <c r="O634" s="11" t="s">
        <v>1859</v>
      </c>
      <c r="P634" s="56"/>
    </row>
    <row r="635" spans="1:16" ht="15.75" customHeight="1" x14ac:dyDescent="0.2">
      <c r="A635" s="49">
        <v>1527</v>
      </c>
      <c r="B635" s="11" t="s">
        <v>1857</v>
      </c>
      <c r="C635" s="11" t="s">
        <v>1849</v>
      </c>
      <c r="D635" s="6" t="s">
        <v>1850</v>
      </c>
      <c r="E635" s="12" t="s">
        <v>1877</v>
      </c>
      <c r="F635" s="12" t="s">
        <v>1877</v>
      </c>
      <c r="G635" s="12" t="s">
        <v>2635</v>
      </c>
      <c r="H635" s="12" t="s">
        <v>2973</v>
      </c>
      <c r="I635" s="12" t="s">
        <v>3267</v>
      </c>
      <c r="J635" s="11" t="s">
        <v>1856</v>
      </c>
      <c r="K635" s="11" t="s">
        <v>1852</v>
      </c>
      <c r="L635" s="11" t="s">
        <v>1853</v>
      </c>
      <c r="M635" s="12" t="s">
        <v>3268</v>
      </c>
      <c r="N635" s="12"/>
      <c r="O635" s="11" t="s">
        <v>1858</v>
      </c>
      <c r="P635" s="56"/>
    </row>
    <row r="636" spans="1:16" ht="15.75" customHeight="1" x14ac:dyDescent="0.2">
      <c r="A636" s="49">
        <v>1347</v>
      </c>
      <c r="B636" s="11" t="s">
        <v>1857</v>
      </c>
      <c r="C636" s="11" t="s">
        <v>1849</v>
      </c>
      <c r="D636" s="6" t="s">
        <v>1850</v>
      </c>
      <c r="E636" s="12" t="s">
        <v>1877</v>
      </c>
      <c r="F636" s="12" t="s">
        <v>1877</v>
      </c>
      <c r="G636" s="12" t="s">
        <v>1883</v>
      </c>
      <c r="H636" s="12" t="s">
        <v>1884</v>
      </c>
      <c r="I636" s="12" t="s">
        <v>2134</v>
      </c>
      <c r="J636" s="11" t="s">
        <v>1856</v>
      </c>
      <c r="K636" s="11" t="s">
        <v>1852</v>
      </c>
      <c r="L636" s="11" t="s">
        <v>1853</v>
      </c>
      <c r="M636" s="12" t="s">
        <v>2135</v>
      </c>
      <c r="N636" s="12"/>
      <c r="O636" s="11" t="s">
        <v>1858</v>
      </c>
      <c r="P636" s="56"/>
    </row>
    <row r="637" spans="1:16" ht="15.75" customHeight="1" x14ac:dyDescent="0.2">
      <c r="A637" s="49">
        <v>1889</v>
      </c>
      <c r="B637" s="11" t="s">
        <v>1857</v>
      </c>
      <c r="C637" s="11" t="s">
        <v>1849</v>
      </c>
      <c r="D637" s="6" t="s">
        <v>1850</v>
      </c>
      <c r="E637" s="12" t="s">
        <v>1877</v>
      </c>
      <c r="F637" s="12" t="s">
        <v>1877</v>
      </c>
      <c r="G637" s="12" t="s">
        <v>2656</v>
      </c>
      <c r="H637" s="12" t="s">
        <v>2726</v>
      </c>
      <c r="I637" s="12" t="s">
        <v>3269</v>
      </c>
      <c r="J637" s="11" t="s">
        <v>1856</v>
      </c>
      <c r="K637" s="11" t="s">
        <v>1852</v>
      </c>
      <c r="L637" s="11" t="s">
        <v>1853</v>
      </c>
      <c r="M637" s="12" t="s">
        <v>1904</v>
      </c>
      <c r="N637" s="12"/>
      <c r="O637" s="11" t="s">
        <v>1858</v>
      </c>
      <c r="P637" s="56"/>
    </row>
    <row r="638" spans="1:16" ht="15.75" customHeight="1" x14ac:dyDescent="0.2">
      <c r="A638" s="49">
        <v>2095</v>
      </c>
      <c r="B638" s="11" t="s">
        <v>1857</v>
      </c>
      <c r="C638" s="11" t="s">
        <v>1849</v>
      </c>
      <c r="D638" s="6" t="s">
        <v>1850</v>
      </c>
      <c r="E638" s="12" t="s">
        <v>1877</v>
      </c>
      <c r="F638" s="12" t="s">
        <v>1877</v>
      </c>
      <c r="G638" s="12" t="s">
        <v>2623</v>
      </c>
      <c r="H638" s="12" t="s">
        <v>3270</v>
      </c>
      <c r="I638" s="12" t="s">
        <v>3271</v>
      </c>
      <c r="J638" s="11" t="s">
        <v>1856</v>
      </c>
      <c r="K638" s="11" t="s">
        <v>1852</v>
      </c>
      <c r="L638" s="11" t="s">
        <v>1853</v>
      </c>
      <c r="M638" s="12" t="s">
        <v>3272</v>
      </c>
      <c r="N638" s="12"/>
      <c r="O638" s="11" t="s">
        <v>1858</v>
      </c>
      <c r="P638" s="56"/>
    </row>
    <row r="639" spans="1:16" ht="15.75" customHeight="1" x14ac:dyDescent="0.2">
      <c r="A639" s="49">
        <v>2093</v>
      </c>
      <c r="B639" s="11" t="s">
        <v>1857</v>
      </c>
      <c r="C639" s="11" t="s">
        <v>1849</v>
      </c>
      <c r="D639" s="6" t="s">
        <v>1850</v>
      </c>
      <c r="E639" s="12" t="s">
        <v>1877</v>
      </c>
      <c r="F639" s="12" t="s">
        <v>1877</v>
      </c>
      <c r="G639" s="12" t="s">
        <v>2623</v>
      </c>
      <c r="H639" s="12" t="s">
        <v>3270</v>
      </c>
      <c r="I639" s="12" t="s">
        <v>3273</v>
      </c>
      <c r="J639" s="11" t="s">
        <v>1856</v>
      </c>
      <c r="K639" s="11" t="s">
        <v>1852</v>
      </c>
      <c r="L639" s="11" t="s">
        <v>1853</v>
      </c>
      <c r="M639" s="12" t="s">
        <v>3274</v>
      </c>
      <c r="N639" s="12" t="s">
        <v>3275</v>
      </c>
      <c r="O639" s="11" t="s">
        <v>1858</v>
      </c>
      <c r="P639" s="56"/>
    </row>
    <row r="640" spans="1:16" ht="15.75" customHeight="1" x14ac:dyDescent="0.2">
      <c r="A640" s="49">
        <v>1913</v>
      </c>
      <c r="B640" s="11" t="s">
        <v>1857</v>
      </c>
      <c r="C640" s="11" t="s">
        <v>1849</v>
      </c>
      <c r="D640" s="6" t="s">
        <v>1850</v>
      </c>
      <c r="E640" s="12" t="s">
        <v>1877</v>
      </c>
      <c r="F640" s="12" t="s">
        <v>1877</v>
      </c>
      <c r="G640" s="12" t="s">
        <v>2656</v>
      </c>
      <c r="H640" s="12" t="s">
        <v>2773</v>
      </c>
      <c r="I640" s="12" t="s">
        <v>3276</v>
      </c>
      <c r="J640" s="11" t="s">
        <v>1856</v>
      </c>
      <c r="K640" s="11" t="s">
        <v>1852</v>
      </c>
      <c r="L640" s="11" t="s">
        <v>1853</v>
      </c>
      <c r="M640" s="12" t="s">
        <v>1922</v>
      </c>
      <c r="N640" s="12"/>
      <c r="O640" s="11" t="s">
        <v>1858</v>
      </c>
      <c r="P640" s="56"/>
    </row>
    <row r="641" spans="1:16" ht="15.75" customHeight="1" x14ac:dyDescent="0.2">
      <c r="A641" s="49">
        <v>1778</v>
      </c>
      <c r="B641" s="11" t="s">
        <v>1857</v>
      </c>
      <c r="C641" s="11" t="s">
        <v>1849</v>
      </c>
      <c r="D641" s="6" t="s">
        <v>1850</v>
      </c>
      <c r="E641" s="12" t="s">
        <v>1877</v>
      </c>
      <c r="F641" s="12" t="s">
        <v>1877</v>
      </c>
      <c r="G641" s="12" t="s">
        <v>2619</v>
      </c>
      <c r="H641" s="12" t="s">
        <v>3277</v>
      </c>
      <c r="I641" s="12" t="s">
        <v>3278</v>
      </c>
      <c r="J641" s="11" t="s">
        <v>1856</v>
      </c>
      <c r="K641" s="11" t="s">
        <v>1852</v>
      </c>
      <c r="L641" s="11" t="s">
        <v>1853</v>
      </c>
      <c r="M641" s="12" t="s">
        <v>2118</v>
      </c>
      <c r="N641" s="12" t="s">
        <v>3279</v>
      </c>
      <c r="O641" s="11" t="s">
        <v>1858</v>
      </c>
      <c r="P641" s="56"/>
    </row>
    <row r="642" spans="1:16" ht="15.75" customHeight="1" x14ac:dyDescent="0.2">
      <c r="A642" s="49">
        <v>1927</v>
      </c>
      <c r="B642" s="11" t="s">
        <v>1857</v>
      </c>
      <c r="C642" s="11" t="s">
        <v>1849</v>
      </c>
      <c r="D642" s="6" t="s">
        <v>1850</v>
      </c>
      <c r="E642" s="12" t="s">
        <v>1877</v>
      </c>
      <c r="F642" s="12" t="s">
        <v>1877</v>
      </c>
      <c r="G642" s="12" t="s">
        <v>2656</v>
      </c>
      <c r="H642" s="12" t="s">
        <v>3189</v>
      </c>
      <c r="I642" s="12" t="s">
        <v>3280</v>
      </c>
      <c r="J642" s="11" t="s">
        <v>1856</v>
      </c>
      <c r="K642" s="11" t="s">
        <v>1852</v>
      </c>
      <c r="L642" s="11" t="s">
        <v>1853</v>
      </c>
      <c r="M642" s="12" t="s">
        <v>1902</v>
      </c>
      <c r="N642" s="12"/>
      <c r="O642" s="11" t="s">
        <v>1858</v>
      </c>
      <c r="P642" s="56"/>
    </row>
    <row r="643" spans="1:16" ht="15.75" customHeight="1" x14ac:dyDescent="0.2">
      <c r="A643" s="49">
        <v>1923</v>
      </c>
      <c r="B643" s="11" t="s">
        <v>1857</v>
      </c>
      <c r="C643" s="11" t="s">
        <v>1849</v>
      </c>
      <c r="D643" s="6" t="s">
        <v>1850</v>
      </c>
      <c r="E643" s="12" t="s">
        <v>1877</v>
      </c>
      <c r="F643" s="12" t="s">
        <v>1877</v>
      </c>
      <c r="G643" s="12" t="s">
        <v>2656</v>
      </c>
      <c r="H643" s="12" t="s">
        <v>3189</v>
      </c>
      <c r="I643" s="12" t="s">
        <v>3281</v>
      </c>
      <c r="J643" s="11" t="s">
        <v>1856</v>
      </c>
      <c r="K643" s="11" t="s">
        <v>1852</v>
      </c>
      <c r="L643" s="11" t="s">
        <v>1853</v>
      </c>
      <c r="M643" s="12" t="s">
        <v>1902</v>
      </c>
      <c r="N643" s="12"/>
      <c r="O643" s="11" t="s">
        <v>1858</v>
      </c>
      <c r="P643" s="56"/>
    </row>
    <row r="644" spans="1:16" ht="15.75" customHeight="1" x14ac:dyDescent="0.2">
      <c r="A644" s="49">
        <v>2094</v>
      </c>
      <c r="B644" s="11" t="s">
        <v>1857</v>
      </c>
      <c r="C644" s="11" t="s">
        <v>1849</v>
      </c>
      <c r="D644" s="6" t="s">
        <v>1850</v>
      </c>
      <c r="E644" s="12" t="s">
        <v>1877</v>
      </c>
      <c r="F644" s="12" t="s">
        <v>1877</v>
      </c>
      <c r="G644" s="12" t="s">
        <v>2623</v>
      </c>
      <c r="H644" s="12" t="s">
        <v>3270</v>
      </c>
      <c r="I644" s="12" t="s">
        <v>3282</v>
      </c>
      <c r="J644" s="11" t="s">
        <v>1856</v>
      </c>
      <c r="K644" s="11" t="s">
        <v>1852</v>
      </c>
      <c r="L644" s="11" t="s">
        <v>1853</v>
      </c>
      <c r="M644" s="12" t="s">
        <v>3283</v>
      </c>
      <c r="N644" s="12"/>
      <c r="O644" s="11" t="s">
        <v>1858</v>
      </c>
      <c r="P644" s="56"/>
    </row>
    <row r="645" spans="1:16" ht="15.75" customHeight="1" x14ac:dyDescent="0.2">
      <c r="A645" s="49">
        <v>1432</v>
      </c>
      <c r="B645" s="11" t="s">
        <v>1857</v>
      </c>
      <c r="C645" s="11" t="s">
        <v>1849</v>
      </c>
      <c r="D645" s="6" t="s">
        <v>1850</v>
      </c>
      <c r="E645" s="12" t="s">
        <v>1877</v>
      </c>
      <c r="F645" s="12" t="s">
        <v>1877</v>
      </c>
      <c r="G645" s="12" t="s">
        <v>1883</v>
      </c>
      <c r="H645" s="12" t="s">
        <v>1950</v>
      </c>
      <c r="I645" s="12" t="s">
        <v>1915</v>
      </c>
      <c r="J645" s="11" t="s">
        <v>1856</v>
      </c>
      <c r="K645" s="11" t="s">
        <v>1852</v>
      </c>
      <c r="L645" s="11" t="s">
        <v>1853</v>
      </c>
      <c r="M645" s="12" t="s">
        <v>2107</v>
      </c>
      <c r="N645" s="12"/>
      <c r="O645" s="11" t="s">
        <v>1858</v>
      </c>
      <c r="P645" s="56"/>
    </row>
    <row r="646" spans="1:16" ht="15.75" customHeight="1" x14ac:dyDescent="0.2">
      <c r="A646" s="49">
        <v>1999</v>
      </c>
      <c r="B646" s="11" t="s">
        <v>1857</v>
      </c>
      <c r="C646" s="11" t="s">
        <v>1849</v>
      </c>
      <c r="D646" s="6" t="s">
        <v>1850</v>
      </c>
      <c r="E646" s="12" t="s">
        <v>1877</v>
      </c>
      <c r="F646" s="12" t="s">
        <v>1877</v>
      </c>
      <c r="G646" s="12" t="s">
        <v>2649</v>
      </c>
      <c r="H646" s="12" t="s">
        <v>3284</v>
      </c>
      <c r="I646" s="12" t="s">
        <v>3285</v>
      </c>
      <c r="J646" s="11" t="s">
        <v>1856</v>
      </c>
      <c r="K646" s="11" t="s">
        <v>1852</v>
      </c>
      <c r="L646" s="11" t="s">
        <v>1853</v>
      </c>
      <c r="M646" s="12" t="s">
        <v>3286</v>
      </c>
      <c r="N646" s="12" t="s">
        <v>3287</v>
      </c>
      <c r="O646" s="11" t="s">
        <v>1858</v>
      </c>
      <c r="P646" s="56"/>
    </row>
    <row r="647" spans="1:16" ht="15.75" customHeight="1" x14ac:dyDescent="0.2">
      <c r="A647" s="49">
        <v>1548</v>
      </c>
      <c r="B647" s="11" t="s">
        <v>1857</v>
      </c>
      <c r="C647" s="11" t="s">
        <v>1849</v>
      </c>
      <c r="D647" s="6" t="s">
        <v>1850</v>
      </c>
      <c r="E647" s="12" t="s">
        <v>1877</v>
      </c>
      <c r="F647" s="12" t="s">
        <v>1877</v>
      </c>
      <c r="G647" s="12" t="s">
        <v>2653</v>
      </c>
      <c r="H647" s="12" t="s">
        <v>2669</v>
      </c>
      <c r="I647" s="12" t="s">
        <v>3288</v>
      </c>
      <c r="J647" s="11" t="s">
        <v>1856</v>
      </c>
      <c r="K647" s="11" t="s">
        <v>1852</v>
      </c>
      <c r="L647" s="11" t="s">
        <v>1853</v>
      </c>
      <c r="M647" s="12" t="s">
        <v>1854</v>
      </c>
      <c r="N647" s="12"/>
      <c r="O647" s="11" t="s">
        <v>1858</v>
      </c>
      <c r="P647" s="56"/>
    </row>
    <row r="648" spans="1:16" ht="15.75" customHeight="1" x14ac:dyDescent="0.2">
      <c r="A648" s="49">
        <v>1926</v>
      </c>
      <c r="B648" s="11" t="s">
        <v>1857</v>
      </c>
      <c r="C648" s="11" t="s">
        <v>1849</v>
      </c>
      <c r="D648" s="6" t="s">
        <v>1850</v>
      </c>
      <c r="E648" s="12" t="s">
        <v>1877</v>
      </c>
      <c r="F648" s="12" t="s">
        <v>1877</v>
      </c>
      <c r="G648" s="12" t="s">
        <v>2656</v>
      </c>
      <c r="H648" s="12" t="s">
        <v>3189</v>
      </c>
      <c r="I648" s="12" t="s">
        <v>3289</v>
      </c>
      <c r="J648" s="11" t="s">
        <v>1856</v>
      </c>
      <c r="K648" s="11" t="s">
        <v>1852</v>
      </c>
      <c r="L648" s="11" t="s">
        <v>1853</v>
      </c>
      <c r="M648" s="12" t="s">
        <v>1854</v>
      </c>
      <c r="N648" s="12"/>
      <c r="O648" s="11" t="s">
        <v>1858</v>
      </c>
      <c r="P648" s="56"/>
    </row>
    <row r="649" spans="1:16" ht="15.75" customHeight="1" x14ac:dyDescent="0.2">
      <c r="A649" s="49">
        <v>1901</v>
      </c>
      <c r="B649" s="11" t="s">
        <v>1857</v>
      </c>
      <c r="C649" s="11" t="s">
        <v>1849</v>
      </c>
      <c r="D649" s="6" t="s">
        <v>1850</v>
      </c>
      <c r="E649" s="12" t="s">
        <v>1877</v>
      </c>
      <c r="F649" s="12" t="s">
        <v>1877</v>
      </c>
      <c r="G649" s="12" t="s">
        <v>2656</v>
      </c>
      <c r="H649" s="12" t="s">
        <v>2764</v>
      </c>
      <c r="I649" s="12" t="s">
        <v>3290</v>
      </c>
      <c r="J649" s="11" t="s">
        <v>1856</v>
      </c>
      <c r="K649" s="11" t="s">
        <v>1852</v>
      </c>
      <c r="L649" s="11" t="s">
        <v>1853</v>
      </c>
      <c r="M649" s="12" t="s">
        <v>2132</v>
      </c>
      <c r="N649" s="12"/>
      <c r="O649" s="11" t="s">
        <v>1860</v>
      </c>
      <c r="P649" s="56"/>
    </row>
    <row r="650" spans="1:16" ht="15.75" customHeight="1" x14ac:dyDescent="0.2">
      <c r="A650" s="49">
        <v>1403</v>
      </c>
      <c r="B650" s="11" t="s">
        <v>1857</v>
      </c>
      <c r="C650" s="11" t="s">
        <v>1849</v>
      </c>
      <c r="D650" s="6" t="s">
        <v>1850</v>
      </c>
      <c r="E650" s="12" t="s">
        <v>1877</v>
      </c>
      <c r="F650" s="12" t="s">
        <v>1877</v>
      </c>
      <c r="G650" s="12" t="s">
        <v>1883</v>
      </c>
      <c r="H650" s="12" t="s">
        <v>1884</v>
      </c>
      <c r="I650" s="12" t="s">
        <v>2136</v>
      </c>
      <c r="J650" s="11" t="s">
        <v>1856</v>
      </c>
      <c r="K650" s="11" t="s">
        <v>1852</v>
      </c>
      <c r="L650" s="11" t="s">
        <v>1853</v>
      </c>
      <c r="M650" s="12" t="s">
        <v>2137</v>
      </c>
      <c r="N650" s="12"/>
      <c r="O650" s="11" t="s">
        <v>1860</v>
      </c>
      <c r="P650" s="56"/>
    </row>
    <row r="651" spans="1:16" ht="15.75" customHeight="1" x14ac:dyDescent="0.2">
      <c r="A651" s="49">
        <v>2181</v>
      </c>
      <c r="B651" s="11" t="s">
        <v>1857</v>
      </c>
      <c r="C651" s="11" t="s">
        <v>1849</v>
      </c>
      <c r="D651" s="6" t="s">
        <v>1850</v>
      </c>
      <c r="E651" s="12" t="s">
        <v>1877</v>
      </c>
      <c r="F651" s="12" t="s">
        <v>1877</v>
      </c>
      <c r="G651" s="12" t="s">
        <v>2627</v>
      </c>
      <c r="H651" s="12" t="s">
        <v>3291</v>
      </c>
      <c r="I651" s="12" t="s">
        <v>3292</v>
      </c>
      <c r="J651" s="11" t="s">
        <v>1856</v>
      </c>
      <c r="K651" s="11" t="s">
        <v>1852</v>
      </c>
      <c r="L651" s="11" t="s">
        <v>1853</v>
      </c>
      <c r="M651" s="12" t="s">
        <v>2007</v>
      </c>
      <c r="N651" s="12"/>
      <c r="O651" s="11" t="s">
        <v>1860</v>
      </c>
      <c r="P651" s="56"/>
    </row>
    <row r="652" spans="1:16" ht="15.75" customHeight="1" x14ac:dyDescent="0.2">
      <c r="A652" s="49">
        <v>2152</v>
      </c>
      <c r="B652" s="11" t="s">
        <v>1857</v>
      </c>
      <c r="C652" s="11" t="s">
        <v>1849</v>
      </c>
      <c r="D652" s="6" t="s">
        <v>1850</v>
      </c>
      <c r="E652" s="12" t="s">
        <v>1877</v>
      </c>
      <c r="F652" s="12" t="s">
        <v>1877</v>
      </c>
      <c r="G652" s="12" t="s">
        <v>2623</v>
      </c>
      <c r="H652" s="12" t="s">
        <v>2758</v>
      </c>
      <c r="I652" s="12" t="s">
        <v>3293</v>
      </c>
      <c r="J652" s="11" t="s">
        <v>1856</v>
      </c>
      <c r="K652" s="11" t="s">
        <v>1852</v>
      </c>
      <c r="L652" s="11" t="s">
        <v>1853</v>
      </c>
      <c r="M652" s="12" t="s">
        <v>3294</v>
      </c>
      <c r="N652" s="12" t="s">
        <v>3295</v>
      </c>
      <c r="O652" s="11" t="s">
        <v>1860</v>
      </c>
      <c r="P652" s="56"/>
    </row>
    <row r="653" spans="1:16" ht="15.75" customHeight="1" x14ac:dyDescent="0.2">
      <c r="A653" s="49">
        <v>1895</v>
      </c>
      <c r="B653" s="11" t="s">
        <v>1857</v>
      </c>
      <c r="C653" s="11" t="s">
        <v>1849</v>
      </c>
      <c r="D653" s="6" t="s">
        <v>1850</v>
      </c>
      <c r="E653" s="12" t="s">
        <v>1877</v>
      </c>
      <c r="F653" s="12" t="s">
        <v>1877</v>
      </c>
      <c r="G653" s="12" t="s">
        <v>2656</v>
      </c>
      <c r="H653" s="12" t="s">
        <v>2764</v>
      </c>
      <c r="I653" s="12" t="s">
        <v>3296</v>
      </c>
      <c r="J653" s="11" t="s">
        <v>1856</v>
      </c>
      <c r="K653" s="11" t="s">
        <v>1852</v>
      </c>
      <c r="L653" s="11" t="s">
        <v>1853</v>
      </c>
      <c r="M653" s="12" t="s">
        <v>3297</v>
      </c>
      <c r="N653" s="12" t="s">
        <v>3298</v>
      </c>
      <c r="O653" s="11" t="s">
        <v>1860</v>
      </c>
      <c r="P653" s="56"/>
    </row>
    <row r="654" spans="1:16" ht="15.75" customHeight="1" x14ac:dyDescent="0.2">
      <c r="A654" s="49">
        <v>1809</v>
      </c>
      <c r="B654" s="11" t="s">
        <v>1857</v>
      </c>
      <c r="C654" s="11" t="s">
        <v>1849</v>
      </c>
      <c r="D654" s="6" t="s">
        <v>1850</v>
      </c>
      <c r="E654" s="12" t="s">
        <v>1877</v>
      </c>
      <c r="F654" s="12" t="s">
        <v>1877</v>
      </c>
      <c r="G654" s="12" t="s">
        <v>1880</v>
      </c>
      <c r="H654" s="12" t="s">
        <v>1924</v>
      </c>
      <c r="I654" s="12" t="s">
        <v>2138</v>
      </c>
      <c r="J654" s="11" t="s">
        <v>1856</v>
      </c>
      <c r="K654" s="11" t="s">
        <v>1852</v>
      </c>
      <c r="L654" s="11" t="s">
        <v>1853</v>
      </c>
      <c r="M654" s="12" t="s">
        <v>2139</v>
      </c>
      <c r="N654" s="12"/>
      <c r="O654" s="11" t="s">
        <v>1858</v>
      </c>
      <c r="P654" s="56"/>
    </row>
    <row r="655" spans="1:16" ht="15.75" customHeight="1" x14ac:dyDescent="0.2">
      <c r="A655" s="49">
        <v>1409</v>
      </c>
      <c r="B655" s="11" t="s">
        <v>1857</v>
      </c>
      <c r="C655" s="11" t="s">
        <v>1849</v>
      </c>
      <c r="D655" s="6" t="s">
        <v>1850</v>
      </c>
      <c r="E655" s="12" t="s">
        <v>1877</v>
      </c>
      <c r="F655" s="12" t="s">
        <v>1877</v>
      </c>
      <c r="G655" s="12" t="s">
        <v>1883</v>
      </c>
      <c r="H655" s="12" t="s">
        <v>1884</v>
      </c>
      <c r="I655" s="12" t="s">
        <v>2140</v>
      </c>
      <c r="J655" s="11" t="s">
        <v>1856</v>
      </c>
      <c r="K655" s="11" t="s">
        <v>1852</v>
      </c>
      <c r="L655" s="11" t="s">
        <v>1853</v>
      </c>
      <c r="M655" s="12" t="s">
        <v>2141</v>
      </c>
      <c r="N655" s="12"/>
      <c r="O655" s="11" t="s">
        <v>1859</v>
      </c>
      <c r="P655" s="56"/>
    </row>
    <row r="656" spans="1:16" ht="15.75" customHeight="1" x14ac:dyDescent="0.2">
      <c r="A656" s="49">
        <v>1410</v>
      </c>
      <c r="B656" s="11" t="s">
        <v>1857</v>
      </c>
      <c r="C656" s="11" t="s">
        <v>1849</v>
      </c>
      <c r="D656" s="6" t="s">
        <v>1850</v>
      </c>
      <c r="E656" s="12" t="s">
        <v>1877</v>
      </c>
      <c r="F656" s="12" t="s">
        <v>1877</v>
      </c>
      <c r="G656" s="12" t="s">
        <v>1883</v>
      </c>
      <c r="H656" s="12" t="s">
        <v>1884</v>
      </c>
      <c r="I656" s="12" t="s">
        <v>2142</v>
      </c>
      <c r="J656" s="11" t="s">
        <v>1856</v>
      </c>
      <c r="K656" s="11" t="s">
        <v>1852</v>
      </c>
      <c r="L656" s="11" t="s">
        <v>1853</v>
      </c>
      <c r="M656" s="12" t="s">
        <v>1902</v>
      </c>
      <c r="N656" s="12"/>
      <c r="O656" s="11" t="s">
        <v>1858</v>
      </c>
      <c r="P656" s="56"/>
    </row>
    <row r="657" spans="1:16" ht="15.75" customHeight="1" x14ac:dyDescent="0.2">
      <c r="A657" s="49">
        <v>1411</v>
      </c>
      <c r="B657" s="11" t="s">
        <v>1857</v>
      </c>
      <c r="C657" s="11" t="s">
        <v>1849</v>
      </c>
      <c r="D657" s="6" t="s">
        <v>1850</v>
      </c>
      <c r="E657" s="12" t="s">
        <v>1877</v>
      </c>
      <c r="F657" s="12" t="s">
        <v>1877</v>
      </c>
      <c r="G657" s="12" t="s">
        <v>1883</v>
      </c>
      <c r="H657" s="12" t="s">
        <v>1884</v>
      </c>
      <c r="I657" s="12" t="s">
        <v>2143</v>
      </c>
      <c r="J657" s="11" t="s">
        <v>1856</v>
      </c>
      <c r="K657" s="11" t="s">
        <v>1852</v>
      </c>
      <c r="L657" s="11" t="s">
        <v>1853</v>
      </c>
      <c r="M657" s="12" t="s">
        <v>2144</v>
      </c>
      <c r="N657" s="12" t="s">
        <v>2145</v>
      </c>
      <c r="O657" s="11" t="s">
        <v>1858</v>
      </c>
      <c r="P657" s="56"/>
    </row>
    <row r="658" spans="1:16" ht="15.75" customHeight="1" x14ac:dyDescent="0.2">
      <c r="A658" s="49">
        <v>1463</v>
      </c>
      <c r="B658" s="11" t="s">
        <v>1857</v>
      </c>
      <c r="C658" s="11" t="s">
        <v>1849</v>
      </c>
      <c r="D658" s="6" t="s">
        <v>1850</v>
      </c>
      <c r="E658" s="12" t="s">
        <v>1877</v>
      </c>
      <c r="F658" s="12" t="s">
        <v>1877</v>
      </c>
      <c r="G658" s="12" t="s">
        <v>1883</v>
      </c>
      <c r="H658" s="12" t="s">
        <v>1946</v>
      </c>
      <c r="I658" s="12" t="s">
        <v>2146</v>
      </c>
      <c r="J658" s="11" t="s">
        <v>1856</v>
      </c>
      <c r="K658" s="11" t="s">
        <v>1852</v>
      </c>
      <c r="L658" s="11" t="s">
        <v>1853</v>
      </c>
      <c r="M658" s="12" t="s">
        <v>2147</v>
      </c>
      <c r="N658" s="11" t="s">
        <v>2148</v>
      </c>
      <c r="O658" s="11" t="s">
        <v>1858</v>
      </c>
      <c r="P658" s="56"/>
    </row>
    <row r="659" spans="1:16" ht="15.75" customHeight="1" x14ac:dyDescent="0.2">
      <c r="A659" s="49">
        <v>1486</v>
      </c>
      <c r="B659" s="11" t="s">
        <v>1857</v>
      </c>
      <c r="C659" s="11" t="s">
        <v>1849</v>
      </c>
      <c r="D659" s="6" t="s">
        <v>1850</v>
      </c>
      <c r="E659" s="12" t="s">
        <v>1877</v>
      </c>
      <c r="F659" s="12" t="s">
        <v>1877</v>
      </c>
      <c r="G659" s="12" t="s">
        <v>2658</v>
      </c>
      <c r="H659" s="12" t="s">
        <v>3299</v>
      </c>
      <c r="I659" s="12" t="s">
        <v>3300</v>
      </c>
      <c r="J659" s="11" t="s">
        <v>1856</v>
      </c>
      <c r="K659" s="11" t="s">
        <v>1852</v>
      </c>
      <c r="L659" s="11" t="s">
        <v>1853</v>
      </c>
      <c r="M659" s="12" t="s">
        <v>3301</v>
      </c>
      <c r="N659" s="12" t="s">
        <v>3302</v>
      </c>
      <c r="O659" s="11" t="s">
        <v>1858</v>
      </c>
      <c r="P659" s="56"/>
    </row>
    <row r="660" spans="1:16" ht="15.75" customHeight="1" x14ac:dyDescent="0.2">
      <c r="A660" s="49">
        <v>1436</v>
      </c>
      <c r="B660" s="11" t="s">
        <v>1857</v>
      </c>
      <c r="C660" s="11" t="s">
        <v>1849</v>
      </c>
      <c r="D660" s="6" t="s">
        <v>1850</v>
      </c>
      <c r="E660" s="12" t="s">
        <v>1877</v>
      </c>
      <c r="F660" s="12" t="s">
        <v>1877</v>
      </c>
      <c r="G660" s="12" t="s">
        <v>1883</v>
      </c>
      <c r="H660" s="12" t="s">
        <v>1889</v>
      </c>
      <c r="I660" s="12" t="s">
        <v>2149</v>
      </c>
      <c r="J660" s="11" t="s">
        <v>1856</v>
      </c>
      <c r="K660" s="11" t="s">
        <v>1852</v>
      </c>
      <c r="L660" s="11" t="s">
        <v>1853</v>
      </c>
      <c r="M660" s="12" t="s">
        <v>2150</v>
      </c>
      <c r="N660" s="12" t="s">
        <v>2151</v>
      </c>
      <c r="O660" s="11" t="s">
        <v>1858</v>
      </c>
      <c r="P660" s="56"/>
    </row>
    <row r="661" spans="1:16" ht="15.75" customHeight="1" x14ac:dyDescent="0.2">
      <c r="A661" s="49">
        <v>1781</v>
      </c>
      <c r="B661" s="11" t="s">
        <v>1857</v>
      </c>
      <c r="C661" s="11" t="s">
        <v>1849</v>
      </c>
      <c r="D661" s="6" t="s">
        <v>1850</v>
      </c>
      <c r="E661" s="12" t="s">
        <v>1877</v>
      </c>
      <c r="F661" s="12" t="s">
        <v>1877</v>
      </c>
      <c r="G661" s="12" t="s">
        <v>2619</v>
      </c>
      <c r="H661" s="12" t="s">
        <v>3277</v>
      </c>
      <c r="I661" s="12" t="s">
        <v>3303</v>
      </c>
      <c r="J661" s="11" t="s">
        <v>1856</v>
      </c>
      <c r="K661" s="11" t="s">
        <v>1852</v>
      </c>
      <c r="L661" s="11" t="s">
        <v>1853</v>
      </c>
      <c r="M661" s="12" t="s">
        <v>3304</v>
      </c>
      <c r="N661" s="11" t="s">
        <v>3305</v>
      </c>
      <c r="O661" s="11" t="s">
        <v>1858</v>
      </c>
      <c r="P661" s="56"/>
    </row>
    <row r="662" spans="1:16" ht="15.75" customHeight="1" x14ac:dyDescent="0.2">
      <c r="A662" s="49">
        <v>1339</v>
      </c>
      <c r="B662" s="11" t="s">
        <v>1857</v>
      </c>
      <c r="C662" s="11" t="s">
        <v>1849</v>
      </c>
      <c r="D662" s="6" t="s">
        <v>1850</v>
      </c>
      <c r="E662" s="12" t="s">
        <v>1877</v>
      </c>
      <c r="F662" s="12" t="s">
        <v>1877</v>
      </c>
      <c r="G662" s="12" t="s">
        <v>1883</v>
      </c>
      <c r="H662" s="12" t="s">
        <v>1884</v>
      </c>
      <c r="I662" s="12" t="s">
        <v>2152</v>
      </c>
      <c r="J662" s="11" t="s">
        <v>1856</v>
      </c>
      <c r="K662" s="11" t="s">
        <v>1852</v>
      </c>
      <c r="L662" s="11" t="s">
        <v>1853</v>
      </c>
      <c r="M662" s="12" t="s">
        <v>2153</v>
      </c>
      <c r="N662" s="12" t="s">
        <v>2154</v>
      </c>
      <c r="O662" s="11" t="s">
        <v>1858</v>
      </c>
      <c r="P662" s="56"/>
    </row>
    <row r="663" spans="1:16" ht="15.75" customHeight="1" x14ac:dyDescent="0.2">
      <c r="A663" s="49">
        <v>1340</v>
      </c>
      <c r="B663" s="11" t="s">
        <v>1857</v>
      </c>
      <c r="C663" s="11" t="s">
        <v>1849</v>
      </c>
      <c r="D663" s="6" t="s">
        <v>1850</v>
      </c>
      <c r="E663" s="12" t="s">
        <v>1877</v>
      </c>
      <c r="F663" s="12" t="s">
        <v>1877</v>
      </c>
      <c r="G663" s="12" t="s">
        <v>1883</v>
      </c>
      <c r="H663" s="12" t="s">
        <v>1898</v>
      </c>
      <c r="I663" s="12" t="s">
        <v>2155</v>
      </c>
      <c r="J663" s="11" t="s">
        <v>1856</v>
      </c>
      <c r="K663" s="11" t="s">
        <v>1852</v>
      </c>
      <c r="L663" s="11" t="s">
        <v>1853</v>
      </c>
      <c r="M663" s="12" t="s">
        <v>2007</v>
      </c>
      <c r="N663" s="12"/>
      <c r="O663" s="11" t="s">
        <v>1858</v>
      </c>
      <c r="P663" s="56"/>
    </row>
    <row r="664" spans="1:16" ht="15.75" customHeight="1" x14ac:dyDescent="0.2">
      <c r="A664" s="49">
        <v>1557</v>
      </c>
      <c r="B664" s="11" t="s">
        <v>1857</v>
      </c>
      <c r="C664" s="11" t="s">
        <v>1849</v>
      </c>
      <c r="D664" s="6" t="s">
        <v>1850</v>
      </c>
      <c r="E664" s="12" t="s">
        <v>1877</v>
      </c>
      <c r="F664" s="12" t="s">
        <v>1877</v>
      </c>
      <c r="G664" s="12" t="s">
        <v>2653</v>
      </c>
      <c r="H664" s="12" t="s">
        <v>2669</v>
      </c>
      <c r="I664" s="12" t="s">
        <v>3306</v>
      </c>
      <c r="J664" s="11" t="s">
        <v>1856</v>
      </c>
      <c r="K664" s="11" t="s">
        <v>1852</v>
      </c>
      <c r="L664" s="11" t="s">
        <v>1853</v>
      </c>
      <c r="M664" s="12" t="s">
        <v>3218</v>
      </c>
      <c r="N664" s="12"/>
      <c r="O664" s="11" t="s">
        <v>1858</v>
      </c>
      <c r="P664" s="56"/>
    </row>
    <row r="665" spans="1:16" ht="15.75" customHeight="1" x14ac:dyDescent="0.2">
      <c r="A665" s="49">
        <v>1887</v>
      </c>
      <c r="B665" s="11" t="s">
        <v>1857</v>
      </c>
      <c r="C665" s="11" t="s">
        <v>1849</v>
      </c>
      <c r="D665" s="6" t="s">
        <v>1850</v>
      </c>
      <c r="E665" s="12" t="s">
        <v>1877</v>
      </c>
      <c r="F665" s="12" t="s">
        <v>1877</v>
      </c>
      <c r="G665" s="12" t="s">
        <v>2656</v>
      </c>
      <c r="H665" s="12" t="s">
        <v>2726</v>
      </c>
      <c r="I665" s="12" t="s">
        <v>3307</v>
      </c>
      <c r="J665" s="11" t="s">
        <v>1856</v>
      </c>
      <c r="K665" s="11" t="s">
        <v>1852</v>
      </c>
      <c r="L665" s="11" t="s">
        <v>1853</v>
      </c>
      <c r="M665" s="12" t="s">
        <v>1854</v>
      </c>
      <c r="N665" s="12"/>
      <c r="O665" s="11" t="s">
        <v>1858</v>
      </c>
      <c r="P665" s="56"/>
    </row>
    <row r="666" spans="1:16" ht="15.75" customHeight="1" x14ac:dyDescent="0.2">
      <c r="A666" s="49">
        <v>1528</v>
      </c>
      <c r="B666" s="11" t="s">
        <v>1857</v>
      </c>
      <c r="C666" s="11" t="s">
        <v>1849</v>
      </c>
      <c r="D666" s="6" t="s">
        <v>1850</v>
      </c>
      <c r="E666" s="12" t="s">
        <v>1877</v>
      </c>
      <c r="F666" s="12" t="s">
        <v>1877</v>
      </c>
      <c r="G666" s="12" t="s">
        <v>2635</v>
      </c>
      <c r="H666" s="12" t="s">
        <v>2690</v>
      </c>
      <c r="I666" s="12" t="s">
        <v>3308</v>
      </c>
      <c r="J666" s="11" t="s">
        <v>1856</v>
      </c>
      <c r="K666" s="11" t="s">
        <v>1852</v>
      </c>
      <c r="L666" s="11" t="s">
        <v>1853</v>
      </c>
      <c r="M666" s="12" t="s">
        <v>1854</v>
      </c>
      <c r="N666" s="12"/>
      <c r="O666" s="11" t="s">
        <v>1858</v>
      </c>
      <c r="P666" s="56"/>
    </row>
    <row r="667" spans="1:16" ht="15.75" customHeight="1" x14ac:dyDescent="0.2">
      <c r="A667" s="49">
        <v>1738</v>
      </c>
      <c r="B667" s="11" t="s">
        <v>1857</v>
      </c>
      <c r="C667" s="11" t="s">
        <v>1849</v>
      </c>
      <c r="D667" s="6" t="s">
        <v>1850</v>
      </c>
      <c r="E667" s="12" t="s">
        <v>1877</v>
      </c>
      <c r="F667" s="12" t="s">
        <v>1877</v>
      </c>
      <c r="G667" s="12" t="s">
        <v>2619</v>
      </c>
      <c r="H667" s="12" t="s">
        <v>2849</v>
      </c>
      <c r="I667" s="12" t="s">
        <v>3309</v>
      </c>
      <c r="J667" s="11" t="s">
        <v>1856</v>
      </c>
      <c r="K667" s="11" t="s">
        <v>1852</v>
      </c>
      <c r="L667" s="11" t="s">
        <v>1853</v>
      </c>
      <c r="M667" s="12" t="s">
        <v>3310</v>
      </c>
      <c r="N667" s="12"/>
      <c r="O667" s="11" t="s">
        <v>1858</v>
      </c>
      <c r="P667" s="56"/>
    </row>
    <row r="668" spans="1:16" ht="15.75" customHeight="1" x14ac:dyDescent="0.2">
      <c r="A668" s="49">
        <v>1859</v>
      </c>
      <c r="B668" s="11" t="s">
        <v>1857</v>
      </c>
      <c r="C668" s="11" t="s">
        <v>1849</v>
      </c>
      <c r="D668" s="6" t="s">
        <v>1850</v>
      </c>
      <c r="E668" s="12" t="s">
        <v>1877</v>
      </c>
      <c r="F668" s="12" t="s">
        <v>1877</v>
      </c>
      <c r="G668" s="12" t="s">
        <v>2643</v>
      </c>
      <c r="H668" s="12" t="s">
        <v>3013</v>
      </c>
      <c r="I668" s="12" t="s">
        <v>3311</v>
      </c>
      <c r="J668" s="11" t="s">
        <v>1856</v>
      </c>
      <c r="K668" s="11" t="s">
        <v>1852</v>
      </c>
      <c r="L668" s="11" t="s">
        <v>1853</v>
      </c>
      <c r="M668" s="12" t="s">
        <v>2007</v>
      </c>
      <c r="N668" s="12"/>
      <c r="O668" s="11" t="s">
        <v>1858</v>
      </c>
      <c r="P668" s="56"/>
    </row>
    <row r="669" spans="1:16" ht="15.75" customHeight="1" x14ac:dyDescent="0.2">
      <c r="A669" s="49">
        <v>1581</v>
      </c>
      <c r="B669" s="11" t="s">
        <v>1857</v>
      </c>
      <c r="C669" s="11" t="s">
        <v>1849</v>
      </c>
      <c r="D669" s="6" t="s">
        <v>1850</v>
      </c>
      <c r="E669" s="12" t="s">
        <v>1877</v>
      </c>
      <c r="F669" s="12" t="s">
        <v>1877</v>
      </c>
      <c r="G669" s="12" t="s">
        <v>2653</v>
      </c>
      <c r="H669" s="12" t="s">
        <v>2696</v>
      </c>
      <c r="I669" s="12" t="s">
        <v>3312</v>
      </c>
      <c r="J669" s="11" t="s">
        <v>1856</v>
      </c>
      <c r="K669" s="11" t="s">
        <v>1852</v>
      </c>
      <c r="L669" s="11" t="s">
        <v>1853</v>
      </c>
      <c r="M669" s="12" t="s">
        <v>3313</v>
      </c>
      <c r="N669" s="12"/>
      <c r="O669" s="11" t="s">
        <v>1858</v>
      </c>
      <c r="P669" s="56"/>
    </row>
    <row r="670" spans="1:16" ht="15.75" customHeight="1" x14ac:dyDescent="0.2">
      <c r="A670" s="49">
        <v>1839</v>
      </c>
      <c r="B670" s="11" t="s">
        <v>1857</v>
      </c>
      <c r="C670" s="11" t="s">
        <v>1849</v>
      </c>
      <c r="D670" s="6" t="s">
        <v>1850</v>
      </c>
      <c r="E670" s="12" t="s">
        <v>1877</v>
      </c>
      <c r="F670" s="12" t="s">
        <v>1877</v>
      </c>
      <c r="G670" s="12" t="s">
        <v>1914</v>
      </c>
      <c r="H670" s="12" t="s">
        <v>1937</v>
      </c>
      <c r="I670" s="12" t="s">
        <v>2156</v>
      </c>
      <c r="J670" s="11" t="s">
        <v>1856</v>
      </c>
      <c r="K670" s="11" t="s">
        <v>1852</v>
      </c>
      <c r="L670" s="11" t="s">
        <v>1853</v>
      </c>
      <c r="M670" s="12" t="s">
        <v>2076</v>
      </c>
      <c r="N670" s="12"/>
      <c r="O670" s="11" t="s">
        <v>1858</v>
      </c>
      <c r="P670" s="56"/>
    </row>
    <row r="671" spans="1:16" ht="15.75" customHeight="1" x14ac:dyDescent="0.2">
      <c r="A671" s="49">
        <v>1599</v>
      </c>
      <c r="B671" s="11" t="s">
        <v>1857</v>
      </c>
      <c r="C671" s="11" t="s">
        <v>1849</v>
      </c>
      <c r="D671" s="6" t="s">
        <v>1850</v>
      </c>
      <c r="E671" s="12" t="s">
        <v>1877</v>
      </c>
      <c r="F671" s="12" t="s">
        <v>1877</v>
      </c>
      <c r="G671" s="12" t="s">
        <v>2653</v>
      </c>
      <c r="H671" s="12" t="s">
        <v>2693</v>
      </c>
      <c r="I671" s="12" t="s">
        <v>3314</v>
      </c>
      <c r="J671" s="11" t="s">
        <v>1856</v>
      </c>
      <c r="K671" s="11" t="s">
        <v>1852</v>
      </c>
      <c r="L671" s="11" t="s">
        <v>1853</v>
      </c>
      <c r="M671" s="12" t="s">
        <v>3222</v>
      </c>
      <c r="N671" s="12"/>
      <c r="O671" s="11" t="s">
        <v>1858</v>
      </c>
      <c r="P671" s="56"/>
    </row>
    <row r="672" spans="1:16" ht="15.75" customHeight="1" x14ac:dyDescent="0.2">
      <c r="A672" s="49">
        <v>1390</v>
      </c>
      <c r="B672" s="11" t="s">
        <v>1857</v>
      </c>
      <c r="C672" s="11" t="s">
        <v>1849</v>
      </c>
      <c r="D672" s="6" t="s">
        <v>1850</v>
      </c>
      <c r="E672" s="12" t="s">
        <v>1877</v>
      </c>
      <c r="F672" s="12" t="s">
        <v>1877</v>
      </c>
      <c r="G672" s="12" t="s">
        <v>1883</v>
      </c>
      <c r="H672" s="12" t="s">
        <v>1898</v>
      </c>
      <c r="I672" s="12" t="s">
        <v>2157</v>
      </c>
      <c r="J672" s="11" t="s">
        <v>1856</v>
      </c>
      <c r="K672" s="11" t="s">
        <v>1852</v>
      </c>
      <c r="L672" s="11" t="s">
        <v>1853</v>
      </c>
      <c r="M672" s="12" t="s">
        <v>2158</v>
      </c>
      <c r="N672" s="12"/>
      <c r="O672" s="11" t="s">
        <v>1858</v>
      </c>
      <c r="P672" s="56"/>
    </row>
    <row r="673" spans="1:16" ht="15.75" customHeight="1" x14ac:dyDescent="0.2">
      <c r="A673" s="49">
        <v>1957</v>
      </c>
      <c r="B673" s="11" t="s">
        <v>1857</v>
      </c>
      <c r="C673" s="11" t="s">
        <v>1849</v>
      </c>
      <c r="D673" s="6" t="s">
        <v>1850</v>
      </c>
      <c r="E673" s="12" t="s">
        <v>1877</v>
      </c>
      <c r="F673" s="12" t="s">
        <v>1877</v>
      </c>
      <c r="G673" s="12" t="s">
        <v>2627</v>
      </c>
      <c r="H673" s="12" t="s">
        <v>3291</v>
      </c>
      <c r="I673" s="12" t="s">
        <v>3315</v>
      </c>
      <c r="J673" s="11" t="s">
        <v>1856</v>
      </c>
      <c r="K673" s="11" t="s">
        <v>1852</v>
      </c>
      <c r="L673" s="11" t="s">
        <v>1853</v>
      </c>
      <c r="M673" s="12" t="s">
        <v>3316</v>
      </c>
      <c r="N673" s="12"/>
      <c r="O673" s="11" t="s">
        <v>1858</v>
      </c>
      <c r="P673" s="56"/>
    </row>
    <row r="674" spans="1:16" ht="15.75" customHeight="1" x14ac:dyDescent="0.2">
      <c r="A674" s="49">
        <v>1563</v>
      </c>
      <c r="B674" s="11" t="s">
        <v>1857</v>
      </c>
      <c r="C674" s="11" t="s">
        <v>1849</v>
      </c>
      <c r="D674" s="6" t="s">
        <v>1850</v>
      </c>
      <c r="E674" s="12" t="s">
        <v>1877</v>
      </c>
      <c r="F674" s="12" t="s">
        <v>1877</v>
      </c>
      <c r="G674" s="12" t="s">
        <v>2653</v>
      </c>
      <c r="H674" s="12" t="s">
        <v>2696</v>
      </c>
      <c r="I674" s="12" t="s">
        <v>3317</v>
      </c>
      <c r="J674" s="11" t="s">
        <v>1856</v>
      </c>
      <c r="K674" s="11" t="s">
        <v>1852</v>
      </c>
      <c r="L674" s="11" t="s">
        <v>1853</v>
      </c>
      <c r="M674" s="12" t="s">
        <v>3318</v>
      </c>
      <c r="N674" s="12"/>
      <c r="O674" s="11" t="s">
        <v>1859</v>
      </c>
      <c r="P674" s="56"/>
    </row>
    <row r="675" spans="1:16" ht="15.75" customHeight="1" x14ac:dyDescent="0.2">
      <c r="A675" s="49">
        <v>1315</v>
      </c>
      <c r="B675" s="11" t="s">
        <v>1857</v>
      </c>
      <c r="C675" s="11" t="s">
        <v>1849</v>
      </c>
      <c r="D675" s="6" t="s">
        <v>1850</v>
      </c>
      <c r="E675" s="12" t="s">
        <v>1877</v>
      </c>
      <c r="F675" s="12" t="s">
        <v>1877</v>
      </c>
      <c r="G675" s="12" t="s">
        <v>2684</v>
      </c>
      <c r="H675" s="12" t="s">
        <v>2869</v>
      </c>
      <c r="I675" s="12" t="s">
        <v>3067</v>
      </c>
      <c r="J675" s="11" t="s">
        <v>1856</v>
      </c>
      <c r="K675" s="11" t="s">
        <v>1852</v>
      </c>
      <c r="L675" s="11" t="s">
        <v>1853</v>
      </c>
      <c r="M675" s="12" t="s">
        <v>1854</v>
      </c>
      <c r="N675" s="12"/>
      <c r="O675" s="11" t="s">
        <v>1858</v>
      </c>
      <c r="P675" s="56"/>
    </row>
    <row r="676" spans="1:16" ht="15.75" customHeight="1" x14ac:dyDescent="0.2">
      <c r="A676" s="49">
        <v>2044</v>
      </c>
      <c r="B676" s="11" t="s">
        <v>1857</v>
      </c>
      <c r="C676" s="11" t="s">
        <v>1849</v>
      </c>
      <c r="D676" s="6" t="s">
        <v>1850</v>
      </c>
      <c r="E676" s="12" t="s">
        <v>1877</v>
      </c>
      <c r="F676" s="12" t="s">
        <v>1877</v>
      </c>
      <c r="G676" s="12" t="s">
        <v>2649</v>
      </c>
      <c r="H676" s="12" t="s">
        <v>2649</v>
      </c>
      <c r="I676" s="12" t="s">
        <v>3319</v>
      </c>
      <c r="J676" s="11" t="s">
        <v>1856</v>
      </c>
      <c r="K676" s="11" t="s">
        <v>1852</v>
      </c>
      <c r="L676" s="11" t="s">
        <v>1853</v>
      </c>
      <c r="M676" s="12" t="s">
        <v>2069</v>
      </c>
      <c r="N676" s="12"/>
      <c r="O676" s="11" t="s">
        <v>1858</v>
      </c>
      <c r="P676" s="56"/>
    </row>
    <row r="677" spans="1:16" ht="15.75" customHeight="1" x14ac:dyDescent="0.2">
      <c r="A677" s="49">
        <v>1565</v>
      </c>
      <c r="B677" s="11" t="s">
        <v>1857</v>
      </c>
      <c r="C677" s="11" t="s">
        <v>1849</v>
      </c>
      <c r="D677" s="6" t="s">
        <v>1850</v>
      </c>
      <c r="E677" s="12" t="s">
        <v>1877</v>
      </c>
      <c r="F677" s="12" t="s">
        <v>1877</v>
      </c>
      <c r="G677" s="12" t="s">
        <v>2653</v>
      </c>
      <c r="H677" s="12" t="s">
        <v>2696</v>
      </c>
      <c r="I677" s="12" t="s">
        <v>3320</v>
      </c>
      <c r="J677" s="11" t="s">
        <v>1856</v>
      </c>
      <c r="K677" s="11" t="s">
        <v>1852</v>
      </c>
      <c r="L677" s="11" t="s">
        <v>1853</v>
      </c>
      <c r="M677" s="12" t="s">
        <v>3321</v>
      </c>
      <c r="N677" s="12"/>
      <c r="O677" s="11" t="s">
        <v>1858</v>
      </c>
      <c r="P677" s="56"/>
    </row>
    <row r="678" spans="1:16" ht="15.75" customHeight="1" x14ac:dyDescent="0.2">
      <c r="A678" s="49">
        <v>1439</v>
      </c>
      <c r="B678" s="11" t="s">
        <v>1857</v>
      </c>
      <c r="C678" s="11" t="s">
        <v>1849</v>
      </c>
      <c r="D678" s="6" t="s">
        <v>1850</v>
      </c>
      <c r="E678" s="12" t="s">
        <v>1877</v>
      </c>
      <c r="F678" s="12" t="s">
        <v>1877</v>
      </c>
      <c r="G678" s="12" t="s">
        <v>1883</v>
      </c>
      <c r="H678" s="12" t="s">
        <v>1889</v>
      </c>
      <c r="I678" s="12" t="s">
        <v>2159</v>
      </c>
      <c r="J678" s="11" t="s">
        <v>1856</v>
      </c>
      <c r="K678" s="11" t="s">
        <v>1852</v>
      </c>
      <c r="L678" s="11" t="s">
        <v>1853</v>
      </c>
      <c r="M678" s="12" t="s">
        <v>2160</v>
      </c>
      <c r="N678" s="12" t="s">
        <v>2161</v>
      </c>
      <c r="O678" s="11" t="s">
        <v>1859</v>
      </c>
      <c r="P678" s="56"/>
    </row>
    <row r="679" spans="1:16" ht="15.75" customHeight="1" x14ac:dyDescent="0.2">
      <c r="A679" s="49">
        <v>1335</v>
      </c>
      <c r="B679" s="11" t="s">
        <v>1857</v>
      </c>
      <c r="C679" s="11" t="s">
        <v>1849</v>
      </c>
      <c r="D679" s="6" t="s">
        <v>1850</v>
      </c>
      <c r="E679" s="12" t="s">
        <v>1877</v>
      </c>
      <c r="F679" s="12" t="s">
        <v>1877</v>
      </c>
      <c r="G679" s="12" t="s">
        <v>1883</v>
      </c>
      <c r="H679" s="12" t="s">
        <v>1898</v>
      </c>
      <c r="I679" s="12" t="s">
        <v>2162</v>
      </c>
      <c r="J679" s="11" t="s">
        <v>1856</v>
      </c>
      <c r="K679" s="11" t="s">
        <v>1852</v>
      </c>
      <c r="L679" s="11" t="s">
        <v>1853</v>
      </c>
      <c r="M679" s="12" t="s">
        <v>1862</v>
      </c>
      <c r="N679" s="12" t="s">
        <v>2163</v>
      </c>
      <c r="O679" s="11" t="s">
        <v>1858</v>
      </c>
      <c r="P679" s="56"/>
    </row>
    <row r="680" spans="1:16" ht="15.75" customHeight="1" x14ac:dyDescent="0.2">
      <c r="A680" s="49">
        <v>1780</v>
      </c>
      <c r="B680" s="11" t="s">
        <v>1857</v>
      </c>
      <c r="C680" s="11" t="s">
        <v>1849</v>
      </c>
      <c r="D680" s="6" t="s">
        <v>1850</v>
      </c>
      <c r="E680" s="12" t="s">
        <v>1877</v>
      </c>
      <c r="F680" s="12" t="s">
        <v>1877</v>
      </c>
      <c r="G680" s="12" t="s">
        <v>2619</v>
      </c>
      <c r="H680" s="12" t="s">
        <v>3277</v>
      </c>
      <c r="I680" s="12" t="s">
        <v>3322</v>
      </c>
      <c r="J680" s="11" t="s">
        <v>1856</v>
      </c>
      <c r="K680" s="11" t="s">
        <v>1852</v>
      </c>
      <c r="L680" s="11" t="s">
        <v>1853</v>
      </c>
      <c r="M680" s="12" t="s">
        <v>3323</v>
      </c>
      <c r="N680" s="12"/>
      <c r="O680" s="11" t="s">
        <v>1860</v>
      </c>
      <c r="P680" s="56"/>
    </row>
    <row r="681" spans="1:16" ht="15.75" customHeight="1" x14ac:dyDescent="0.2">
      <c r="A681" s="49">
        <v>2155</v>
      </c>
      <c r="B681" s="11" t="s">
        <v>1857</v>
      </c>
      <c r="C681" s="11" t="s">
        <v>1849</v>
      </c>
      <c r="D681" s="6" t="s">
        <v>1850</v>
      </c>
      <c r="E681" s="12" t="s">
        <v>1877</v>
      </c>
      <c r="F681" s="12" t="s">
        <v>1877</v>
      </c>
      <c r="G681" s="12" t="s">
        <v>2623</v>
      </c>
      <c r="H681" s="12" t="s">
        <v>2675</v>
      </c>
      <c r="I681" s="12" t="s">
        <v>3324</v>
      </c>
      <c r="J681" s="11" t="s">
        <v>1856</v>
      </c>
      <c r="K681" s="11" t="s">
        <v>1852</v>
      </c>
      <c r="L681" s="11" t="s">
        <v>1853</v>
      </c>
      <c r="M681" s="12" t="s">
        <v>2757</v>
      </c>
      <c r="N681" s="12"/>
      <c r="O681" s="11" t="s">
        <v>1858</v>
      </c>
      <c r="P681" s="56"/>
    </row>
    <row r="682" spans="1:16" ht="15.75" customHeight="1" x14ac:dyDescent="0.2">
      <c r="A682" s="49">
        <v>1847</v>
      </c>
      <c r="B682" s="11" t="s">
        <v>1857</v>
      </c>
      <c r="C682" s="11" t="s">
        <v>1849</v>
      </c>
      <c r="D682" s="6" t="s">
        <v>1850</v>
      </c>
      <c r="E682" s="12" t="s">
        <v>1877</v>
      </c>
      <c r="F682" s="12" t="s">
        <v>1877</v>
      </c>
      <c r="G682" s="12" t="s">
        <v>1914</v>
      </c>
      <c r="H682" s="12" t="s">
        <v>1943</v>
      </c>
      <c r="I682" s="12" t="s">
        <v>2164</v>
      </c>
      <c r="J682" s="11" t="s">
        <v>1856</v>
      </c>
      <c r="K682" s="11" t="s">
        <v>1852</v>
      </c>
      <c r="L682" s="11" t="s">
        <v>1853</v>
      </c>
      <c r="M682" s="12" t="s">
        <v>1854</v>
      </c>
      <c r="N682" s="12"/>
      <c r="O682" s="11" t="s">
        <v>1860</v>
      </c>
      <c r="P682" s="56"/>
    </row>
    <row r="683" spans="1:16" ht="15.75" customHeight="1" x14ac:dyDescent="0.2">
      <c r="A683" s="49">
        <v>1324</v>
      </c>
      <c r="B683" s="11" t="s">
        <v>1857</v>
      </c>
      <c r="C683" s="11" t="s">
        <v>1849</v>
      </c>
      <c r="D683" s="6" t="s">
        <v>1850</v>
      </c>
      <c r="E683" s="12" t="s">
        <v>1877</v>
      </c>
      <c r="F683" s="12" t="s">
        <v>1877</v>
      </c>
      <c r="G683" s="12" t="s">
        <v>2684</v>
      </c>
      <c r="H683" s="12" t="s">
        <v>3325</v>
      </c>
      <c r="I683" s="12" t="s">
        <v>3326</v>
      </c>
      <c r="J683" s="11" t="s">
        <v>1856</v>
      </c>
      <c r="K683" s="11" t="s">
        <v>1852</v>
      </c>
      <c r="L683" s="11" t="s">
        <v>1853</v>
      </c>
      <c r="M683" s="12" t="s">
        <v>3323</v>
      </c>
      <c r="N683" s="12"/>
      <c r="O683" s="11" t="s">
        <v>1858</v>
      </c>
      <c r="P683" s="56"/>
    </row>
    <row r="684" spans="1:16" ht="15.75" customHeight="1" x14ac:dyDescent="0.2">
      <c r="A684" s="49">
        <v>1430</v>
      </c>
      <c r="B684" s="11" t="s">
        <v>1857</v>
      </c>
      <c r="C684" s="11" t="s">
        <v>1849</v>
      </c>
      <c r="D684" s="6" t="s">
        <v>1850</v>
      </c>
      <c r="E684" s="12" t="s">
        <v>1877</v>
      </c>
      <c r="F684" s="12" t="s">
        <v>1877</v>
      </c>
      <c r="G684" s="12" t="s">
        <v>1883</v>
      </c>
      <c r="H684" s="12" t="s">
        <v>1950</v>
      </c>
      <c r="I684" s="12" t="s">
        <v>2165</v>
      </c>
      <c r="J684" s="11" t="s">
        <v>1856</v>
      </c>
      <c r="K684" s="11" t="s">
        <v>1852</v>
      </c>
      <c r="L684" s="11" t="s">
        <v>1853</v>
      </c>
      <c r="M684" s="12" t="s">
        <v>2166</v>
      </c>
      <c r="N684" s="11" t="s">
        <v>2166</v>
      </c>
      <c r="O684" s="11" t="s">
        <v>1858</v>
      </c>
      <c r="P684" s="56"/>
    </row>
    <row r="685" spans="1:16" ht="15.75" customHeight="1" x14ac:dyDescent="0.2">
      <c r="A685" s="49">
        <v>1429</v>
      </c>
      <c r="B685" s="11" t="s">
        <v>1857</v>
      </c>
      <c r="C685" s="11" t="s">
        <v>1849</v>
      </c>
      <c r="D685" s="6" t="s">
        <v>1850</v>
      </c>
      <c r="E685" s="12" t="s">
        <v>1877</v>
      </c>
      <c r="F685" s="12" t="s">
        <v>1877</v>
      </c>
      <c r="G685" s="12" t="s">
        <v>1883</v>
      </c>
      <c r="H685" s="12" t="s">
        <v>1950</v>
      </c>
      <c r="I685" s="12" t="s">
        <v>2167</v>
      </c>
      <c r="J685" s="11" t="s">
        <v>1856</v>
      </c>
      <c r="K685" s="11" t="s">
        <v>1852</v>
      </c>
      <c r="L685" s="11" t="s">
        <v>1853</v>
      </c>
      <c r="M685" s="12" t="s">
        <v>2168</v>
      </c>
      <c r="N685" s="12" t="s">
        <v>2169</v>
      </c>
      <c r="O685" s="11" t="s">
        <v>1858</v>
      </c>
      <c r="P685" s="56"/>
    </row>
    <row r="686" spans="1:16" ht="15.75" customHeight="1" x14ac:dyDescent="0.2">
      <c r="A686" s="49">
        <v>1777</v>
      </c>
      <c r="B686" s="11" t="s">
        <v>1857</v>
      </c>
      <c r="C686" s="11" t="s">
        <v>1849</v>
      </c>
      <c r="D686" s="6" t="s">
        <v>1850</v>
      </c>
      <c r="E686" s="12" t="s">
        <v>1877</v>
      </c>
      <c r="F686" s="12" t="s">
        <v>1877</v>
      </c>
      <c r="G686" s="12" t="s">
        <v>2619</v>
      </c>
      <c r="H686" s="12" t="s">
        <v>2723</v>
      </c>
      <c r="I686" s="12" t="s">
        <v>3327</v>
      </c>
      <c r="J686" s="11" t="s">
        <v>1856</v>
      </c>
      <c r="K686" s="11" t="s">
        <v>1852</v>
      </c>
      <c r="L686" s="11" t="s">
        <v>1853</v>
      </c>
      <c r="M686" s="12" t="s">
        <v>3095</v>
      </c>
      <c r="N686" s="12"/>
      <c r="O686" s="11" t="s">
        <v>1858</v>
      </c>
      <c r="P686" s="56"/>
    </row>
    <row r="687" spans="1:16" ht="15.75" customHeight="1" x14ac:dyDescent="0.2">
      <c r="A687" s="49">
        <v>1892</v>
      </c>
      <c r="B687" s="11" t="s">
        <v>1857</v>
      </c>
      <c r="C687" s="11" t="s">
        <v>1849</v>
      </c>
      <c r="D687" s="6" t="s">
        <v>1850</v>
      </c>
      <c r="E687" s="12" t="s">
        <v>1877</v>
      </c>
      <c r="F687" s="12" t="s">
        <v>1877</v>
      </c>
      <c r="G687" s="12" t="s">
        <v>2656</v>
      </c>
      <c r="H687" s="12" t="s">
        <v>2753</v>
      </c>
      <c r="I687" s="12" t="s">
        <v>3328</v>
      </c>
      <c r="J687" s="11" t="s">
        <v>1856</v>
      </c>
      <c r="K687" s="11" t="s">
        <v>1852</v>
      </c>
      <c r="L687" s="11" t="s">
        <v>1853</v>
      </c>
      <c r="M687" s="12" t="s">
        <v>2698</v>
      </c>
      <c r="N687" s="12" t="s">
        <v>3329</v>
      </c>
      <c r="O687" s="11" t="s">
        <v>1858</v>
      </c>
      <c r="P687" s="56"/>
    </row>
    <row r="688" spans="1:16" ht="15.75" customHeight="1" x14ac:dyDescent="0.2">
      <c r="A688" s="49">
        <v>6363</v>
      </c>
      <c r="B688" s="11" t="s">
        <v>1857</v>
      </c>
      <c r="C688" s="11" t="s">
        <v>1849</v>
      </c>
      <c r="D688" s="6" t="s">
        <v>1850</v>
      </c>
      <c r="E688" s="12" t="s">
        <v>1877</v>
      </c>
      <c r="F688" s="12" t="s">
        <v>1877</v>
      </c>
      <c r="G688" s="12" t="s">
        <v>2656</v>
      </c>
      <c r="H688" s="12" t="s">
        <v>2793</v>
      </c>
      <c r="I688" s="12" t="s">
        <v>3330</v>
      </c>
      <c r="J688" s="11" t="s">
        <v>1856</v>
      </c>
      <c r="K688" s="11" t="s">
        <v>1852</v>
      </c>
      <c r="L688" s="11" t="s">
        <v>1853</v>
      </c>
      <c r="M688" s="12" t="s">
        <v>3331</v>
      </c>
      <c r="N688" s="12"/>
      <c r="O688" s="11" t="s">
        <v>1858</v>
      </c>
      <c r="P688" s="56"/>
    </row>
    <row r="689" spans="1:16" ht="15.75" customHeight="1" x14ac:dyDescent="0.2">
      <c r="A689" s="49">
        <v>1620</v>
      </c>
      <c r="B689" s="11" t="s">
        <v>1857</v>
      </c>
      <c r="C689" s="11" t="s">
        <v>1849</v>
      </c>
      <c r="D689" s="6" t="s">
        <v>1850</v>
      </c>
      <c r="E689" s="12" t="s">
        <v>1877</v>
      </c>
      <c r="F689" s="12" t="s">
        <v>1877</v>
      </c>
      <c r="G689" s="12" t="s">
        <v>2653</v>
      </c>
      <c r="H689" s="12" t="s">
        <v>3024</v>
      </c>
      <c r="I689" s="12" t="s">
        <v>3332</v>
      </c>
      <c r="J689" s="11" t="s">
        <v>1856</v>
      </c>
      <c r="K689" s="11" t="s">
        <v>1852</v>
      </c>
      <c r="L689" s="11" t="s">
        <v>1853</v>
      </c>
      <c r="M689" s="12" t="s">
        <v>3323</v>
      </c>
      <c r="N689" s="12"/>
      <c r="O689" s="11" t="s">
        <v>1858</v>
      </c>
      <c r="P689" s="56"/>
    </row>
    <row r="690" spans="1:16" ht="15.75" customHeight="1" x14ac:dyDescent="0.2">
      <c r="A690" s="49">
        <v>1547</v>
      </c>
      <c r="B690" s="11" t="s">
        <v>1857</v>
      </c>
      <c r="C690" s="11" t="s">
        <v>1849</v>
      </c>
      <c r="D690" s="6" t="s">
        <v>1850</v>
      </c>
      <c r="E690" s="12" t="s">
        <v>1877</v>
      </c>
      <c r="F690" s="12" t="s">
        <v>1877</v>
      </c>
      <c r="G690" s="12" t="s">
        <v>2653</v>
      </c>
      <c r="H690" s="12" t="s">
        <v>2762</v>
      </c>
      <c r="I690" s="12" t="s">
        <v>3333</v>
      </c>
      <c r="J690" s="11" t="s">
        <v>1856</v>
      </c>
      <c r="K690" s="11" t="s">
        <v>1852</v>
      </c>
      <c r="L690" s="11" t="s">
        <v>1853</v>
      </c>
      <c r="M690" s="12" t="s">
        <v>3334</v>
      </c>
      <c r="N690" s="12"/>
      <c r="O690" s="11" t="s">
        <v>1858</v>
      </c>
      <c r="P690" s="56"/>
    </row>
    <row r="691" spans="1:16" ht="15.75" customHeight="1" x14ac:dyDescent="0.2">
      <c r="A691" s="49">
        <v>1391</v>
      </c>
      <c r="B691" s="11" t="s">
        <v>1857</v>
      </c>
      <c r="C691" s="11" t="s">
        <v>1849</v>
      </c>
      <c r="D691" s="6" t="s">
        <v>1850</v>
      </c>
      <c r="E691" s="12" t="s">
        <v>1877</v>
      </c>
      <c r="F691" s="12" t="s">
        <v>1877</v>
      </c>
      <c r="G691" s="12" t="s">
        <v>1883</v>
      </c>
      <c r="H691" s="12" t="s">
        <v>1918</v>
      </c>
      <c r="I691" s="12" t="s">
        <v>2170</v>
      </c>
      <c r="J691" s="11" t="s">
        <v>1856</v>
      </c>
      <c r="K691" s="11" t="s">
        <v>1852</v>
      </c>
      <c r="L691" s="11" t="s">
        <v>1853</v>
      </c>
      <c r="M691" s="12" t="s">
        <v>2171</v>
      </c>
      <c r="N691" s="12" t="s">
        <v>2172</v>
      </c>
      <c r="O691" s="11" t="s">
        <v>1858</v>
      </c>
      <c r="P691" s="56"/>
    </row>
    <row r="692" spans="1:16" ht="15.75" customHeight="1" x14ac:dyDescent="0.2">
      <c r="A692" s="49">
        <v>1930</v>
      </c>
      <c r="B692" s="11" t="s">
        <v>1857</v>
      </c>
      <c r="C692" s="11" t="s">
        <v>1849</v>
      </c>
      <c r="D692" s="6" t="s">
        <v>1850</v>
      </c>
      <c r="E692" s="12" t="s">
        <v>1877</v>
      </c>
      <c r="F692" s="12" t="s">
        <v>1877</v>
      </c>
      <c r="G692" s="12" t="s">
        <v>2656</v>
      </c>
      <c r="H692" s="12" t="s">
        <v>3189</v>
      </c>
      <c r="I692" s="12" t="s">
        <v>3223</v>
      </c>
      <c r="J692" s="11" t="s">
        <v>1856</v>
      </c>
      <c r="K692" s="11" t="s">
        <v>1852</v>
      </c>
      <c r="L692" s="11" t="s">
        <v>1853</v>
      </c>
      <c r="M692" s="12" t="s">
        <v>1902</v>
      </c>
      <c r="N692" s="12"/>
      <c r="O692" s="11" t="s">
        <v>1858</v>
      </c>
      <c r="P692" s="56"/>
    </row>
    <row r="693" spans="1:16" ht="15.75" customHeight="1" x14ac:dyDescent="0.2">
      <c r="A693" s="48">
        <v>15125</v>
      </c>
      <c r="B693" s="11" t="s">
        <v>1871</v>
      </c>
      <c r="C693" s="11" t="s">
        <v>1849</v>
      </c>
      <c r="D693" s="6" t="s">
        <v>1850</v>
      </c>
      <c r="E693" s="12" t="s">
        <v>1877</v>
      </c>
      <c r="F693" s="12" t="s">
        <v>1877</v>
      </c>
      <c r="G693" s="12" t="s">
        <v>2619</v>
      </c>
      <c r="H693" s="12" t="s">
        <v>2619</v>
      </c>
      <c r="I693" s="12" t="s">
        <v>3335</v>
      </c>
      <c r="J693" s="11" t="s">
        <v>1856</v>
      </c>
      <c r="K693" s="11" t="s">
        <v>1852</v>
      </c>
      <c r="L693" s="11" t="s">
        <v>1853</v>
      </c>
      <c r="M693" s="12" t="s">
        <v>1854</v>
      </c>
      <c r="N693" s="12"/>
      <c r="O693" s="11" t="s">
        <v>1874</v>
      </c>
      <c r="P693" s="56" t="s">
        <v>1863</v>
      </c>
    </row>
    <row r="694" spans="1:16" ht="15.75" customHeight="1" x14ac:dyDescent="0.2">
      <c r="A694" s="49">
        <v>7528</v>
      </c>
      <c r="B694" s="11" t="s">
        <v>1871</v>
      </c>
      <c r="C694" s="11" t="s">
        <v>1849</v>
      </c>
      <c r="D694" s="6" t="s">
        <v>1850</v>
      </c>
      <c r="E694" s="12" t="s">
        <v>1877</v>
      </c>
      <c r="F694" s="12" t="s">
        <v>1877</v>
      </c>
      <c r="G694" s="12" t="s">
        <v>2619</v>
      </c>
      <c r="H694" s="12" t="s">
        <v>1877</v>
      </c>
      <c r="I694" s="12" t="s">
        <v>3336</v>
      </c>
      <c r="J694" s="11" t="s">
        <v>1856</v>
      </c>
      <c r="K694" s="11" t="s">
        <v>1852</v>
      </c>
      <c r="L694" s="11" t="s">
        <v>1853</v>
      </c>
      <c r="M694" s="12" t="s">
        <v>1854</v>
      </c>
      <c r="N694" s="12"/>
      <c r="O694" s="11" t="s">
        <v>2412</v>
      </c>
      <c r="P694" s="56" t="s">
        <v>3337</v>
      </c>
    </row>
    <row r="695" spans="1:16" ht="15.75" customHeight="1" x14ac:dyDescent="0.2">
      <c r="A695" s="49">
        <v>7529</v>
      </c>
      <c r="B695" s="11" t="s">
        <v>1871</v>
      </c>
      <c r="C695" s="11" t="s">
        <v>1849</v>
      </c>
      <c r="D695" s="6" t="s">
        <v>1850</v>
      </c>
      <c r="E695" s="12" t="s">
        <v>1877</v>
      </c>
      <c r="F695" s="12" t="s">
        <v>1877</v>
      </c>
      <c r="G695" s="12" t="s">
        <v>1880</v>
      </c>
      <c r="H695" s="12" t="s">
        <v>1892</v>
      </c>
      <c r="I695" s="12" t="s">
        <v>2173</v>
      </c>
      <c r="J695" s="11" t="s">
        <v>1856</v>
      </c>
      <c r="K695" s="11" t="s">
        <v>1852</v>
      </c>
      <c r="L695" s="11" t="s">
        <v>1853</v>
      </c>
      <c r="M695" s="12" t="s">
        <v>1854</v>
      </c>
      <c r="N695" s="12"/>
      <c r="O695" s="11" t="s">
        <v>1874</v>
      </c>
      <c r="P695" s="56" t="s">
        <v>2174</v>
      </c>
    </row>
    <row r="696" spans="1:16" ht="15.75" customHeight="1" x14ac:dyDescent="0.2">
      <c r="A696" s="48">
        <v>15487</v>
      </c>
      <c r="B696" s="11" t="s">
        <v>1871</v>
      </c>
      <c r="C696" s="11" t="s">
        <v>1849</v>
      </c>
      <c r="D696" s="6" t="s">
        <v>1850</v>
      </c>
      <c r="E696" s="12" t="s">
        <v>1877</v>
      </c>
      <c r="F696" s="12" t="s">
        <v>1877</v>
      </c>
      <c r="G696" s="12" t="s">
        <v>1883</v>
      </c>
      <c r="H696" s="12" t="s">
        <v>1895</v>
      </c>
      <c r="I696" s="12" t="s">
        <v>2175</v>
      </c>
      <c r="J696" s="11" t="s">
        <v>1851</v>
      </c>
      <c r="K696" s="11" t="s">
        <v>1852</v>
      </c>
      <c r="L696" s="11" t="s">
        <v>1853</v>
      </c>
      <c r="M696" s="12" t="s">
        <v>2176</v>
      </c>
      <c r="N696" s="11"/>
      <c r="O696" s="11" t="s">
        <v>2022</v>
      </c>
      <c r="P696" s="56" t="s">
        <v>2177</v>
      </c>
    </row>
    <row r="697" spans="1:16" ht="15.75" customHeight="1" x14ac:dyDescent="0.2">
      <c r="A697" s="48">
        <v>1551</v>
      </c>
      <c r="B697" s="11" t="s">
        <v>1871</v>
      </c>
      <c r="C697" s="11" t="s">
        <v>1849</v>
      </c>
      <c r="D697" s="6" t="s">
        <v>1850</v>
      </c>
      <c r="E697" s="12" t="s">
        <v>1877</v>
      </c>
      <c r="F697" s="12" t="s">
        <v>1877</v>
      </c>
      <c r="G697" s="12" t="s">
        <v>2653</v>
      </c>
      <c r="H697" s="12" t="s">
        <v>2762</v>
      </c>
      <c r="I697" s="12" t="s">
        <v>3338</v>
      </c>
      <c r="J697" s="11" t="s">
        <v>1851</v>
      </c>
      <c r="K697" s="11" t="s">
        <v>1852</v>
      </c>
      <c r="L697" s="11" t="s">
        <v>1853</v>
      </c>
      <c r="M697" s="12" t="s">
        <v>3339</v>
      </c>
      <c r="N697" s="12"/>
      <c r="O697" s="11" t="s">
        <v>1866</v>
      </c>
      <c r="P697" s="56" t="s">
        <v>3340</v>
      </c>
    </row>
    <row r="698" spans="1:16" ht="15.75" customHeight="1" x14ac:dyDescent="0.2">
      <c r="A698" s="48">
        <v>1793</v>
      </c>
      <c r="B698" s="11" t="s">
        <v>1871</v>
      </c>
      <c r="C698" s="11" t="s">
        <v>1849</v>
      </c>
      <c r="D698" s="6" t="s">
        <v>1850</v>
      </c>
      <c r="E698" s="12" t="s">
        <v>1877</v>
      </c>
      <c r="F698" s="12" t="s">
        <v>1877</v>
      </c>
      <c r="G698" s="12" t="s">
        <v>1880</v>
      </c>
      <c r="H698" s="12" t="s">
        <v>1880</v>
      </c>
      <c r="I698" s="12" t="s">
        <v>2178</v>
      </c>
      <c r="J698" s="11" t="s">
        <v>1851</v>
      </c>
      <c r="K698" s="11" t="s">
        <v>1852</v>
      </c>
      <c r="L698" s="11" t="s">
        <v>1853</v>
      </c>
      <c r="M698" s="12" t="s">
        <v>2179</v>
      </c>
      <c r="N698" s="12"/>
      <c r="O698" s="11" t="s">
        <v>1866</v>
      </c>
      <c r="P698" s="56" t="s">
        <v>2180</v>
      </c>
    </row>
    <row r="699" spans="1:16" ht="15.75" customHeight="1" x14ac:dyDescent="0.2">
      <c r="A699" s="48">
        <v>1685</v>
      </c>
      <c r="B699" s="11" t="s">
        <v>1871</v>
      </c>
      <c r="C699" s="11" t="s">
        <v>1849</v>
      </c>
      <c r="D699" s="6" t="s">
        <v>1850</v>
      </c>
      <c r="E699" s="12" t="s">
        <v>1877</v>
      </c>
      <c r="F699" s="12" t="s">
        <v>1877</v>
      </c>
      <c r="G699" s="12" t="s">
        <v>2619</v>
      </c>
      <c r="H699" s="12" t="s">
        <v>2864</v>
      </c>
      <c r="I699" s="12" t="s">
        <v>3341</v>
      </c>
      <c r="J699" s="11" t="s">
        <v>1851</v>
      </c>
      <c r="K699" s="11" t="s">
        <v>1852</v>
      </c>
      <c r="L699" s="11" t="s">
        <v>1853</v>
      </c>
      <c r="M699" s="12" t="s">
        <v>3342</v>
      </c>
      <c r="N699" s="12"/>
      <c r="O699" s="11" t="s">
        <v>1866</v>
      </c>
      <c r="P699" s="56" t="s">
        <v>3343</v>
      </c>
    </row>
    <row r="700" spans="1:16" ht="15.75" customHeight="1" x14ac:dyDescent="0.2">
      <c r="A700" s="48">
        <v>1518</v>
      </c>
      <c r="B700" s="11" t="s">
        <v>1871</v>
      </c>
      <c r="C700" s="11" t="s">
        <v>1849</v>
      </c>
      <c r="D700" s="6" t="s">
        <v>1850</v>
      </c>
      <c r="E700" s="12" t="s">
        <v>1877</v>
      </c>
      <c r="F700" s="12" t="s">
        <v>1877</v>
      </c>
      <c r="G700" s="12" t="s">
        <v>2635</v>
      </c>
      <c r="H700" s="12" t="s">
        <v>2690</v>
      </c>
      <c r="I700" s="12" t="s">
        <v>3344</v>
      </c>
      <c r="J700" s="11" t="s">
        <v>1851</v>
      </c>
      <c r="K700" s="11" t="s">
        <v>1852</v>
      </c>
      <c r="L700" s="11" t="s">
        <v>1853</v>
      </c>
      <c r="M700" s="12" t="s">
        <v>3345</v>
      </c>
      <c r="N700" s="12"/>
      <c r="O700" s="11" t="s">
        <v>1866</v>
      </c>
      <c r="P700" s="56" t="s">
        <v>3346</v>
      </c>
    </row>
    <row r="701" spans="1:16" ht="15.75" customHeight="1" x14ac:dyDescent="0.2">
      <c r="A701" s="48">
        <v>4971</v>
      </c>
      <c r="B701" s="11" t="s">
        <v>1871</v>
      </c>
      <c r="C701" s="11" t="s">
        <v>1849</v>
      </c>
      <c r="D701" s="6" t="s">
        <v>1850</v>
      </c>
      <c r="E701" s="12" t="s">
        <v>1877</v>
      </c>
      <c r="F701" s="12" t="s">
        <v>1877</v>
      </c>
      <c r="G701" s="12" t="s">
        <v>2656</v>
      </c>
      <c r="H701" s="12" t="s">
        <v>2726</v>
      </c>
      <c r="I701" s="12" t="s">
        <v>3347</v>
      </c>
      <c r="J701" s="11" t="s">
        <v>1856</v>
      </c>
      <c r="K701" s="11" t="s">
        <v>1852</v>
      </c>
      <c r="L701" s="11" t="s">
        <v>1853</v>
      </c>
      <c r="M701" s="12" t="s">
        <v>3348</v>
      </c>
      <c r="N701" s="12"/>
      <c r="O701" s="11" t="s">
        <v>1866</v>
      </c>
      <c r="P701" s="56" t="s">
        <v>3349</v>
      </c>
    </row>
    <row r="702" spans="1:16" ht="15.75" customHeight="1" x14ac:dyDescent="0.2">
      <c r="A702" s="48">
        <v>2071</v>
      </c>
      <c r="B702" s="11" t="s">
        <v>1871</v>
      </c>
      <c r="C702" s="11" t="s">
        <v>1849</v>
      </c>
      <c r="D702" s="6" t="s">
        <v>1850</v>
      </c>
      <c r="E702" s="12" t="s">
        <v>1877</v>
      </c>
      <c r="F702" s="12" t="s">
        <v>1877</v>
      </c>
      <c r="G702" s="12" t="s">
        <v>2623</v>
      </c>
      <c r="H702" s="12" t="s">
        <v>2623</v>
      </c>
      <c r="I702" s="12" t="s">
        <v>3350</v>
      </c>
      <c r="J702" s="11" t="s">
        <v>1856</v>
      </c>
      <c r="K702" s="11" t="s">
        <v>1852</v>
      </c>
      <c r="L702" s="11" t="s">
        <v>1853</v>
      </c>
      <c r="M702" s="12" t="s">
        <v>3351</v>
      </c>
      <c r="N702" s="12"/>
      <c r="O702" s="11" t="s">
        <v>2022</v>
      </c>
      <c r="P702" s="56" t="s">
        <v>3352</v>
      </c>
    </row>
    <row r="703" spans="1:16" ht="15.75" customHeight="1" x14ac:dyDescent="0.2">
      <c r="A703" s="49">
        <v>15898</v>
      </c>
      <c r="B703" s="11" t="s">
        <v>1871</v>
      </c>
      <c r="C703" s="11" t="s">
        <v>1849</v>
      </c>
      <c r="D703" s="6" t="s">
        <v>1850</v>
      </c>
      <c r="E703" s="12" t="s">
        <v>1877</v>
      </c>
      <c r="F703" s="12" t="s">
        <v>1877</v>
      </c>
      <c r="G703" s="12" t="s">
        <v>1883</v>
      </c>
      <c r="H703" s="12" t="s">
        <v>1884</v>
      </c>
      <c r="I703" s="12" t="s">
        <v>1870</v>
      </c>
      <c r="J703" s="11" t="s">
        <v>1856</v>
      </c>
      <c r="K703" s="11" t="s">
        <v>1852</v>
      </c>
      <c r="L703" s="11" t="s">
        <v>1853</v>
      </c>
      <c r="M703" s="12" t="s">
        <v>1854</v>
      </c>
      <c r="N703" s="12"/>
      <c r="O703" s="11" t="s">
        <v>2181</v>
      </c>
      <c r="P703" s="56"/>
    </row>
    <row r="704" spans="1:16" ht="15.75" customHeight="1" x14ac:dyDescent="0.2">
      <c r="A704" s="48">
        <v>1684</v>
      </c>
      <c r="B704" s="11" t="s">
        <v>1871</v>
      </c>
      <c r="C704" s="11" t="s">
        <v>1849</v>
      </c>
      <c r="D704" s="6" t="s">
        <v>1850</v>
      </c>
      <c r="E704" s="12" t="s">
        <v>1877</v>
      </c>
      <c r="F704" s="12" t="s">
        <v>1877</v>
      </c>
      <c r="G704" s="12" t="s">
        <v>2619</v>
      </c>
      <c r="H704" s="12" t="s">
        <v>2619</v>
      </c>
      <c r="I704" s="12" t="s">
        <v>3353</v>
      </c>
      <c r="J704" s="11" t="s">
        <v>1851</v>
      </c>
      <c r="K704" s="11" t="s">
        <v>1852</v>
      </c>
      <c r="L704" s="11" t="s">
        <v>1853</v>
      </c>
      <c r="M704" s="12" t="s">
        <v>3354</v>
      </c>
      <c r="N704" s="12"/>
      <c r="O704" s="11" t="s">
        <v>2022</v>
      </c>
      <c r="P704" s="56" t="s">
        <v>3355</v>
      </c>
    </row>
    <row r="705" spans="1:16" ht="15.75" customHeight="1" x14ac:dyDescent="0.2">
      <c r="A705" s="48">
        <v>15144</v>
      </c>
      <c r="B705" s="11" t="s">
        <v>1871</v>
      </c>
      <c r="C705" s="11" t="s">
        <v>1849</v>
      </c>
      <c r="D705" s="6" t="s">
        <v>1850</v>
      </c>
      <c r="E705" s="12" t="s">
        <v>1877</v>
      </c>
      <c r="F705" s="12" t="s">
        <v>1877</v>
      </c>
      <c r="G705" s="12" t="s">
        <v>2623</v>
      </c>
      <c r="H705" s="12" t="s">
        <v>2624</v>
      </c>
      <c r="I705" s="12" t="s">
        <v>3356</v>
      </c>
      <c r="J705" s="11" t="s">
        <v>1856</v>
      </c>
      <c r="K705" s="11" t="s">
        <v>1852</v>
      </c>
      <c r="L705" s="11" t="s">
        <v>1853</v>
      </c>
      <c r="M705" s="12" t="s">
        <v>1854</v>
      </c>
      <c r="N705" s="12"/>
      <c r="O705" s="11" t="s">
        <v>3357</v>
      </c>
      <c r="P705" s="56"/>
    </row>
    <row r="706" spans="1:16" ht="15.75" customHeight="1" x14ac:dyDescent="0.2">
      <c r="A706" s="48">
        <v>1303</v>
      </c>
      <c r="B706" s="11" t="s">
        <v>1871</v>
      </c>
      <c r="C706" s="11" t="s">
        <v>1849</v>
      </c>
      <c r="D706" s="6" t="s">
        <v>1850</v>
      </c>
      <c r="E706" s="12" t="s">
        <v>1877</v>
      </c>
      <c r="F706" s="12" t="s">
        <v>1877</v>
      </c>
      <c r="G706" s="12" t="s">
        <v>2684</v>
      </c>
      <c r="H706" s="12" t="s">
        <v>2869</v>
      </c>
      <c r="I706" s="12" t="s">
        <v>3358</v>
      </c>
      <c r="J706" s="11" t="s">
        <v>1856</v>
      </c>
      <c r="K706" s="11" t="s">
        <v>1852</v>
      </c>
      <c r="L706" s="11" t="s">
        <v>1853</v>
      </c>
      <c r="M706" s="12" t="s">
        <v>3359</v>
      </c>
      <c r="N706" s="12"/>
      <c r="O706" s="11" t="s">
        <v>1874</v>
      </c>
      <c r="P706" s="56" t="s">
        <v>3360</v>
      </c>
    </row>
    <row r="707" spans="1:16" ht="15.75" customHeight="1" x14ac:dyDescent="0.2">
      <c r="A707" s="48">
        <v>1365</v>
      </c>
      <c r="B707" s="11" t="s">
        <v>1871</v>
      </c>
      <c r="C707" s="11" t="s">
        <v>1849</v>
      </c>
      <c r="D707" s="6" t="s">
        <v>1850</v>
      </c>
      <c r="E707" s="12" t="s">
        <v>1877</v>
      </c>
      <c r="F707" s="12" t="s">
        <v>1877</v>
      </c>
      <c r="G707" s="12" t="s">
        <v>1883</v>
      </c>
      <c r="H707" s="12" t="s">
        <v>1895</v>
      </c>
      <c r="I707" s="12" t="s">
        <v>2182</v>
      </c>
      <c r="J707" s="11" t="s">
        <v>1851</v>
      </c>
      <c r="K707" s="11" t="s">
        <v>1852</v>
      </c>
      <c r="L707" s="11" t="s">
        <v>1853</v>
      </c>
      <c r="M707" s="12" t="s">
        <v>2183</v>
      </c>
      <c r="N707" s="12"/>
      <c r="O707" s="11" t="s">
        <v>1866</v>
      </c>
      <c r="P707" s="56" t="s">
        <v>2184</v>
      </c>
    </row>
    <row r="708" spans="1:16" ht="15.75" customHeight="1" x14ac:dyDescent="0.2">
      <c r="A708" s="48">
        <v>1646</v>
      </c>
      <c r="B708" s="11" t="s">
        <v>1871</v>
      </c>
      <c r="C708" s="11" t="s">
        <v>1849</v>
      </c>
      <c r="D708" s="6" t="s">
        <v>1850</v>
      </c>
      <c r="E708" s="12" t="s">
        <v>1877</v>
      </c>
      <c r="F708" s="12" t="s">
        <v>1877</v>
      </c>
      <c r="G708" s="12" t="s">
        <v>2736</v>
      </c>
      <c r="H708" s="12" t="s">
        <v>2750</v>
      </c>
      <c r="I708" s="12" t="s">
        <v>3361</v>
      </c>
      <c r="J708" s="11" t="s">
        <v>1851</v>
      </c>
      <c r="K708" s="11" t="s">
        <v>1852</v>
      </c>
      <c r="L708" s="11" t="s">
        <v>1853</v>
      </c>
      <c r="M708" s="12" t="s">
        <v>1854</v>
      </c>
      <c r="N708" s="12"/>
      <c r="O708" s="11" t="s">
        <v>1866</v>
      </c>
      <c r="P708" s="56" t="s">
        <v>3343</v>
      </c>
    </row>
    <row r="709" spans="1:16" ht="15.75" customHeight="1" x14ac:dyDescent="0.2">
      <c r="A709" s="48">
        <v>15123</v>
      </c>
      <c r="B709" s="11" t="s">
        <v>1871</v>
      </c>
      <c r="C709" s="11" t="s">
        <v>1849</v>
      </c>
      <c r="D709" s="6" t="s">
        <v>1850</v>
      </c>
      <c r="E709" s="12" t="s">
        <v>1877</v>
      </c>
      <c r="F709" s="12" t="s">
        <v>1877</v>
      </c>
      <c r="G709" s="12" t="s">
        <v>2649</v>
      </c>
      <c r="H709" s="12" t="s">
        <v>2650</v>
      </c>
      <c r="I709" s="12" t="s">
        <v>3362</v>
      </c>
      <c r="J709" s="11" t="s">
        <v>1856</v>
      </c>
      <c r="K709" s="11" t="s">
        <v>1852</v>
      </c>
      <c r="L709" s="11" t="s">
        <v>1853</v>
      </c>
      <c r="M709" s="12" t="s">
        <v>2185</v>
      </c>
      <c r="N709" s="12"/>
      <c r="O709" s="11" t="s">
        <v>2022</v>
      </c>
      <c r="P709" s="56" t="s">
        <v>1863</v>
      </c>
    </row>
    <row r="710" spans="1:16" ht="15.75" customHeight="1" x14ac:dyDescent="0.2">
      <c r="A710" s="48">
        <v>15120</v>
      </c>
      <c r="B710" s="11" t="s">
        <v>1871</v>
      </c>
      <c r="C710" s="11" t="s">
        <v>1849</v>
      </c>
      <c r="D710" s="6" t="s">
        <v>1850</v>
      </c>
      <c r="E710" s="12" t="s">
        <v>1877</v>
      </c>
      <c r="F710" s="12" t="s">
        <v>1877</v>
      </c>
      <c r="G710" s="12" t="s">
        <v>1883</v>
      </c>
      <c r="H710" s="12" t="s">
        <v>1889</v>
      </c>
      <c r="I710" s="12" t="s">
        <v>2186</v>
      </c>
      <c r="J710" s="11" t="s">
        <v>1856</v>
      </c>
      <c r="K710" s="11" t="s">
        <v>1852</v>
      </c>
      <c r="L710" s="11" t="s">
        <v>1853</v>
      </c>
      <c r="M710" s="12" t="s">
        <v>2185</v>
      </c>
      <c r="N710" s="12"/>
      <c r="O710" s="11" t="s">
        <v>2022</v>
      </c>
      <c r="P710" s="56" t="s">
        <v>1863</v>
      </c>
    </row>
    <row r="711" spans="1:16" ht="15.75" customHeight="1" x14ac:dyDescent="0.2">
      <c r="A711" s="48">
        <v>5445</v>
      </c>
      <c r="B711" s="11" t="s">
        <v>1871</v>
      </c>
      <c r="C711" s="11" t="s">
        <v>1849</v>
      </c>
      <c r="D711" s="6" t="s">
        <v>1850</v>
      </c>
      <c r="E711" s="12" t="s">
        <v>1877</v>
      </c>
      <c r="F711" s="12" t="s">
        <v>1877</v>
      </c>
      <c r="G711" s="12" t="s">
        <v>2619</v>
      </c>
      <c r="H711" s="12" t="s">
        <v>2626</v>
      </c>
      <c r="I711" s="12" t="s">
        <v>3363</v>
      </c>
      <c r="J711" s="11" t="s">
        <v>1851</v>
      </c>
      <c r="K711" s="11" t="s">
        <v>1852</v>
      </c>
      <c r="L711" s="11" t="s">
        <v>1853</v>
      </c>
      <c r="M711" s="12" t="s">
        <v>2176</v>
      </c>
      <c r="N711" s="12"/>
      <c r="O711" s="11" t="s">
        <v>2022</v>
      </c>
      <c r="P711" s="56" t="s">
        <v>3364</v>
      </c>
    </row>
    <row r="712" spans="1:16" ht="15.75" customHeight="1" x14ac:dyDescent="0.2">
      <c r="A712" s="48">
        <v>1519</v>
      </c>
      <c r="B712" s="11" t="s">
        <v>1871</v>
      </c>
      <c r="C712" s="11" t="s">
        <v>1849</v>
      </c>
      <c r="D712" s="6" t="s">
        <v>1850</v>
      </c>
      <c r="E712" s="12" t="s">
        <v>1877</v>
      </c>
      <c r="F712" s="12" t="s">
        <v>1877</v>
      </c>
      <c r="G712" s="12" t="s">
        <v>2635</v>
      </c>
      <c r="H712" s="12" t="s">
        <v>2690</v>
      </c>
      <c r="I712" s="12" t="s">
        <v>3365</v>
      </c>
      <c r="J712" s="11" t="s">
        <v>1851</v>
      </c>
      <c r="K712" s="11" t="s">
        <v>1852</v>
      </c>
      <c r="L712" s="11" t="s">
        <v>1853</v>
      </c>
      <c r="M712" s="12" t="s">
        <v>1854</v>
      </c>
      <c r="N712" s="12"/>
      <c r="O712" s="11" t="s">
        <v>3366</v>
      </c>
      <c r="P712" s="56"/>
    </row>
    <row r="713" spans="1:16" ht="15.75" customHeight="1" x14ac:dyDescent="0.2">
      <c r="A713" s="49">
        <v>16099</v>
      </c>
      <c r="B713" s="11" t="s">
        <v>1871</v>
      </c>
      <c r="C713" s="11" t="s">
        <v>1849</v>
      </c>
      <c r="D713" s="6" t="s">
        <v>1850</v>
      </c>
      <c r="E713" s="12" t="s">
        <v>1877</v>
      </c>
      <c r="F713" s="12" t="s">
        <v>1877</v>
      </c>
      <c r="G713" s="12" t="s">
        <v>2635</v>
      </c>
      <c r="H713" s="12" t="s">
        <v>2701</v>
      </c>
      <c r="I713" s="12" t="s">
        <v>3367</v>
      </c>
      <c r="J713" s="11" t="s">
        <v>1856</v>
      </c>
      <c r="K713" s="11" t="s">
        <v>1852</v>
      </c>
      <c r="L713" s="11" t="s">
        <v>1853</v>
      </c>
      <c r="M713" s="12" t="s">
        <v>1854</v>
      </c>
      <c r="N713" s="12"/>
      <c r="O713" s="11" t="s">
        <v>2181</v>
      </c>
      <c r="P713" s="56"/>
    </row>
    <row r="714" spans="1:16" ht="15.75" customHeight="1" x14ac:dyDescent="0.2">
      <c r="A714" s="49">
        <v>16100</v>
      </c>
      <c r="B714" s="11" t="s">
        <v>1871</v>
      </c>
      <c r="C714" s="11" t="s">
        <v>1849</v>
      </c>
      <c r="D714" s="6" t="s">
        <v>1850</v>
      </c>
      <c r="E714" s="12" t="s">
        <v>1877</v>
      </c>
      <c r="F714" s="12" t="s">
        <v>1877</v>
      </c>
      <c r="G714" s="12" t="s">
        <v>2619</v>
      </c>
      <c r="H714" s="12" t="s">
        <v>2619</v>
      </c>
      <c r="I714" s="12" t="s">
        <v>3368</v>
      </c>
      <c r="J714" s="11" t="s">
        <v>1851</v>
      </c>
      <c r="K714" s="11" t="s">
        <v>1852</v>
      </c>
      <c r="L714" s="11" t="s">
        <v>1853</v>
      </c>
      <c r="M714" s="12" t="s">
        <v>1854</v>
      </c>
      <c r="N714" s="12"/>
      <c r="O714" s="11" t="s">
        <v>3357</v>
      </c>
      <c r="P714" s="56"/>
    </row>
    <row r="715" spans="1:16" ht="15.75" customHeight="1" x14ac:dyDescent="0.2">
      <c r="A715" s="49">
        <v>16109</v>
      </c>
      <c r="B715" s="11" t="s">
        <v>1871</v>
      </c>
      <c r="C715" s="11" t="s">
        <v>1849</v>
      </c>
      <c r="D715" s="6" t="s">
        <v>1850</v>
      </c>
      <c r="E715" s="12" t="s">
        <v>1877</v>
      </c>
      <c r="F715" s="12" t="s">
        <v>1877</v>
      </c>
      <c r="G715" s="12" t="s">
        <v>2619</v>
      </c>
      <c r="H715" s="12" t="s">
        <v>2619</v>
      </c>
      <c r="I715" s="12" t="s">
        <v>3369</v>
      </c>
      <c r="J715" s="11" t="s">
        <v>1851</v>
      </c>
      <c r="K715" s="11" t="s">
        <v>1852</v>
      </c>
      <c r="L715" s="11" t="s">
        <v>1853</v>
      </c>
      <c r="M715" s="12" t="s">
        <v>1854</v>
      </c>
      <c r="N715" s="12"/>
      <c r="O715" s="11" t="s">
        <v>2181</v>
      </c>
      <c r="P715" s="56"/>
    </row>
    <row r="716" spans="1:16" ht="15.75" customHeight="1" x14ac:dyDescent="0.2">
      <c r="A716" s="49">
        <v>16191</v>
      </c>
      <c r="B716" s="11" t="s">
        <v>1871</v>
      </c>
      <c r="C716" s="11" t="s">
        <v>1849</v>
      </c>
      <c r="D716" s="6" t="s">
        <v>1850</v>
      </c>
      <c r="E716" s="12" t="s">
        <v>1877</v>
      </c>
      <c r="F716" s="12" t="s">
        <v>1877</v>
      </c>
      <c r="G716" s="12" t="s">
        <v>2653</v>
      </c>
      <c r="H716" s="12" t="s">
        <v>2762</v>
      </c>
      <c r="I716" s="12" t="s">
        <v>3370</v>
      </c>
      <c r="J716" s="11" t="s">
        <v>1851</v>
      </c>
      <c r="K716" s="11" t="s">
        <v>1852</v>
      </c>
      <c r="L716" s="11" t="s">
        <v>1853</v>
      </c>
      <c r="M716" s="12" t="s">
        <v>1854</v>
      </c>
      <c r="N716" s="12"/>
      <c r="O716" s="11" t="s">
        <v>3371</v>
      </c>
      <c r="P716" s="56"/>
    </row>
    <row r="717" spans="1:16" ht="15.75" customHeight="1" x14ac:dyDescent="0.2">
      <c r="A717" s="49">
        <v>16190</v>
      </c>
      <c r="B717" s="11" t="s">
        <v>1871</v>
      </c>
      <c r="C717" s="11" t="s">
        <v>1849</v>
      </c>
      <c r="D717" s="6" t="s">
        <v>1850</v>
      </c>
      <c r="E717" s="12" t="s">
        <v>1877</v>
      </c>
      <c r="F717" s="12" t="s">
        <v>1877</v>
      </c>
      <c r="G717" s="12" t="s">
        <v>2619</v>
      </c>
      <c r="H717" s="12" t="s">
        <v>3277</v>
      </c>
      <c r="I717" s="12" t="s">
        <v>3372</v>
      </c>
      <c r="J717" s="11" t="s">
        <v>1851</v>
      </c>
      <c r="K717" s="11" t="s">
        <v>1852</v>
      </c>
      <c r="L717" s="11" t="s">
        <v>1853</v>
      </c>
      <c r="M717" s="12" t="s">
        <v>1854</v>
      </c>
      <c r="N717" s="12"/>
      <c r="O717" s="11" t="s">
        <v>3371</v>
      </c>
      <c r="P717" s="56"/>
    </row>
    <row r="718" spans="1:16" ht="15.75" customHeight="1" x14ac:dyDescent="0.2">
      <c r="A718" s="49">
        <v>16189</v>
      </c>
      <c r="B718" s="11" t="s">
        <v>1871</v>
      </c>
      <c r="C718" s="11" t="s">
        <v>1849</v>
      </c>
      <c r="D718" s="6" t="s">
        <v>1850</v>
      </c>
      <c r="E718" s="12" t="s">
        <v>1877</v>
      </c>
      <c r="F718" s="12" t="s">
        <v>1877</v>
      </c>
      <c r="G718" s="12" t="s">
        <v>2653</v>
      </c>
      <c r="H718" s="12" t="s">
        <v>2654</v>
      </c>
      <c r="I718" s="57" t="s">
        <v>3373</v>
      </c>
      <c r="J718" s="11" t="s">
        <v>1851</v>
      </c>
      <c r="K718" s="11" t="s">
        <v>1852</v>
      </c>
      <c r="L718" s="11" t="s">
        <v>1853</v>
      </c>
      <c r="M718" s="12" t="s">
        <v>1854</v>
      </c>
      <c r="N718" s="12"/>
      <c r="O718" s="11" t="s">
        <v>3371</v>
      </c>
      <c r="P718" s="56"/>
    </row>
    <row r="719" spans="1:16" ht="15.75" customHeight="1" x14ac:dyDescent="0.2">
      <c r="A719" s="49">
        <v>7564</v>
      </c>
      <c r="B719" s="11" t="s">
        <v>1857</v>
      </c>
      <c r="C719" s="11" t="s">
        <v>1849</v>
      </c>
      <c r="D719" s="6" t="s">
        <v>1875</v>
      </c>
      <c r="E719" s="12" t="s">
        <v>1877</v>
      </c>
      <c r="F719" s="12" t="s">
        <v>1877</v>
      </c>
      <c r="G719" s="12" t="s">
        <v>1883</v>
      </c>
      <c r="H719" s="12" t="s">
        <v>1895</v>
      </c>
      <c r="I719" s="12" t="s">
        <v>2187</v>
      </c>
      <c r="J719" s="11" t="s">
        <v>1851</v>
      </c>
      <c r="K719" s="11" t="s">
        <v>1852</v>
      </c>
      <c r="L719" s="11" t="s">
        <v>1853</v>
      </c>
      <c r="M719" s="12" t="s">
        <v>1854</v>
      </c>
      <c r="N719" s="12"/>
      <c r="O719" s="11" t="s">
        <v>1854</v>
      </c>
      <c r="P719" s="56"/>
    </row>
    <row r="720" spans="1:16" ht="15.75" customHeight="1" x14ac:dyDescent="0.2">
      <c r="A720" s="49">
        <v>7565</v>
      </c>
      <c r="B720" s="11" t="s">
        <v>1857</v>
      </c>
      <c r="C720" s="11" t="s">
        <v>1849</v>
      </c>
      <c r="D720" s="6" t="s">
        <v>1875</v>
      </c>
      <c r="E720" s="12" t="s">
        <v>1877</v>
      </c>
      <c r="F720" s="12" t="s">
        <v>1877</v>
      </c>
      <c r="G720" s="12" t="s">
        <v>2619</v>
      </c>
      <c r="H720" s="12" t="s">
        <v>2631</v>
      </c>
      <c r="I720" s="12" t="s">
        <v>3374</v>
      </c>
      <c r="J720" s="11" t="s">
        <v>1851</v>
      </c>
      <c r="K720" s="11" t="s">
        <v>1852</v>
      </c>
      <c r="L720" s="11" t="s">
        <v>1853</v>
      </c>
      <c r="M720" s="12" t="s">
        <v>1854</v>
      </c>
      <c r="N720" s="12"/>
      <c r="O720" s="11" t="s">
        <v>1854</v>
      </c>
      <c r="P720" s="56"/>
    </row>
    <row r="721" spans="1:16" ht="15.75" customHeight="1" x14ac:dyDescent="0.2">
      <c r="A721" s="49">
        <v>7324</v>
      </c>
      <c r="B721" s="11" t="s">
        <v>1857</v>
      </c>
      <c r="C721" s="11" t="s">
        <v>1849</v>
      </c>
      <c r="D721" s="6" t="s">
        <v>2594</v>
      </c>
      <c r="E721" s="12" t="s">
        <v>1877</v>
      </c>
      <c r="F721" s="12" t="s">
        <v>1877</v>
      </c>
      <c r="G721" s="12" t="s">
        <v>2619</v>
      </c>
      <c r="H721" s="12" t="s">
        <v>2626</v>
      </c>
      <c r="I721" s="12" t="s">
        <v>3375</v>
      </c>
      <c r="J721" s="11" t="s">
        <v>1856</v>
      </c>
      <c r="K721" s="11" t="s">
        <v>1852</v>
      </c>
      <c r="L721" s="11" t="s">
        <v>1853</v>
      </c>
      <c r="M721" s="12" t="s">
        <v>1854</v>
      </c>
      <c r="N721" s="12"/>
      <c r="O721" s="11" t="s">
        <v>1860</v>
      </c>
      <c r="P721" s="56"/>
    </row>
    <row r="722" spans="1:16" ht="15.75" customHeight="1" x14ac:dyDescent="0.2">
      <c r="A722" s="49">
        <v>15863</v>
      </c>
      <c r="B722" s="11" t="s">
        <v>1848</v>
      </c>
      <c r="C722" s="11" t="s">
        <v>1876</v>
      </c>
      <c r="D722" s="6" t="s">
        <v>1850</v>
      </c>
      <c r="E722" s="12" t="s">
        <v>1877</v>
      </c>
      <c r="F722" s="12" t="s">
        <v>1877</v>
      </c>
      <c r="G722" s="12" t="s">
        <v>2619</v>
      </c>
      <c r="H722" s="12" t="s">
        <v>2626</v>
      </c>
      <c r="I722" s="12" t="s">
        <v>1878</v>
      </c>
      <c r="J722" s="11" t="s">
        <v>1851</v>
      </c>
      <c r="K722" s="11" t="s">
        <v>1852</v>
      </c>
      <c r="L722" s="11" t="s">
        <v>1853</v>
      </c>
      <c r="M722" s="12" t="s">
        <v>1854</v>
      </c>
      <c r="N722" s="12"/>
      <c r="O722" s="11" t="s">
        <v>1855</v>
      </c>
      <c r="P722" s="56"/>
    </row>
    <row r="723" spans="1:16" ht="15.75" customHeight="1" x14ac:dyDescent="0.2">
      <c r="A723" s="49">
        <v>15864</v>
      </c>
      <c r="B723" s="11" t="s">
        <v>1848</v>
      </c>
      <c r="C723" s="11" t="s">
        <v>1876</v>
      </c>
      <c r="D723" s="6" t="s">
        <v>1850</v>
      </c>
      <c r="E723" s="12" t="s">
        <v>1877</v>
      </c>
      <c r="F723" s="12" t="s">
        <v>1877</v>
      </c>
      <c r="G723" s="12" t="s">
        <v>2619</v>
      </c>
      <c r="H723" s="12" t="s">
        <v>2626</v>
      </c>
      <c r="I723" s="12" t="s">
        <v>2646</v>
      </c>
      <c r="J723" s="11" t="s">
        <v>1851</v>
      </c>
      <c r="K723" s="11" t="s">
        <v>1852</v>
      </c>
      <c r="L723" s="11" t="s">
        <v>1853</v>
      </c>
      <c r="M723" s="12" t="s">
        <v>1854</v>
      </c>
      <c r="N723" s="12"/>
      <c r="O723" s="11" t="s">
        <v>1855</v>
      </c>
      <c r="P723" s="56"/>
    </row>
    <row r="724" spans="1:16" ht="15.75" customHeight="1" x14ac:dyDescent="0.2">
      <c r="A724" s="49">
        <v>6067</v>
      </c>
      <c r="B724" s="11" t="s">
        <v>1848</v>
      </c>
      <c r="C724" s="11" t="s">
        <v>1876</v>
      </c>
      <c r="D724" s="6" t="s">
        <v>1850</v>
      </c>
      <c r="E724" s="12" t="s">
        <v>1877</v>
      </c>
      <c r="F724" s="12" t="s">
        <v>1877</v>
      </c>
      <c r="G724" s="12" t="s">
        <v>2619</v>
      </c>
      <c r="H724" s="12" t="s">
        <v>2619</v>
      </c>
      <c r="I724" s="12" t="s">
        <v>3376</v>
      </c>
      <c r="J724" s="11" t="s">
        <v>1851</v>
      </c>
      <c r="K724" s="11" t="s">
        <v>1852</v>
      </c>
      <c r="L724" s="11" t="s">
        <v>1853</v>
      </c>
      <c r="M724" s="12" t="s">
        <v>3377</v>
      </c>
      <c r="N724" s="12"/>
      <c r="O724" s="11" t="s">
        <v>1855</v>
      </c>
      <c r="P724" s="56"/>
    </row>
    <row r="725" spans="1:16" ht="15.75" customHeight="1" x14ac:dyDescent="0.2">
      <c r="A725" s="49">
        <v>6080</v>
      </c>
      <c r="B725" s="11" t="s">
        <v>1848</v>
      </c>
      <c r="C725" s="11" t="s">
        <v>1876</v>
      </c>
      <c r="D725" s="6" t="s">
        <v>1850</v>
      </c>
      <c r="E725" s="12" t="s">
        <v>1877</v>
      </c>
      <c r="F725" s="12" t="s">
        <v>1877</v>
      </c>
      <c r="G725" s="12" t="s">
        <v>1880</v>
      </c>
      <c r="H725" s="12" t="s">
        <v>1892</v>
      </c>
      <c r="I725" s="12" t="s">
        <v>2188</v>
      </c>
      <c r="J725" s="11" t="s">
        <v>1851</v>
      </c>
      <c r="K725" s="11" t="s">
        <v>1852</v>
      </c>
      <c r="L725" s="11" t="s">
        <v>1853</v>
      </c>
      <c r="M725" s="12" t="s">
        <v>2189</v>
      </c>
      <c r="N725" s="12"/>
      <c r="O725" s="11" t="s">
        <v>1855</v>
      </c>
      <c r="P725" s="56"/>
    </row>
    <row r="726" spans="1:16" ht="15.75" customHeight="1" x14ac:dyDescent="0.2">
      <c r="A726" s="49">
        <v>6795</v>
      </c>
      <c r="B726" s="11" t="s">
        <v>1848</v>
      </c>
      <c r="C726" s="11" t="s">
        <v>1876</v>
      </c>
      <c r="D726" s="6" t="s">
        <v>1850</v>
      </c>
      <c r="E726" s="12" t="s">
        <v>1877</v>
      </c>
      <c r="F726" s="12" t="s">
        <v>1877</v>
      </c>
      <c r="G726" s="12" t="s">
        <v>2619</v>
      </c>
      <c r="H726" s="12" t="s">
        <v>2626</v>
      </c>
      <c r="I726" s="12" t="s">
        <v>3378</v>
      </c>
      <c r="J726" s="11" t="s">
        <v>1851</v>
      </c>
      <c r="K726" s="11" t="s">
        <v>1852</v>
      </c>
      <c r="L726" s="11" t="s">
        <v>1853</v>
      </c>
      <c r="M726" s="12" t="s">
        <v>3379</v>
      </c>
      <c r="N726" s="12"/>
      <c r="O726" s="11" t="s">
        <v>1855</v>
      </c>
      <c r="P726" s="56"/>
    </row>
    <row r="727" spans="1:16" ht="15.75" customHeight="1" x14ac:dyDescent="0.2">
      <c r="A727" s="49">
        <v>6043</v>
      </c>
      <c r="B727" s="11" t="s">
        <v>1848</v>
      </c>
      <c r="C727" s="11" t="s">
        <v>1876</v>
      </c>
      <c r="D727" s="6" t="s">
        <v>1850</v>
      </c>
      <c r="E727" s="12" t="s">
        <v>1877</v>
      </c>
      <c r="F727" s="12" t="s">
        <v>1877</v>
      </c>
      <c r="G727" s="12" t="s">
        <v>2635</v>
      </c>
      <c r="H727" s="12" t="s">
        <v>2690</v>
      </c>
      <c r="I727" s="12" t="s">
        <v>3380</v>
      </c>
      <c r="J727" s="11" t="s">
        <v>1851</v>
      </c>
      <c r="K727" s="11" t="s">
        <v>1852</v>
      </c>
      <c r="L727" s="11" t="s">
        <v>1853</v>
      </c>
      <c r="M727" s="12" t="s">
        <v>3381</v>
      </c>
      <c r="N727" s="12"/>
      <c r="O727" s="11" t="s">
        <v>1855</v>
      </c>
      <c r="P727" s="56"/>
    </row>
    <row r="728" spans="1:16" ht="15.75" customHeight="1" x14ac:dyDescent="0.2">
      <c r="A728" s="49">
        <v>7612</v>
      </c>
      <c r="B728" s="11" t="s">
        <v>1871</v>
      </c>
      <c r="C728" s="11" t="s">
        <v>1876</v>
      </c>
      <c r="D728" s="6" t="s">
        <v>1850</v>
      </c>
      <c r="E728" s="12" t="s">
        <v>1877</v>
      </c>
      <c r="F728" s="12" t="s">
        <v>1877</v>
      </c>
      <c r="G728" s="12" t="s">
        <v>2619</v>
      </c>
      <c r="H728" s="12" t="s">
        <v>2619</v>
      </c>
      <c r="I728" s="12" t="s">
        <v>3382</v>
      </c>
      <c r="J728" s="11" t="s">
        <v>1851</v>
      </c>
      <c r="K728" s="11" t="s">
        <v>1852</v>
      </c>
      <c r="L728" s="11" t="s">
        <v>1853</v>
      </c>
      <c r="M728" s="12" t="s">
        <v>3383</v>
      </c>
      <c r="N728" s="12"/>
      <c r="O728" s="11" t="s">
        <v>1866</v>
      </c>
      <c r="P728" s="56" t="s">
        <v>3384</v>
      </c>
    </row>
    <row r="729" spans="1:16" ht="15.75" customHeight="1" x14ac:dyDescent="0.2">
      <c r="A729" s="49">
        <v>7613</v>
      </c>
      <c r="B729" s="11" t="s">
        <v>1871</v>
      </c>
      <c r="C729" s="11" t="s">
        <v>1876</v>
      </c>
      <c r="D729" s="6" t="s">
        <v>1850</v>
      </c>
      <c r="E729" s="12" t="s">
        <v>1877</v>
      </c>
      <c r="F729" s="12" t="s">
        <v>1877</v>
      </c>
      <c r="G729" s="12" t="s">
        <v>2635</v>
      </c>
      <c r="H729" s="12" t="s">
        <v>2690</v>
      </c>
      <c r="I729" s="12" t="s">
        <v>3385</v>
      </c>
      <c r="J729" s="11" t="s">
        <v>1851</v>
      </c>
      <c r="K729" s="11" t="s">
        <v>1852</v>
      </c>
      <c r="L729" s="11" t="s">
        <v>1853</v>
      </c>
      <c r="M729" s="12" t="s">
        <v>3386</v>
      </c>
      <c r="N729" s="12"/>
      <c r="O729" s="11" t="s">
        <v>3387</v>
      </c>
      <c r="P729" s="56" t="s">
        <v>3388</v>
      </c>
    </row>
    <row r="730" spans="1:16" ht="15.75" customHeight="1" x14ac:dyDescent="0.2">
      <c r="A730" s="48">
        <v>6049</v>
      </c>
      <c r="B730" s="11" t="s">
        <v>1848</v>
      </c>
      <c r="C730" s="11" t="s">
        <v>1876</v>
      </c>
      <c r="D730" s="6" t="s">
        <v>1850</v>
      </c>
      <c r="E730" s="12" t="s">
        <v>1877</v>
      </c>
      <c r="F730" s="12" t="s">
        <v>1877</v>
      </c>
      <c r="G730" s="12" t="s">
        <v>2736</v>
      </c>
      <c r="H730" s="12" t="s">
        <v>2750</v>
      </c>
      <c r="I730" s="12" t="s">
        <v>3389</v>
      </c>
      <c r="J730" s="11" t="s">
        <v>1856</v>
      </c>
      <c r="K730" s="11" t="s">
        <v>1852</v>
      </c>
      <c r="L730" s="11" t="s">
        <v>1853</v>
      </c>
      <c r="M730" s="12" t="s">
        <v>1854</v>
      </c>
      <c r="N730" s="12"/>
      <c r="O730" s="11" t="s">
        <v>1855</v>
      </c>
      <c r="P730" s="56"/>
    </row>
    <row r="731" spans="1:16" ht="15.75" customHeight="1" x14ac:dyDescent="0.2">
      <c r="A731" s="49">
        <v>6097</v>
      </c>
      <c r="B731" s="11" t="s">
        <v>1848</v>
      </c>
      <c r="C731" s="11" t="s">
        <v>1876</v>
      </c>
      <c r="D731" s="6" t="s">
        <v>1850</v>
      </c>
      <c r="E731" s="12" t="s">
        <v>1877</v>
      </c>
      <c r="F731" s="12" t="s">
        <v>1877</v>
      </c>
      <c r="G731" s="12" t="s">
        <v>2656</v>
      </c>
      <c r="H731" s="12" t="s">
        <v>2773</v>
      </c>
      <c r="I731" s="12" t="s">
        <v>2088</v>
      </c>
      <c r="J731" s="11" t="s">
        <v>1856</v>
      </c>
      <c r="K731" s="11" t="s">
        <v>1852</v>
      </c>
      <c r="L731" s="11" t="s">
        <v>1853</v>
      </c>
      <c r="M731" s="12" t="s">
        <v>1854</v>
      </c>
      <c r="N731" s="12"/>
      <c r="O731" s="11" t="s">
        <v>1855</v>
      </c>
      <c r="P731" s="56"/>
    </row>
    <row r="732" spans="1:16" ht="15.75" customHeight="1" x14ac:dyDescent="0.2">
      <c r="A732" s="49">
        <v>15475</v>
      </c>
      <c r="B732" s="11" t="s">
        <v>1848</v>
      </c>
      <c r="C732" s="11" t="s">
        <v>1876</v>
      </c>
      <c r="D732" s="6" t="s">
        <v>1850</v>
      </c>
      <c r="E732" s="12" t="s">
        <v>1877</v>
      </c>
      <c r="F732" s="12" t="s">
        <v>1877</v>
      </c>
      <c r="G732" s="12" t="s">
        <v>2656</v>
      </c>
      <c r="H732" s="12" t="s">
        <v>2773</v>
      </c>
      <c r="I732" s="12" t="s">
        <v>3390</v>
      </c>
      <c r="J732" s="11" t="s">
        <v>1856</v>
      </c>
      <c r="K732" s="11" t="s">
        <v>1852</v>
      </c>
      <c r="L732" s="11" t="s">
        <v>1853</v>
      </c>
      <c r="M732" s="12" t="s">
        <v>1854</v>
      </c>
      <c r="N732" s="12"/>
      <c r="O732" s="11" t="s">
        <v>1855</v>
      </c>
      <c r="P732" s="56"/>
    </row>
    <row r="733" spans="1:16" ht="15.75" customHeight="1" x14ac:dyDescent="0.2">
      <c r="A733" s="49">
        <v>15479</v>
      </c>
      <c r="B733" s="11" t="s">
        <v>1848</v>
      </c>
      <c r="C733" s="11" t="s">
        <v>1876</v>
      </c>
      <c r="D733" s="6" t="s">
        <v>1850</v>
      </c>
      <c r="E733" s="12" t="s">
        <v>1877</v>
      </c>
      <c r="F733" s="12" t="s">
        <v>1877</v>
      </c>
      <c r="G733" s="12" t="s">
        <v>2656</v>
      </c>
      <c r="H733" s="12" t="s">
        <v>2773</v>
      </c>
      <c r="I733" s="12" t="s">
        <v>3391</v>
      </c>
      <c r="J733" s="11" t="s">
        <v>1856</v>
      </c>
      <c r="K733" s="11" t="s">
        <v>1852</v>
      </c>
      <c r="L733" s="11" t="s">
        <v>1853</v>
      </c>
      <c r="M733" s="12" t="s">
        <v>1854</v>
      </c>
      <c r="N733" s="12"/>
      <c r="O733" s="11" t="s">
        <v>1855</v>
      </c>
      <c r="P733" s="56"/>
    </row>
    <row r="734" spans="1:16" ht="15.75" customHeight="1" x14ac:dyDescent="0.2">
      <c r="A734" s="48">
        <v>15355</v>
      </c>
      <c r="B734" s="11" t="s">
        <v>1848</v>
      </c>
      <c r="C734" s="11" t="s">
        <v>1876</v>
      </c>
      <c r="D734" s="6" t="s">
        <v>1850</v>
      </c>
      <c r="E734" s="12" t="s">
        <v>1877</v>
      </c>
      <c r="F734" s="12" t="s">
        <v>1877</v>
      </c>
      <c r="G734" s="12" t="s">
        <v>2653</v>
      </c>
      <c r="H734" s="12" t="s">
        <v>2762</v>
      </c>
      <c r="I734" s="12" t="s">
        <v>3392</v>
      </c>
      <c r="J734" s="11" t="s">
        <v>1851</v>
      </c>
      <c r="K734" s="11" t="s">
        <v>1852</v>
      </c>
      <c r="L734" s="11" t="s">
        <v>1853</v>
      </c>
      <c r="M734" s="12" t="s">
        <v>2190</v>
      </c>
      <c r="N734" s="12"/>
      <c r="O734" s="11" t="s">
        <v>1855</v>
      </c>
      <c r="P734" s="56"/>
    </row>
    <row r="735" spans="1:16" ht="15.75" customHeight="1" x14ac:dyDescent="0.2">
      <c r="A735" s="48">
        <v>15358</v>
      </c>
      <c r="B735" s="11" t="s">
        <v>1848</v>
      </c>
      <c r="C735" s="11" t="s">
        <v>1876</v>
      </c>
      <c r="D735" s="6" t="s">
        <v>1850</v>
      </c>
      <c r="E735" s="12" t="s">
        <v>1877</v>
      </c>
      <c r="F735" s="12" t="s">
        <v>1877</v>
      </c>
      <c r="G735" s="12" t="s">
        <v>2653</v>
      </c>
      <c r="H735" s="12" t="s">
        <v>2898</v>
      </c>
      <c r="I735" s="12" t="s">
        <v>3393</v>
      </c>
      <c r="J735" s="11" t="s">
        <v>1856</v>
      </c>
      <c r="K735" s="11" t="s">
        <v>1852</v>
      </c>
      <c r="L735" s="11" t="s">
        <v>1853</v>
      </c>
      <c r="M735" s="12" t="s">
        <v>2190</v>
      </c>
      <c r="N735" s="12"/>
      <c r="O735" s="11" t="s">
        <v>1855</v>
      </c>
      <c r="P735" s="56"/>
    </row>
    <row r="736" spans="1:16" ht="15.75" customHeight="1" x14ac:dyDescent="0.2">
      <c r="A736" s="49">
        <v>15472</v>
      </c>
      <c r="B736" s="11" t="s">
        <v>1848</v>
      </c>
      <c r="C736" s="11" t="s">
        <v>1876</v>
      </c>
      <c r="D736" s="6" t="s">
        <v>1850</v>
      </c>
      <c r="E736" s="12" t="s">
        <v>1877</v>
      </c>
      <c r="F736" s="12" t="s">
        <v>1877</v>
      </c>
      <c r="G736" s="12" t="s">
        <v>1883</v>
      </c>
      <c r="H736" s="12" t="s">
        <v>1946</v>
      </c>
      <c r="I736" s="12" t="s">
        <v>2191</v>
      </c>
      <c r="J736" s="11" t="s">
        <v>1856</v>
      </c>
      <c r="K736" s="11" t="s">
        <v>1852</v>
      </c>
      <c r="L736" s="11" t="s">
        <v>1853</v>
      </c>
      <c r="M736" s="12" t="s">
        <v>1854</v>
      </c>
      <c r="N736" s="12"/>
      <c r="O736" s="11" t="s">
        <v>1855</v>
      </c>
      <c r="P736" s="56"/>
    </row>
    <row r="737" spans="1:16" ht="15.75" customHeight="1" x14ac:dyDescent="0.2">
      <c r="A737" s="49">
        <v>6034</v>
      </c>
      <c r="B737" s="11" t="s">
        <v>1848</v>
      </c>
      <c r="C737" s="11" t="s">
        <v>1876</v>
      </c>
      <c r="D737" s="6" t="s">
        <v>1850</v>
      </c>
      <c r="E737" s="12" t="s">
        <v>1877</v>
      </c>
      <c r="F737" s="12" t="s">
        <v>1877</v>
      </c>
      <c r="G737" s="12" t="s">
        <v>1883</v>
      </c>
      <c r="H737" s="12" t="s">
        <v>1884</v>
      </c>
      <c r="I737" s="12" t="s">
        <v>2192</v>
      </c>
      <c r="J737" s="11" t="s">
        <v>1856</v>
      </c>
      <c r="K737" s="11" t="s">
        <v>1852</v>
      </c>
      <c r="L737" s="11" t="s">
        <v>1853</v>
      </c>
      <c r="M737" s="12" t="s">
        <v>1854</v>
      </c>
      <c r="N737" s="12"/>
      <c r="O737" s="11" t="s">
        <v>1855</v>
      </c>
      <c r="P737" s="56"/>
    </row>
    <row r="738" spans="1:16" ht="15.75" customHeight="1" x14ac:dyDescent="0.2">
      <c r="A738" s="49">
        <v>6035</v>
      </c>
      <c r="B738" s="11" t="s">
        <v>1848</v>
      </c>
      <c r="C738" s="11" t="s">
        <v>1876</v>
      </c>
      <c r="D738" s="6" t="s">
        <v>1850</v>
      </c>
      <c r="E738" s="12" t="s">
        <v>1877</v>
      </c>
      <c r="F738" s="12" t="s">
        <v>1877</v>
      </c>
      <c r="G738" s="12" t="s">
        <v>1883</v>
      </c>
      <c r="H738" s="12" t="s">
        <v>1884</v>
      </c>
      <c r="I738" s="12" t="s">
        <v>2193</v>
      </c>
      <c r="J738" s="11" t="s">
        <v>1856</v>
      </c>
      <c r="K738" s="11" t="s">
        <v>1852</v>
      </c>
      <c r="L738" s="11" t="s">
        <v>1853</v>
      </c>
      <c r="M738" s="12" t="s">
        <v>1854</v>
      </c>
      <c r="N738" s="12"/>
      <c r="O738" s="11" t="s">
        <v>1855</v>
      </c>
      <c r="P738" s="56"/>
    </row>
    <row r="739" spans="1:16" ht="15.75" customHeight="1" x14ac:dyDescent="0.2">
      <c r="A739" s="49">
        <v>6036</v>
      </c>
      <c r="B739" s="11" t="s">
        <v>1848</v>
      </c>
      <c r="C739" s="11" t="s">
        <v>1876</v>
      </c>
      <c r="D739" s="6" t="s">
        <v>1850</v>
      </c>
      <c r="E739" s="12" t="s">
        <v>1877</v>
      </c>
      <c r="F739" s="12" t="s">
        <v>1877</v>
      </c>
      <c r="G739" s="12" t="s">
        <v>1883</v>
      </c>
      <c r="H739" s="12" t="s">
        <v>1884</v>
      </c>
      <c r="I739" s="12" t="s">
        <v>2194</v>
      </c>
      <c r="J739" s="11" t="s">
        <v>1856</v>
      </c>
      <c r="K739" s="11" t="s">
        <v>1852</v>
      </c>
      <c r="L739" s="11" t="s">
        <v>1853</v>
      </c>
      <c r="M739" s="12" t="s">
        <v>1854</v>
      </c>
      <c r="N739" s="12"/>
      <c r="O739" s="11" t="s">
        <v>1855</v>
      </c>
      <c r="P739" s="56"/>
    </row>
    <row r="740" spans="1:16" ht="15.75" customHeight="1" x14ac:dyDescent="0.2">
      <c r="A740" s="49">
        <v>6027</v>
      </c>
      <c r="B740" s="11" t="s">
        <v>1848</v>
      </c>
      <c r="C740" s="11" t="s">
        <v>1876</v>
      </c>
      <c r="D740" s="6" t="s">
        <v>1850</v>
      </c>
      <c r="E740" s="12" t="s">
        <v>1877</v>
      </c>
      <c r="F740" s="12" t="s">
        <v>1877</v>
      </c>
      <c r="G740" s="12" t="s">
        <v>1883</v>
      </c>
      <c r="H740" s="12" t="s">
        <v>1946</v>
      </c>
      <c r="I740" s="12" t="s">
        <v>2195</v>
      </c>
      <c r="J740" s="11" t="s">
        <v>1856</v>
      </c>
      <c r="K740" s="11" t="s">
        <v>1852</v>
      </c>
      <c r="L740" s="11" t="s">
        <v>1853</v>
      </c>
      <c r="M740" s="12" t="s">
        <v>1854</v>
      </c>
      <c r="N740" s="12"/>
      <c r="O740" s="11" t="s">
        <v>1855</v>
      </c>
      <c r="P740" s="56"/>
    </row>
    <row r="741" spans="1:16" ht="15.75" customHeight="1" x14ac:dyDescent="0.2">
      <c r="A741" s="49">
        <v>6037</v>
      </c>
      <c r="B741" s="11" t="s">
        <v>1848</v>
      </c>
      <c r="C741" s="11" t="s">
        <v>1876</v>
      </c>
      <c r="D741" s="6" t="s">
        <v>1850</v>
      </c>
      <c r="E741" s="12" t="s">
        <v>1877</v>
      </c>
      <c r="F741" s="12" t="s">
        <v>1877</v>
      </c>
      <c r="G741" s="12" t="s">
        <v>1883</v>
      </c>
      <c r="H741" s="12" t="s">
        <v>1884</v>
      </c>
      <c r="I741" s="12" t="s">
        <v>2196</v>
      </c>
      <c r="J741" s="11" t="s">
        <v>1856</v>
      </c>
      <c r="K741" s="11" t="s">
        <v>1852</v>
      </c>
      <c r="L741" s="11" t="s">
        <v>1853</v>
      </c>
      <c r="M741" s="12" t="s">
        <v>1854</v>
      </c>
      <c r="N741" s="12"/>
      <c r="O741" s="11" t="s">
        <v>1855</v>
      </c>
      <c r="P741" s="56"/>
    </row>
    <row r="742" spans="1:16" ht="15.75" customHeight="1" x14ac:dyDescent="0.2">
      <c r="A742" s="49">
        <v>6026</v>
      </c>
      <c r="B742" s="11" t="s">
        <v>1848</v>
      </c>
      <c r="C742" s="11" t="s">
        <v>1876</v>
      </c>
      <c r="D742" s="6" t="s">
        <v>1850</v>
      </c>
      <c r="E742" s="12" t="s">
        <v>1877</v>
      </c>
      <c r="F742" s="12" t="s">
        <v>1877</v>
      </c>
      <c r="G742" s="12" t="s">
        <v>1883</v>
      </c>
      <c r="H742" s="12" t="s">
        <v>1946</v>
      </c>
      <c r="I742" s="12" t="s">
        <v>2197</v>
      </c>
      <c r="J742" s="11" t="s">
        <v>1856</v>
      </c>
      <c r="K742" s="11" t="s">
        <v>1852</v>
      </c>
      <c r="L742" s="11" t="s">
        <v>1853</v>
      </c>
      <c r="M742" s="12" t="s">
        <v>1854</v>
      </c>
      <c r="N742" s="12"/>
      <c r="O742" s="11" t="s">
        <v>1855</v>
      </c>
      <c r="P742" s="56"/>
    </row>
    <row r="743" spans="1:16" ht="15.75" customHeight="1" x14ac:dyDescent="0.2">
      <c r="A743" s="49">
        <v>6031</v>
      </c>
      <c r="B743" s="11" t="s">
        <v>1848</v>
      </c>
      <c r="C743" s="11" t="s">
        <v>1876</v>
      </c>
      <c r="D743" s="6" t="s">
        <v>1850</v>
      </c>
      <c r="E743" s="12" t="s">
        <v>1877</v>
      </c>
      <c r="F743" s="12" t="s">
        <v>1877</v>
      </c>
      <c r="G743" s="12" t="s">
        <v>1883</v>
      </c>
      <c r="H743" s="12" t="s">
        <v>1889</v>
      </c>
      <c r="I743" s="12" t="s">
        <v>2198</v>
      </c>
      <c r="J743" s="11" t="s">
        <v>1856</v>
      </c>
      <c r="K743" s="11" t="s">
        <v>1852</v>
      </c>
      <c r="L743" s="11" t="s">
        <v>1853</v>
      </c>
      <c r="M743" s="12" t="s">
        <v>1854</v>
      </c>
      <c r="N743" s="12"/>
      <c r="O743" s="11" t="s">
        <v>1855</v>
      </c>
      <c r="P743" s="56"/>
    </row>
    <row r="744" spans="1:16" ht="15.75" customHeight="1" x14ac:dyDescent="0.2">
      <c r="A744" s="49">
        <v>6021</v>
      </c>
      <c r="B744" s="11" t="s">
        <v>1848</v>
      </c>
      <c r="C744" s="11" t="s">
        <v>1876</v>
      </c>
      <c r="D744" s="6" t="s">
        <v>1850</v>
      </c>
      <c r="E744" s="12" t="s">
        <v>1877</v>
      </c>
      <c r="F744" s="12" t="s">
        <v>1877</v>
      </c>
      <c r="G744" s="12" t="s">
        <v>1883</v>
      </c>
      <c r="H744" s="12" t="s">
        <v>2199</v>
      </c>
      <c r="I744" s="12" t="s">
        <v>2088</v>
      </c>
      <c r="J744" s="11" t="s">
        <v>1856</v>
      </c>
      <c r="K744" s="11" t="s">
        <v>1852</v>
      </c>
      <c r="L744" s="11" t="s">
        <v>1853</v>
      </c>
      <c r="M744" s="12" t="s">
        <v>1854</v>
      </c>
      <c r="N744" s="12"/>
      <c r="O744" s="11" t="s">
        <v>1855</v>
      </c>
      <c r="P744" s="56"/>
    </row>
    <row r="745" spans="1:16" ht="15.75" customHeight="1" x14ac:dyDescent="0.2">
      <c r="A745" s="49">
        <v>6032</v>
      </c>
      <c r="B745" s="11" t="s">
        <v>1848</v>
      </c>
      <c r="C745" s="11" t="s">
        <v>1876</v>
      </c>
      <c r="D745" s="6" t="s">
        <v>1850</v>
      </c>
      <c r="E745" s="12" t="s">
        <v>1877</v>
      </c>
      <c r="F745" s="12" t="s">
        <v>1877</v>
      </c>
      <c r="G745" s="12" t="s">
        <v>1883</v>
      </c>
      <c r="H745" s="12" t="s">
        <v>1889</v>
      </c>
      <c r="I745" s="12" t="s">
        <v>2200</v>
      </c>
      <c r="J745" s="11" t="s">
        <v>1856</v>
      </c>
      <c r="K745" s="11" t="s">
        <v>1852</v>
      </c>
      <c r="L745" s="11" t="s">
        <v>1853</v>
      </c>
      <c r="M745" s="12" t="s">
        <v>1854</v>
      </c>
      <c r="N745" s="12"/>
      <c r="O745" s="11" t="s">
        <v>1855</v>
      </c>
      <c r="P745" s="56"/>
    </row>
    <row r="746" spans="1:16" ht="15.75" customHeight="1" x14ac:dyDescent="0.2">
      <c r="A746" s="49">
        <v>6044</v>
      </c>
      <c r="B746" s="11" t="s">
        <v>1848</v>
      </c>
      <c r="C746" s="11" t="s">
        <v>1876</v>
      </c>
      <c r="D746" s="6" t="s">
        <v>1850</v>
      </c>
      <c r="E746" s="12" t="s">
        <v>1877</v>
      </c>
      <c r="F746" s="12" t="s">
        <v>1877</v>
      </c>
      <c r="G746" s="12" t="s">
        <v>2653</v>
      </c>
      <c r="H746" s="12" t="s">
        <v>2762</v>
      </c>
      <c r="I746" s="12" t="s">
        <v>3394</v>
      </c>
      <c r="J746" s="11" t="s">
        <v>1856</v>
      </c>
      <c r="K746" s="11" t="s">
        <v>1852</v>
      </c>
      <c r="L746" s="11" t="s">
        <v>1853</v>
      </c>
      <c r="M746" s="12" t="s">
        <v>1854</v>
      </c>
      <c r="N746" s="12"/>
      <c r="O746" s="11" t="s">
        <v>1855</v>
      </c>
      <c r="P746" s="56"/>
    </row>
    <row r="747" spans="1:16" ht="15.75" customHeight="1" x14ac:dyDescent="0.2">
      <c r="A747" s="49">
        <v>6029</v>
      </c>
      <c r="B747" s="11" t="s">
        <v>1848</v>
      </c>
      <c r="C747" s="11" t="s">
        <v>1876</v>
      </c>
      <c r="D747" s="6" t="s">
        <v>1850</v>
      </c>
      <c r="E747" s="12" t="s">
        <v>1877</v>
      </c>
      <c r="F747" s="12" t="s">
        <v>1877</v>
      </c>
      <c r="G747" s="12" t="s">
        <v>1883</v>
      </c>
      <c r="H747" s="12" t="s">
        <v>1946</v>
      </c>
      <c r="I747" s="12" t="s">
        <v>2201</v>
      </c>
      <c r="J747" s="11" t="s">
        <v>1856</v>
      </c>
      <c r="K747" s="11" t="s">
        <v>1852</v>
      </c>
      <c r="L747" s="11" t="s">
        <v>1853</v>
      </c>
      <c r="M747" s="12" t="s">
        <v>1854</v>
      </c>
      <c r="N747" s="12"/>
      <c r="O747" s="11" t="s">
        <v>1855</v>
      </c>
      <c r="P747" s="56"/>
    </row>
    <row r="748" spans="1:16" ht="15.75" customHeight="1" x14ac:dyDescent="0.2">
      <c r="A748" s="49">
        <v>6030</v>
      </c>
      <c r="B748" s="11" t="s">
        <v>1848</v>
      </c>
      <c r="C748" s="11" t="s">
        <v>1876</v>
      </c>
      <c r="D748" s="6" t="s">
        <v>1850</v>
      </c>
      <c r="E748" s="12" t="s">
        <v>1877</v>
      </c>
      <c r="F748" s="12" t="s">
        <v>1877</v>
      </c>
      <c r="G748" s="12" t="s">
        <v>1883</v>
      </c>
      <c r="H748" s="12" t="s">
        <v>1889</v>
      </c>
      <c r="I748" s="12" t="s">
        <v>2202</v>
      </c>
      <c r="J748" s="11" t="s">
        <v>1856</v>
      </c>
      <c r="K748" s="11" t="s">
        <v>1852</v>
      </c>
      <c r="L748" s="11" t="s">
        <v>1853</v>
      </c>
      <c r="M748" s="12" t="s">
        <v>1854</v>
      </c>
      <c r="N748" s="12"/>
      <c r="O748" s="11" t="s">
        <v>1855</v>
      </c>
      <c r="P748" s="56"/>
    </row>
    <row r="749" spans="1:16" ht="15.75" customHeight="1" x14ac:dyDescent="0.2">
      <c r="A749" s="49">
        <v>6039</v>
      </c>
      <c r="B749" s="11" t="s">
        <v>1848</v>
      </c>
      <c r="C749" s="11" t="s">
        <v>1876</v>
      </c>
      <c r="D749" s="6" t="s">
        <v>1850</v>
      </c>
      <c r="E749" s="12" t="s">
        <v>1877</v>
      </c>
      <c r="F749" s="12" t="s">
        <v>1877</v>
      </c>
      <c r="G749" s="12" t="s">
        <v>1883</v>
      </c>
      <c r="H749" s="12" t="s">
        <v>1884</v>
      </c>
      <c r="I749" s="12" t="s">
        <v>2203</v>
      </c>
      <c r="J749" s="11" t="s">
        <v>1856</v>
      </c>
      <c r="K749" s="11" t="s">
        <v>1852</v>
      </c>
      <c r="L749" s="11" t="s">
        <v>1853</v>
      </c>
      <c r="M749" s="12" t="s">
        <v>1854</v>
      </c>
      <c r="N749" s="12"/>
      <c r="O749" s="11" t="s">
        <v>1855</v>
      </c>
      <c r="P749" s="56"/>
    </row>
    <row r="750" spans="1:16" ht="15.75" customHeight="1" x14ac:dyDescent="0.2">
      <c r="A750" s="49">
        <v>6019</v>
      </c>
      <c r="B750" s="11" t="s">
        <v>1848</v>
      </c>
      <c r="C750" s="11" t="s">
        <v>1876</v>
      </c>
      <c r="D750" s="6" t="s">
        <v>1850</v>
      </c>
      <c r="E750" s="12" t="s">
        <v>1877</v>
      </c>
      <c r="F750" s="12" t="s">
        <v>1877</v>
      </c>
      <c r="G750" s="12" t="s">
        <v>1883</v>
      </c>
      <c r="H750" s="12" t="s">
        <v>2199</v>
      </c>
      <c r="I750" s="12" t="s">
        <v>2204</v>
      </c>
      <c r="J750" s="11" t="s">
        <v>1856</v>
      </c>
      <c r="K750" s="11" t="s">
        <v>1852</v>
      </c>
      <c r="L750" s="11" t="s">
        <v>1853</v>
      </c>
      <c r="M750" s="12" t="s">
        <v>1854</v>
      </c>
      <c r="N750" s="12"/>
      <c r="O750" s="11" t="s">
        <v>1855</v>
      </c>
      <c r="P750" s="56"/>
    </row>
    <row r="751" spans="1:16" ht="15.75" customHeight="1" x14ac:dyDescent="0.2">
      <c r="A751" s="49">
        <v>6094</v>
      </c>
      <c r="B751" s="11" t="s">
        <v>1848</v>
      </c>
      <c r="C751" s="11" t="s">
        <v>1876</v>
      </c>
      <c r="D751" s="6" t="s">
        <v>1850</v>
      </c>
      <c r="E751" s="12" t="s">
        <v>1877</v>
      </c>
      <c r="F751" s="12" t="s">
        <v>1877</v>
      </c>
      <c r="G751" s="12" t="s">
        <v>3395</v>
      </c>
      <c r="H751" s="12" t="s">
        <v>3396</v>
      </c>
      <c r="I751" s="12" t="s">
        <v>3397</v>
      </c>
      <c r="J751" s="11" t="s">
        <v>1856</v>
      </c>
      <c r="K751" s="11" t="s">
        <v>1852</v>
      </c>
      <c r="L751" s="11" t="s">
        <v>1853</v>
      </c>
      <c r="M751" s="12" t="s">
        <v>1854</v>
      </c>
      <c r="N751" s="12"/>
      <c r="O751" s="11" t="s">
        <v>1855</v>
      </c>
      <c r="P751" s="56"/>
    </row>
    <row r="752" spans="1:16" ht="15.75" customHeight="1" x14ac:dyDescent="0.2">
      <c r="A752" s="49">
        <v>15471</v>
      </c>
      <c r="B752" s="11" t="s">
        <v>1848</v>
      </c>
      <c r="C752" s="11" t="s">
        <v>1876</v>
      </c>
      <c r="D752" s="6" t="s">
        <v>1850</v>
      </c>
      <c r="E752" s="12" t="s">
        <v>1877</v>
      </c>
      <c r="F752" s="12" t="s">
        <v>1877</v>
      </c>
      <c r="G752" s="12" t="s">
        <v>1883</v>
      </c>
      <c r="H752" s="12" t="s">
        <v>1946</v>
      </c>
      <c r="I752" s="12" t="s">
        <v>2205</v>
      </c>
      <c r="J752" s="11" t="s">
        <v>1856</v>
      </c>
      <c r="K752" s="11" t="s">
        <v>1852</v>
      </c>
      <c r="L752" s="11" t="s">
        <v>1853</v>
      </c>
      <c r="M752" s="12" t="s">
        <v>1854</v>
      </c>
      <c r="N752" s="12"/>
      <c r="O752" s="11" t="s">
        <v>1855</v>
      </c>
      <c r="P752" s="56"/>
    </row>
    <row r="753" spans="1:16" ht="15.75" customHeight="1" x14ac:dyDescent="0.2">
      <c r="A753" s="48">
        <v>15673</v>
      </c>
      <c r="B753" s="11" t="s">
        <v>1848</v>
      </c>
      <c r="C753" s="11" t="s">
        <v>1876</v>
      </c>
      <c r="D753" s="6" t="s">
        <v>1850</v>
      </c>
      <c r="E753" s="12" t="s">
        <v>1877</v>
      </c>
      <c r="F753" s="12" t="s">
        <v>1877</v>
      </c>
      <c r="G753" s="12" t="s">
        <v>1880</v>
      </c>
      <c r="H753" s="12" t="s">
        <v>1880</v>
      </c>
      <c r="I753" s="12" t="s">
        <v>2206</v>
      </c>
      <c r="J753" s="11" t="s">
        <v>1851</v>
      </c>
      <c r="K753" s="11" t="s">
        <v>1852</v>
      </c>
      <c r="L753" s="11" t="s">
        <v>1853</v>
      </c>
      <c r="M753" s="12" t="s">
        <v>2190</v>
      </c>
      <c r="N753" s="12"/>
      <c r="O753" s="11" t="s">
        <v>1855</v>
      </c>
      <c r="P753" s="56"/>
    </row>
    <row r="754" spans="1:16" ht="15.75" customHeight="1" x14ac:dyDescent="0.2">
      <c r="A754" s="49">
        <v>6883</v>
      </c>
      <c r="B754" s="11" t="s">
        <v>1857</v>
      </c>
      <c r="C754" s="11" t="s">
        <v>1876</v>
      </c>
      <c r="D754" s="6" t="s">
        <v>1850</v>
      </c>
      <c r="E754" s="12" t="s">
        <v>1877</v>
      </c>
      <c r="F754" s="12" t="s">
        <v>1877</v>
      </c>
      <c r="G754" s="12" t="s">
        <v>2619</v>
      </c>
      <c r="H754" s="12" t="s">
        <v>2619</v>
      </c>
      <c r="I754" s="12" t="s">
        <v>3398</v>
      </c>
      <c r="J754" s="11" t="s">
        <v>1856</v>
      </c>
      <c r="K754" s="11" t="s">
        <v>1852</v>
      </c>
      <c r="L754" s="11" t="s">
        <v>1853</v>
      </c>
      <c r="M754" s="12" t="s">
        <v>3399</v>
      </c>
      <c r="N754" s="12" t="s">
        <v>3400</v>
      </c>
      <c r="O754" s="11" t="s">
        <v>1867</v>
      </c>
      <c r="P754" s="56" t="s">
        <v>3401</v>
      </c>
    </row>
    <row r="755" spans="1:16" ht="15.75" customHeight="1" x14ac:dyDescent="0.2">
      <c r="A755" s="49">
        <v>7592</v>
      </c>
      <c r="B755" s="11" t="s">
        <v>1857</v>
      </c>
      <c r="C755" s="11" t="s">
        <v>1876</v>
      </c>
      <c r="D755" s="6" t="s">
        <v>1850</v>
      </c>
      <c r="E755" s="12" t="s">
        <v>1877</v>
      </c>
      <c r="F755" s="12" t="s">
        <v>1877</v>
      </c>
      <c r="G755" s="12" t="s">
        <v>2736</v>
      </c>
      <c r="H755" s="12" t="s">
        <v>2750</v>
      </c>
      <c r="I755" s="12" t="s">
        <v>3402</v>
      </c>
      <c r="J755" s="11" t="s">
        <v>1851</v>
      </c>
      <c r="K755" s="11" t="s">
        <v>1852</v>
      </c>
      <c r="L755" s="11" t="s">
        <v>1853</v>
      </c>
      <c r="M755" s="12" t="s">
        <v>3403</v>
      </c>
      <c r="N755" s="12"/>
      <c r="O755" s="11" t="s">
        <v>1858</v>
      </c>
      <c r="P755" s="56"/>
    </row>
    <row r="756" spans="1:16" ht="15.75" customHeight="1" x14ac:dyDescent="0.2">
      <c r="A756" s="49">
        <v>7331</v>
      </c>
      <c r="B756" s="11" t="s">
        <v>1857</v>
      </c>
      <c r="C756" s="11" t="s">
        <v>1876</v>
      </c>
      <c r="D756" s="6" t="s">
        <v>1850</v>
      </c>
      <c r="E756" s="12" t="s">
        <v>1877</v>
      </c>
      <c r="F756" s="12" t="s">
        <v>1877</v>
      </c>
      <c r="G756" s="12" t="s">
        <v>2635</v>
      </c>
      <c r="H756" s="12" t="s">
        <v>2639</v>
      </c>
      <c r="I756" s="12" t="s">
        <v>3404</v>
      </c>
      <c r="J756" s="11" t="s">
        <v>1856</v>
      </c>
      <c r="K756" s="11" t="s">
        <v>1852</v>
      </c>
      <c r="L756" s="11" t="s">
        <v>1853</v>
      </c>
      <c r="M756" s="12" t="s">
        <v>3405</v>
      </c>
      <c r="N756" s="12"/>
      <c r="O756" s="11" t="s">
        <v>1858</v>
      </c>
      <c r="P756" s="56"/>
    </row>
    <row r="757" spans="1:16" ht="15.75" customHeight="1" x14ac:dyDescent="0.2">
      <c r="A757" s="49">
        <v>6052</v>
      </c>
      <c r="B757" s="11" t="s">
        <v>1857</v>
      </c>
      <c r="C757" s="11" t="s">
        <v>1876</v>
      </c>
      <c r="D757" s="6" t="s">
        <v>1850</v>
      </c>
      <c r="E757" s="12" t="s">
        <v>1877</v>
      </c>
      <c r="F757" s="12" t="s">
        <v>1877</v>
      </c>
      <c r="G757" s="12" t="s">
        <v>2736</v>
      </c>
      <c r="H757" s="12" t="s">
        <v>3079</v>
      </c>
      <c r="I757" s="12" t="s">
        <v>3406</v>
      </c>
      <c r="J757" s="11" t="s">
        <v>1851</v>
      </c>
      <c r="K757" s="11" t="s">
        <v>1852</v>
      </c>
      <c r="L757" s="11" t="s">
        <v>1853</v>
      </c>
      <c r="M757" s="12" t="s">
        <v>3407</v>
      </c>
      <c r="N757" s="12"/>
      <c r="O757" s="11" t="s">
        <v>1872</v>
      </c>
      <c r="P757" s="56"/>
    </row>
    <row r="758" spans="1:16" ht="15.75" customHeight="1" x14ac:dyDescent="0.2">
      <c r="A758" s="49">
        <v>6822</v>
      </c>
      <c r="B758" s="11" t="s">
        <v>1857</v>
      </c>
      <c r="C758" s="11" t="s">
        <v>1876</v>
      </c>
      <c r="D758" s="6" t="s">
        <v>1850</v>
      </c>
      <c r="E758" s="12" t="s">
        <v>1877</v>
      </c>
      <c r="F758" s="12" t="s">
        <v>1877</v>
      </c>
      <c r="G758" s="12" t="s">
        <v>2635</v>
      </c>
      <c r="H758" s="12" t="s">
        <v>2690</v>
      </c>
      <c r="I758" s="12" t="s">
        <v>3408</v>
      </c>
      <c r="J758" s="11" t="s">
        <v>1851</v>
      </c>
      <c r="K758" s="11" t="s">
        <v>1852</v>
      </c>
      <c r="L758" s="11" t="s">
        <v>1853</v>
      </c>
      <c r="M758" s="12" t="s">
        <v>3409</v>
      </c>
      <c r="N758" s="12"/>
      <c r="O758" s="11" t="s">
        <v>1867</v>
      </c>
      <c r="P758" s="56" t="s">
        <v>1865</v>
      </c>
    </row>
    <row r="759" spans="1:16" ht="15.75" customHeight="1" x14ac:dyDescent="0.2">
      <c r="A759" s="49">
        <v>1689</v>
      </c>
      <c r="B759" s="11" t="s">
        <v>1857</v>
      </c>
      <c r="C759" s="11" t="s">
        <v>1876</v>
      </c>
      <c r="D759" s="6" t="s">
        <v>1850</v>
      </c>
      <c r="E759" s="12" t="s">
        <v>1877</v>
      </c>
      <c r="F759" s="12" t="s">
        <v>1877</v>
      </c>
      <c r="G759" s="12" t="s">
        <v>2619</v>
      </c>
      <c r="H759" s="12" t="s">
        <v>2661</v>
      </c>
      <c r="I759" s="12" t="s">
        <v>3410</v>
      </c>
      <c r="J759" s="11" t="s">
        <v>1851</v>
      </c>
      <c r="K759" s="11" t="s">
        <v>1852</v>
      </c>
      <c r="L759" s="11" t="s">
        <v>1853</v>
      </c>
      <c r="M759" s="12" t="s">
        <v>3411</v>
      </c>
      <c r="N759" s="12"/>
      <c r="O759" s="11" t="s">
        <v>2307</v>
      </c>
      <c r="P759" s="56" t="s">
        <v>2184</v>
      </c>
    </row>
    <row r="760" spans="1:16" ht="15.75" customHeight="1" x14ac:dyDescent="0.2">
      <c r="A760" s="49">
        <v>5817</v>
      </c>
      <c r="B760" s="11" t="s">
        <v>1857</v>
      </c>
      <c r="C760" s="11" t="s">
        <v>1876</v>
      </c>
      <c r="D760" s="6" t="s">
        <v>1850</v>
      </c>
      <c r="E760" s="12" t="s">
        <v>1877</v>
      </c>
      <c r="F760" s="12" t="s">
        <v>1877</v>
      </c>
      <c r="G760" s="12" t="s">
        <v>2736</v>
      </c>
      <c r="H760" s="12" t="s">
        <v>2785</v>
      </c>
      <c r="I760" s="12" t="s">
        <v>3412</v>
      </c>
      <c r="J760" s="11" t="s">
        <v>1851</v>
      </c>
      <c r="K760" s="11" t="s">
        <v>1852</v>
      </c>
      <c r="L760" s="11" t="s">
        <v>1853</v>
      </c>
      <c r="M760" s="12" t="s">
        <v>3413</v>
      </c>
      <c r="N760" s="12"/>
      <c r="O760" s="11" t="s">
        <v>1858</v>
      </c>
      <c r="P760" s="56"/>
    </row>
    <row r="761" spans="1:16" ht="15.75" customHeight="1" x14ac:dyDescent="0.2">
      <c r="A761" s="49">
        <v>5815</v>
      </c>
      <c r="B761" s="11" t="s">
        <v>1857</v>
      </c>
      <c r="C761" s="11" t="s">
        <v>1876</v>
      </c>
      <c r="D761" s="6" t="s">
        <v>1850</v>
      </c>
      <c r="E761" s="12" t="s">
        <v>1877</v>
      </c>
      <c r="F761" s="12" t="s">
        <v>1877</v>
      </c>
      <c r="G761" s="12" t="s">
        <v>2653</v>
      </c>
      <c r="H761" s="12" t="s">
        <v>2762</v>
      </c>
      <c r="I761" s="12" t="s">
        <v>3414</v>
      </c>
      <c r="J761" s="11" t="s">
        <v>1851</v>
      </c>
      <c r="K761" s="11" t="s">
        <v>1852</v>
      </c>
      <c r="L761" s="11" t="s">
        <v>1853</v>
      </c>
      <c r="M761" s="12" t="s">
        <v>3415</v>
      </c>
      <c r="N761" s="12"/>
      <c r="O761" s="11" t="s">
        <v>1858</v>
      </c>
      <c r="P761" s="56"/>
    </row>
    <row r="762" spans="1:16" ht="15.75" customHeight="1" x14ac:dyDescent="0.2">
      <c r="A762" s="49">
        <v>5818</v>
      </c>
      <c r="B762" s="11" t="s">
        <v>1857</v>
      </c>
      <c r="C762" s="11" t="s">
        <v>1876</v>
      </c>
      <c r="D762" s="6" t="s">
        <v>1850</v>
      </c>
      <c r="E762" s="12" t="s">
        <v>1877</v>
      </c>
      <c r="F762" s="12" t="s">
        <v>1877</v>
      </c>
      <c r="G762" s="12" t="s">
        <v>2653</v>
      </c>
      <c r="H762" s="12" t="s">
        <v>3024</v>
      </c>
      <c r="I762" s="12" t="s">
        <v>3416</v>
      </c>
      <c r="J762" s="11" t="s">
        <v>1851</v>
      </c>
      <c r="K762" s="11" t="s">
        <v>1852</v>
      </c>
      <c r="L762" s="11" t="s">
        <v>1853</v>
      </c>
      <c r="M762" s="12" t="s">
        <v>3417</v>
      </c>
      <c r="N762" s="12"/>
      <c r="O762" s="11" t="s">
        <v>1858</v>
      </c>
      <c r="P762" s="56"/>
    </row>
    <row r="763" spans="1:16" ht="15.75" customHeight="1" x14ac:dyDescent="0.2">
      <c r="A763" s="49">
        <v>5819</v>
      </c>
      <c r="B763" s="11" t="s">
        <v>1857</v>
      </c>
      <c r="C763" s="11" t="s">
        <v>1876</v>
      </c>
      <c r="D763" s="6" t="s">
        <v>1850</v>
      </c>
      <c r="E763" s="12" t="s">
        <v>1877</v>
      </c>
      <c r="F763" s="12" t="s">
        <v>1877</v>
      </c>
      <c r="G763" s="12" t="s">
        <v>2736</v>
      </c>
      <c r="H763" s="12" t="s">
        <v>2750</v>
      </c>
      <c r="I763" s="12" t="s">
        <v>3418</v>
      </c>
      <c r="J763" s="11" t="s">
        <v>1851</v>
      </c>
      <c r="K763" s="11" t="s">
        <v>1852</v>
      </c>
      <c r="L763" s="11" t="s">
        <v>1853</v>
      </c>
      <c r="M763" s="12" t="s">
        <v>3419</v>
      </c>
      <c r="N763" s="12"/>
      <c r="O763" s="11" t="s">
        <v>1867</v>
      </c>
      <c r="P763" s="56" t="s">
        <v>1865</v>
      </c>
    </row>
    <row r="764" spans="1:16" ht="15.75" customHeight="1" x14ac:dyDescent="0.2">
      <c r="A764" s="49">
        <v>6061</v>
      </c>
      <c r="B764" s="11" t="s">
        <v>1857</v>
      </c>
      <c r="C764" s="11" t="s">
        <v>1876</v>
      </c>
      <c r="D764" s="6" t="s">
        <v>1850</v>
      </c>
      <c r="E764" s="12" t="s">
        <v>1877</v>
      </c>
      <c r="F764" s="12" t="s">
        <v>1877</v>
      </c>
      <c r="G764" s="12" t="s">
        <v>2619</v>
      </c>
      <c r="H764" s="12" t="s">
        <v>2631</v>
      </c>
      <c r="I764" s="12" t="s">
        <v>3420</v>
      </c>
      <c r="J764" s="11" t="s">
        <v>1851</v>
      </c>
      <c r="K764" s="11" t="s">
        <v>1852</v>
      </c>
      <c r="L764" s="11" t="s">
        <v>1853</v>
      </c>
      <c r="M764" s="12" t="s">
        <v>3421</v>
      </c>
      <c r="N764" s="12"/>
      <c r="O764" s="11" t="s">
        <v>1858</v>
      </c>
      <c r="P764" s="56"/>
    </row>
    <row r="765" spans="1:16" ht="15.75" customHeight="1" x14ac:dyDescent="0.2">
      <c r="A765" s="49">
        <v>6025</v>
      </c>
      <c r="B765" s="11" t="s">
        <v>1857</v>
      </c>
      <c r="C765" s="11" t="s">
        <v>1876</v>
      </c>
      <c r="D765" s="6" t="s">
        <v>1850</v>
      </c>
      <c r="E765" s="12" t="s">
        <v>1877</v>
      </c>
      <c r="F765" s="12" t="s">
        <v>1877</v>
      </c>
      <c r="G765" s="12" t="s">
        <v>1883</v>
      </c>
      <c r="H765" s="12" t="s">
        <v>1946</v>
      </c>
      <c r="I765" s="12" t="s">
        <v>2207</v>
      </c>
      <c r="J765" s="11" t="s">
        <v>1851</v>
      </c>
      <c r="K765" s="11" t="s">
        <v>1852</v>
      </c>
      <c r="L765" s="11" t="s">
        <v>1853</v>
      </c>
      <c r="M765" s="12" t="s">
        <v>2208</v>
      </c>
      <c r="N765" s="12"/>
      <c r="O765" s="11" t="s">
        <v>1867</v>
      </c>
      <c r="P765" s="56" t="s">
        <v>1865</v>
      </c>
    </row>
    <row r="766" spans="1:16" ht="15.75" customHeight="1" x14ac:dyDescent="0.2">
      <c r="A766" s="49">
        <v>6057</v>
      </c>
      <c r="B766" s="11" t="s">
        <v>1857</v>
      </c>
      <c r="C766" s="11" t="s">
        <v>1876</v>
      </c>
      <c r="D766" s="6" t="s">
        <v>1850</v>
      </c>
      <c r="E766" s="12" t="s">
        <v>1877</v>
      </c>
      <c r="F766" s="12" t="s">
        <v>1877</v>
      </c>
      <c r="G766" s="12" t="s">
        <v>2619</v>
      </c>
      <c r="H766" s="12" t="s">
        <v>2631</v>
      </c>
      <c r="I766" s="12" t="s">
        <v>3422</v>
      </c>
      <c r="J766" s="11" t="s">
        <v>1851</v>
      </c>
      <c r="K766" s="11" t="s">
        <v>1852</v>
      </c>
      <c r="L766" s="11" t="s">
        <v>1853</v>
      </c>
      <c r="M766" s="12" t="s">
        <v>3423</v>
      </c>
      <c r="N766" s="12"/>
      <c r="O766" s="11" t="s">
        <v>1858</v>
      </c>
      <c r="P766" s="56"/>
    </row>
    <row r="767" spans="1:16" ht="15.75" customHeight="1" x14ac:dyDescent="0.2">
      <c r="A767" s="49">
        <v>6064</v>
      </c>
      <c r="B767" s="11" t="s">
        <v>1857</v>
      </c>
      <c r="C767" s="11" t="s">
        <v>1876</v>
      </c>
      <c r="D767" s="6" t="s">
        <v>1850</v>
      </c>
      <c r="E767" s="12" t="s">
        <v>1877</v>
      </c>
      <c r="F767" s="12" t="s">
        <v>1877</v>
      </c>
      <c r="G767" s="12" t="s">
        <v>2619</v>
      </c>
      <c r="H767" s="12" t="s">
        <v>2619</v>
      </c>
      <c r="I767" s="12" t="s">
        <v>3424</v>
      </c>
      <c r="J767" s="11" t="s">
        <v>1851</v>
      </c>
      <c r="K767" s="11" t="s">
        <v>1852</v>
      </c>
      <c r="L767" s="11" t="s">
        <v>1853</v>
      </c>
      <c r="M767" s="12" t="s">
        <v>3425</v>
      </c>
      <c r="N767" s="12"/>
      <c r="O767" s="11" t="s">
        <v>1858</v>
      </c>
      <c r="P767" s="56"/>
    </row>
    <row r="768" spans="1:16" ht="15.75" customHeight="1" x14ac:dyDescent="0.2">
      <c r="A768" s="49">
        <v>5810</v>
      </c>
      <c r="B768" s="11" t="s">
        <v>1857</v>
      </c>
      <c r="C768" s="11" t="s">
        <v>1876</v>
      </c>
      <c r="D768" s="6" t="s">
        <v>1850</v>
      </c>
      <c r="E768" s="12" t="s">
        <v>1877</v>
      </c>
      <c r="F768" s="12" t="s">
        <v>1877</v>
      </c>
      <c r="G768" s="12" t="s">
        <v>1883</v>
      </c>
      <c r="H768" s="12" t="s">
        <v>1895</v>
      </c>
      <c r="I768" s="12" t="s">
        <v>2209</v>
      </c>
      <c r="J768" s="11" t="s">
        <v>1851</v>
      </c>
      <c r="K768" s="11" t="s">
        <v>1852</v>
      </c>
      <c r="L768" s="11" t="s">
        <v>1853</v>
      </c>
      <c r="M768" s="12" t="s">
        <v>2210</v>
      </c>
      <c r="N768" s="12"/>
      <c r="O768" s="11" t="s">
        <v>1864</v>
      </c>
      <c r="P768" s="56" t="s">
        <v>2184</v>
      </c>
    </row>
    <row r="769" spans="1:16" ht="15.75" customHeight="1" x14ac:dyDescent="0.2">
      <c r="A769" s="49">
        <v>5823</v>
      </c>
      <c r="B769" s="11" t="s">
        <v>1857</v>
      </c>
      <c r="C769" s="11" t="s">
        <v>1876</v>
      </c>
      <c r="D769" s="6" t="s">
        <v>1850</v>
      </c>
      <c r="E769" s="12" t="s">
        <v>1877</v>
      </c>
      <c r="F769" s="12" t="s">
        <v>1877</v>
      </c>
      <c r="G769" s="12" t="s">
        <v>2619</v>
      </c>
      <c r="H769" s="12" t="s">
        <v>2619</v>
      </c>
      <c r="I769" s="12" t="s">
        <v>3426</v>
      </c>
      <c r="J769" s="11" t="s">
        <v>1851</v>
      </c>
      <c r="K769" s="11" t="s">
        <v>1852</v>
      </c>
      <c r="L769" s="11" t="s">
        <v>1853</v>
      </c>
      <c r="M769" s="12" t="s">
        <v>3427</v>
      </c>
      <c r="N769" s="12"/>
      <c r="O769" s="11" t="s">
        <v>1867</v>
      </c>
      <c r="P769" s="56" t="s">
        <v>1865</v>
      </c>
    </row>
    <row r="770" spans="1:16" ht="15.75" customHeight="1" x14ac:dyDescent="0.2">
      <c r="A770" s="49">
        <v>5824</v>
      </c>
      <c r="B770" s="11" t="s">
        <v>1857</v>
      </c>
      <c r="C770" s="11" t="s">
        <v>1876</v>
      </c>
      <c r="D770" s="6" t="s">
        <v>1850</v>
      </c>
      <c r="E770" s="12" t="s">
        <v>1877</v>
      </c>
      <c r="F770" s="12" t="s">
        <v>1877</v>
      </c>
      <c r="G770" s="12" t="s">
        <v>2619</v>
      </c>
      <c r="H770" s="12" t="s">
        <v>2619</v>
      </c>
      <c r="I770" s="12" t="s">
        <v>3428</v>
      </c>
      <c r="J770" s="11" t="s">
        <v>1851</v>
      </c>
      <c r="K770" s="11" t="s">
        <v>1852</v>
      </c>
      <c r="L770" s="11" t="s">
        <v>1853</v>
      </c>
      <c r="M770" s="12" t="s">
        <v>3429</v>
      </c>
      <c r="N770" s="12"/>
      <c r="O770" s="11" t="s">
        <v>3430</v>
      </c>
      <c r="P770" s="56" t="s">
        <v>1865</v>
      </c>
    </row>
    <row r="771" spans="1:16" ht="15.75" customHeight="1" x14ac:dyDescent="0.2">
      <c r="A771" s="49">
        <v>7530</v>
      </c>
      <c r="B771" s="11" t="s">
        <v>1857</v>
      </c>
      <c r="C771" s="11" t="s">
        <v>1876</v>
      </c>
      <c r="D771" s="6" t="s">
        <v>1850</v>
      </c>
      <c r="E771" s="12" t="s">
        <v>1877</v>
      </c>
      <c r="F771" s="12" t="s">
        <v>1877</v>
      </c>
      <c r="G771" s="12" t="s">
        <v>2619</v>
      </c>
      <c r="H771" s="12" t="s">
        <v>2619</v>
      </c>
      <c r="I771" s="12" t="s">
        <v>3431</v>
      </c>
      <c r="J771" s="11" t="s">
        <v>1851</v>
      </c>
      <c r="K771" s="11" t="s">
        <v>1852</v>
      </c>
      <c r="L771" s="11" t="s">
        <v>1853</v>
      </c>
      <c r="M771" s="12" t="s">
        <v>3432</v>
      </c>
      <c r="N771" s="12" t="s">
        <v>3433</v>
      </c>
      <c r="O771" s="11" t="s">
        <v>1866</v>
      </c>
      <c r="P771" s="56" t="s">
        <v>1865</v>
      </c>
    </row>
    <row r="772" spans="1:16" ht="15.75" customHeight="1" x14ac:dyDescent="0.2">
      <c r="A772" s="49">
        <v>6056</v>
      </c>
      <c r="B772" s="11" t="s">
        <v>1857</v>
      </c>
      <c r="C772" s="11" t="s">
        <v>1876</v>
      </c>
      <c r="D772" s="6" t="s">
        <v>1850</v>
      </c>
      <c r="E772" s="12" t="s">
        <v>1877</v>
      </c>
      <c r="F772" s="12" t="s">
        <v>1877</v>
      </c>
      <c r="G772" s="12" t="s">
        <v>2619</v>
      </c>
      <c r="H772" s="12" t="s">
        <v>2619</v>
      </c>
      <c r="I772" s="12" t="s">
        <v>3434</v>
      </c>
      <c r="J772" s="11" t="s">
        <v>1851</v>
      </c>
      <c r="K772" s="11" t="s">
        <v>1852</v>
      </c>
      <c r="L772" s="11" t="s">
        <v>1853</v>
      </c>
      <c r="M772" s="12" t="s">
        <v>3435</v>
      </c>
      <c r="N772" s="12"/>
      <c r="O772" s="11" t="s">
        <v>2307</v>
      </c>
      <c r="P772" s="56" t="s">
        <v>2184</v>
      </c>
    </row>
    <row r="773" spans="1:16" ht="15.75" customHeight="1" x14ac:dyDescent="0.2">
      <c r="A773" s="49">
        <v>5828</v>
      </c>
      <c r="B773" s="11" t="s">
        <v>1857</v>
      </c>
      <c r="C773" s="11" t="s">
        <v>1876</v>
      </c>
      <c r="D773" s="6" t="s">
        <v>1850</v>
      </c>
      <c r="E773" s="12" t="s">
        <v>1877</v>
      </c>
      <c r="F773" s="12" t="s">
        <v>1877</v>
      </c>
      <c r="G773" s="12" t="s">
        <v>2619</v>
      </c>
      <c r="H773" s="12" t="s">
        <v>2864</v>
      </c>
      <c r="I773" s="12" t="s">
        <v>3436</v>
      </c>
      <c r="J773" s="11" t="s">
        <v>1851</v>
      </c>
      <c r="K773" s="11" t="s">
        <v>1852</v>
      </c>
      <c r="L773" s="11" t="s">
        <v>1853</v>
      </c>
      <c r="M773" s="12" t="s">
        <v>3437</v>
      </c>
      <c r="N773" s="12"/>
      <c r="O773" s="11" t="s">
        <v>1858</v>
      </c>
      <c r="P773" s="56"/>
    </row>
    <row r="774" spans="1:16" ht="15.75" customHeight="1" x14ac:dyDescent="0.2">
      <c r="A774" s="49">
        <v>6882</v>
      </c>
      <c r="B774" s="11" t="s">
        <v>1857</v>
      </c>
      <c r="C774" s="11" t="s">
        <v>1876</v>
      </c>
      <c r="D774" s="6" t="s">
        <v>1850</v>
      </c>
      <c r="E774" s="12" t="s">
        <v>1877</v>
      </c>
      <c r="F774" s="12" t="s">
        <v>1877</v>
      </c>
      <c r="G774" s="12" t="s">
        <v>2619</v>
      </c>
      <c r="H774" s="12" t="s">
        <v>2619</v>
      </c>
      <c r="I774" s="12" t="s">
        <v>3438</v>
      </c>
      <c r="J774" s="11" t="s">
        <v>1851</v>
      </c>
      <c r="K774" s="11" t="s">
        <v>1852</v>
      </c>
      <c r="L774" s="11" t="s">
        <v>1853</v>
      </c>
      <c r="M774" s="12" t="s">
        <v>3439</v>
      </c>
      <c r="N774" s="12"/>
      <c r="O774" s="11" t="s">
        <v>1864</v>
      </c>
      <c r="P774" s="56" t="s">
        <v>1865</v>
      </c>
    </row>
    <row r="775" spans="1:16" ht="15.75" customHeight="1" x14ac:dyDescent="0.2">
      <c r="A775" s="48">
        <v>7335</v>
      </c>
      <c r="B775" s="11" t="s">
        <v>1857</v>
      </c>
      <c r="C775" s="11" t="s">
        <v>1876</v>
      </c>
      <c r="D775" s="6" t="s">
        <v>1850</v>
      </c>
      <c r="E775" s="12" t="s">
        <v>1877</v>
      </c>
      <c r="F775" s="12" t="s">
        <v>1877</v>
      </c>
      <c r="G775" s="12" t="s">
        <v>1880</v>
      </c>
      <c r="H775" s="12" t="s">
        <v>1941</v>
      </c>
      <c r="I775" s="12" t="s">
        <v>2211</v>
      </c>
      <c r="J775" s="11" t="s">
        <v>1851</v>
      </c>
      <c r="K775" s="11" t="s">
        <v>1852</v>
      </c>
      <c r="L775" s="11" t="s">
        <v>1853</v>
      </c>
      <c r="M775" s="12" t="s">
        <v>2212</v>
      </c>
      <c r="N775" s="12"/>
      <c r="O775" s="11" t="s">
        <v>1858</v>
      </c>
      <c r="P775" s="56"/>
    </row>
    <row r="776" spans="1:16" ht="15.75" customHeight="1" x14ac:dyDescent="0.2">
      <c r="A776" s="49">
        <v>6857</v>
      </c>
      <c r="B776" s="11" t="s">
        <v>1857</v>
      </c>
      <c r="C776" s="11" t="s">
        <v>1876</v>
      </c>
      <c r="D776" s="6" t="s">
        <v>1850</v>
      </c>
      <c r="E776" s="12" t="s">
        <v>1877</v>
      </c>
      <c r="F776" s="12" t="s">
        <v>1877</v>
      </c>
      <c r="G776" s="12" t="s">
        <v>2635</v>
      </c>
      <c r="H776" s="12" t="s">
        <v>2973</v>
      </c>
      <c r="I776" s="12" t="s">
        <v>3440</v>
      </c>
      <c r="J776" s="11" t="s">
        <v>1851</v>
      </c>
      <c r="K776" s="11" t="s">
        <v>1852</v>
      </c>
      <c r="L776" s="11" t="s">
        <v>1853</v>
      </c>
      <c r="M776" s="12" t="s">
        <v>3441</v>
      </c>
      <c r="N776" s="12"/>
      <c r="O776" s="11" t="s">
        <v>1867</v>
      </c>
      <c r="P776" s="56" t="s">
        <v>1865</v>
      </c>
    </row>
    <row r="777" spans="1:16" ht="15.75" customHeight="1" x14ac:dyDescent="0.2">
      <c r="A777" s="49">
        <v>1516</v>
      </c>
      <c r="B777" s="11" t="s">
        <v>1857</v>
      </c>
      <c r="C777" s="11" t="s">
        <v>1876</v>
      </c>
      <c r="D777" s="6" t="s">
        <v>1850</v>
      </c>
      <c r="E777" s="12" t="s">
        <v>1877</v>
      </c>
      <c r="F777" s="12" t="s">
        <v>1877</v>
      </c>
      <c r="G777" s="12" t="s">
        <v>2635</v>
      </c>
      <c r="H777" s="12" t="s">
        <v>2973</v>
      </c>
      <c r="I777" s="12" t="s">
        <v>3442</v>
      </c>
      <c r="J777" s="11" t="s">
        <v>1851</v>
      </c>
      <c r="K777" s="11" t="s">
        <v>1852</v>
      </c>
      <c r="L777" s="11" t="s">
        <v>1853</v>
      </c>
      <c r="M777" s="12" t="s">
        <v>3443</v>
      </c>
      <c r="N777" s="12"/>
      <c r="O777" s="11" t="s">
        <v>1867</v>
      </c>
      <c r="P777" s="56" t="s">
        <v>1865</v>
      </c>
    </row>
    <row r="778" spans="1:16" ht="15.75" customHeight="1" x14ac:dyDescent="0.2">
      <c r="A778" s="49">
        <v>4970</v>
      </c>
      <c r="B778" s="11" t="s">
        <v>1857</v>
      </c>
      <c r="C778" s="11" t="s">
        <v>1876</v>
      </c>
      <c r="D778" s="6" t="s">
        <v>1850</v>
      </c>
      <c r="E778" s="12" t="s">
        <v>1877</v>
      </c>
      <c r="F778" s="12" t="s">
        <v>1877</v>
      </c>
      <c r="G778" s="12" t="s">
        <v>2619</v>
      </c>
      <c r="H778" s="12" t="s">
        <v>2619</v>
      </c>
      <c r="I778" s="12" t="s">
        <v>3444</v>
      </c>
      <c r="J778" s="11" t="s">
        <v>1851</v>
      </c>
      <c r="K778" s="11" t="s">
        <v>1852</v>
      </c>
      <c r="L778" s="11" t="s">
        <v>1853</v>
      </c>
      <c r="M778" s="12" t="s">
        <v>3445</v>
      </c>
      <c r="N778" s="12"/>
      <c r="O778" s="11" t="s">
        <v>1867</v>
      </c>
      <c r="P778" s="56" t="s">
        <v>1865</v>
      </c>
    </row>
    <row r="779" spans="1:16" ht="15.75" customHeight="1" x14ac:dyDescent="0.2">
      <c r="A779" s="49">
        <v>5811</v>
      </c>
      <c r="B779" s="11" t="s">
        <v>1857</v>
      </c>
      <c r="C779" s="11" t="s">
        <v>1876</v>
      </c>
      <c r="D779" s="6" t="s">
        <v>1850</v>
      </c>
      <c r="E779" s="12" t="s">
        <v>1877</v>
      </c>
      <c r="F779" s="12" t="s">
        <v>1877</v>
      </c>
      <c r="G779" s="12" t="s">
        <v>1883</v>
      </c>
      <c r="H779" s="12" t="s">
        <v>1895</v>
      </c>
      <c r="I779" s="12" t="s">
        <v>2213</v>
      </c>
      <c r="J779" s="11" t="s">
        <v>1851</v>
      </c>
      <c r="K779" s="11" t="s">
        <v>1852</v>
      </c>
      <c r="L779" s="11" t="s">
        <v>1853</v>
      </c>
      <c r="M779" s="12" t="s">
        <v>2214</v>
      </c>
      <c r="N779" s="12"/>
      <c r="O779" s="11" t="s">
        <v>1860</v>
      </c>
      <c r="P779" s="56"/>
    </row>
    <row r="780" spans="1:16" ht="15.75" customHeight="1" x14ac:dyDescent="0.2">
      <c r="A780" s="49">
        <v>6072</v>
      </c>
      <c r="B780" s="11" t="s">
        <v>1857</v>
      </c>
      <c r="C780" s="11" t="s">
        <v>1876</v>
      </c>
      <c r="D780" s="6" t="s">
        <v>1850</v>
      </c>
      <c r="E780" s="12" t="s">
        <v>1877</v>
      </c>
      <c r="F780" s="12" t="s">
        <v>1877</v>
      </c>
      <c r="G780" s="12" t="s">
        <v>2619</v>
      </c>
      <c r="H780" s="12" t="s">
        <v>2820</v>
      </c>
      <c r="I780" s="12" t="s">
        <v>3446</v>
      </c>
      <c r="J780" s="11" t="s">
        <v>1851</v>
      </c>
      <c r="K780" s="11" t="s">
        <v>1852</v>
      </c>
      <c r="L780" s="11" t="s">
        <v>1853</v>
      </c>
      <c r="M780" s="12" t="s">
        <v>3447</v>
      </c>
      <c r="N780" s="12"/>
      <c r="O780" s="11" t="s">
        <v>1858</v>
      </c>
      <c r="P780" s="56"/>
    </row>
    <row r="781" spans="1:16" ht="15.75" customHeight="1" x14ac:dyDescent="0.2">
      <c r="A781" s="49">
        <v>6079</v>
      </c>
      <c r="B781" s="11" t="s">
        <v>1857</v>
      </c>
      <c r="C781" s="11" t="s">
        <v>1876</v>
      </c>
      <c r="D781" s="6" t="s">
        <v>1850</v>
      </c>
      <c r="E781" s="12" t="s">
        <v>1877</v>
      </c>
      <c r="F781" s="12" t="s">
        <v>1877</v>
      </c>
      <c r="G781" s="12" t="s">
        <v>1880</v>
      </c>
      <c r="H781" s="12" t="s">
        <v>1892</v>
      </c>
      <c r="I781" s="12" t="s">
        <v>2215</v>
      </c>
      <c r="J781" s="11" t="s">
        <v>1851</v>
      </c>
      <c r="K781" s="11" t="s">
        <v>1852</v>
      </c>
      <c r="L781" s="11" t="s">
        <v>1853</v>
      </c>
      <c r="M781" s="12" t="s">
        <v>2216</v>
      </c>
      <c r="N781" s="12"/>
      <c r="O781" s="11" t="s">
        <v>1858</v>
      </c>
      <c r="P781" s="56"/>
    </row>
    <row r="782" spans="1:16" ht="15.75" customHeight="1" x14ac:dyDescent="0.2">
      <c r="A782" s="49">
        <v>5808</v>
      </c>
      <c r="B782" s="11" t="s">
        <v>1857</v>
      </c>
      <c r="C782" s="11" t="s">
        <v>1876</v>
      </c>
      <c r="D782" s="6" t="s">
        <v>1850</v>
      </c>
      <c r="E782" s="12" t="s">
        <v>1877</v>
      </c>
      <c r="F782" s="12" t="s">
        <v>1877</v>
      </c>
      <c r="G782" s="12" t="s">
        <v>1883</v>
      </c>
      <c r="H782" s="12" t="s">
        <v>1895</v>
      </c>
      <c r="I782" s="12" t="s">
        <v>2217</v>
      </c>
      <c r="J782" s="11" t="s">
        <v>1851</v>
      </c>
      <c r="K782" s="11" t="s">
        <v>1852</v>
      </c>
      <c r="L782" s="11" t="s">
        <v>1853</v>
      </c>
      <c r="M782" s="12" t="s">
        <v>2218</v>
      </c>
      <c r="N782" s="12"/>
      <c r="O782" s="11" t="s">
        <v>1858</v>
      </c>
      <c r="P782" s="56"/>
    </row>
    <row r="783" spans="1:16" ht="15.75" customHeight="1" x14ac:dyDescent="0.2">
      <c r="A783" s="49">
        <v>1550</v>
      </c>
      <c r="B783" s="11" t="s">
        <v>1857</v>
      </c>
      <c r="C783" s="11" t="s">
        <v>1876</v>
      </c>
      <c r="D783" s="6" t="s">
        <v>1850</v>
      </c>
      <c r="E783" s="12" t="s">
        <v>1877</v>
      </c>
      <c r="F783" s="12" t="s">
        <v>1877</v>
      </c>
      <c r="G783" s="12" t="s">
        <v>2653</v>
      </c>
      <c r="H783" s="12" t="s">
        <v>3448</v>
      </c>
      <c r="I783" s="12" t="s">
        <v>3449</v>
      </c>
      <c r="J783" s="11" t="s">
        <v>1851</v>
      </c>
      <c r="K783" s="11" t="s">
        <v>1852</v>
      </c>
      <c r="L783" s="11" t="s">
        <v>1853</v>
      </c>
      <c r="M783" s="12" t="s">
        <v>3450</v>
      </c>
      <c r="N783" s="12"/>
      <c r="O783" s="11" t="s">
        <v>1864</v>
      </c>
      <c r="P783" s="56" t="s">
        <v>3451</v>
      </c>
    </row>
    <row r="784" spans="1:16" ht="15.75" customHeight="1" x14ac:dyDescent="0.2">
      <c r="A784" s="49">
        <v>1370</v>
      </c>
      <c r="B784" s="11" t="s">
        <v>1857</v>
      </c>
      <c r="C784" s="11" t="s">
        <v>1876</v>
      </c>
      <c r="D784" s="6" t="s">
        <v>1850</v>
      </c>
      <c r="E784" s="12" t="s">
        <v>1877</v>
      </c>
      <c r="F784" s="12" t="s">
        <v>1877</v>
      </c>
      <c r="G784" s="12" t="s">
        <v>2653</v>
      </c>
      <c r="H784" s="12" t="s">
        <v>2762</v>
      </c>
      <c r="I784" s="12" t="s">
        <v>3452</v>
      </c>
      <c r="J784" s="11" t="s">
        <v>1851</v>
      </c>
      <c r="K784" s="11" t="s">
        <v>1852</v>
      </c>
      <c r="L784" s="11" t="s">
        <v>1853</v>
      </c>
      <c r="M784" s="12" t="s">
        <v>3453</v>
      </c>
      <c r="N784" s="12"/>
      <c r="O784" s="11" t="s">
        <v>1866</v>
      </c>
      <c r="P784" s="56" t="s">
        <v>2184</v>
      </c>
    </row>
    <row r="785" spans="1:16" ht="15.75" customHeight="1" x14ac:dyDescent="0.2">
      <c r="A785" s="49">
        <v>6077</v>
      </c>
      <c r="B785" s="11" t="s">
        <v>1857</v>
      </c>
      <c r="C785" s="11" t="s">
        <v>1876</v>
      </c>
      <c r="D785" s="6" t="s">
        <v>1850</v>
      </c>
      <c r="E785" s="12" t="s">
        <v>1877</v>
      </c>
      <c r="F785" s="12" t="s">
        <v>1877</v>
      </c>
      <c r="G785" s="12" t="s">
        <v>1880</v>
      </c>
      <c r="H785" s="12" t="s">
        <v>1880</v>
      </c>
      <c r="I785" s="12" t="s">
        <v>2219</v>
      </c>
      <c r="J785" s="11" t="s">
        <v>1851</v>
      </c>
      <c r="K785" s="11" t="s">
        <v>1852</v>
      </c>
      <c r="L785" s="11" t="s">
        <v>1853</v>
      </c>
      <c r="M785" s="12" t="s">
        <v>2220</v>
      </c>
      <c r="N785" s="12" t="s">
        <v>2221</v>
      </c>
      <c r="O785" s="11" t="s">
        <v>1867</v>
      </c>
      <c r="P785" s="56" t="s">
        <v>1865</v>
      </c>
    </row>
    <row r="786" spans="1:16" ht="15.75" customHeight="1" x14ac:dyDescent="0.2">
      <c r="A786" s="49">
        <v>5821</v>
      </c>
      <c r="B786" s="11" t="s">
        <v>1857</v>
      </c>
      <c r="C786" s="11" t="s">
        <v>1876</v>
      </c>
      <c r="D786" s="6" t="s">
        <v>1850</v>
      </c>
      <c r="E786" s="12" t="s">
        <v>1877</v>
      </c>
      <c r="F786" s="12" t="s">
        <v>1877</v>
      </c>
      <c r="G786" s="12" t="s">
        <v>2736</v>
      </c>
      <c r="H786" s="12" t="s">
        <v>3079</v>
      </c>
      <c r="I786" s="12" t="s">
        <v>3454</v>
      </c>
      <c r="J786" s="11" t="s">
        <v>1851</v>
      </c>
      <c r="K786" s="11" t="s">
        <v>1852</v>
      </c>
      <c r="L786" s="11" t="s">
        <v>1853</v>
      </c>
      <c r="M786" s="12" t="s">
        <v>3455</v>
      </c>
      <c r="N786" s="12"/>
      <c r="O786" s="11" t="s">
        <v>2307</v>
      </c>
      <c r="P786" s="56" t="s">
        <v>3343</v>
      </c>
    </row>
    <row r="787" spans="1:16" ht="15.75" customHeight="1" x14ac:dyDescent="0.2">
      <c r="A787" s="49">
        <v>6884</v>
      </c>
      <c r="B787" s="11" t="s">
        <v>1857</v>
      </c>
      <c r="C787" s="11" t="s">
        <v>1876</v>
      </c>
      <c r="D787" s="6" t="s">
        <v>1850</v>
      </c>
      <c r="E787" s="12" t="s">
        <v>1877</v>
      </c>
      <c r="F787" s="12" t="s">
        <v>1877</v>
      </c>
      <c r="G787" s="12" t="s">
        <v>2653</v>
      </c>
      <c r="H787" s="12" t="s">
        <v>2762</v>
      </c>
      <c r="I787" s="12" t="s">
        <v>3456</v>
      </c>
      <c r="J787" s="11" t="s">
        <v>1851</v>
      </c>
      <c r="K787" s="11" t="s">
        <v>1852</v>
      </c>
      <c r="L787" s="11" t="s">
        <v>1853</v>
      </c>
      <c r="M787" s="12" t="s">
        <v>3457</v>
      </c>
      <c r="N787" s="12"/>
      <c r="O787" s="11" t="s">
        <v>1860</v>
      </c>
      <c r="P787" s="56"/>
    </row>
    <row r="788" spans="1:16" ht="15.75" customHeight="1" x14ac:dyDescent="0.2">
      <c r="A788" s="49">
        <v>5831</v>
      </c>
      <c r="B788" s="11" t="s">
        <v>1857</v>
      </c>
      <c r="C788" s="11" t="s">
        <v>1876</v>
      </c>
      <c r="D788" s="6" t="s">
        <v>1850</v>
      </c>
      <c r="E788" s="12" t="s">
        <v>1877</v>
      </c>
      <c r="F788" s="12" t="s">
        <v>1877</v>
      </c>
      <c r="G788" s="12" t="s">
        <v>2619</v>
      </c>
      <c r="H788" s="12" t="s">
        <v>2631</v>
      </c>
      <c r="I788" s="12" t="s">
        <v>3458</v>
      </c>
      <c r="J788" s="11" t="s">
        <v>1851</v>
      </c>
      <c r="K788" s="11" t="s">
        <v>1852</v>
      </c>
      <c r="L788" s="11" t="s">
        <v>1853</v>
      </c>
      <c r="M788" s="12" t="s">
        <v>3459</v>
      </c>
      <c r="N788" s="12"/>
      <c r="O788" s="11" t="s">
        <v>1858</v>
      </c>
      <c r="P788" s="56"/>
    </row>
    <row r="789" spans="1:16" ht="15.75" customHeight="1" x14ac:dyDescent="0.2">
      <c r="A789" s="49">
        <v>5814</v>
      </c>
      <c r="B789" s="11" t="s">
        <v>1857</v>
      </c>
      <c r="C789" s="11" t="s">
        <v>1876</v>
      </c>
      <c r="D789" s="6" t="s">
        <v>1850</v>
      </c>
      <c r="E789" s="12" t="s">
        <v>1877</v>
      </c>
      <c r="F789" s="12" t="s">
        <v>1877</v>
      </c>
      <c r="G789" s="12" t="s">
        <v>2635</v>
      </c>
      <c r="H789" s="12" t="s">
        <v>2690</v>
      </c>
      <c r="I789" s="12" t="s">
        <v>3460</v>
      </c>
      <c r="J789" s="11" t="s">
        <v>1851</v>
      </c>
      <c r="K789" s="11" t="s">
        <v>1852</v>
      </c>
      <c r="L789" s="11" t="s">
        <v>1853</v>
      </c>
      <c r="M789" s="12" t="s">
        <v>3461</v>
      </c>
      <c r="N789" s="12"/>
      <c r="O789" s="11" t="s">
        <v>2307</v>
      </c>
      <c r="P789" s="56" t="s">
        <v>2184</v>
      </c>
    </row>
    <row r="790" spans="1:16" ht="15.75" customHeight="1" x14ac:dyDescent="0.2">
      <c r="A790" s="49">
        <v>6059</v>
      </c>
      <c r="B790" s="11" t="s">
        <v>1857</v>
      </c>
      <c r="C790" s="11" t="s">
        <v>1876</v>
      </c>
      <c r="D790" s="6" t="s">
        <v>1850</v>
      </c>
      <c r="E790" s="12" t="s">
        <v>1877</v>
      </c>
      <c r="F790" s="12" t="s">
        <v>1877</v>
      </c>
      <c r="G790" s="12" t="s">
        <v>2619</v>
      </c>
      <c r="H790" s="12" t="s">
        <v>3462</v>
      </c>
      <c r="I790" s="12" t="s">
        <v>3463</v>
      </c>
      <c r="J790" s="11" t="s">
        <v>1851</v>
      </c>
      <c r="K790" s="11" t="s">
        <v>1852</v>
      </c>
      <c r="L790" s="11" t="s">
        <v>1853</v>
      </c>
      <c r="M790" s="12" t="s">
        <v>3464</v>
      </c>
      <c r="N790" s="12"/>
      <c r="O790" s="11" t="s">
        <v>1867</v>
      </c>
      <c r="P790" s="56" t="s">
        <v>3465</v>
      </c>
    </row>
    <row r="791" spans="1:16" ht="15.75" customHeight="1" x14ac:dyDescent="0.2">
      <c r="A791" s="49">
        <v>1718</v>
      </c>
      <c r="B791" s="11" t="s">
        <v>1857</v>
      </c>
      <c r="C791" s="11" t="s">
        <v>1876</v>
      </c>
      <c r="D791" s="6" t="s">
        <v>1850</v>
      </c>
      <c r="E791" s="12" t="s">
        <v>1877</v>
      </c>
      <c r="F791" s="12" t="s">
        <v>1877</v>
      </c>
      <c r="G791" s="12" t="s">
        <v>2619</v>
      </c>
      <c r="H791" s="12" t="s">
        <v>2619</v>
      </c>
      <c r="I791" s="12" t="s">
        <v>3466</v>
      </c>
      <c r="J791" s="11" t="s">
        <v>1851</v>
      </c>
      <c r="K791" s="11" t="s">
        <v>1852</v>
      </c>
      <c r="L791" s="11" t="s">
        <v>1853</v>
      </c>
      <c r="M791" s="12" t="s">
        <v>3467</v>
      </c>
      <c r="N791" s="12"/>
      <c r="O791" s="11" t="s">
        <v>1858</v>
      </c>
      <c r="P791" s="56"/>
    </row>
    <row r="792" spans="1:16" ht="15.75" customHeight="1" x14ac:dyDescent="0.2">
      <c r="A792" s="49">
        <v>6053</v>
      </c>
      <c r="B792" s="11" t="s">
        <v>1857</v>
      </c>
      <c r="C792" s="11" t="s">
        <v>1876</v>
      </c>
      <c r="D792" s="6" t="s">
        <v>1850</v>
      </c>
      <c r="E792" s="12" t="s">
        <v>1877</v>
      </c>
      <c r="F792" s="12" t="s">
        <v>1877</v>
      </c>
      <c r="G792" s="12" t="s">
        <v>2619</v>
      </c>
      <c r="H792" s="12" t="s">
        <v>2619</v>
      </c>
      <c r="I792" s="12" t="s">
        <v>3468</v>
      </c>
      <c r="J792" s="11" t="s">
        <v>1851</v>
      </c>
      <c r="K792" s="11" t="s">
        <v>1852</v>
      </c>
      <c r="L792" s="11" t="s">
        <v>1853</v>
      </c>
      <c r="M792" s="12" t="s">
        <v>3469</v>
      </c>
      <c r="N792" s="12"/>
      <c r="O792" s="11" t="s">
        <v>1867</v>
      </c>
      <c r="P792" s="56" t="s">
        <v>1865</v>
      </c>
    </row>
    <row r="793" spans="1:16" ht="15.75" customHeight="1" x14ac:dyDescent="0.2">
      <c r="A793" s="49">
        <v>5827</v>
      </c>
      <c r="B793" s="11" t="s">
        <v>1857</v>
      </c>
      <c r="C793" s="11" t="s">
        <v>1876</v>
      </c>
      <c r="D793" s="6" t="s">
        <v>1850</v>
      </c>
      <c r="E793" s="12" t="s">
        <v>1877</v>
      </c>
      <c r="F793" s="12" t="s">
        <v>1877</v>
      </c>
      <c r="G793" s="12" t="s">
        <v>2619</v>
      </c>
      <c r="H793" s="12" t="s">
        <v>2619</v>
      </c>
      <c r="I793" s="12" t="s">
        <v>2041</v>
      </c>
      <c r="J793" s="11" t="s">
        <v>1851</v>
      </c>
      <c r="K793" s="11" t="s">
        <v>1852</v>
      </c>
      <c r="L793" s="11" t="s">
        <v>1853</v>
      </c>
      <c r="M793" s="12" t="s">
        <v>3470</v>
      </c>
      <c r="N793" s="12"/>
      <c r="O793" s="11" t="s">
        <v>1867</v>
      </c>
      <c r="P793" s="56"/>
    </row>
    <row r="794" spans="1:16" ht="15.75" customHeight="1" x14ac:dyDescent="0.2">
      <c r="A794" s="49">
        <v>5807</v>
      </c>
      <c r="B794" s="11" t="s">
        <v>1857</v>
      </c>
      <c r="C794" s="11" t="s">
        <v>1876</v>
      </c>
      <c r="D794" s="6" t="s">
        <v>1850</v>
      </c>
      <c r="E794" s="12" t="s">
        <v>1877</v>
      </c>
      <c r="F794" s="12" t="s">
        <v>1877</v>
      </c>
      <c r="G794" s="12" t="s">
        <v>1883</v>
      </c>
      <c r="H794" s="12" t="s">
        <v>1895</v>
      </c>
      <c r="I794" s="12" t="s">
        <v>2222</v>
      </c>
      <c r="J794" s="11" t="s">
        <v>1851</v>
      </c>
      <c r="K794" s="11" t="s">
        <v>1852</v>
      </c>
      <c r="L794" s="11" t="s">
        <v>1853</v>
      </c>
      <c r="M794" s="12" t="s">
        <v>2223</v>
      </c>
      <c r="N794" s="12"/>
      <c r="O794" s="11" t="s">
        <v>1860</v>
      </c>
      <c r="P794" s="56"/>
    </row>
    <row r="795" spans="1:16" ht="15.75" customHeight="1" x14ac:dyDescent="0.2">
      <c r="A795" s="49">
        <v>6878</v>
      </c>
      <c r="B795" s="11" t="s">
        <v>1857</v>
      </c>
      <c r="C795" s="11" t="s">
        <v>1876</v>
      </c>
      <c r="D795" s="6" t="s">
        <v>1850</v>
      </c>
      <c r="E795" s="12" t="s">
        <v>1877</v>
      </c>
      <c r="F795" s="12" t="s">
        <v>1877</v>
      </c>
      <c r="G795" s="12" t="s">
        <v>2619</v>
      </c>
      <c r="H795" s="12" t="s">
        <v>2631</v>
      </c>
      <c r="I795" s="12" t="s">
        <v>3471</v>
      </c>
      <c r="J795" s="11" t="s">
        <v>1851</v>
      </c>
      <c r="K795" s="11" t="s">
        <v>1852</v>
      </c>
      <c r="L795" s="11" t="s">
        <v>1853</v>
      </c>
      <c r="M795" s="12" t="s">
        <v>3472</v>
      </c>
      <c r="N795" s="12" t="s">
        <v>3473</v>
      </c>
      <c r="O795" s="11" t="s">
        <v>1860</v>
      </c>
      <c r="P795" s="56"/>
    </row>
    <row r="796" spans="1:16" ht="15.75" customHeight="1" x14ac:dyDescent="0.2">
      <c r="A796" s="49">
        <v>6058</v>
      </c>
      <c r="B796" s="11" t="s">
        <v>1857</v>
      </c>
      <c r="C796" s="11" t="s">
        <v>1876</v>
      </c>
      <c r="D796" s="6" t="s">
        <v>1850</v>
      </c>
      <c r="E796" s="12" t="s">
        <v>1877</v>
      </c>
      <c r="F796" s="12" t="s">
        <v>1877</v>
      </c>
      <c r="G796" s="12" t="s">
        <v>2619</v>
      </c>
      <c r="H796" s="12" t="s">
        <v>2619</v>
      </c>
      <c r="I796" s="12" t="s">
        <v>3474</v>
      </c>
      <c r="J796" s="11" t="s">
        <v>1851</v>
      </c>
      <c r="K796" s="11" t="s">
        <v>1852</v>
      </c>
      <c r="L796" s="11" t="s">
        <v>1853</v>
      </c>
      <c r="M796" s="12" t="s">
        <v>3475</v>
      </c>
      <c r="N796" s="12"/>
      <c r="O796" s="11" t="s">
        <v>1867</v>
      </c>
      <c r="P796" s="56" t="s">
        <v>3476</v>
      </c>
    </row>
    <row r="797" spans="1:16" ht="15.75" customHeight="1" x14ac:dyDescent="0.2">
      <c r="A797" s="49">
        <v>5829</v>
      </c>
      <c r="B797" s="11" t="s">
        <v>1857</v>
      </c>
      <c r="C797" s="11" t="s">
        <v>1876</v>
      </c>
      <c r="D797" s="6" t="s">
        <v>1850</v>
      </c>
      <c r="E797" s="12" t="s">
        <v>1877</v>
      </c>
      <c r="F797" s="12" t="s">
        <v>1877</v>
      </c>
      <c r="G797" s="12" t="s">
        <v>2619</v>
      </c>
      <c r="H797" s="12" t="s">
        <v>2619</v>
      </c>
      <c r="I797" s="12" t="s">
        <v>3477</v>
      </c>
      <c r="J797" s="11" t="s">
        <v>1851</v>
      </c>
      <c r="K797" s="11" t="s">
        <v>1852</v>
      </c>
      <c r="L797" s="11" t="s">
        <v>1853</v>
      </c>
      <c r="M797" s="12" t="s">
        <v>3478</v>
      </c>
      <c r="N797" s="12"/>
      <c r="O797" s="11" t="s">
        <v>1858</v>
      </c>
      <c r="P797" s="56"/>
    </row>
    <row r="798" spans="1:16" ht="15.75" customHeight="1" x14ac:dyDescent="0.2">
      <c r="A798" s="49">
        <v>6866</v>
      </c>
      <c r="B798" s="11" t="s">
        <v>1857</v>
      </c>
      <c r="C798" s="11" t="s">
        <v>1876</v>
      </c>
      <c r="D798" s="6" t="s">
        <v>1850</v>
      </c>
      <c r="E798" s="12" t="s">
        <v>1877</v>
      </c>
      <c r="F798" s="12" t="s">
        <v>1877</v>
      </c>
      <c r="G798" s="12" t="s">
        <v>2653</v>
      </c>
      <c r="H798" s="12" t="s">
        <v>2762</v>
      </c>
      <c r="I798" s="12" t="s">
        <v>3479</v>
      </c>
      <c r="J798" s="11" t="s">
        <v>1851</v>
      </c>
      <c r="K798" s="11" t="s">
        <v>1852</v>
      </c>
      <c r="L798" s="11" t="s">
        <v>1853</v>
      </c>
      <c r="M798" s="12" t="s">
        <v>3480</v>
      </c>
      <c r="N798" s="12"/>
      <c r="O798" s="11" t="s">
        <v>1867</v>
      </c>
      <c r="P798" s="56" t="s">
        <v>1865</v>
      </c>
    </row>
    <row r="799" spans="1:16" ht="15.75" customHeight="1" x14ac:dyDescent="0.2">
      <c r="A799" s="49">
        <v>4969</v>
      </c>
      <c r="B799" s="11" t="s">
        <v>1857</v>
      </c>
      <c r="C799" s="11" t="s">
        <v>1876</v>
      </c>
      <c r="D799" s="6" t="s">
        <v>1850</v>
      </c>
      <c r="E799" s="12" t="s">
        <v>1877</v>
      </c>
      <c r="F799" s="12" t="s">
        <v>1877</v>
      </c>
      <c r="G799" s="12" t="s">
        <v>2619</v>
      </c>
      <c r="H799" s="12" t="s">
        <v>2631</v>
      </c>
      <c r="I799" s="12" t="s">
        <v>3481</v>
      </c>
      <c r="J799" s="11" t="s">
        <v>1851</v>
      </c>
      <c r="K799" s="11" t="s">
        <v>1852</v>
      </c>
      <c r="L799" s="11" t="s">
        <v>1853</v>
      </c>
      <c r="M799" s="12" t="s">
        <v>3482</v>
      </c>
      <c r="N799" s="12"/>
      <c r="O799" s="11" t="s">
        <v>1867</v>
      </c>
      <c r="P799" s="56" t="s">
        <v>1865</v>
      </c>
    </row>
    <row r="800" spans="1:16" ht="15.75" customHeight="1" x14ac:dyDescent="0.2">
      <c r="A800" s="49">
        <v>5816</v>
      </c>
      <c r="B800" s="11" t="s">
        <v>1857</v>
      </c>
      <c r="C800" s="11" t="s">
        <v>1876</v>
      </c>
      <c r="D800" s="6" t="s">
        <v>1850</v>
      </c>
      <c r="E800" s="12" t="s">
        <v>1877</v>
      </c>
      <c r="F800" s="12" t="s">
        <v>1877</v>
      </c>
      <c r="G800" s="12" t="s">
        <v>2653</v>
      </c>
      <c r="H800" s="12" t="s">
        <v>2762</v>
      </c>
      <c r="I800" s="12" t="s">
        <v>3483</v>
      </c>
      <c r="J800" s="11" t="s">
        <v>1851</v>
      </c>
      <c r="K800" s="11" t="s">
        <v>1852</v>
      </c>
      <c r="L800" s="11" t="s">
        <v>1853</v>
      </c>
      <c r="M800" s="12" t="s">
        <v>3484</v>
      </c>
      <c r="N800" s="12"/>
      <c r="O800" s="11" t="s">
        <v>1860</v>
      </c>
      <c r="P800" s="56"/>
    </row>
    <row r="801" spans="1:16" ht="15.75" customHeight="1" x14ac:dyDescent="0.2">
      <c r="A801" s="49">
        <v>6911</v>
      </c>
      <c r="B801" s="11" t="s">
        <v>1857</v>
      </c>
      <c r="C801" s="11" t="s">
        <v>1876</v>
      </c>
      <c r="D801" s="6" t="s">
        <v>1850</v>
      </c>
      <c r="E801" s="12" t="s">
        <v>1877</v>
      </c>
      <c r="F801" s="12" t="s">
        <v>1877</v>
      </c>
      <c r="G801" s="12" t="s">
        <v>2619</v>
      </c>
      <c r="H801" s="12" t="s">
        <v>2631</v>
      </c>
      <c r="I801" s="12" t="s">
        <v>3485</v>
      </c>
      <c r="J801" s="11" t="s">
        <v>1851</v>
      </c>
      <c r="K801" s="11" t="s">
        <v>1852</v>
      </c>
      <c r="L801" s="11" t="s">
        <v>1853</v>
      </c>
      <c r="M801" s="12" t="s">
        <v>3486</v>
      </c>
      <c r="N801" s="12"/>
      <c r="O801" s="11" t="s">
        <v>1867</v>
      </c>
      <c r="P801" s="56" t="s">
        <v>3487</v>
      </c>
    </row>
    <row r="802" spans="1:16" ht="15.75" customHeight="1" x14ac:dyDescent="0.2">
      <c r="A802" s="48">
        <v>7536</v>
      </c>
      <c r="B802" s="11" t="s">
        <v>1871</v>
      </c>
      <c r="C802" s="11" t="s">
        <v>1876</v>
      </c>
      <c r="D802" s="6" t="s">
        <v>1850</v>
      </c>
      <c r="E802" s="12" t="s">
        <v>1877</v>
      </c>
      <c r="F802" s="12" t="s">
        <v>1877</v>
      </c>
      <c r="G802" s="12" t="s">
        <v>2635</v>
      </c>
      <c r="H802" s="12" t="s">
        <v>2690</v>
      </c>
      <c r="I802" s="12" t="s">
        <v>3488</v>
      </c>
      <c r="J802" s="11" t="s">
        <v>1851</v>
      </c>
      <c r="K802" s="11" t="s">
        <v>1852</v>
      </c>
      <c r="L802" s="11" t="s">
        <v>1853</v>
      </c>
      <c r="M802" s="12" t="s">
        <v>3489</v>
      </c>
      <c r="N802" s="12"/>
      <c r="O802" s="11" t="s">
        <v>1866</v>
      </c>
      <c r="P802" s="56" t="s">
        <v>3490</v>
      </c>
    </row>
    <row r="803" spans="1:16" ht="15.75" customHeight="1" x14ac:dyDescent="0.2">
      <c r="A803" s="49">
        <v>7537</v>
      </c>
      <c r="B803" s="11" t="s">
        <v>1871</v>
      </c>
      <c r="C803" s="11" t="s">
        <v>1876</v>
      </c>
      <c r="D803" s="6" t="s">
        <v>1850</v>
      </c>
      <c r="E803" s="12" t="s">
        <v>1877</v>
      </c>
      <c r="F803" s="12" t="s">
        <v>1877</v>
      </c>
      <c r="G803" s="12" t="s">
        <v>2653</v>
      </c>
      <c r="H803" s="12" t="s">
        <v>2762</v>
      </c>
      <c r="I803" s="12" t="s">
        <v>3491</v>
      </c>
      <c r="J803" s="11" t="s">
        <v>1851</v>
      </c>
      <c r="K803" s="11" t="s">
        <v>1852</v>
      </c>
      <c r="L803" s="11" t="s">
        <v>1853</v>
      </c>
      <c r="M803" s="12" t="s">
        <v>3492</v>
      </c>
      <c r="N803" s="12" t="s">
        <v>3493</v>
      </c>
      <c r="O803" s="11" t="s">
        <v>1866</v>
      </c>
      <c r="P803" s="56"/>
    </row>
    <row r="804" spans="1:16" ht="15.75" customHeight="1" x14ac:dyDescent="0.2">
      <c r="A804" s="49">
        <v>7586</v>
      </c>
      <c r="B804" s="11" t="s">
        <v>1871</v>
      </c>
      <c r="C804" s="11" t="s">
        <v>1876</v>
      </c>
      <c r="D804" s="6" t="s">
        <v>1850</v>
      </c>
      <c r="E804" s="12" t="s">
        <v>1877</v>
      </c>
      <c r="F804" s="12" t="s">
        <v>1877</v>
      </c>
      <c r="G804" s="12" t="s">
        <v>2619</v>
      </c>
      <c r="H804" s="12" t="s">
        <v>2619</v>
      </c>
      <c r="I804" s="12" t="s">
        <v>3494</v>
      </c>
      <c r="J804" s="11" t="s">
        <v>1851</v>
      </c>
      <c r="K804" s="11" t="s">
        <v>1852</v>
      </c>
      <c r="L804" s="11" t="s">
        <v>1853</v>
      </c>
      <c r="M804" s="12" t="s">
        <v>3495</v>
      </c>
      <c r="N804" s="12"/>
      <c r="O804" s="11" t="s">
        <v>3496</v>
      </c>
      <c r="P804" s="56"/>
    </row>
    <row r="805" spans="1:16" ht="15.75" customHeight="1" x14ac:dyDescent="0.2">
      <c r="A805" s="49">
        <v>7531</v>
      </c>
      <c r="B805" s="11" t="s">
        <v>1871</v>
      </c>
      <c r="C805" s="11" t="s">
        <v>1876</v>
      </c>
      <c r="D805" s="6" t="s">
        <v>1850</v>
      </c>
      <c r="E805" s="12" t="s">
        <v>1877</v>
      </c>
      <c r="F805" s="12" t="s">
        <v>1877</v>
      </c>
      <c r="G805" s="12" t="s">
        <v>2653</v>
      </c>
      <c r="H805" s="12" t="s">
        <v>2762</v>
      </c>
      <c r="I805" s="12" t="s">
        <v>3497</v>
      </c>
      <c r="J805" s="11" t="s">
        <v>1856</v>
      </c>
      <c r="K805" s="11" t="s">
        <v>1852</v>
      </c>
      <c r="L805" s="11" t="s">
        <v>1853</v>
      </c>
      <c r="M805" s="12" t="s">
        <v>3498</v>
      </c>
      <c r="N805" s="12"/>
      <c r="O805" s="11" t="s">
        <v>1866</v>
      </c>
      <c r="P805" s="56" t="s">
        <v>2184</v>
      </c>
    </row>
    <row r="806" spans="1:16" ht="15.75" customHeight="1" x14ac:dyDescent="0.2">
      <c r="A806" s="48">
        <v>15858</v>
      </c>
      <c r="B806" s="11" t="s">
        <v>1871</v>
      </c>
      <c r="C806" s="11" t="s">
        <v>1876</v>
      </c>
      <c r="D806" s="6" t="s">
        <v>1850</v>
      </c>
      <c r="E806" s="12" t="s">
        <v>1877</v>
      </c>
      <c r="F806" s="12" t="s">
        <v>1877</v>
      </c>
      <c r="G806" s="12" t="s">
        <v>2619</v>
      </c>
      <c r="H806" s="12" t="s">
        <v>2619</v>
      </c>
      <c r="I806" s="12" t="s">
        <v>3428</v>
      </c>
      <c r="J806" s="11" t="s">
        <v>1851</v>
      </c>
      <c r="K806" s="11" t="s">
        <v>1852</v>
      </c>
      <c r="L806" s="11" t="s">
        <v>1853</v>
      </c>
      <c r="M806" s="12" t="s">
        <v>3499</v>
      </c>
      <c r="N806" s="12"/>
      <c r="O806" s="11" t="s">
        <v>1864</v>
      </c>
      <c r="P806" s="56" t="s">
        <v>1865</v>
      </c>
    </row>
    <row r="807" spans="1:16" ht="15.75" customHeight="1" x14ac:dyDescent="0.2">
      <c r="A807" s="48">
        <v>6885</v>
      </c>
      <c r="B807" s="11" t="s">
        <v>1871</v>
      </c>
      <c r="C807" s="11" t="s">
        <v>1876</v>
      </c>
      <c r="D807" s="6" t="s">
        <v>1850</v>
      </c>
      <c r="E807" s="12" t="s">
        <v>1877</v>
      </c>
      <c r="F807" s="12" t="s">
        <v>1877</v>
      </c>
      <c r="G807" s="12" t="s">
        <v>2619</v>
      </c>
      <c r="H807" s="12" t="s">
        <v>2619</v>
      </c>
      <c r="I807" s="12" t="s">
        <v>3500</v>
      </c>
      <c r="J807" s="11" t="s">
        <v>1851</v>
      </c>
      <c r="K807" s="11" t="s">
        <v>1852</v>
      </c>
      <c r="L807" s="11" t="s">
        <v>1853</v>
      </c>
      <c r="M807" s="12" t="s">
        <v>3501</v>
      </c>
      <c r="N807" s="12"/>
      <c r="O807" s="11" t="s">
        <v>1866</v>
      </c>
      <c r="P807" s="56" t="s">
        <v>3476</v>
      </c>
    </row>
    <row r="808" spans="1:16" ht="15.75" customHeight="1" x14ac:dyDescent="0.2">
      <c r="A808" s="48">
        <v>6881</v>
      </c>
      <c r="B808" s="11" t="s">
        <v>1871</v>
      </c>
      <c r="C808" s="11" t="s">
        <v>1876</v>
      </c>
      <c r="D808" s="6" t="s">
        <v>1850</v>
      </c>
      <c r="E808" s="12" t="s">
        <v>1877</v>
      </c>
      <c r="F808" s="12" t="s">
        <v>1877</v>
      </c>
      <c r="G808" s="12" t="s">
        <v>2619</v>
      </c>
      <c r="H808" s="12" t="s">
        <v>2619</v>
      </c>
      <c r="I808" s="12" t="s">
        <v>3502</v>
      </c>
      <c r="J808" s="11" t="s">
        <v>1851</v>
      </c>
      <c r="K808" s="11" t="s">
        <v>1852</v>
      </c>
      <c r="L808" s="11" t="s">
        <v>1853</v>
      </c>
      <c r="M808" s="12" t="s">
        <v>3503</v>
      </c>
      <c r="N808" s="12"/>
      <c r="O808" s="11" t="s">
        <v>1866</v>
      </c>
      <c r="P808" s="56" t="s">
        <v>3476</v>
      </c>
    </row>
    <row r="809" spans="1:16" ht="15.75" customHeight="1" x14ac:dyDescent="0.2">
      <c r="A809" s="48">
        <v>6888</v>
      </c>
      <c r="B809" s="11" t="s">
        <v>1871</v>
      </c>
      <c r="C809" s="11" t="s">
        <v>1876</v>
      </c>
      <c r="D809" s="6" t="s">
        <v>1850</v>
      </c>
      <c r="E809" s="12" t="s">
        <v>1877</v>
      </c>
      <c r="F809" s="12" t="s">
        <v>1877</v>
      </c>
      <c r="G809" s="12" t="s">
        <v>2643</v>
      </c>
      <c r="H809" s="12" t="s">
        <v>2643</v>
      </c>
      <c r="I809" s="12" t="s">
        <v>3504</v>
      </c>
      <c r="J809" s="11" t="s">
        <v>1851</v>
      </c>
      <c r="K809" s="11" t="s">
        <v>1852</v>
      </c>
      <c r="L809" s="11" t="s">
        <v>1853</v>
      </c>
      <c r="M809" s="12" t="s">
        <v>3505</v>
      </c>
      <c r="N809" s="12"/>
      <c r="O809" s="11" t="s">
        <v>1866</v>
      </c>
      <c r="P809" s="56" t="s">
        <v>3343</v>
      </c>
    </row>
    <row r="810" spans="1:16" ht="15.75" customHeight="1" x14ac:dyDescent="0.2">
      <c r="A810" s="48">
        <v>6880</v>
      </c>
      <c r="B810" s="11" t="s">
        <v>1871</v>
      </c>
      <c r="C810" s="11" t="s">
        <v>1876</v>
      </c>
      <c r="D810" s="6" t="s">
        <v>1850</v>
      </c>
      <c r="E810" s="12" t="s">
        <v>1877</v>
      </c>
      <c r="F810" s="12" t="s">
        <v>1877</v>
      </c>
      <c r="G810" s="12" t="s">
        <v>2619</v>
      </c>
      <c r="H810" s="12" t="s">
        <v>2619</v>
      </c>
      <c r="I810" s="12" t="s">
        <v>3506</v>
      </c>
      <c r="J810" s="11" t="s">
        <v>1851</v>
      </c>
      <c r="K810" s="11" t="s">
        <v>1852</v>
      </c>
      <c r="L810" s="11" t="s">
        <v>1853</v>
      </c>
      <c r="M810" s="12" t="s">
        <v>3507</v>
      </c>
      <c r="N810" s="12"/>
      <c r="O810" s="11" t="s">
        <v>1866</v>
      </c>
      <c r="P810" s="56" t="s">
        <v>2614</v>
      </c>
    </row>
    <row r="811" spans="1:16" ht="15.75" customHeight="1" x14ac:dyDescent="0.2">
      <c r="A811" s="48">
        <v>6887</v>
      </c>
      <c r="B811" s="11" t="s">
        <v>1871</v>
      </c>
      <c r="C811" s="11" t="s">
        <v>1876</v>
      </c>
      <c r="D811" s="6" t="s">
        <v>1850</v>
      </c>
      <c r="E811" s="12" t="s">
        <v>1877</v>
      </c>
      <c r="F811" s="12" t="s">
        <v>1877</v>
      </c>
      <c r="G811" s="12" t="s">
        <v>2653</v>
      </c>
      <c r="H811" s="12" t="s">
        <v>2762</v>
      </c>
      <c r="I811" s="12" t="s">
        <v>3508</v>
      </c>
      <c r="J811" s="11" t="s">
        <v>1851</v>
      </c>
      <c r="K811" s="11" t="s">
        <v>1852</v>
      </c>
      <c r="L811" s="11" t="s">
        <v>1853</v>
      </c>
      <c r="M811" s="12" t="s">
        <v>3509</v>
      </c>
      <c r="N811" s="12"/>
      <c r="O811" s="11" t="s">
        <v>1866</v>
      </c>
      <c r="P811" s="56" t="s">
        <v>3343</v>
      </c>
    </row>
    <row r="812" spans="1:16" ht="15.75" customHeight="1" x14ac:dyDescent="0.2">
      <c r="A812" s="49">
        <v>7601</v>
      </c>
      <c r="B812" s="11" t="s">
        <v>1871</v>
      </c>
      <c r="C812" s="11" t="s">
        <v>1876</v>
      </c>
      <c r="D812" s="6" t="s">
        <v>1850</v>
      </c>
      <c r="E812" s="12" t="s">
        <v>1877</v>
      </c>
      <c r="F812" s="12" t="s">
        <v>1877</v>
      </c>
      <c r="G812" s="12" t="s">
        <v>2619</v>
      </c>
      <c r="H812" s="12" t="s">
        <v>2619</v>
      </c>
      <c r="I812" s="12" t="s">
        <v>3510</v>
      </c>
      <c r="J812" s="11" t="s">
        <v>1851</v>
      </c>
      <c r="K812" s="11" t="s">
        <v>1852</v>
      </c>
      <c r="L812" s="11" t="s">
        <v>1853</v>
      </c>
      <c r="M812" s="12" t="s">
        <v>3511</v>
      </c>
      <c r="N812" s="12"/>
      <c r="O812" s="11" t="s">
        <v>3512</v>
      </c>
      <c r="P812" s="56" t="s">
        <v>3513</v>
      </c>
    </row>
    <row r="813" spans="1:16" ht="15.75" customHeight="1" x14ac:dyDescent="0.2">
      <c r="A813" s="48">
        <v>6876</v>
      </c>
      <c r="B813" s="11" t="s">
        <v>1871</v>
      </c>
      <c r="C813" s="11" t="s">
        <v>1876</v>
      </c>
      <c r="D813" s="6" t="s">
        <v>1850</v>
      </c>
      <c r="E813" s="12" t="s">
        <v>1877</v>
      </c>
      <c r="F813" s="12" t="s">
        <v>1877</v>
      </c>
      <c r="G813" s="12" t="s">
        <v>2619</v>
      </c>
      <c r="H813" s="12" t="s">
        <v>2619</v>
      </c>
      <c r="I813" s="12" t="s">
        <v>3514</v>
      </c>
      <c r="J813" s="11" t="s">
        <v>1851</v>
      </c>
      <c r="K813" s="11" t="s">
        <v>1852</v>
      </c>
      <c r="L813" s="11" t="s">
        <v>1853</v>
      </c>
      <c r="M813" s="12" t="s">
        <v>3515</v>
      </c>
      <c r="N813" s="12"/>
      <c r="O813" s="11" t="s">
        <v>1866</v>
      </c>
      <c r="P813" s="56" t="s">
        <v>3516</v>
      </c>
    </row>
    <row r="814" spans="1:16" ht="15.75" customHeight="1" x14ac:dyDescent="0.2">
      <c r="A814" s="48">
        <v>6874</v>
      </c>
      <c r="B814" s="11" t="s">
        <v>1871</v>
      </c>
      <c r="C814" s="11" t="s">
        <v>1876</v>
      </c>
      <c r="D814" s="6" t="s">
        <v>1850</v>
      </c>
      <c r="E814" s="12" t="s">
        <v>1877</v>
      </c>
      <c r="F814" s="12" t="s">
        <v>1877</v>
      </c>
      <c r="G814" s="12" t="s">
        <v>1883</v>
      </c>
      <c r="H814" s="12" t="s">
        <v>1946</v>
      </c>
      <c r="I814" s="12" t="s">
        <v>2224</v>
      </c>
      <c r="J814" s="11" t="s">
        <v>1851</v>
      </c>
      <c r="K814" s="11" t="s">
        <v>1852</v>
      </c>
      <c r="L814" s="11" t="s">
        <v>1853</v>
      </c>
      <c r="M814" s="12" t="s">
        <v>2225</v>
      </c>
      <c r="N814" s="12"/>
      <c r="O814" s="11" t="s">
        <v>1866</v>
      </c>
      <c r="P814" s="56" t="s">
        <v>2226</v>
      </c>
    </row>
    <row r="815" spans="1:16" ht="15.75" customHeight="1" x14ac:dyDescent="0.2">
      <c r="A815" s="48">
        <v>6908</v>
      </c>
      <c r="B815" s="11" t="s">
        <v>1871</v>
      </c>
      <c r="C815" s="11" t="s">
        <v>1876</v>
      </c>
      <c r="D815" s="6" t="s">
        <v>1850</v>
      </c>
      <c r="E815" s="12" t="s">
        <v>1877</v>
      </c>
      <c r="F815" s="12" t="s">
        <v>1877</v>
      </c>
      <c r="G815" s="12" t="s">
        <v>2619</v>
      </c>
      <c r="H815" s="12" t="s">
        <v>2619</v>
      </c>
      <c r="I815" s="12" t="s">
        <v>3517</v>
      </c>
      <c r="J815" s="11" t="s">
        <v>1851</v>
      </c>
      <c r="K815" s="11" t="s">
        <v>1852</v>
      </c>
      <c r="L815" s="11" t="s">
        <v>1853</v>
      </c>
      <c r="M815" s="12" t="s">
        <v>3518</v>
      </c>
      <c r="N815" s="12"/>
      <c r="O815" s="11" t="s">
        <v>2342</v>
      </c>
      <c r="P815" s="56" t="s">
        <v>3476</v>
      </c>
    </row>
    <row r="816" spans="1:16" ht="15.75" customHeight="1" x14ac:dyDescent="0.2">
      <c r="A816" s="48">
        <v>6886</v>
      </c>
      <c r="B816" s="11" t="s">
        <v>1871</v>
      </c>
      <c r="C816" s="11" t="s">
        <v>1876</v>
      </c>
      <c r="D816" s="6" t="s">
        <v>1850</v>
      </c>
      <c r="E816" s="12" t="s">
        <v>1877</v>
      </c>
      <c r="F816" s="12" t="s">
        <v>1877</v>
      </c>
      <c r="G816" s="12" t="s">
        <v>2619</v>
      </c>
      <c r="H816" s="12" t="s">
        <v>2619</v>
      </c>
      <c r="I816" s="12" t="s">
        <v>3519</v>
      </c>
      <c r="J816" s="11" t="s">
        <v>1851</v>
      </c>
      <c r="K816" s="11" t="s">
        <v>1852</v>
      </c>
      <c r="L816" s="11" t="s">
        <v>1853</v>
      </c>
      <c r="M816" s="12" t="s">
        <v>3520</v>
      </c>
      <c r="N816" s="12"/>
      <c r="O816" s="11" t="s">
        <v>1866</v>
      </c>
      <c r="P816" s="56" t="s">
        <v>3476</v>
      </c>
    </row>
    <row r="817" spans="1:16" ht="15.75" customHeight="1" x14ac:dyDescent="0.2">
      <c r="A817" s="48">
        <v>6890</v>
      </c>
      <c r="B817" s="11" t="s">
        <v>1871</v>
      </c>
      <c r="C817" s="11" t="s">
        <v>1876</v>
      </c>
      <c r="D817" s="6" t="s">
        <v>1850</v>
      </c>
      <c r="E817" s="12" t="s">
        <v>1877</v>
      </c>
      <c r="F817" s="12" t="s">
        <v>1877</v>
      </c>
      <c r="G817" s="12" t="s">
        <v>2619</v>
      </c>
      <c r="H817" s="12" t="s">
        <v>2619</v>
      </c>
      <c r="I817" s="12" t="s">
        <v>3521</v>
      </c>
      <c r="J817" s="11" t="s">
        <v>1851</v>
      </c>
      <c r="K817" s="11" t="s">
        <v>1852</v>
      </c>
      <c r="L817" s="11" t="s">
        <v>1853</v>
      </c>
      <c r="M817" s="12" t="s">
        <v>3522</v>
      </c>
      <c r="N817" s="12"/>
      <c r="O817" s="11" t="s">
        <v>1866</v>
      </c>
      <c r="P817" s="56" t="s">
        <v>3476</v>
      </c>
    </row>
    <row r="818" spans="1:16" ht="15.75" customHeight="1" x14ac:dyDescent="0.2">
      <c r="A818" s="48">
        <v>6869</v>
      </c>
      <c r="B818" s="11" t="s">
        <v>1871</v>
      </c>
      <c r="C818" s="11" t="s">
        <v>1876</v>
      </c>
      <c r="D818" s="6" t="s">
        <v>1850</v>
      </c>
      <c r="E818" s="12" t="s">
        <v>1877</v>
      </c>
      <c r="F818" s="12" t="s">
        <v>1877</v>
      </c>
      <c r="G818" s="12" t="s">
        <v>2619</v>
      </c>
      <c r="H818" s="12" t="s">
        <v>2820</v>
      </c>
      <c r="I818" s="12" t="s">
        <v>3523</v>
      </c>
      <c r="J818" s="11" t="s">
        <v>1851</v>
      </c>
      <c r="K818" s="11" t="s">
        <v>1852</v>
      </c>
      <c r="L818" s="11" t="s">
        <v>1853</v>
      </c>
      <c r="M818" s="12" t="s">
        <v>3524</v>
      </c>
      <c r="N818" s="12"/>
      <c r="O818" s="11" t="s">
        <v>1866</v>
      </c>
      <c r="P818" s="56" t="s">
        <v>3343</v>
      </c>
    </row>
    <row r="819" spans="1:16" ht="15.75" customHeight="1" x14ac:dyDescent="0.2">
      <c r="A819" s="48">
        <v>7295</v>
      </c>
      <c r="B819" s="11" t="s">
        <v>1871</v>
      </c>
      <c r="C819" s="11" t="s">
        <v>1876</v>
      </c>
      <c r="D819" s="6" t="s">
        <v>1850</v>
      </c>
      <c r="E819" s="12" t="s">
        <v>1877</v>
      </c>
      <c r="F819" s="12" t="s">
        <v>1877</v>
      </c>
      <c r="G819" s="12" t="s">
        <v>2627</v>
      </c>
      <c r="H819" s="12" t="s">
        <v>2961</v>
      </c>
      <c r="I819" s="12" t="s">
        <v>3525</v>
      </c>
      <c r="J819" s="11" t="s">
        <v>1856</v>
      </c>
      <c r="K819" s="11" t="s">
        <v>1852</v>
      </c>
      <c r="L819" s="11" t="s">
        <v>1853</v>
      </c>
      <c r="M819" s="12" t="s">
        <v>3526</v>
      </c>
      <c r="N819" s="12" t="s">
        <v>3527</v>
      </c>
      <c r="O819" s="11" t="s">
        <v>1866</v>
      </c>
      <c r="P819" s="56" t="s">
        <v>3343</v>
      </c>
    </row>
    <row r="820" spans="1:16" ht="15.75" customHeight="1" x14ac:dyDescent="0.2">
      <c r="A820" s="48">
        <v>6867</v>
      </c>
      <c r="B820" s="11" t="s">
        <v>1871</v>
      </c>
      <c r="C820" s="11" t="s">
        <v>1876</v>
      </c>
      <c r="D820" s="6" t="s">
        <v>1850</v>
      </c>
      <c r="E820" s="12" t="s">
        <v>1877</v>
      </c>
      <c r="F820" s="12" t="s">
        <v>1877</v>
      </c>
      <c r="G820" s="12" t="s">
        <v>1883</v>
      </c>
      <c r="H820" s="12" t="s">
        <v>1946</v>
      </c>
      <c r="I820" s="12" t="s">
        <v>2227</v>
      </c>
      <c r="J820" s="11" t="s">
        <v>1851</v>
      </c>
      <c r="K820" s="11" t="s">
        <v>1852</v>
      </c>
      <c r="L820" s="11" t="s">
        <v>1853</v>
      </c>
      <c r="M820" s="12" t="s">
        <v>2228</v>
      </c>
      <c r="N820" s="12"/>
      <c r="O820" s="11" t="s">
        <v>1866</v>
      </c>
      <c r="P820" s="56" t="s">
        <v>2229</v>
      </c>
    </row>
    <row r="821" spans="1:16" ht="15.75" customHeight="1" x14ac:dyDescent="0.2">
      <c r="A821" s="48">
        <v>6877</v>
      </c>
      <c r="B821" s="11" t="s">
        <v>1871</v>
      </c>
      <c r="C821" s="11" t="s">
        <v>1876</v>
      </c>
      <c r="D821" s="6" t="s">
        <v>1850</v>
      </c>
      <c r="E821" s="12" t="s">
        <v>1877</v>
      </c>
      <c r="F821" s="12" t="s">
        <v>1877</v>
      </c>
      <c r="G821" s="12" t="s">
        <v>2736</v>
      </c>
      <c r="H821" s="12" t="s">
        <v>2750</v>
      </c>
      <c r="I821" s="12" t="s">
        <v>2224</v>
      </c>
      <c r="J821" s="11" t="s">
        <v>1851</v>
      </c>
      <c r="K821" s="11" t="s">
        <v>1852</v>
      </c>
      <c r="L821" s="11" t="s">
        <v>1853</v>
      </c>
      <c r="M821" s="12" t="s">
        <v>3528</v>
      </c>
      <c r="N821" s="12"/>
      <c r="O821" s="11" t="s">
        <v>1866</v>
      </c>
      <c r="P821" s="56" t="s">
        <v>3529</v>
      </c>
    </row>
    <row r="822" spans="1:16" ht="15.75" customHeight="1" x14ac:dyDescent="0.2">
      <c r="A822" s="48">
        <v>6870</v>
      </c>
      <c r="B822" s="11" t="s">
        <v>1871</v>
      </c>
      <c r="C822" s="11" t="s">
        <v>1876</v>
      </c>
      <c r="D822" s="6" t="s">
        <v>1850</v>
      </c>
      <c r="E822" s="12" t="s">
        <v>1877</v>
      </c>
      <c r="F822" s="12" t="s">
        <v>1877</v>
      </c>
      <c r="G822" s="12" t="s">
        <v>2653</v>
      </c>
      <c r="H822" s="12" t="s">
        <v>2762</v>
      </c>
      <c r="I822" s="12" t="s">
        <v>2224</v>
      </c>
      <c r="J822" s="11" t="s">
        <v>1851</v>
      </c>
      <c r="K822" s="11" t="s">
        <v>1852</v>
      </c>
      <c r="L822" s="11" t="s">
        <v>1853</v>
      </c>
      <c r="M822" s="12" t="s">
        <v>3530</v>
      </c>
      <c r="N822" s="12"/>
      <c r="O822" s="11" t="s">
        <v>1866</v>
      </c>
      <c r="P822" s="56" t="s">
        <v>1865</v>
      </c>
    </row>
    <row r="823" spans="1:16" ht="15.75" customHeight="1" x14ac:dyDescent="0.2">
      <c r="A823" s="48">
        <v>16042</v>
      </c>
      <c r="B823" s="11" t="s">
        <v>1848</v>
      </c>
      <c r="C823" s="11" t="s">
        <v>1849</v>
      </c>
      <c r="D823" s="6" t="s">
        <v>1850</v>
      </c>
      <c r="E823" s="12" t="s">
        <v>3531</v>
      </c>
      <c r="F823" s="12" t="s">
        <v>3531</v>
      </c>
      <c r="G823" s="12" t="s">
        <v>3532</v>
      </c>
      <c r="H823" s="12" t="s">
        <v>3533</v>
      </c>
      <c r="I823" s="12" t="s">
        <v>3534</v>
      </c>
      <c r="J823" s="11" t="s">
        <v>1856</v>
      </c>
      <c r="K823" s="11" t="s">
        <v>1852</v>
      </c>
      <c r="L823" s="11" t="s">
        <v>1853</v>
      </c>
      <c r="M823" s="11" t="s">
        <v>1854</v>
      </c>
      <c r="N823" s="12"/>
      <c r="O823" s="11" t="s">
        <v>1855</v>
      </c>
      <c r="P823" s="56"/>
    </row>
    <row r="824" spans="1:16" ht="15.75" customHeight="1" x14ac:dyDescent="0.2">
      <c r="A824" s="48">
        <v>16043</v>
      </c>
      <c r="B824" s="11" t="s">
        <v>1848</v>
      </c>
      <c r="C824" s="11" t="s">
        <v>1849</v>
      </c>
      <c r="D824" s="6" t="s">
        <v>1850</v>
      </c>
      <c r="E824" s="12" t="s">
        <v>3531</v>
      </c>
      <c r="F824" s="12" t="s">
        <v>3531</v>
      </c>
      <c r="G824" s="12" t="s">
        <v>3532</v>
      </c>
      <c r="H824" s="13" t="s">
        <v>3535</v>
      </c>
      <c r="I824" s="12" t="s">
        <v>3536</v>
      </c>
      <c r="J824" s="11" t="s">
        <v>1851</v>
      </c>
      <c r="K824" s="11" t="s">
        <v>1852</v>
      </c>
      <c r="L824" s="11" t="s">
        <v>1853</v>
      </c>
      <c r="M824" s="11" t="s">
        <v>1854</v>
      </c>
      <c r="N824" s="12"/>
      <c r="O824" s="11" t="s">
        <v>1855</v>
      </c>
      <c r="P824" s="56"/>
    </row>
    <row r="825" spans="1:16" ht="15.75" customHeight="1" x14ac:dyDescent="0.2">
      <c r="A825" s="48">
        <v>16044</v>
      </c>
      <c r="B825" s="11" t="s">
        <v>1848</v>
      </c>
      <c r="C825" s="11" t="s">
        <v>1849</v>
      </c>
      <c r="D825" s="6" t="s">
        <v>1850</v>
      </c>
      <c r="E825" s="12" t="s">
        <v>3531</v>
      </c>
      <c r="F825" s="12" t="s">
        <v>3531</v>
      </c>
      <c r="G825" s="12" t="s">
        <v>3532</v>
      </c>
      <c r="H825" s="13" t="s">
        <v>3535</v>
      </c>
      <c r="I825" s="12" t="s">
        <v>3537</v>
      </c>
      <c r="J825" s="11" t="s">
        <v>1851</v>
      </c>
      <c r="K825" s="11" t="s">
        <v>1852</v>
      </c>
      <c r="L825" s="11" t="s">
        <v>1853</v>
      </c>
      <c r="M825" s="11" t="s">
        <v>1854</v>
      </c>
      <c r="N825" s="12"/>
      <c r="O825" s="11" t="s">
        <v>1855</v>
      </c>
      <c r="P825" s="56"/>
    </row>
    <row r="826" spans="1:16" ht="15.75" customHeight="1" x14ac:dyDescent="0.2">
      <c r="A826" s="48">
        <v>16045</v>
      </c>
      <c r="B826" s="11" t="s">
        <v>1848</v>
      </c>
      <c r="C826" s="11" t="s">
        <v>1849</v>
      </c>
      <c r="D826" s="6" t="s">
        <v>1850</v>
      </c>
      <c r="E826" s="12" t="s">
        <v>3531</v>
      </c>
      <c r="F826" s="12" t="s">
        <v>3531</v>
      </c>
      <c r="G826" s="12" t="s">
        <v>3532</v>
      </c>
      <c r="H826" s="12" t="s">
        <v>3538</v>
      </c>
      <c r="I826" s="12" t="s">
        <v>3539</v>
      </c>
      <c r="J826" s="11" t="s">
        <v>1856</v>
      </c>
      <c r="K826" s="11" t="s">
        <v>1852</v>
      </c>
      <c r="L826" s="11" t="s">
        <v>1853</v>
      </c>
      <c r="M826" s="11" t="s">
        <v>1854</v>
      </c>
      <c r="N826" s="12"/>
      <c r="O826" s="11" t="s">
        <v>1855</v>
      </c>
      <c r="P826" s="56"/>
    </row>
    <row r="827" spans="1:16" ht="15.75" customHeight="1" x14ac:dyDescent="0.2">
      <c r="A827" s="48">
        <v>16046</v>
      </c>
      <c r="B827" s="11" t="s">
        <v>1848</v>
      </c>
      <c r="C827" s="11" t="s">
        <v>1849</v>
      </c>
      <c r="D827" s="6" t="s">
        <v>1850</v>
      </c>
      <c r="E827" s="12" t="s">
        <v>3531</v>
      </c>
      <c r="F827" s="12" t="s">
        <v>3531</v>
      </c>
      <c r="G827" s="12" t="s">
        <v>3532</v>
      </c>
      <c r="H827" s="12" t="s">
        <v>3533</v>
      </c>
      <c r="I827" s="12" t="s">
        <v>3540</v>
      </c>
      <c r="J827" s="11" t="s">
        <v>1856</v>
      </c>
      <c r="K827" s="11" t="s">
        <v>1852</v>
      </c>
      <c r="L827" s="11" t="s">
        <v>1853</v>
      </c>
      <c r="M827" s="11" t="s">
        <v>1854</v>
      </c>
      <c r="N827" s="12"/>
      <c r="O827" s="11" t="s">
        <v>1855</v>
      </c>
      <c r="P827" s="56"/>
    </row>
    <row r="828" spans="1:16" ht="15.75" customHeight="1" x14ac:dyDescent="0.2">
      <c r="A828" s="48">
        <v>16047</v>
      </c>
      <c r="B828" s="11" t="s">
        <v>1848</v>
      </c>
      <c r="C828" s="11" t="s">
        <v>1849</v>
      </c>
      <c r="D828" s="6" t="s">
        <v>1850</v>
      </c>
      <c r="E828" s="12" t="s">
        <v>3531</v>
      </c>
      <c r="F828" s="12" t="s">
        <v>3531</v>
      </c>
      <c r="G828" s="12" t="s">
        <v>3532</v>
      </c>
      <c r="H828" s="12" t="s">
        <v>3532</v>
      </c>
      <c r="I828" s="12" t="s">
        <v>3541</v>
      </c>
      <c r="J828" s="11" t="s">
        <v>1856</v>
      </c>
      <c r="K828" s="11" t="s">
        <v>1852</v>
      </c>
      <c r="L828" s="11" t="s">
        <v>1853</v>
      </c>
      <c r="M828" s="11" t="s">
        <v>1854</v>
      </c>
      <c r="N828" s="12"/>
      <c r="O828" s="11" t="s">
        <v>1855</v>
      </c>
      <c r="P828" s="56"/>
    </row>
    <row r="829" spans="1:16" ht="15.75" customHeight="1" x14ac:dyDescent="0.2">
      <c r="A829" s="48">
        <v>16048</v>
      </c>
      <c r="B829" s="11" t="s">
        <v>1848</v>
      </c>
      <c r="C829" s="11" t="s">
        <v>1849</v>
      </c>
      <c r="D829" s="6" t="s">
        <v>1850</v>
      </c>
      <c r="E829" s="12" t="s">
        <v>3531</v>
      </c>
      <c r="F829" s="12" t="s">
        <v>3531</v>
      </c>
      <c r="G829" s="12" t="s">
        <v>3532</v>
      </c>
      <c r="H829" s="12" t="s">
        <v>3542</v>
      </c>
      <c r="I829" s="12" t="s">
        <v>3543</v>
      </c>
      <c r="J829" s="11" t="s">
        <v>1851</v>
      </c>
      <c r="K829" s="11" t="s">
        <v>1852</v>
      </c>
      <c r="L829" s="11" t="s">
        <v>1853</v>
      </c>
      <c r="M829" s="11" t="s">
        <v>1854</v>
      </c>
      <c r="N829" s="12"/>
      <c r="O829" s="11" t="s">
        <v>1855</v>
      </c>
      <c r="P829" s="56"/>
    </row>
    <row r="830" spans="1:16" ht="15.75" customHeight="1" x14ac:dyDescent="0.2">
      <c r="A830" s="48">
        <v>16049</v>
      </c>
      <c r="B830" s="11" t="s">
        <v>1848</v>
      </c>
      <c r="C830" s="11" t="s">
        <v>1849</v>
      </c>
      <c r="D830" s="6" t="s">
        <v>1850</v>
      </c>
      <c r="E830" s="12" t="s">
        <v>3531</v>
      </c>
      <c r="F830" s="12" t="s">
        <v>3531</v>
      </c>
      <c r="G830" s="12" t="s">
        <v>3544</v>
      </c>
      <c r="H830" s="12" t="s">
        <v>3531</v>
      </c>
      <c r="I830" s="12" t="s">
        <v>3545</v>
      </c>
      <c r="J830" s="11" t="s">
        <v>1856</v>
      </c>
      <c r="K830" s="11" t="s">
        <v>1852</v>
      </c>
      <c r="L830" s="11" t="s">
        <v>1853</v>
      </c>
      <c r="M830" s="11" t="s">
        <v>1854</v>
      </c>
      <c r="N830" s="12"/>
      <c r="O830" s="11" t="s">
        <v>1855</v>
      </c>
      <c r="P830" s="56"/>
    </row>
    <row r="831" spans="1:16" ht="15.75" customHeight="1" x14ac:dyDescent="0.2">
      <c r="A831" s="48">
        <v>16050</v>
      </c>
      <c r="B831" s="11" t="s">
        <v>1848</v>
      </c>
      <c r="C831" s="11" t="s">
        <v>1849</v>
      </c>
      <c r="D831" s="6" t="s">
        <v>1850</v>
      </c>
      <c r="E831" s="12" t="s">
        <v>3531</v>
      </c>
      <c r="F831" s="12" t="s">
        <v>3531</v>
      </c>
      <c r="G831" s="12" t="s">
        <v>3546</v>
      </c>
      <c r="H831" s="12" t="s">
        <v>3546</v>
      </c>
      <c r="I831" s="12" t="s">
        <v>3547</v>
      </c>
      <c r="J831" s="11" t="s">
        <v>1851</v>
      </c>
      <c r="K831" s="11" t="s">
        <v>1852</v>
      </c>
      <c r="L831" s="11" t="s">
        <v>1853</v>
      </c>
      <c r="M831" s="11" t="s">
        <v>1854</v>
      </c>
      <c r="N831" s="12"/>
      <c r="O831" s="11" t="s">
        <v>1855</v>
      </c>
      <c r="P831" s="56"/>
    </row>
    <row r="832" spans="1:16" ht="15.75" customHeight="1" x14ac:dyDescent="0.2">
      <c r="A832" s="48">
        <v>16051</v>
      </c>
      <c r="B832" s="11" t="s">
        <v>1848</v>
      </c>
      <c r="C832" s="11" t="s">
        <v>1849</v>
      </c>
      <c r="D832" s="6" t="s">
        <v>1850</v>
      </c>
      <c r="E832" s="12" t="s">
        <v>3531</v>
      </c>
      <c r="F832" s="12" t="s">
        <v>3531</v>
      </c>
      <c r="G832" s="12" t="s">
        <v>3546</v>
      </c>
      <c r="H832" s="12" t="s">
        <v>3548</v>
      </c>
      <c r="I832" s="12" t="s">
        <v>3549</v>
      </c>
      <c r="J832" s="11" t="s">
        <v>1856</v>
      </c>
      <c r="K832" s="11" t="s">
        <v>1852</v>
      </c>
      <c r="L832" s="11" t="s">
        <v>1853</v>
      </c>
      <c r="M832" s="11" t="s">
        <v>1854</v>
      </c>
      <c r="N832" s="12"/>
      <c r="O832" s="11" t="s">
        <v>1855</v>
      </c>
      <c r="P832" s="56"/>
    </row>
    <row r="833" spans="1:16" ht="15.75" customHeight="1" x14ac:dyDescent="0.2">
      <c r="A833" s="48">
        <v>16052</v>
      </c>
      <c r="B833" s="11" t="s">
        <v>1848</v>
      </c>
      <c r="C833" s="11" t="s">
        <v>1849</v>
      </c>
      <c r="D833" s="6" t="s">
        <v>1850</v>
      </c>
      <c r="E833" s="12" t="s">
        <v>3531</v>
      </c>
      <c r="F833" s="12" t="s">
        <v>3531</v>
      </c>
      <c r="G833" s="12" t="s">
        <v>3550</v>
      </c>
      <c r="H833" s="12" t="s">
        <v>3551</v>
      </c>
      <c r="I833" s="12" t="s">
        <v>3552</v>
      </c>
      <c r="J833" s="11" t="s">
        <v>1856</v>
      </c>
      <c r="K833" s="11" t="s">
        <v>1852</v>
      </c>
      <c r="L833" s="11" t="s">
        <v>1853</v>
      </c>
      <c r="M833" s="11" t="s">
        <v>1854</v>
      </c>
      <c r="N833" s="12"/>
      <c r="O833" s="11" t="s">
        <v>1855</v>
      </c>
      <c r="P833" s="56"/>
    </row>
    <row r="834" spans="1:16" ht="15.75" customHeight="1" x14ac:dyDescent="0.2">
      <c r="A834" s="48">
        <v>16053</v>
      </c>
      <c r="B834" s="11" t="s">
        <v>1848</v>
      </c>
      <c r="C834" s="11" t="s">
        <v>1849</v>
      </c>
      <c r="D834" s="6" t="s">
        <v>1850</v>
      </c>
      <c r="E834" s="12" t="s">
        <v>3531</v>
      </c>
      <c r="F834" s="12" t="s">
        <v>3531</v>
      </c>
      <c r="G834" s="12" t="s">
        <v>3550</v>
      </c>
      <c r="H834" s="12" t="s">
        <v>3553</v>
      </c>
      <c r="I834" s="12" t="s">
        <v>3554</v>
      </c>
      <c r="J834" s="11" t="s">
        <v>1856</v>
      </c>
      <c r="K834" s="11" t="s">
        <v>1852</v>
      </c>
      <c r="L834" s="11" t="s">
        <v>1853</v>
      </c>
      <c r="M834" s="11" t="s">
        <v>1854</v>
      </c>
      <c r="N834" s="12"/>
      <c r="O834" s="11" t="s">
        <v>1855</v>
      </c>
      <c r="P834" s="56"/>
    </row>
    <row r="835" spans="1:16" ht="15.75" customHeight="1" x14ac:dyDescent="0.2">
      <c r="A835" s="48">
        <v>16054</v>
      </c>
      <c r="B835" s="11" t="s">
        <v>1848</v>
      </c>
      <c r="C835" s="11" t="s">
        <v>1849</v>
      </c>
      <c r="D835" s="6" t="s">
        <v>1850</v>
      </c>
      <c r="E835" s="12" t="s">
        <v>3531</v>
      </c>
      <c r="F835" s="12" t="s">
        <v>3531</v>
      </c>
      <c r="G835" s="12" t="s">
        <v>3550</v>
      </c>
      <c r="H835" s="12" t="s">
        <v>3555</v>
      </c>
      <c r="I835" s="12" t="s">
        <v>3556</v>
      </c>
      <c r="J835" s="11" t="s">
        <v>1856</v>
      </c>
      <c r="K835" s="11" t="s">
        <v>1852</v>
      </c>
      <c r="L835" s="11" t="s">
        <v>1853</v>
      </c>
      <c r="M835" s="11" t="s">
        <v>1854</v>
      </c>
      <c r="N835" s="12"/>
      <c r="O835" s="11" t="s">
        <v>1855</v>
      </c>
      <c r="P835" s="56"/>
    </row>
    <row r="836" spans="1:16" ht="15.75" customHeight="1" x14ac:dyDescent="0.2">
      <c r="A836" s="48">
        <v>590</v>
      </c>
      <c r="B836" s="11" t="s">
        <v>1848</v>
      </c>
      <c r="C836" s="11" t="s">
        <v>1849</v>
      </c>
      <c r="D836" s="6" t="s">
        <v>1850</v>
      </c>
      <c r="E836" s="12" t="s">
        <v>3531</v>
      </c>
      <c r="F836" s="12" t="s">
        <v>3531</v>
      </c>
      <c r="G836" s="12" t="s">
        <v>3550</v>
      </c>
      <c r="H836" s="12" t="s">
        <v>3553</v>
      </c>
      <c r="I836" s="12" t="s">
        <v>3557</v>
      </c>
      <c r="J836" s="11" t="s">
        <v>1856</v>
      </c>
      <c r="K836" s="11" t="s">
        <v>1852</v>
      </c>
      <c r="L836" s="11" t="s">
        <v>1853</v>
      </c>
      <c r="M836" s="11" t="s">
        <v>1854</v>
      </c>
      <c r="N836" s="12"/>
      <c r="O836" s="11" t="s">
        <v>1855</v>
      </c>
      <c r="P836" s="56"/>
    </row>
    <row r="837" spans="1:16" ht="15.75" customHeight="1" x14ac:dyDescent="0.2">
      <c r="A837" s="48">
        <v>839</v>
      </c>
      <c r="B837" s="11" t="s">
        <v>1848</v>
      </c>
      <c r="C837" s="11" t="s">
        <v>1849</v>
      </c>
      <c r="D837" s="6" t="s">
        <v>1850</v>
      </c>
      <c r="E837" s="12" t="s">
        <v>3531</v>
      </c>
      <c r="F837" s="12" t="s">
        <v>3531</v>
      </c>
      <c r="G837" s="12" t="s">
        <v>3544</v>
      </c>
      <c r="H837" s="12" t="s">
        <v>3544</v>
      </c>
      <c r="I837" s="12" t="s">
        <v>3558</v>
      </c>
      <c r="J837" s="11" t="s">
        <v>1851</v>
      </c>
      <c r="K837" s="11" t="s">
        <v>1852</v>
      </c>
      <c r="L837" s="11" t="s">
        <v>1853</v>
      </c>
      <c r="M837" s="11" t="s">
        <v>1854</v>
      </c>
      <c r="N837" s="12"/>
      <c r="O837" s="11" t="s">
        <v>1855</v>
      </c>
      <c r="P837" s="56"/>
    </row>
    <row r="838" spans="1:16" ht="15.75" customHeight="1" x14ac:dyDescent="0.2">
      <c r="A838" s="48">
        <v>706</v>
      </c>
      <c r="B838" s="11" t="s">
        <v>1857</v>
      </c>
      <c r="C838" s="11" t="s">
        <v>1849</v>
      </c>
      <c r="D838" s="6" t="s">
        <v>1850</v>
      </c>
      <c r="E838" s="12" t="s">
        <v>3531</v>
      </c>
      <c r="F838" s="12" t="s">
        <v>3531</v>
      </c>
      <c r="G838" s="12" t="s">
        <v>3546</v>
      </c>
      <c r="H838" s="12" t="s">
        <v>3559</v>
      </c>
      <c r="I838" s="12" t="s">
        <v>3560</v>
      </c>
      <c r="J838" s="11" t="s">
        <v>1856</v>
      </c>
      <c r="K838" s="11" t="s">
        <v>1852</v>
      </c>
      <c r="L838" s="11" t="s">
        <v>1853</v>
      </c>
      <c r="M838" s="11" t="s">
        <v>3561</v>
      </c>
      <c r="N838" s="12"/>
      <c r="O838" s="11" t="s">
        <v>2307</v>
      </c>
      <c r="P838" s="56" t="s">
        <v>3562</v>
      </c>
    </row>
    <row r="839" spans="1:16" ht="15.75" customHeight="1" x14ac:dyDescent="0.2">
      <c r="A839" s="48">
        <v>860</v>
      </c>
      <c r="B839" s="11" t="s">
        <v>1857</v>
      </c>
      <c r="C839" s="11" t="s">
        <v>1849</v>
      </c>
      <c r="D839" s="6" t="s">
        <v>1850</v>
      </c>
      <c r="E839" s="12" t="s">
        <v>3531</v>
      </c>
      <c r="F839" s="12" t="s">
        <v>3531</v>
      </c>
      <c r="G839" s="12" t="s">
        <v>3544</v>
      </c>
      <c r="H839" s="12" t="s">
        <v>3531</v>
      </c>
      <c r="I839" s="12" t="s">
        <v>3563</v>
      </c>
      <c r="J839" s="11" t="s">
        <v>1856</v>
      </c>
      <c r="K839" s="11" t="s">
        <v>1852</v>
      </c>
      <c r="L839" s="11" t="s">
        <v>1853</v>
      </c>
      <c r="M839" s="11" t="s">
        <v>3160</v>
      </c>
      <c r="N839" s="12" t="s">
        <v>3564</v>
      </c>
      <c r="O839" s="11" t="s">
        <v>1858</v>
      </c>
      <c r="P839" s="56"/>
    </row>
    <row r="840" spans="1:16" ht="15.75" customHeight="1" x14ac:dyDescent="0.2">
      <c r="A840" s="48">
        <v>966</v>
      </c>
      <c r="B840" s="11" t="s">
        <v>1857</v>
      </c>
      <c r="C840" s="11" t="s">
        <v>1849</v>
      </c>
      <c r="D840" s="6" t="s">
        <v>1850</v>
      </c>
      <c r="E840" s="12" t="s">
        <v>3531</v>
      </c>
      <c r="F840" s="12" t="s">
        <v>3531</v>
      </c>
      <c r="G840" s="12" t="s">
        <v>3544</v>
      </c>
      <c r="H840" s="12" t="s">
        <v>3565</v>
      </c>
      <c r="I840" s="12" t="s">
        <v>3566</v>
      </c>
      <c r="J840" s="11" t="s">
        <v>1856</v>
      </c>
      <c r="K840" s="11" t="s">
        <v>1852</v>
      </c>
      <c r="L840" s="11" t="s">
        <v>1853</v>
      </c>
      <c r="M840" s="11" t="s">
        <v>2549</v>
      </c>
      <c r="N840" s="12"/>
      <c r="O840" s="11" t="s">
        <v>1859</v>
      </c>
      <c r="P840" s="56"/>
    </row>
    <row r="841" spans="1:16" ht="15.75" customHeight="1" x14ac:dyDescent="0.2">
      <c r="A841" s="48">
        <v>895</v>
      </c>
      <c r="B841" s="11" t="s">
        <v>1857</v>
      </c>
      <c r="C841" s="11" t="s">
        <v>1849</v>
      </c>
      <c r="D841" s="6" t="s">
        <v>1850</v>
      </c>
      <c r="E841" s="12" t="s">
        <v>3531</v>
      </c>
      <c r="F841" s="12" t="s">
        <v>3531</v>
      </c>
      <c r="G841" s="12" t="s">
        <v>3544</v>
      </c>
      <c r="H841" s="12" t="s">
        <v>3567</v>
      </c>
      <c r="I841" s="12" t="s">
        <v>3568</v>
      </c>
      <c r="J841" s="11" t="s">
        <v>1856</v>
      </c>
      <c r="K841" s="11" t="s">
        <v>1852</v>
      </c>
      <c r="L841" s="11" t="s">
        <v>1853</v>
      </c>
      <c r="M841" s="11" t="s">
        <v>3569</v>
      </c>
      <c r="N841" s="12" t="s">
        <v>3570</v>
      </c>
      <c r="O841" s="11" t="s">
        <v>1858</v>
      </c>
      <c r="P841" s="56"/>
    </row>
    <row r="842" spans="1:16" ht="15.75" customHeight="1" x14ac:dyDescent="0.2">
      <c r="A842" s="48">
        <v>739</v>
      </c>
      <c r="B842" s="11" t="s">
        <v>1857</v>
      </c>
      <c r="C842" s="11" t="s">
        <v>1849</v>
      </c>
      <c r="D842" s="6" t="s">
        <v>1850</v>
      </c>
      <c r="E842" s="12" t="s">
        <v>3531</v>
      </c>
      <c r="F842" s="12" t="s">
        <v>3531</v>
      </c>
      <c r="G842" s="12" t="s">
        <v>3546</v>
      </c>
      <c r="H842" s="12" t="s">
        <v>3548</v>
      </c>
      <c r="I842" s="12" t="s">
        <v>3571</v>
      </c>
      <c r="J842" s="11" t="s">
        <v>1856</v>
      </c>
      <c r="K842" s="11" t="s">
        <v>1852</v>
      </c>
      <c r="L842" s="11" t="s">
        <v>1853</v>
      </c>
      <c r="M842" s="11" t="s">
        <v>2549</v>
      </c>
      <c r="N842" s="12" t="s">
        <v>3572</v>
      </c>
      <c r="O842" s="11" t="s">
        <v>1860</v>
      </c>
      <c r="P842" s="56"/>
    </row>
    <row r="843" spans="1:16" ht="15.75" customHeight="1" x14ac:dyDescent="0.2">
      <c r="A843" s="48">
        <v>894</v>
      </c>
      <c r="B843" s="11" t="s">
        <v>1857</v>
      </c>
      <c r="C843" s="11" t="s">
        <v>1849</v>
      </c>
      <c r="D843" s="6" t="s">
        <v>1850</v>
      </c>
      <c r="E843" s="12" t="s">
        <v>3531</v>
      </c>
      <c r="F843" s="12" t="s">
        <v>3531</v>
      </c>
      <c r="G843" s="12" t="s">
        <v>3544</v>
      </c>
      <c r="H843" s="12" t="s">
        <v>3567</v>
      </c>
      <c r="I843" s="12" t="s">
        <v>3573</v>
      </c>
      <c r="J843" s="11" t="s">
        <v>1856</v>
      </c>
      <c r="K843" s="11" t="s">
        <v>1852</v>
      </c>
      <c r="L843" s="11" t="s">
        <v>1853</v>
      </c>
      <c r="M843" s="11" t="s">
        <v>3569</v>
      </c>
      <c r="N843" s="12"/>
      <c r="O843" s="11" t="s">
        <v>1858</v>
      </c>
      <c r="P843" s="56"/>
    </row>
    <row r="844" spans="1:16" ht="15.75" customHeight="1" x14ac:dyDescent="0.2">
      <c r="A844" s="48">
        <v>651</v>
      </c>
      <c r="B844" s="11" t="s">
        <v>1857</v>
      </c>
      <c r="C844" s="11" t="s">
        <v>1849</v>
      </c>
      <c r="D844" s="6" t="s">
        <v>1850</v>
      </c>
      <c r="E844" s="12" t="s">
        <v>3531</v>
      </c>
      <c r="F844" s="12" t="s">
        <v>3531</v>
      </c>
      <c r="G844" s="12" t="s">
        <v>3532</v>
      </c>
      <c r="H844" s="12" t="s">
        <v>3574</v>
      </c>
      <c r="I844" s="12" t="s">
        <v>1585</v>
      </c>
      <c r="J844" s="11" t="s">
        <v>1856</v>
      </c>
      <c r="K844" s="11" t="s">
        <v>1852</v>
      </c>
      <c r="L844" s="11" t="s">
        <v>1853</v>
      </c>
      <c r="M844" s="11" t="s">
        <v>3575</v>
      </c>
      <c r="N844" s="12"/>
      <c r="O844" s="11" t="s">
        <v>1860</v>
      </c>
      <c r="P844" s="56"/>
    </row>
    <row r="845" spans="1:16" ht="15.75" customHeight="1" x14ac:dyDescent="0.2">
      <c r="A845" s="48">
        <v>963</v>
      </c>
      <c r="B845" s="11" t="s">
        <v>1857</v>
      </c>
      <c r="C845" s="11" t="s">
        <v>1849</v>
      </c>
      <c r="D845" s="6" t="s">
        <v>1850</v>
      </c>
      <c r="E845" s="12" t="s">
        <v>3531</v>
      </c>
      <c r="F845" s="12" t="s">
        <v>3531</v>
      </c>
      <c r="G845" s="12" t="s">
        <v>3544</v>
      </c>
      <c r="H845" s="12" t="s">
        <v>3565</v>
      </c>
      <c r="I845" s="12" t="s">
        <v>3576</v>
      </c>
      <c r="J845" s="11" t="s">
        <v>1856</v>
      </c>
      <c r="K845" s="11" t="s">
        <v>1852</v>
      </c>
      <c r="L845" s="11" t="s">
        <v>1853</v>
      </c>
      <c r="M845" s="11" t="s">
        <v>1854</v>
      </c>
      <c r="N845" s="12"/>
      <c r="O845" s="11" t="s">
        <v>1860</v>
      </c>
      <c r="P845" s="56"/>
    </row>
    <row r="846" spans="1:16" ht="15.75" customHeight="1" x14ac:dyDescent="0.2">
      <c r="A846" s="48">
        <v>897</v>
      </c>
      <c r="B846" s="11" t="s">
        <v>1857</v>
      </c>
      <c r="C846" s="11" t="s">
        <v>1849</v>
      </c>
      <c r="D846" s="6" t="s">
        <v>1850</v>
      </c>
      <c r="E846" s="12" t="s">
        <v>3531</v>
      </c>
      <c r="F846" s="12" t="s">
        <v>3531</v>
      </c>
      <c r="G846" s="12" t="s">
        <v>3544</v>
      </c>
      <c r="H846" s="12" t="s">
        <v>3567</v>
      </c>
      <c r="I846" s="12" t="s">
        <v>3577</v>
      </c>
      <c r="J846" s="11" t="s">
        <v>1856</v>
      </c>
      <c r="K846" s="11" t="s">
        <v>1852</v>
      </c>
      <c r="L846" s="11" t="s">
        <v>1853</v>
      </c>
      <c r="M846" s="11" t="s">
        <v>3578</v>
      </c>
      <c r="N846" s="12" t="s">
        <v>3579</v>
      </c>
      <c r="O846" s="11" t="s">
        <v>1858</v>
      </c>
      <c r="P846" s="56"/>
    </row>
    <row r="847" spans="1:16" ht="15.75" customHeight="1" x14ac:dyDescent="0.2">
      <c r="A847" s="48">
        <v>560</v>
      </c>
      <c r="B847" s="11" t="s">
        <v>1857</v>
      </c>
      <c r="C847" s="11" t="s">
        <v>1849</v>
      </c>
      <c r="D847" s="6" t="s">
        <v>1850</v>
      </c>
      <c r="E847" s="12" t="s">
        <v>3531</v>
      </c>
      <c r="F847" s="12" t="s">
        <v>3531</v>
      </c>
      <c r="G847" s="12" t="s">
        <v>3550</v>
      </c>
      <c r="H847" s="12" t="s">
        <v>3550</v>
      </c>
      <c r="I847" s="12" t="s">
        <v>3580</v>
      </c>
      <c r="J847" s="11" t="s">
        <v>1851</v>
      </c>
      <c r="K847" s="11" t="s">
        <v>1852</v>
      </c>
      <c r="L847" s="11" t="s">
        <v>1853</v>
      </c>
      <c r="M847" s="11" t="s">
        <v>3581</v>
      </c>
      <c r="N847" s="12" t="s">
        <v>3582</v>
      </c>
      <c r="O847" s="11" t="s">
        <v>1858</v>
      </c>
      <c r="P847" s="56"/>
    </row>
    <row r="848" spans="1:16" ht="15.75" customHeight="1" x14ac:dyDescent="0.2">
      <c r="A848" s="48">
        <v>742</v>
      </c>
      <c r="B848" s="11" t="s">
        <v>1857</v>
      </c>
      <c r="C848" s="11" t="s">
        <v>1849</v>
      </c>
      <c r="D848" s="6" t="s">
        <v>1850</v>
      </c>
      <c r="E848" s="12" t="s">
        <v>3531</v>
      </c>
      <c r="F848" s="12" t="s">
        <v>3531</v>
      </c>
      <c r="G848" s="12" t="s">
        <v>3546</v>
      </c>
      <c r="H848" s="12" t="s">
        <v>3583</v>
      </c>
      <c r="I848" s="12" t="s">
        <v>3584</v>
      </c>
      <c r="J848" s="11" t="s">
        <v>1856</v>
      </c>
      <c r="K848" s="11" t="s">
        <v>1852</v>
      </c>
      <c r="L848" s="11" t="s">
        <v>1853</v>
      </c>
      <c r="M848" s="11" t="s">
        <v>3585</v>
      </c>
      <c r="N848" s="12" t="s">
        <v>3586</v>
      </c>
      <c r="O848" s="11" t="s">
        <v>1858</v>
      </c>
      <c r="P848" s="56"/>
    </row>
    <row r="849" spans="1:16" ht="15.75" customHeight="1" x14ac:dyDescent="0.2">
      <c r="A849" s="48">
        <v>861</v>
      </c>
      <c r="B849" s="11" t="s">
        <v>1857</v>
      </c>
      <c r="C849" s="11" t="s">
        <v>1849</v>
      </c>
      <c r="D849" s="6" t="s">
        <v>1850</v>
      </c>
      <c r="E849" s="12" t="s">
        <v>3531</v>
      </c>
      <c r="F849" s="12" t="s">
        <v>3531</v>
      </c>
      <c r="G849" s="12" t="s">
        <v>3544</v>
      </c>
      <c r="H849" s="12" t="s">
        <v>3531</v>
      </c>
      <c r="I849" s="12" t="s">
        <v>3587</v>
      </c>
      <c r="J849" s="11" t="s">
        <v>1856</v>
      </c>
      <c r="K849" s="11" t="s">
        <v>1852</v>
      </c>
      <c r="L849" s="11" t="s">
        <v>1853</v>
      </c>
      <c r="M849" s="11" t="s">
        <v>3588</v>
      </c>
      <c r="N849" s="12" t="s">
        <v>3589</v>
      </c>
      <c r="O849" s="11" t="s">
        <v>1859</v>
      </c>
      <c r="P849" s="56"/>
    </row>
    <row r="850" spans="1:16" ht="15.75" customHeight="1" x14ac:dyDescent="0.2">
      <c r="A850" s="48">
        <v>887</v>
      </c>
      <c r="B850" s="11" t="s">
        <v>1857</v>
      </c>
      <c r="C850" s="11" t="s">
        <v>1849</v>
      </c>
      <c r="D850" s="6" t="s">
        <v>1850</v>
      </c>
      <c r="E850" s="12" t="s">
        <v>3531</v>
      </c>
      <c r="F850" s="12" t="s">
        <v>3531</v>
      </c>
      <c r="G850" s="12" t="s">
        <v>3544</v>
      </c>
      <c r="H850" s="12" t="s">
        <v>3590</v>
      </c>
      <c r="I850" s="12" t="s">
        <v>3591</v>
      </c>
      <c r="J850" s="11" t="s">
        <v>1856</v>
      </c>
      <c r="K850" s="11" t="s">
        <v>1852</v>
      </c>
      <c r="L850" s="11" t="s">
        <v>1853</v>
      </c>
      <c r="M850" s="11" t="s">
        <v>3592</v>
      </c>
      <c r="N850" s="12" t="s">
        <v>3593</v>
      </c>
      <c r="O850" s="11" t="s">
        <v>1860</v>
      </c>
      <c r="P850" s="56"/>
    </row>
    <row r="851" spans="1:16" ht="15.75" customHeight="1" x14ac:dyDescent="0.2">
      <c r="A851" s="48">
        <v>902</v>
      </c>
      <c r="B851" s="11" t="s">
        <v>1857</v>
      </c>
      <c r="C851" s="11" t="s">
        <v>1849</v>
      </c>
      <c r="D851" s="6" t="s">
        <v>1850</v>
      </c>
      <c r="E851" s="12" t="s">
        <v>3531</v>
      </c>
      <c r="F851" s="12" t="s">
        <v>3531</v>
      </c>
      <c r="G851" s="12" t="s">
        <v>3544</v>
      </c>
      <c r="H851" s="12" t="s">
        <v>3594</v>
      </c>
      <c r="I851" s="12" t="s">
        <v>3595</v>
      </c>
      <c r="J851" s="11" t="s">
        <v>1856</v>
      </c>
      <c r="K851" s="11" t="s">
        <v>1852</v>
      </c>
      <c r="L851" s="11" t="s">
        <v>1853</v>
      </c>
      <c r="M851" s="11" t="s">
        <v>1854</v>
      </c>
      <c r="N851" s="12"/>
      <c r="O851" s="11" t="s">
        <v>1859</v>
      </c>
      <c r="P851" s="56"/>
    </row>
    <row r="852" spans="1:16" ht="15.75" customHeight="1" x14ac:dyDescent="0.2">
      <c r="A852" s="48">
        <v>691</v>
      </c>
      <c r="B852" s="11" t="s">
        <v>1857</v>
      </c>
      <c r="C852" s="11" t="s">
        <v>1849</v>
      </c>
      <c r="D852" s="6" t="s">
        <v>1850</v>
      </c>
      <c r="E852" s="12" t="s">
        <v>3531</v>
      </c>
      <c r="F852" s="12" t="s">
        <v>3531</v>
      </c>
      <c r="G852" s="12" t="s">
        <v>3546</v>
      </c>
      <c r="H852" s="12" t="s">
        <v>2820</v>
      </c>
      <c r="I852" s="12" t="s">
        <v>2875</v>
      </c>
      <c r="J852" s="11" t="s">
        <v>1856</v>
      </c>
      <c r="K852" s="11" t="s">
        <v>1852</v>
      </c>
      <c r="L852" s="11" t="s">
        <v>1853</v>
      </c>
      <c r="M852" s="11" t="s">
        <v>3596</v>
      </c>
      <c r="N852" s="12" t="s">
        <v>3597</v>
      </c>
      <c r="O852" s="11" t="s">
        <v>1860</v>
      </c>
      <c r="P852" s="56"/>
    </row>
    <row r="853" spans="1:16" ht="15.75" customHeight="1" x14ac:dyDescent="0.2">
      <c r="A853" s="48">
        <v>968</v>
      </c>
      <c r="B853" s="11" t="s">
        <v>1857</v>
      </c>
      <c r="C853" s="11" t="s">
        <v>1849</v>
      </c>
      <c r="D853" s="6" t="s">
        <v>1850</v>
      </c>
      <c r="E853" s="12" t="s">
        <v>3531</v>
      </c>
      <c r="F853" s="12" t="s">
        <v>3531</v>
      </c>
      <c r="G853" s="12" t="s">
        <v>3544</v>
      </c>
      <c r="H853" s="12" t="s">
        <v>3565</v>
      </c>
      <c r="I853" s="12" t="s">
        <v>3598</v>
      </c>
      <c r="J853" s="11" t="s">
        <v>1856</v>
      </c>
      <c r="K853" s="11" t="s">
        <v>1852</v>
      </c>
      <c r="L853" s="11" t="s">
        <v>1853</v>
      </c>
      <c r="M853" s="11" t="s">
        <v>2549</v>
      </c>
      <c r="N853" s="12"/>
      <c r="O853" s="11" t="s">
        <v>1859</v>
      </c>
      <c r="P853" s="56"/>
    </row>
    <row r="854" spans="1:16" ht="15.75" customHeight="1" x14ac:dyDescent="0.2">
      <c r="A854" s="48">
        <v>813</v>
      </c>
      <c r="B854" s="11" t="s">
        <v>1857</v>
      </c>
      <c r="C854" s="11" t="s">
        <v>1849</v>
      </c>
      <c r="D854" s="6" t="s">
        <v>1850</v>
      </c>
      <c r="E854" s="12" t="s">
        <v>3531</v>
      </c>
      <c r="F854" s="12" t="s">
        <v>3531</v>
      </c>
      <c r="G854" s="12" t="s">
        <v>3599</v>
      </c>
      <c r="H854" s="12" t="s">
        <v>3600</v>
      </c>
      <c r="I854" s="12" t="s">
        <v>3601</v>
      </c>
      <c r="J854" s="11" t="s">
        <v>1856</v>
      </c>
      <c r="K854" s="11" t="s">
        <v>1852</v>
      </c>
      <c r="L854" s="11" t="s">
        <v>1853</v>
      </c>
      <c r="M854" s="11" t="s">
        <v>3602</v>
      </c>
      <c r="N854" s="12"/>
      <c r="O854" s="11" t="s">
        <v>1858</v>
      </c>
      <c r="P854" s="56"/>
    </row>
    <row r="855" spans="1:16" ht="15.75" customHeight="1" x14ac:dyDescent="0.2">
      <c r="A855" s="48">
        <v>712</v>
      </c>
      <c r="B855" s="11" t="s">
        <v>1857</v>
      </c>
      <c r="C855" s="11" t="s">
        <v>1849</v>
      </c>
      <c r="D855" s="6" t="s">
        <v>1850</v>
      </c>
      <c r="E855" s="12" t="s">
        <v>3531</v>
      </c>
      <c r="F855" s="12" t="s">
        <v>3531</v>
      </c>
      <c r="G855" s="12" t="s">
        <v>3546</v>
      </c>
      <c r="H855" s="12" t="s">
        <v>3559</v>
      </c>
      <c r="I855" s="12" t="s">
        <v>3603</v>
      </c>
      <c r="J855" s="11" t="s">
        <v>1856</v>
      </c>
      <c r="K855" s="11" t="s">
        <v>1852</v>
      </c>
      <c r="L855" s="11" t="s">
        <v>1853</v>
      </c>
      <c r="M855" s="11" t="s">
        <v>3604</v>
      </c>
      <c r="N855" s="12"/>
      <c r="O855" s="11" t="s">
        <v>1858</v>
      </c>
      <c r="P855" s="56"/>
    </row>
    <row r="856" spans="1:16" ht="15.75" customHeight="1" x14ac:dyDescent="0.2">
      <c r="A856" s="48">
        <v>6819</v>
      </c>
      <c r="B856" s="11" t="s">
        <v>1857</v>
      </c>
      <c r="C856" s="11" t="s">
        <v>1849</v>
      </c>
      <c r="D856" s="6" t="s">
        <v>1850</v>
      </c>
      <c r="E856" s="12" t="s">
        <v>3531</v>
      </c>
      <c r="F856" s="12" t="s">
        <v>3531</v>
      </c>
      <c r="G856" s="12" t="s">
        <v>3546</v>
      </c>
      <c r="H856" s="12" t="s">
        <v>3605</v>
      </c>
      <c r="I856" s="12" t="s">
        <v>3606</v>
      </c>
      <c r="J856" s="11" t="s">
        <v>1856</v>
      </c>
      <c r="K856" s="11" t="s">
        <v>1852</v>
      </c>
      <c r="L856" s="11" t="s">
        <v>1853</v>
      </c>
      <c r="M856" s="11" t="s">
        <v>1854</v>
      </c>
      <c r="N856" s="12"/>
      <c r="O856" s="11" t="s">
        <v>1859</v>
      </c>
      <c r="P856" s="56"/>
    </row>
    <row r="857" spans="1:16" ht="15.75" customHeight="1" x14ac:dyDescent="0.2">
      <c r="A857" s="48">
        <v>594</v>
      </c>
      <c r="B857" s="11" t="s">
        <v>1857</v>
      </c>
      <c r="C857" s="11" t="s">
        <v>1849</v>
      </c>
      <c r="D857" s="6" t="s">
        <v>1850</v>
      </c>
      <c r="E857" s="12" t="s">
        <v>3531</v>
      </c>
      <c r="F857" s="12" t="s">
        <v>3531</v>
      </c>
      <c r="G857" s="12" t="s">
        <v>3532</v>
      </c>
      <c r="H857" s="12" t="s">
        <v>3532</v>
      </c>
      <c r="I857" s="12" t="s">
        <v>3607</v>
      </c>
      <c r="J857" s="11" t="s">
        <v>1856</v>
      </c>
      <c r="K857" s="11" t="s">
        <v>1852</v>
      </c>
      <c r="L857" s="11" t="s">
        <v>1853</v>
      </c>
      <c r="M857" s="11" t="s">
        <v>3608</v>
      </c>
      <c r="N857" s="12" t="s">
        <v>3609</v>
      </c>
      <c r="O857" s="11" t="s">
        <v>1858</v>
      </c>
      <c r="P857" s="56"/>
    </row>
    <row r="858" spans="1:16" ht="15.75" customHeight="1" x14ac:dyDescent="0.2">
      <c r="A858" s="48">
        <v>871</v>
      </c>
      <c r="B858" s="11" t="s">
        <v>1857</v>
      </c>
      <c r="C858" s="11" t="s">
        <v>1849</v>
      </c>
      <c r="D858" s="6" t="s">
        <v>1850</v>
      </c>
      <c r="E858" s="12" t="s">
        <v>3531</v>
      </c>
      <c r="F858" s="12" t="s">
        <v>3531</v>
      </c>
      <c r="G858" s="12" t="s">
        <v>3544</v>
      </c>
      <c r="H858" s="12" t="s">
        <v>3590</v>
      </c>
      <c r="I858" s="12" t="s">
        <v>3610</v>
      </c>
      <c r="J858" s="11" t="s">
        <v>1856</v>
      </c>
      <c r="K858" s="11" t="s">
        <v>1852</v>
      </c>
      <c r="L858" s="11" t="s">
        <v>1853</v>
      </c>
      <c r="M858" s="11" t="s">
        <v>3611</v>
      </c>
      <c r="N858" s="12"/>
      <c r="O858" s="11" t="s">
        <v>1860</v>
      </c>
      <c r="P858" s="56"/>
    </row>
    <row r="859" spans="1:16" ht="15.75" customHeight="1" x14ac:dyDescent="0.2">
      <c r="A859" s="48">
        <v>705</v>
      </c>
      <c r="B859" s="11" t="s">
        <v>1857</v>
      </c>
      <c r="C859" s="11" t="s">
        <v>1849</v>
      </c>
      <c r="D859" s="6" t="s">
        <v>1850</v>
      </c>
      <c r="E859" s="12" t="s">
        <v>3531</v>
      </c>
      <c r="F859" s="12" t="s">
        <v>3531</v>
      </c>
      <c r="G859" s="12" t="s">
        <v>3546</v>
      </c>
      <c r="H859" s="12" t="s">
        <v>3559</v>
      </c>
      <c r="I859" s="12" t="s">
        <v>3612</v>
      </c>
      <c r="J859" s="11" t="s">
        <v>1856</v>
      </c>
      <c r="K859" s="11" t="s">
        <v>1852</v>
      </c>
      <c r="L859" s="11" t="s">
        <v>1853</v>
      </c>
      <c r="M859" s="11" t="s">
        <v>1854</v>
      </c>
      <c r="N859" s="12"/>
      <c r="O859" s="11" t="s">
        <v>1859</v>
      </c>
      <c r="P859" s="56"/>
    </row>
    <row r="860" spans="1:16" ht="15.75" customHeight="1" x14ac:dyDescent="0.2">
      <c r="A860" s="48">
        <v>982</v>
      </c>
      <c r="B860" s="11" t="s">
        <v>1857</v>
      </c>
      <c r="C860" s="11" t="s">
        <v>1849</v>
      </c>
      <c r="D860" s="6" t="s">
        <v>1850</v>
      </c>
      <c r="E860" s="12" t="s">
        <v>3531</v>
      </c>
      <c r="F860" s="12" t="s">
        <v>3531</v>
      </c>
      <c r="G860" s="12" t="s">
        <v>3544</v>
      </c>
      <c r="H860" s="12" t="s">
        <v>3565</v>
      </c>
      <c r="I860" s="12" t="s">
        <v>3613</v>
      </c>
      <c r="J860" s="11" t="s">
        <v>1856</v>
      </c>
      <c r="K860" s="11" t="s">
        <v>1852</v>
      </c>
      <c r="L860" s="11" t="s">
        <v>1853</v>
      </c>
      <c r="M860" s="11" t="s">
        <v>3614</v>
      </c>
      <c r="N860" s="12"/>
      <c r="O860" s="11" t="s">
        <v>1860</v>
      </c>
      <c r="P860" s="56"/>
    </row>
    <row r="861" spans="1:16" ht="15.75" customHeight="1" x14ac:dyDescent="0.2">
      <c r="A861" s="48">
        <v>983</v>
      </c>
      <c r="B861" s="11" t="s">
        <v>1857</v>
      </c>
      <c r="C861" s="11" t="s">
        <v>1849</v>
      </c>
      <c r="D861" s="6" t="s">
        <v>1850</v>
      </c>
      <c r="E861" s="12" t="s">
        <v>3531</v>
      </c>
      <c r="F861" s="12" t="s">
        <v>3531</v>
      </c>
      <c r="G861" s="12" t="s">
        <v>3544</v>
      </c>
      <c r="H861" s="12" t="s">
        <v>3565</v>
      </c>
      <c r="I861" s="12" t="s">
        <v>3615</v>
      </c>
      <c r="J861" s="11" t="s">
        <v>1856</v>
      </c>
      <c r="K861" s="11" t="s">
        <v>1852</v>
      </c>
      <c r="L861" s="11" t="s">
        <v>1853</v>
      </c>
      <c r="M861" s="11" t="s">
        <v>3616</v>
      </c>
      <c r="N861" s="12"/>
      <c r="O861" s="11" t="s">
        <v>1860</v>
      </c>
      <c r="P861" s="56"/>
    </row>
    <row r="862" spans="1:16" ht="15.75" customHeight="1" x14ac:dyDescent="0.2">
      <c r="A862" s="48">
        <v>4933</v>
      </c>
      <c r="B862" s="11" t="s">
        <v>1857</v>
      </c>
      <c r="C862" s="11" t="s">
        <v>1849</v>
      </c>
      <c r="D862" s="6" t="s">
        <v>1850</v>
      </c>
      <c r="E862" s="12" t="s">
        <v>3531</v>
      </c>
      <c r="F862" s="12" t="s">
        <v>3531</v>
      </c>
      <c r="G862" s="12" t="s">
        <v>3544</v>
      </c>
      <c r="H862" s="12" t="s">
        <v>3617</v>
      </c>
      <c r="I862" s="12" t="s">
        <v>3618</v>
      </c>
      <c r="J862" s="11" t="s">
        <v>1856</v>
      </c>
      <c r="K862" s="11" t="s">
        <v>1852</v>
      </c>
      <c r="L862" s="11" t="s">
        <v>1853</v>
      </c>
      <c r="M862" s="11" t="s">
        <v>3619</v>
      </c>
      <c r="N862" s="12"/>
      <c r="O862" s="11" t="s">
        <v>1859</v>
      </c>
      <c r="P862" s="56"/>
    </row>
    <row r="863" spans="1:16" ht="15.75" customHeight="1" x14ac:dyDescent="0.2">
      <c r="A863" s="48">
        <v>616</v>
      </c>
      <c r="B863" s="11" t="s">
        <v>1857</v>
      </c>
      <c r="C863" s="11" t="s">
        <v>1849</v>
      </c>
      <c r="D863" s="6" t="s">
        <v>1850</v>
      </c>
      <c r="E863" s="12" t="s">
        <v>3531</v>
      </c>
      <c r="F863" s="12" t="s">
        <v>3531</v>
      </c>
      <c r="G863" s="12" t="s">
        <v>3532</v>
      </c>
      <c r="H863" s="12" t="s">
        <v>3538</v>
      </c>
      <c r="I863" s="12" t="s">
        <v>3620</v>
      </c>
      <c r="J863" s="11" t="s">
        <v>1856</v>
      </c>
      <c r="K863" s="11" t="s">
        <v>1852</v>
      </c>
      <c r="L863" s="11" t="s">
        <v>1853</v>
      </c>
      <c r="M863" s="11" t="s">
        <v>3616</v>
      </c>
      <c r="N863" s="12" t="s">
        <v>3621</v>
      </c>
      <c r="O863" s="11" t="s">
        <v>1859</v>
      </c>
      <c r="P863" s="56"/>
    </row>
    <row r="864" spans="1:16" ht="15.75" customHeight="1" x14ac:dyDescent="0.2">
      <c r="A864" s="48">
        <v>6340</v>
      </c>
      <c r="B864" s="11" t="s">
        <v>1857</v>
      </c>
      <c r="C864" s="11" t="s">
        <v>1849</v>
      </c>
      <c r="D864" s="6" t="s">
        <v>1850</v>
      </c>
      <c r="E864" s="12" t="s">
        <v>3531</v>
      </c>
      <c r="F864" s="12" t="s">
        <v>3531</v>
      </c>
      <c r="G864" s="12" t="s">
        <v>3544</v>
      </c>
      <c r="H864" s="12" t="s">
        <v>3565</v>
      </c>
      <c r="I864" s="12" t="s">
        <v>3622</v>
      </c>
      <c r="J864" s="11" t="s">
        <v>1856</v>
      </c>
      <c r="K864" s="11" t="s">
        <v>1852</v>
      </c>
      <c r="L864" s="11" t="s">
        <v>1853</v>
      </c>
      <c r="M864" s="11" t="s">
        <v>1854</v>
      </c>
      <c r="N864" s="12"/>
      <c r="O864" s="11" t="s">
        <v>1859</v>
      </c>
      <c r="P864" s="56"/>
    </row>
    <row r="865" spans="1:16" ht="15.75" customHeight="1" x14ac:dyDescent="0.2">
      <c r="A865" s="48">
        <v>995</v>
      </c>
      <c r="B865" s="11" t="s">
        <v>1857</v>
      </c>
      <c r="C865" s="11" t="s">
        <v>1849</v>
      </c>
      <c r="D865" s="6" t="s">
        <v>1850</v>
      </c>
      <c r="E865" s="12" t="s">
        <v>3531</v>
      </c>
      <c r="F865" s="12" t="s">
        <v>3531</v>
      </c>
      <c r="G865" s="12" t="s">
        <v>3544</v>
      </c>
      <c r="H865" s="12" t="s">
        <v>3623</v>
      </c>
      <c r="I865" s="12" t="s">
        <v>3624</v>
      </c>
      <c r="J865" s="11" t="s">
        <v>1856</v>
      </c>
      <c r="K865" s="11" t="s">
        <v>1852</v>
      </c>
      <c r="L865" s="11" t="s">
        <v>1853</v>
      </c>
      <c r="M865" s="11" t="s">
        <v>3602</v>
      </c>
      <c r="N865" s="12"/>
      <c r="O865" s="11" t="s">
        <v>1859</v>
      </c>
      <c r="P865" s="56"/>
    </row>
    <row r="866" spans="1:16" ht="15.75" customHeight="1" x14ac:dyDescent="0.2">
      <c r="A866" s="48">
        <v>794</v>
      </c>
      <c r="B866" s="11" t="s">
        <v>1857</v>
      </c>
      <c r="C866" s="11" t="s">
        <v>1849</v>
      </c>
      <c r="D866" s="6" t="s">
        <v>1850</v>
      </c>
      <c r="E866" s="12" t="s">
        <v>3531</v>
      </c>
      <c r="F866" s="12" t="s">
        <v>3531</v>
      </c>
      <c r="G866" s="12" t="s">
        <v>3599</v>
      </c>
      <c r="H866" s="12" t="s">
        <v>3599</v>
      </c>
      <c r="I866" s="12" t="s">
        <v>3625</v>
      </c>
      <c r="J866" s="11" t="s">
        <v>1856</v>
      </c>
      <c r="K866" s="11" t="s">
        <v>1852</v>
      </c>
      <c r="L866" s="11" t="s">
        <v>1853</v>
      </c>
      <c r="M866" s="11" t="s">
        <v>2276</v>
      </c>
      <c r="N866" s="12"/>
      <c r="O866" s="11" t="s">
        <v>1859</v>
      </c>
      <c r="P866" s="56"/>
    </row>
    <row r="867" spans="1:16" ht="15.75" customHeight="1" x14ac:dyDescent="0.2">
      <c r="A867" s="48">
        <v>958</v>
      </c>
      <c r="B867" s="11" t="s">
        <v>1857</v>
      </c>
      <c r="C867" s="11" t="s">
        <v>1849</v>
      </c>
      <c r="D867" s="6" t="s">
        <v>1850</v>
      </c>
      <c r="E867" s="12" t="s">
        <v>3531</v>
      </c>
      <c r="F867" s="12" t="s">
        <v>3531</v>
      </c>
      <c r="G867" s="12" t="s">
        <v>3544</v>
      </c>
      <c r="H867" s="12" t="s">
        <v>3565</v>
      </c>
      <c r="I867" s="12" t="s">
        <v>3626</v>
      </c>
      <c r="J867" s="11" t="s">
        <v>1856</v>
      </c>
      <c r="K867" s="11" t="s">
        <v>1852</v>
      </c>
      <c r="L867" s="11" t="s">
        <v>1853</v>
      </c>
      <c r="M867" s="11" t="s">
        <v>3627</v>
      </c>
      <c r="N867" s="12" t="s">
        <v>3628</v>
      </c>
      <c r="O867" s="11" t="s">
        <v>2334</v>
      </c>
      <c r="P867" s="56" t="s">
        <v>1863</v>
      </c>
    </row>
    <row r="868" spans="1:16" ht="15.75" customHeight="1" x14ac:dyDescent="0.2">
      <c r="A868" s="48">
        <v>884</v>
      </c>
      <c r="B868" s="11" t="s">
        <v>1857</v>
      </c>
      <c r="C868" s="11" t="s">
        <v>1849</v>
      </c>
      <c r="D868" s="6" t="s">
        <v>1850</v>
      </c>
      <c r="E868" s="12" t="s">
        <v>3531</v>
      </c>
      <c r="F868" s="12" t="s">
        <v>3531</v>
      </c>
      <c r="G868" s="12" t="s">
        <v>3544</v>
      </c>
      <c r="H868" s="12" t="s">
        <v>3590</v>
      </c>
      <c r="I868" s="12" t="s">
        <v>3629</v>
      </c>
      <c r="J868" s="11" t="s">
        <v>1856</v>
      </c>
      <c r="K868" s="11" t="s">
        <v>1852</v>
      </c>
      <c r="L868" s="11" t="s">
        <v>1853</v>
      </c>
      <c r="M868" s="11" t="s">
        <v>3630</v>
      </c>
      <c r="N868" s="12" t="s">
        <v>3631</v>
      </c>
      <c r="O868" s="11" t="s">
        <v>1867</v>
      </c>
      <c r="P868" s="56" t="s">
        <v>2819</v>
      </c>
    </row>
    <row r="869" spans="1:16" ht="15.75" customHeight="1" x14ac:dyDescent="0.2">
      <c r="A869" s="48">
        <v>5768</v>
      </c>
      <c r="B869" s="11" t="s">
        <v>1857</v>
      </c>
      <c r="C869" s="11" t="s">
        <v>1849</v>
      </c>
      <c r="D869" s="6" t="s">
        <v>1850</v>
      </c>
      <c r="E869" s="12" t="s">
        <v>3531</v>
      </c>
      <c r="F869" s="12" t="s">
        <v>3531</v>
      </c>
      <c r="G869" s="12" t="s">
        <v>3544</v>
      </c>
      <c r="H869" s="12" t="s">
        <v>3590</v>
      </c>
      <c r="I869" s="12" t="s">
        <v>3632</v>
      </c>
      <c r="J869" s="11" t="s">
        <v>1856</v>
      </c>
      <c r="K869" s="11" t="s">
        <v>1852</v>
      </c>
      <c r="L869" s="11" t="s">
        <v>1853</v>
      </c>
      <c r="M869" s="11" t="s">
        <v>3633</v>
      </c>
      <c r="N869" s="12" t="s">
        <v>3634</v>
      </c>
      <c r="O869" s="11" t="s">
        <v>1867</v>
      </c>
      <c r="P869" s="56" t="s">
        <v>1865</v>
      </c>
    </row>
    <row r="870" spans="1:16" ht="15.75" customHeight="1" x14ac:dyDescent="0.2">
      <c r="A870" s="48">
        <v>664</v>
      </c>
      <c r="B870" s="11" t="s">
        <v>1857</v>
      </c>
      <c r="C870" s="11" t="s">
        <v>1849</v>
      </c>
      <c r="D870" s="6" t="s">
        <v>1850</v>
      </c>
      <c r="E870" s="12" t="s">
        <v>3531</v>
      </c>
      <c r="F870" s="12" t="s">
        <v>3531</v>
      </c>
      <c r="G870" s="12" t="s">
        <v>3532</v>
      </c>
      <c r="H870" s="12" t="s">
        <v>3635</v>
      </c>
      <c r="I870" s="12" t="s">
        <v>1582</v>
      </c>
      <c r="J870" s="11" t="s">
        <v>1856</v>
      </c>
      <c r="K870" s="11" t="s">
        <v>1852</v>
      </c>
      <c r="L870" s="11" t="s">
        <v>1853</v>
      </c>
      <c r="M870" s="11" t="s">
        <v>3636</v>
      </c>
      <c r="N870" s="12"/>
      <c r="O870" s="11" t="s">
        <v>1858</v>
      </c>
      <c r="P870" s="56"/>
    </row>
    <row r="871" spans="1:16" ht="15.75" customHeight="1" x14ac:dyDescent="0.2">
      <c r="A871" s="48">
        <v>612</v>
      </c>
      <c r="B871" s="11" t="s">
        <v>1857</v>
      </c>
      <c r="C871" s="11" t="s">
        <v>1849</v>
      </c>
      <c r="D871" s="6" t="s">
        <v>1850</v>
      </c>
      <c r="E871" s="12" t="s">
        <v>3531</v>
      </c>
      <c r="F871" s="12" t="s">
        <v>3531</v>
      </c>
      <c r="G871" s="12" t="s">
        <v>3532</v>
      </c>
      <c r="H871" s="12" t="s">
        <v>3637</v>
      </c>
      <c r="I871" s="12" t="s">
        <v>3638</v>
      </c>
      <c r="J871" s="11" t="s">
        <v>1856</v>
      </c>
      <c r="K871" s="11" t="s">
        <v>1852</v>
      </c>
      <c r="L871" s="11" t="s">
        <v>1853</v>
      </c>
      <c r="M871" s="11" t="s">
        <v>3639</v>
      </c>
      <c r="N871" s="12"/>
      <c r="O871" s="11" t="s">
        <v>1858</v>
      </c>
      <c r="P871" s="56"/>
    </row>
    <row r="872" spans="1:16" ht="15.75" customHeight="1" x14ac:dyDescent="0.2">
      <c r="A872" s="48">
        <v>996</v>
      </c>
      <c r="B872" s="11" t="s">
        <v>1857</v>
      </c>
      <c r="C872" s="11" t="s">
        <v>1849</v>
      </c>
      <c r="D872" s="6" t="s">
        <v>1850</v>
      </c>
      <c r="E872" s="12" t="s">
        <v>3531</v>
      </c>
      <c r="F872" s="12" t="s">
        <v>3531</v>
      </c>
      <c r="G872" s="12" t="s">
        <v>3544</v>
      </c>
      <c r="H872" s="12" t="s">
        <v>3623</v>
      </c>
      <c r="I872" s="12" t="s">
        <v>3640</v>
      </c>
      <c r="J872" s="11" t="s">
        <v>1856</v>
      </c>
      <c r="K872" s="11" t="s">
        <v>1852</v>
      </c>
      <c r="L872" s="11" t="s">
        <v>1853</v>
      </c>
      <c r="M872" s="11" t="s">
        <v>3641</v>
      </c>
      <c r="N872" s="12"/>
      <c r="O872" s="11" t="s">
        <v>1858</v>
      </c>
      <c r="P872" s="56"/>
    </row>
    <row r="873" spans="1:16" ht="15.75" customHeight="1" x14ac:dyDescent="0.2">
      <c r="A873" s="48">
        <v>711</v>
      </c>
      <c r="B873" s="11" t="s">
        <v>1857</v>
      </c>
      <c r="C873" s="11" t="s">
        <v>1849</v>
      </c>
      <c r="D873" s="6" t="s">
        <v>1850</v>
      </c>
      <c r="E873" s="12" t="s">
        <v>3531</v>
      </c>
      <c r="F873" s="12" t="s">
        <v>3531</v>
      </c>
      <c r="G873" s="12" t="s">
        <v>3546</v>
      </c>
      <c r="H873" s="12" t="s">
        <v>2820</v>
      </c>
      <c r="I873" s="12" t="s">
        <v>3642</v>
      </c>
      <c r="J873" s="11" t="s">
        <v>1856</v>
      </c>
      <c r="K873" s="11" t="s">
        <v>1852</v>
      </c>
      <c r="L873" s="11" t="s">
        <v>1853</v>
      </c>
      <c r="M873" s="11" t="s">
        <v>3643</v>
      </c>
      <c r="N873" s="12" t="s">
        <v>3644</v>
      </c>
      <c r="O873" s="11" t="s">
        <v>1858</v>
      </c>
      <c r="P873" s="56"/>
    </row>
    <row r="874" spans="1:16" ht="15.75" customHeight="1" x14ac:dyDescent="0.2">
      <c r="A874" s="48">
        <v>755</v>
      </c>
      <c r="B874" s="11" t="s">
        <v>1857</v>
      </c>
      <c r="C874" s="11" t="s">
        <v>1849</v>
      </c>
      <c r="D874" s="6" t="s">
        <v>1850</v>
      </c>
      <c r="E874" s="12" t="s">
        <v>3531</v>
      </c>
      <c r="F874" s="12" t="s">
        <v>3531</v>
      </c>
      <c r="G874" s="12" t="s">
        <v>3546</v>
      </c>
      <c r="H874" s="12" t="s">
        <v>3583</v>
      </c>
      <c r="I874" s="12" t="s">
        <v>3645</v>
      </c>
      <c r="J874" s="11" t="s">
        <v>1856</v>
      </c>
      <c r="K874" s="11" t="s">
        <v>1852</v>
      </c>
      <c r="L874" s="11" t="s">
        <v>1853</v>
      </c>
      <c r="M874" s="11" t="s">
        <v>1854</v>
      </c>
      <c r="N874" s="12"/>
      <c r="O874" s="11" t="s">
        <v>1860</v>
      </c>
      <c r="P874" s="56"/>
    </row>
    <row r="875" spans="1:16" ht="15.75" customHeight="1" x14ac:dyDescent="0.2">
      <c r="A875" s="48">
        <v>726</v>
      </c>
      <c r="B875" s="11" t="s">
        <v>1857</v>
      </c>
      <c r="C875" s="11" t="s">
        <v>1849</v>
      </c>
      <c r="D875" s="6" t="s">
        <v>1850</v>
      </c>
      <c r="E875" s="12" t="s">
        <v>3531</v>
      </c>
      <c r="F875" s="12" t="s">
        <v>3531</v>
      </c>
      <c r="G875" s="12" t="s">
        <v>3546</v>
      </c>
      <c r="H875" s="12" t="s">
        <v>3605</v>
      </c>
      <c r="I875" s="12" t="s">
        <v>3646</v>
      </c>
      <c r="J875" s="11" t="s">
        <v>1856</v>
      </c>
      <c r="K875" s="11" t="s">
        <v>1852</v>
      </c>
      <c r="L875" s="11" t="s">
        <v>1853</v>
      </c>
      <c r="M875" s="11" t="s">
        <v>1854</v>
      </c>
      <c r="N875" s="12"/>
      <c r="O875" s="11" t="s">
        <v>1859</v>
      </c>
      <c r="P875" s="56"/>
    </row>
    <row r="876" spans="1:16" ht="15.75" customHeight="1" x14ac:dyDescent="0.2">
      <c r="A876" s="48">
        <v>984</v>
      </c>
      <c r="B876" s="11" t="s">
        <v>1857</v>
      </c>
      <c r="C876" s="11" t="s">
        <v>1849</v>
      </c>
      <c r="D876" s="6" t="s">
        <v>1850</v>
      </c>
      <c r="E876" s="12" t="s">
        <v>3531</v>
      </c>
      <c r="F876" s="12" t="s">
        <v>3531</v>
      </c>
      <c r="G876" s="12" t="s">
        <v>3544</v>
      </c>
      <c r="H876" s="12" t="s">
        <v>3565</v>
      </c>
      <c r="I876" s="12" t="s">
        <v>3647</v>
      </c>
      <c r="J876" s="11" t="s">
        <v>1856</v>
      </c>
      <c r="K876" s="11" t="s">
        <v>1852</v>
      </c>
      <c r="L876" s="11" t="s">
        <v>1853</v>
      </c>
      <c r="M876" s="11" t="s">
        <v>1854</v>
      </c>
      <c r="N876" s="12"/>
      <c r="O876" s="11" t="s">
        <v>1859</v>
      </c>
      <c r="P876" s="56"/>
    </row>
    <row r="877" spans="1:16" ht="15.75" customHeight="1" x14ac:dyDescent="0.2">
      <c r="A877" s="48">
        <v>985</v>
      </c>
      <c r="B877" s="11" t="s">
        <v>1857</v>
      </c>
      <c r="C877" s="11" t="s">
        <v>1849</v>
      </c>
      <c r="D877" s="6" t="s">
        <v>1850</v>
      </c>
      <c r="E877" s="12" t="s">
        <v>3531</v>
      </c>
      <c r="F877" s="12" t="s">
        <v>3531</v>
      </c>
      <c r="G877" s="12" t="s">
        <v>3544</v>
      </c>
      <c r="H877" s="12" t="s">
        <v>3565</v>
      </c>
      <c r="I877" s="12" t="s">
        <v>3648</v>
      </c>
      <c r="J877" s="11" t="s">
        <v>1856</v>
      </c>
      <c r="K877" s="11" t="s">
        <v>1852</v>
      </c>
      <c r="L877" s="11" t="s">
        <v>1853</v>
      </c>
      <c r="M877" s="11" t="s">
        <v>3649</v>
      </c>
      <c r="N877" s="12"/>
      <c r="O877" s="11" t="s">
        <v>1860</v>
      </c>
      <c r="P877" s="56"/>
    </row>
    <row r="878" spans="1:16" ht="15.75" customHeight="1" x14ac:dyDescent="0.2">
      <c r="A878" s="48">
        <v>741</v>
      </c>
      <c r="B878" s="11" t="s">
        <v>1857</v>
      </c>
      <c r="C878" s="11" t="s">
        <v>1849</v>
      </c>
      <c r="D878" s="6" t="s">
        <v>1850</v>
      </c>
      <c r="E878" s="12" t="s">
        <v>3531</v>
      </c>
      <c r="F878" s="12" t="s">
        <v>3531</v>
      </c>
      <c r="G878" s="12" t="s">
        <v>3546</v>
      </c>
      <c r="H878" s="12" t="s">
        <v>3605</v>
      </c>
      <c r="I878" s="12" t="s">
        <v>3650</v>
      </c>
      <c r="J878" s="11" t="s">
        <v>1856</v>
      </c>
      <c r="K878" s="11" t="s">
        <v>1852</v>
      </c>
      <c r="L878" s="11" t="s">
        <v>1853</v>
      </c>
      <c r="M878" s="11" t="s">
        <v>3651</v>
      </c>
      <c r="N878" s="12"/>
      <c r="O878" s="11" t="s">
        <v>1860</v>
      </c>
      <c r="P878" s="56"/>
    </row>
    <row r="879" spans="1:16" ht="15.75" customHeight="1" x14ac:dyDescent="0.2">
      <c r="A879" s="48">
        <v>607</v>
      </c>
      <c r="B879" s="11" t="s">
        <v>1857</v>
      </c>
      <c r="C879" s="11" t="s">
        <v>1849</v>
      </c>
      <c r="D879" s="6" t="s">
        <v>1850</v>
      </c>
      <c r="E879" s="12" t="s">
        <v>3531</v>
      </c>
      <c r="F879" s="12" t="s">
        <v>3531</v>
      </c>
      <c r="G879" s="12" t="s">
        <v>3532</v>
      </c>
      <c r="H879" s="12" t="s">
        <v>3532</v>
      </c>
      <c r="I879" s="12" t="s">
        <v>3652</v>
      </c>
      <c r="J879" s="11" t="s">
        <v>1856</v>
      </c>
      <c r="K879" s="11" t="s">
        <v>1852</v>
      </c>
      <c r="L879" s="11" t="s">
        <v>1853</v>
      </c>
      <c r="M879" s="11" t="s">
        <v>3653</v>
      </c>
      <c r="N879" s="12"/>
      <c r="O879" s="11" t="s">
        <v>1860</v>
      </c>
      <c r="P879" s="56"/>
    </row>
    <row r="880" spans="1:16" ht="15.75" customHeight="1" x14ac:dyDescent="0.2">
      <c r="A880" s="48">
        <v>4838</v>
      </c>
      <c r="B880" s="11" t="s">
        <v>1857</v>
      </c>
      <c r="C880" s="11" t="s">
        <v>1849</v>
      </c>
      <c r="D880" s="6" t="s">
        <v>1850</v>
      </c>
      <c r="E880" s="12" t="s">
        <v>3531</v>
      </c>
      <c r="F880" s="12" t="s">
        <v>3531</v>
      </c>
      <c r="G880" s="12" t="s">
        <v>3532</v>
      </c>
      <c r="H880" s="12" t="s">
        <v>3574</v>
      </c>
      <c r="I880" s="12" t="s">
        <v>3654</v>
      </c>
      <c r="J880" s="11" t="s">
        <v>1856</v>
      </c>
      <c r="K880" s="11" t="s">
        <v>1852</v>
      </c>
      <c r="L880" s="11" t="s">
        <v>1853</v>
      </c>
      <c r="M880" s="11" t="s">
        <v>3655</v>
      </c>
      <c r="N880" s="12" t="s">
        <v>3656</v>
      </c>
      <c r="O880" s="11" t="s">
        <v>1860</v>
      </c>
      <c r="P880" s="56"/>
    </row>
    <row r="881" spans="1:16" ht="15.75" customHeight="1" x14ac:dyDescent="0.2">
      <c r="A881" s="48">
        <v>973</v>
      </c>
      <c r="B881" s="11" t="s">
        <v>1857</v>
      </c>
      <c r="C881" s="11" t="s">
        <v>1849</v>
      </c>
      <c r="D881" s="6" t="s">
        <v>1850</v>
      </c>
      <c r="E881" s="12" t="s">
        <v>3531</v>
      </c>
      <c r="F881" s="12" t="s">
        <v>3531</v>
      </c>
      <c r="G881" s="12" t="s">
        <v>3544</v>
      </c>
      <c r="H881" s="12" t="s">
        <v>3565</v>
      </c>
      <c r="I881" s="12" t="s">
        <v>3657</v>
      </c>
      <c r="J881" s="11" t="s">
        <v>1856</v>
      </c>
      <c r="K881" s="11" t="s">
        <v>1852</v>
      </c>
      <c r="L881" s="11" t="s">
        <v>1853</v>
      </c>
      <c r="M881" s="11" t="s">
        <v>3641</v>
      </c>
      <c r="N881" s="12"/>
      <c r="O881" s="11" t="s">
        <v>1859</v>
      </c>
      <c r="P881" s="56"/>
    </row>
    <row r="882" spans="1:16" ht="15.75" customHeight="1" x14ac:dyDescent="0.2">
      <c r="A882" s="48">
        <v>589</v>
      </c>
      <c r="B882" s="11" t="s">
        <v>1857</v>
      </c>
      <c r="C882" s="11" t="s">
        <v>1849</v>
      </c>
      <c r="D882" s="6" t="s">
        <v>1850</v>
      </c>
      <c r="E882" s="12" t="s">
        <v>3531</v>
      </c>
      <c r="F882" s="12" t="s">
        <v>3531</v>
      </c>
      <c r="G882" s="12" t="s">
        <v>3550</v>
      </c>
      <c r="H882" s="12" t="s">
        <v>3553</v>
      </c>
      <c r="I882" s="12" t="s">
        <v>3658</v>
      </c>
      <c r="J882" s="11" t="s">
        <v>1851</v>
      </c>
      <c r="K882" s="11" t="s">
        <v>1852</v>
      </c>
      <c r="L882" s="11" t="s">
        <v>1853</v>
      </c>
      <c r="M882" s="11" t="s">
        <v>3659</v>
      </c>
      <c r="N882" s="12" t="s">
        <v>3660</v>
      </c>
      <c r="O882" s="11" t="s">
        <v>1874</v>
      </c>
      <c r="P882" s="56" t="s">
        <v>1863</v>
      </c>
    </row>
    <row r="883" spans="1:16" ht="15.75" customHeight="1" x14ac:dyDescent="0.2">
      <c r="A883" s="48">
        <v>855</v>
      </c>
      <c r="B883" s="11" t="s">
        <v>1857</v>
      </c>
      <c r="C883" s="11" t="s">
        <v>1849</v>
      </c>
      <c r="D883" s="6" t="s">
        <v>1850</v>
      </c>
      <c r="E883" s="12" t="s">
        <v>3531</v>
      </c>
      <c r="F883" s="12" t="s">
        <v>3531</v>
      </c>
      <c r="G883" s="12" t="s">
        <v>3544</v>
      </c>
      <c r="H883" s="12" t="s">
        <v>3661</v>
      </c>
      <c r="I883" s="12" t="s">
        <v>3662</v>
      </c>
      <c r="J883" s="11" t="s">
        <v>1856</v>
      </c>
      <c r="K883" s="11" t="s">
        <v>1852</v>
      </c>
      <c r="L883" s="11" t="s">
        <v>1853</v>
      </c>
      <c r="M883" s="11" t="s">
        <v>3604</v>
      </c>
      <c r="N883" s="12"/>
      <c r="O883" s="11" t="s">
        <v>1859</v>
      </c>
      <c r="P883" s="56"/>
    </row>
    <row r="884" spans="1:16" ht="15.75" customHeight="1" x14ac:dyDescent="0.2">
      <c r="A884" s="48">
        <v>713</v>
      </c>
      <c r="B884" s="11" t="s">
        <v>1857</v>
      </c>
      <c r="C884" s="11" t="s">
        <v>1849</v>
      </c>
      <c r="D884" s="6" t="s">
        <v>1850</v>
      </c>
      <c r="E884" s="12" t="s">
        <v>3531</v>
      </c>
      <c r="F884" s="12" t="s">
        <v>3531</v>
      </c>
      <c r="G884" s="12" t="s">
        <v>3546</v>
      </c>
      <c r="H884" s="12" t="s">
        <v>3663</v>
      </c>
      <c r="I884" s="12" t="s">
        <v>3664</v>
      </c>
      <c r="J884" s="11" t="s">
        <v>1856</v>
      </c>
      <c r="K884" s="11" t="s">
        <v>1852</v>
      </c>
      <c r="L884" s="11" t="s">
        <v>1853</v>
      </c>
      <c r="M884" s="11" t="s">
        <v>1854</v>
      </c>
      <c r="N884" s="12"/>
      <c r="O884" s="11" t="s">
        <v>1859</v>
      </c>
      <c r="P884" s="56"/>
    </row>
    <row r="885" spans="1:16" ht="15.75" customHeight="1" x14ac:dyDescent="0.2">
      <c r="A885" s="48">
        <v>743</v>
      </c>
      <c r="B885" s="11" t="s">
        <v>1857</v>
      </c>
      <c r="C885" s="11" t="s">
        <v>1849</v>
      </c>
      <c r="D885" s="6" t="s">
        <v>1850</v>
      </c>
      <c r="E885" s="12" t="s">
        <v>3531</v>
      </c>
      <c r="F885" s="12" t="s">
        <v>3531</v>
      </c>
      <c r="G885" s="12" t="s">
        <v>3546</v>
      </c>
      <c r="H885" s="12" t="s">
        <v>3583</v>
      </c>
      <c r="I885" s="12" t="s">
        <v>3665</v>
      </c>
      <c r="J885" s="11" t="s">
        <v>1856</v>
      </c>
      <c r="K885" s="11" t="s">
        <v>1852</v>
      </c>
      <c r="L885" s="11" t="s">
        <v>1853</v>
      </c>
      <c r="M885" s="11" t="s">
        <v>3666</v>
      </c>
      <c r="N885" s="12" t="s">
        <v>3667</v>
      </c>
      <c r="O885" s="11" t="s">
        <v>1859</v>
      </c>
      <c r="P885" s="56"/>
    </row>
    <row r="886" spans="1:16" ht="15.75" customHeight="1" x14ac:dyDescent="0.2">
      <c r="A886" s="48">
        <v>939</v>
      </c>
      <c r="B886" s="11" t="s">
        <v>1857</v>
      </c>
      <c r="C886" s="11" t="s">
        <v>1849</v>
      </c>
      <c r="D886" s="6" t="s">
        <v>1850</v>
      </c>
      <c r="E886" s="12" t="s">
        <v>3531</v>
      </c>
      <c r="F886" s="12" t="s">
        <v>3531</v>
      </c>
      <c r="G886" s="12" t="s">
        <v>3544</v>
      </c>
      <c r="H886" s="12" t="s">
        <v>3617</v>
      </c>
      <c r="I886" s="12" t="s">
        <v>3668</v>
      </c>
      <c r="J886" s="11" t="s">
        <v>1856</v>
      </c>
      <c r="K886" s="11" t="s">
        <v>1852</v>
      </c>
      <c r="L886" s="11" t="s">
        <v>1853</v>
      </c>
      <c r="M886" s="11" t="s">
        <v>3669</v>
      </c>
      <c r="N886" s="12"/>
      <c r="O886" s="11" t="s">
        <v>1860</v>
      </c>
      <c r="P886" s="56"/>
    </row>
    <row r="887" spans="1:16" ht="15.75" customHeight="1" x14ac:dyDescent="0.2">
      <c r="A887" s="48">
        <v>972</v>
      </c>
      <c r="B887" s="11" t="s">
        <v>1857</v>
      </c>
      <c r="C887" s="11" t="s">
        <v>1849</v>
      </c>
      <c r="D887" s="6" t="s">
        <v>1850</v>
      </c>
      <c r="E887" s="12" t="s">
        <v>3531</v>
      </c>
      <c r="F887" s="12" t="s">
        <v>3531</v>
      </c>
      <c r="G887" s="12" t="s">
        <v>3544</v>
      </c>
      <c r="H887" s="12" t="s">
        <v>3565</v>
      </c>
      <c r="I887" s="12" t="s">
        <v>3670</v>
      </c>
      <c r="J887" s="11" t="s">
        <v>1856</v>
      </c>
      <c r="K887" s="11" t="s">
        <v>1852</v>
      </c>
      <c r="L887" s="11" t="s">
        <v>1853</v>
      </c>
      <c r="M887" s="11" t="s">
        <v>1854</v>
      </c>
      <c r="N887" s="12"/>
      <c r="O887" s="11" t="s">
        <v>1860</v>
      </c>
      <c r="P887" s="56"/>
    </row>
    <row r="888" spans="1:16" ht="15.75" customHeight="1" x14ac:dyDescent="0.2">
      <c r="A888" s="48">
        <v>905</v>
      </c>
      <c r="B888" s="11" t="s">
        <v>1857</v>
      </c>
      <c r="C888" s="11" t="s">
        <v>1849</v>
      </c>
      <c r="D888" s="6" t="s">
        <v>1850</v>
      </c>
      <c r="E888" s="12" t="s">
        <v>3531</v>
      </c>
      <c r="F888" s="12" t="s">
        <v>3531</v>
      </c>
      <c r="G888" s="12" t="s">
        <v>3544</v>
      </c>
      <c r="H888" s="12" t="s">
        <v>3594</v>
      </c>
      <c r="I888" s="12" t="s">
        <v>3671</v>
      </c>
      <c r="J888" s="11" t="s">
        <v>1856</v>
      </c>
      <c r="K888" s="11" t="s">
        <v>1852</v>
      </c>
      <c r="L888" s="11" t="s">
        <v>1853</v>
      </c>
      <c r="M888" s="11" t="s">
        <v>1854</v>
      </c>
      <c r="N888" s="12"/>
      <c r="O888" s="11" t="s">
        <v>1858</v>
      </c>
      <c r="P888" s="56"/>
    </row>
    <row r="889" spans="1:16" ht="15.75" customHeight="1" x14ac:dyDescent="0.2">
      <c r="A889" s="48">
        <v>768</v>
      </c>
      <c r="B889" s="11" t="s">
        <v>1857</v>
      </c>
      <c r="C889" s="11" t="s">
        <v>1849</v>
      </c>
      <c r="D889" s="6" t="s">
        <v>1850</v>
      </c>
      <c r="E889" s="12" t="s">
        <v>3531</v>
      </c>
      <c r="F889" s="12" t="s">
        <v>3531</v>
      </c>
      <c r="G889" s="12" t="s">
        <v>3672</v>
      </c>
      <c r="H889" s="12" t="s">
        <v>3673</v>
      </c>
      <c r="I889" s="12" t="s">
        <v>3674</v>
      </c>
      <c r="J889" s="11" t="s">
        <v>1856</v>
      </c>
      <c r="K889" s="11" t="s">
        <v>1852</v>
      </c>
      <c r="L889" s="11" t="s">
        <v>1853</v>
      </c>
      <c r="M889" s="11" t="s">
        <v>3675</v>
      </c>
      <c r="N889" s="12"/>
      <c r="O889" s="11" t="s">
        <v>1858</v>
      </c>
      <c r="P889" s="56"/>
    </row>
    <row r="890" spans="1:16" ht="15.75" customHeight="1" x14ac:dyDescent="0.2">
      <c r="A890" s="48">
        <v>928</v>
      </c>
      <c r="B890" s="11" t="s">
        <v>1857</v>
      </c>
      <c r="C890" s="11" t="s">
        <v>1849</v>
      </c>
      <c r="D890" s="6" t="s">
        <v>1850</v>
      </c>
      <c r="E890" s="12" t="s">
        <v>3531</v>
      </c>
      <c r="F890" s="12" t="s">
        <v>3531</v>
      </c>
      <c r="G890" s="12" t="s">
        <v>3544</v>
      </c>
      <c r="H890" s="12" t="s">
        <v>3676</v>
      </c>
      <c r="I890" s="12" t="s">
        <v>3677</v>
      </c>
      <c r="J890" s="11" t="s">
        <v>1856</v>
      </c>
      <c r="K890" s="11" t="s">
        <v>1852</v>
      </c>
      <c r="L890" s="11" t="s">
        <v>1853</v>
      </c>
      <c r="M890" s="11" t="s">
        <v>3678</v>
      </c>
      <c r="N890" s="12" t="s">
        <v>3679</v>
      </c>
      <c r="O890" s="11" t="s">
        <v>1858</v>
      </c>
      <c r="P890" s="56"/>
    </row>
    <row r="891" spans="1:16" ht="15.75" customHeight="1" x14ac:dyDescent="0.2">
      <c r="A891" s="48">
        <v>758</v>
      </c>
      <c r="B891" s="11" t="s">
        <v>1857</v>
      </c>
      <c r="C891" s="11" t="s">
        <v>1849</v>
      </c>
      <c r="D891" s="6" t="s">
        <v>1850</v>
      </c>
      <c r="E891" s="12" t="s">
        <v>3531</v>
      </c>
      <c r="F891" s="12" t="s">
        <v>3531</v>
      </c>
      <c r="G891" s="12" t="s">
        <v>3672</v>
      </c>
      <c r="H891" s="12" t="s">
        <v>3672</v>
      </c>
      <c r="I891" s="12" t="s">
        <v>3680</v>
      </c>
      <c r="J891" s="11" t="s">
        <v>1851</v>
      </c>
      <c r="K891" s="11" t="s">
        <v>1852</v>
      </c>
      <c r="L891" s="11" t="s">
        <v>1853</v>
      </c>
      <c r="M891" s="11" t="s">
        <v>3681</v>
      </c>
      <c r="N891" s="12" t="s">
        <v>3682</v>
      </c>
      <c r="O891" s="11" t="s">
        <v>1866</v>
      </c>
      <c r="P891" s="56" t="s">
        <v>1865</v>
      </c>
    </row>
    <row r="892" spans="1:16" ht="15.75" customHeight="1" x14ac:dyDescent="0.2">
      <c r="A892" s="48">
        <v>836</v>
      </c>
      <c r="B892" s="11" t="s">
        <v>1857</v>
      </c>
      <c r="C892" s="11" t="s">
        <v>1849</v>
      </c>
      <c r="D892" s="6" t="s">
        <v>1850</v>
      </c>
      <c r="E892" s="12" t="s">
        <v>3531</v>
      </c>
      <c r="F892" s="12" t="s">
        <v>3531</v>
      </c>
      <c r="G892" s="12" t="s">
        <v>3544</v>
      </c>
      <c r="H892" s="12" t="s">
        <v>3544</v>
      </c>
      <c r="I892" s="12" t="s">
        <v>3683</v>
      </c>
      <c r="J892" s="11" t="s">
        <v>1851</v>
      </c>
      <c r="K892" s="11" t="s">
        <v>1852</v>
      </c>
      <c r="L892" s="11" t="s">
        <v>1853</v>
      </c>
      <c r="M892" s="11" t="s">
        <v>3619</v>
      </c>
      <c r="N892" s="12"/>
      <c r="O892" s="11" t="s">
        <v>1866</v>
      </c>
      <c r="P892" s="56" t="s">
        <v>3684</v>
      </c>
    </row>
    <row r="893" spans="1:16" ht="15.75" customHeight="1" x14ac:dyDescent="0.2">
      <c r="A893" s="48">
        <v>580</v>
      </c>
      <c r="B893" s="11" t="s">
        <v>1857</v>
      </c>
      <c r="C893" s="11" t="s">
        <v>1849</v>
      </c>
      <c r="D893" s="6" t="s">
        <v>1850</v>
      </c>
      <c r="E893" s="12" t="s">
        <v>3531</v>
      </c>
      <c r="F893" s="12" t="s">
        <v>3531</v>
      </c>
      <c r="G893" s="12" t="s">
        <v>3550</v>
      </c>
      <c r="H893" s="12" t="s">
        <v>3555</v>
      </c>
      <c r="I893" s="12" t="s">
        <v>3685</v>
      </c>
      <c r="J893" s="11" t="s">
        <v>1856</v>
      </c>
      <c r="K893" s="11" t="s">
        <v>1852</v>
      </c>
      <c r="L893" s="11" t="s">
        <v>1853</v>
      </c>
      <c r="M893" s="11" t="s">
        <v>3686</v>
      </c>
      <c r="N893" s="12" t="s">
        <v>3687</v>
      </c>
      <c r="O893" s="11" t="s">
        <v>1864</v>
      </c>
      <c r="P893" s="56" t="s">
        <v>2819</v>
      </c>
    </row>
    <row r="894" spans="1:16" ht="15.75" customHeight="1" x14ac:dyDescent="0.2">
      <c r="A894" s="48">
        <v>550</v>
      </c>
      <c r="B894" s="11" t="s">
        <v>1857</v>
      </c>
      <c r="C894" s="11" t="s">
        <v>1849</v>
      </c>
      <c r="D894" s="6" t="s">
        <v>1850</v>
      </c>
      <c r="E894" s="12" t="s">
        <v>3531</v>
      </c>
      <c r="F894" s="12" t="s">
        <v>3531</v>
      </c>
      <c r="G894" s="12" t="s">
        <v>3550</v>
      </c>
      <c r="H894" s="12" t="s">
        <v>3550</v>
      </c>
      <c r="I894" s="12" t="s">
        <v>3688</v>
      </c>
      <c r="J894" s="11" t="s">
        <v>1851</v>
      </c>
      <c r="K894" s="11" t="s">
        <v>1852</v>
      </c>
      <c r="L894" s="11" t="s">
        <v>1853</v>
      </c>
      <c r="M894" s="11" t="s">
        <v>1854</v>
      </c>
      <c r="N894" s="12"/>
      <c r="O894" s="11" t="s">
        <v>1866</v>
      </c>
      <c r="P894" s="56" t="s">
        <v>3689</v>
      </c>
    </row>
    <row r="895" spans="1:16" ht="15.75" customHeight="1" x14ac:dyDescent="0.2">
      <c r="A895" s="48">
        <v>675</v>
      </c>
      <c r="B895" s="11" t="s">
        <v>1857</v>
      </c>
      <c r="C895" s="11" t="s">
        <v>1849</v>
      </c>
      <c r="D895" s="6" t="s">
        <v>1850</v>
      </c>
      <c r="E895" s="12" t="s">
        <v>3531</v>
      </c>
      <c r="F895" s="12" t="s">
        <v>3531</v>
      </c>
      <c r="G895" s="12" t="s">
        <v>3546</v>
      </c>
      <c r="H895" s="12" t="s">
        <v>3583</v>
      </c>
      <c r="I895" s="12" t="s">
        <v>3303</v>
      </c>
      <c r="J895" s="11" t="s">
        <v>1856</v>
      </c>
      <c r="K895" s="11" t="s">
        <v>1852</v>
      </c>
      <c r="L895" s="11" t="s">
        <v>1853</v>
      </c>
      <c r="M895" s="11" t="s">
        <v>3619</v>
      </c>
      <c r="N895" s="12"/>
      <c r="O895" s="11" t="s">
        <v>1858</v>
      </c>
      <c r="P895" s="56"/>
    </row>
    <row r="896" spans="1:16" ht="15.75" customHeight="1" x14ac:dyDescent="0.2">
      <c r="A896" s="48">
        <v>931</v>
      </c>
      <c r="B896" s="11" t="s">
        <v>1857</v>
      </c>
      <c r="C896" s="11" t="s">
        <v>1849</v>
      </c>
      <c r="D896" s="6" t="s">
        <v>1850</v>
      </c>
      <c r="E896" s="12" t="s">
        <v>3531</v>
      </c>
      <c r="F896" s="12" t="s">
        <v>3531</v>
      </c>
      <c r="G896" s="12" t="s">
        <v>3544</v>
      </c>
      <c r="H896" s="12" t="s">
        <v>3617</v>
      </c>
      <c r="I896" s="12" t="s">
        <v>3690</v>
      </c>
      <c r="J896" s="11" t="s">
        <v>1856</v>
      </c>
      <c r="K896" s="11" t="s">
        <v>1852</v>
      </c>
      <c r="L896" s="11" t="s">
        <v>1853</v>
      </c>
      <c r="M896" s="11" t="s">
        <v>3691</v>
      </c>
      <c r="N896" s="12" t="s">
        <v>3692</v>
      </c>
      <c r="O896" s="11" t="s">
        <v>1860</v>
      </c>
      <c r="P896" s="56"/>
    </row>
    <row r="897" spans="1:16" ht="15.75" customHeight="1" x14ac:dyDescent="0.2">
      <c r="A897" s="48">
        <v>970</v>
      </c>
      <c r="B897" s="11" t="s">
        <v>1857</v>
      </c>
      <c r="C897" s="11" t="s">
        <v>1849</v>
      </c>
      <c r="D897" s="6" t="s">
        <v>1850</v>
      </c>
      <c r="E897" s="12" t="s">
        <v>3531</v>
      </c>
      <c r="F897" s="12" t="s">
        <v>3531</v>
      </c>
      <c r="G897" s="12" t="s">
        <v>3544</v>
      </c>
      <c r="H897" s="12" t="s">
        <v>3565</v>
      </c>
      <c r="I897" s="12" t="s">
        <v>3693</v>
      </c>
      <c r="J897" s="11" t="s">
        <v>1856</v>
      </c>
      <c r="K897" s="11" t="s">
        <v>1852</v>
      </c>
      <c r="L897" s="11" t="s">
        <v>1853</v>
      </c>
      <c r="M897" s="11" t="s">
        <v>3694</v>
      </c>
      <c r="N897" s="12"/>
      <c r="O897" s="11" t="s">
        <v>1858</v>
      </c>
      <c r="P897" s="56"/>
    </row>
    <row r="898" spans="1:16" ht="15.75" customHeight="1" x14ac:dyDescent="0.2">
      <c r="A898" s="48">
        <v>971</v>
      </c>
      <c r="B898" s="11" t="s">
        <v>1857</v>
      </c>
      <c r="C898" s="11" t="s">
        <v>1849</v>
      </c>
      <c r="D898" s="6" t="s">
        <v>1850</v>
      </c>
      <c r="E898" s="12" t="s">
        <v>3531</v>
      </c>
      <c r="F898" s="12" t="s">
        <v>3531</v>
      </c>
      <c r="G898" s="12" t="s">
        <v>3544</v>
      </c>
      <c r="H898" s="12" t="s">
        <v>3565</v>
      </c>
      <c r="I898" s="12" t="s">
        <v>3695</v>
      </c>
      <c r="J898" s="11" t="s">
        <v>1856</v>
      </c>
      <c r="K898" s="11" t="s">
        <v>1852</v>
      </c>
      <c r="L898" s="11" t="s">
        <v>1853</v>
      </c>
      <c r="M898" s="11" t="s">
        <v>3696</v>
      </c>
      <c r="N898" s="12" t="s">
        <v>3697</v>
      </c>
      <c r="O898" s="11" t="s">
        <v>1859</v>
      </c>
      <c r="P898" s="56"/>
    </row>
    <row r="899" spans="1:16" ht="15.75" customHeight="1" x14ac:dyDescent="0.2">
      <c r="A899" s="48">
        <v>786</v>
      </c>
      <c r="B899" s="11" t="s">
        <v>1857</v>
      </c>
      <c r="C899" s="11" t="s">
        <v>1849</v>
      </c>
      <c r="D899" s="6" t="s">
        <v>1850</v>
      </c>
      <c r="E899" s="12" t="s">
        <v>3531</v>
      </c>
      <c r="F899" s="12" t="s">
        <v>3531</v>
      </c>
      <c r="G899" s="12" t="s">
        <v>3672</v>
      </c>
      <c r="H899" s="12" t="s">
        <v>3698</v>
      </c>
      <c r="I899" s="12" t="s">
        <v>3699</v>
      </c>
      <c r="J899" s="11" t="s">
        <v>1856</v>
      </c>
      <c r="K899" s="11" t="s">
        <v>1852</v>
      </c>
      <c r="L899" s="11" t="s">
        <v>1853</v>
      </c>
      <c r="M899" s="11" t="s">
        <v>1854</v>
      </c>
      <c r="N899" s="12"/>
      <c r="O899" s="11" t="s">
        <v>1859</v>
      </c>
      <c r="P899" s="56"/>
    </row>
    <row r="900" spans="1:16" ht="15.75" customHeight="1" x14ac:dyDescent="0.2">
      <c r="A900" s="48">
        <v>738</v>
      </c>
      <c r="B900" s="11" t="s">
        <v>1857</v>
      </c>
      <c r="C900" s="11" t="s">
        <v>1849</v>
      </c>
      <c r="D900" s="6" t="s">
        <v>1850</v>
      </c>
      <c r="E900" s="12" t="s">
        <v>3531</v>
      </c>
      <c r="F900" s="12" t="s">
        <v>3531</v>
      </c>
      <c r="G900" s="12" t="s">
        <v>3546</v>
      </c>
      <c r="H900" s="12" t="s">
        <v>3605</v>
      </c>
      <c r="I900" s="12" t="s">
        <v>3700</v>
      </c>
      <c r="J900" s="11" t="s">
        <v>1856</v>
      </c>
      <c r="K900" s="11" t="s">
        <v>1852</v>
      </c>
      <c r="L900" s="11" t="s">
        <v>1853</v>
      </c>
      <c r="M900" s="11" t="s">
        <v>3701</v>
      </c>
      <c r="N900" s="12"/>
      <c r="O900" s="11" t="s">
        <v>1860</v>
      </c>
      <c r="P900" s="56"/>
    </row>
    <row r="901" spans="1:16" ht="15.75" customHeight="1" x14ac:dyDescent="0.2">
      <c r="A901" s="48">
        <v>570</v>
      </c>
      <c r="B901" s="11" t="s">
        <v>1857</v>
      </c>
      <c r="C901" s="11" t="s">
        <v>1849</v>
      </c>
      <c r="D901" s="6" t="s">
        <v>1850</v>
      </c>
      <c r="E901" s="12" t="s">
        <v>3531</v>
      </c>
      <c r="F901" s="12" t="s">
        <v>3531</v>
      </c>
      <c r="G901" s="12" t="s">
        <v>3550</v>
      </c>
      <c r="H901" s="12" t="s">
        <v>3702</v>
      </c>
      <c r="I901" s="12" t="s">
        <v>3703</v>
      </c>
      <c r="J901" s="11" t="s">
        <v>1856</v>
      </c>
      <c r="K901" s="11" t="s">
        <v>1852</v>
      </c>
      <c r="L901" s="11" t="s">
        <v>1853</v>
      </c>
      <c r="M901" s="11" t="s">
        <v>3704</v>
      </c>
      <c r="N901" s="12"/>
      <c r="O901" s="11" t="s">
        <v>1858</v>
      </c>
      <c r="P901" s="56"/>
    </row>
    <row r="902" spans="1:16" ht="15.75" customHeight="1" x14ac:dyDescent="0.2">
      <c r="A902" s="48">
        <v>615</v>
      </c>
      <c r="B902" s="11" t="s">
        <v>1857</v>
      </c>
      <c r="C902" s="11" t="s">
        <v>1849</v>
      </c>
      <c r="D902" s="6" t="s">
        <v>1850</v>
      </c>
      <c r="E902" s="12" t="s">
        <v>3531</v>
      </c>
      <c r="F902" s="12" t="s">
        <v>3531</v>
      </c>
      <c r="G902" s="12" t="s">
        <v>3532</v>
      </c>
      <c r="H902" s="12" t="s">
        <v>3538</v>
      </c>
      <c r="I902" s="12" t="s">
        <v>3705</v>
      </c>
      <c r="J902" s="11" t="s">
        <v>1856</v>
      </c>
      <c r="K902" s="11" t="s">
        <v>1852</v>
      </c>
      <c r="L902" s="11" t="s">
        <v>1853</v>
      </c>
      <c r="M902" s="11" t="s">
        <v>1854</v>
      </c>
      <c r="N902" s="12"/>
      <c r="O902" s="11" t="s">
        <v>1858</v>
      </c>
      <c r="P902" s="56"/>
    </row>
    <row r="903" spans="1:16" ht="15.75" customHeight="1" x14ac:dyDescent="0.2">
      <c r="A903" s="48">
        <v>803</v>
      </c>
      <c r="B903" s="11" t="s">
        <v>1857</v>
      </c>
      <c r="C903" s="11" t="s">
        <v>1849</v>
      </c>
      <c r="D903" s="6" t="s">
        <v>1850</v>
      </c>
      <c r="E903" s="12" t="s">
        <v>3531</v>
      </c>
      <c r="F903" s="12" t="s">
        <v>3531</v>
      </c>
      <c r="G903" s="12" t="s">
        <v>3599</v>
      </c>
      <c r="H903" s="12" t="s">
        <v>3706</v>
      </c>
      <c r="I903" s="12" t="s">
        <v>3707</v>
      </c>
      <c r="J903" s="11" t="s">
        <v>1856</v>
      </c>
      <c r="K903" s="11" t="s">
        <v>1852</v>
      </c>
      <c r="L903" s="11" t="s">
        <v>1853</v>
      </c>
      <c r="M903" s="11" t="s">
        <v>3611</v>
      </c>
      <c r="N903" s="12"/>
      <c r="O903" s="11" t="s">
        <v>1858</v>
      </c>
      <c r="P903" s="56"/>
    </row>
    <row r="904" spans="1:16" ht="15.75" customHeight="1" x14ac:dyDescent="0.2">
      <c r="A904" s="48">
        <v>663</v>
      </c>
      <c r="B904" s="11" t="s">
        <v>1857</v>
      </c>
      <c r="C904" s="11" t="s">
        <v>1849</v>
      </c>
      <c r="D904" s="6" t="s">
        <v>1850</v>
      </c>
      <c r="E904" s="12" t="s">
        <v>3531</v>
      </c>
      <c r="F904" s="12" t="s">
        <v>3531</v>
      </c>
      <c r="G904" s="12" t="s">
        <v>3532</v>
      </c>
      <c r="H904" s="12" t="s">
        <v>3574</v>
      </c>
      <c r="I904" s="12" t="s">
        <v>3708</v>
      </c>
      <c r="J904" s="11" t="s">
        <v>1856</v>
      </c>
      <c r="K904" s="11" t="s">
        <v>1852</v>
      </c>
      <c r="L904" s="11" t="s">
        <v>1853</v>
      </c>
      <c r="M904" s="11" t="s">
        <v>3709</v>
      </c>
      <c r="N904" s="12"/>
      <c r="O904" s="11" t="s">
        <v>1858</v>
      </c>
      <c r="P904" s="56"/>
    </row>
    <row r="905" spans="1:16" ht="15.75" customHeight="1" x14ac:dyDescent="0.2">
      <c r="A905" s="48">
        <v>769</v>
      </c>
      <c r="B905" s="11" t="s">
        <v>1857</v>
      </c>
      <c r="C905" s="11" t="s">
        <v>1849</v>
      </c>
      <c r="D905" s="6" t="s">
        <v>1850</v>
      </c>
      <c r="E905" s="12" t="s">
        <v>3531</v>
      </c>
      <c r="F905" s="12" t="s">
        <v>3531</v>
      </c>
      <c r="G905" s="12" t="s">
        <v>3672</v>
      </c>
      <c r="H905" s="12" t="s">
        <v>3673</v>
      </c>
      <c r="I905" s="12" t="s">
        <v>3710</v>
      </c>
      <c r="J905" s="11" t="s">
        <v>1856</v>
      </c>
      <c r="K905" s="11" t="s">
        <v>1852</v>
      </c>
      <c r="L905" s="11" t="s">
        <v>1853</v>
      </c>
      <c r="M905" s="11" t="s">
        <v>3711</v>
      </c>
      <c r="N905" s="12"/>
      <c r="O905" s="11" t="s">
        <v>1859</v>
      </c>
      <c r="P905" s="56"/>
    </row>
    <row r="906" spans="1:16" ht="15.75" customHeight="1" x14ac:dyDescent="0.2">
      <c r="A906" s="48">
        <v>648</v>
      </c>
      <c r="B906" s="11" t="s">
        <v>1857</v>
      </c>
      <c r="C906" s="11" t="s">
        <v>1849</v>
      </c>
      <c r="D906" s="6" t="s">
        <v>1850</v>
      </c>
      <c r="E906" s="12" t="s">
        <v>3531</v>
      </c>
      <c r="F906" s="12" t="s">
        <v>3531</v>
      </c>
      <c r="G906" s="12" t="s">
        <v>3532</v>
      </c>
      <c r="H906" s="13" t="s">
        <v>3535</v>
      </c>
      <c r="I906" s="12" t="s">
        <v>3712</v>
      </c>
      <c r="J906" s="11" t="s">
        <v>1856</v>
      </c>
      <c r="K906" s="11" t="s">
        <v>1852</v>
      </c>
      <c r="L906" s="11" t="s">
        <v>1853</v>
      </c>
      <c r="M906" s="11" t="s">
        <v>3713</v>
      </c>
      <c r="N906" s="12" t="s">
        <v>3714</v>
      </c>
      <c r="O906" s="11" t="s">
        <v>1858</v>
      </c>
      <c r="P906" s="56"/>
    </row>
    <row r="907" spans="1:16" ht="15.75" customHeight="1" x14ac:dyDescent="0.2">
      <c r="A907" s="48">
        <v>796</v>
      </c>
      <c r="B907" s="11" t="s">
        <v>1857</v>
      </c>
      <c r="C907" s="11" t="s">
        <v>1849</v>
      </c>
      <c r="D907" s="6" t="s">
        <v>1850</v>
      </c>
      <c r="E907" s="12" t="s">
        <v>3531</v>
      </c>
      <c r="F907" s="12" t="s">
        <v>3531</v>
      </c>
      <c r="G907" s="12" t="s">
        <v>3599</v>
      </c>
      <c r="H907" s="12" t="s">
        <v>3599</v>
      </c>
      <c r="I907" s="12" t="s">
        <v>3715</v>
      </c>
      <c r="J907" s="11" t="s">
        <v>1856</v>
      </c>
      <c r="K907" s="11" t="s">
        <v>1852</v>
      </c>
      <c r="L907" s="11" t="s">
        <v>1853</v>
      </c>
      <c r="M907" s="11" t="s">
        <v>1854</v>
      </c>
      <c r="N907" s="12"/>
      <c r="O907" s="11" t="s">
        <v>1859</v>
      </c>
      <c r="P907" s="56"/>
    </row>
    <row r="908" spans="1:16" ht="15.75" customHeight="1" x14ac:dyDescent="0.2">
      <c r="A908" s="48">
        <v>807</v>
      </c>
      <c r="B908" s="11" t="s">
        <v>1857</v>
      </c>
      <c r="C908" s="11" t="s">
        <v>1849</v>
      </c>
      <c r="D908" s="6" t="s">
        <v>1850</v>
      </c>
      <c r="E908" s="12" t="s">
        <v>3531</v>
      </c>
      <c r="F908" s="12" t="s">
        <v>3531</v>
      </c>
      <c r="G908" s="12" t="s">
        <v>3599</v>
      </c>
      <c r="H908" s="12" t="s">
        <v>1918</v>
      </c>
      <c r="I908" s="12" t="s">
        <v>3716</v>
      </c>
      <c r="J908" s="11" t="s">
        <v>1856</v>
      </c>
      <c r="K908" s="11" t="s">
        <v>1852</v>
      </c>
      <c r="L908" s="11" t="s">
        <v>1853</v>
      </c>
      <c r="M908" s="11" t="s">
        <v>3717</v>
      </c>
      <c r="N908" s="12"/>
      <c r="O908" s="11" t="s">
        <v>1859</v>
      </c>
      <c r="P908" s="56"/>
    </row>
    <row r="909" spans="1:16" ht="15.75" customHeight="1" x14ac:dyDescent="0.2">
      <c r="A909" s="48">
        <v>632</v>
      </c>
      <c r="B909" s="11" t="s">
        <v>1857</v>
      </c>
      <c r="C909" s="11" t="s">
        <v>1849</v>
      </c>
      <c r="D909" s="6" t="s">
        <v>1850</v>
      </c>
      <c r="E909" s="12" t="s">
        <v>3531</v>
      </c>
      <c r="F909" s="12" t="s">
        <v>3531</v>
      </c>
      <c r="G909" s="12" t="s">
        <v>3532</v>
      </c>
      <c r="H909" s="12" t="s">
        <v>3542</v>
      </c>
      <c r="I909" s="12" t="s">
        <v>3718</v>
      </c>
      <c r="J909" s="11" t="s">
        <v>1856</v>
      </c>
      <c r="K909" s="11" t="s">
        <v>1852</v>
      </c>
      <c r="L909" s="11" t="s">
        <v>1853</v>
      </c>
      <c r="M909" s="11" t="s">
        <v>3719</v>
      </c>
      <c r="N909" s="12"/>
      <c r="O909" s="11" t="s">
        <v>1859</v>
      </c>
      <c r="P909" s="56"/>
    </row>
    <row r="910" spans="1:16" ht="15.75" customHeight="1" x14ac:dyDescent="0.2">
      <c r="A910" s="48">
        <v>936</v>
      </c>
      <c r="B910" s="11" t="s">
        <v>1857</v>
      </c>
      <c r="C910" s="11" t="s">
        <v>1849</v>
      </c>
      <c r="D910" s="6" t="s">
        <v>1850</v>
      </c>
      <c r="E910" s="12" t="s">
        <v>3531</v>
      </c>
      <c r="F910" s="12" t="s">
        <v>3531</v>
      </c>
      <c r="G910" s="12" t="s">
        <v>3544</v>
      </c>
      <c r="H910" s="12" t="s">
        <v>3617</v>
      </c>
      <c r="I910" s="12" t="s">
        <v>3720</v>
      </c>
      <c r="J910" s="11" t="s">
        <v>1856</v>
      </c>
      <c r="K910" s="11" t="s">
        <v>1852</v>
      </c>
      <c r="L910" s="11" t="s">
        <v>1853</v>
      </c>
      <c r="M910" s="11" t="s">
        <v>3651</v>
      </c>
      <c r="N910" s="12"/>
      <c r="O910" s="11" t="s">
        <v>1860</v>
      </c>
      <c r="P910" s="56"/>
    </row>
    <row r="911" spans="1:16" ht="15.75" customHeight="1" x14ac:dyDescent="0.2">
      <c r="A911" s="48">
        <v>952</v>
      </c>
      <c r="B911" s="11" t="s">
        <v>1857</v>
      </c>
      <c r="C911" s="11" t="s">
        <v>1849</v>
      </c>
      <c r="D911" s="6" t="s">
        <v>1850</v>
      </c>
      <c r="E911" s="12" t="s">
        <v>3531</v>
      </c>
      <c r="F911" s="12" t="s">
        <v>3531</v>
      </c>
      <c r="G911" s="12" t="s">
        <v>3544</v>
      </c>
      <c r="H911" s="12" t="s">
        <v>3617</v>
      </c>
      <c r="I911" s="12" t="s">
        <v>3721</v>
      </c>
      <c r="J911" s="11" t="s">
        <v>1856</v>
      </c>
      <c r="K911" s="11" t="s">
        <v>1852</v>
      </c>
      <c r="L911" s="11" t="s">
        <v>1853</v>
      </c>
      <c r="M911" s="11" t="s">
        <v>3722</v>
      </c>
      <c r="N911" s="12"/>
      <c r="O911" s="11" t="s">
        <v>1858</v>
      </c>
      <c r="P911" s="56"/>
    </row>
    <row r="912" spans="1:16" ht="15.75" customHeight="1" x14ac:dyDescent="0.2">
      <c r="A912" s="48">
        <v>953</v>
      </c>
      <c r="B912" s="11" t="s">
        <v>1857</v>
      </c>
      <c r="C912" s="11" t="s">
        <v>1849</v>
      </c>
      <c r="D912" s="6" t="s">
        <v>1850</v>
      </c>
      <c r="E912" s="12" t="s">
        <v>3531</v>
      </c>
      <c r="F912" s="12" t="s">
        <v>3531</v>
      </c>
      <c r="G912" s="12" t="s">
        <v>3544</v>
      </c>
      <c r="H912" s="12" t="s">
        <v>3617</v>
      </c>
      <c r="I912" s="12" t="s">
        <v>3723</v>
      </c>
      <c r="J912" s="11" t="s">
        <v>1856</v>
      </c>
      <c r="K912" s="11" t="s">
        <v>1852</v>
      </c>
      <c r="L912" s="11" t="s">
        <v>1853</v>
      </c>
      <c r="M912" s="11" t="s">
        <v>1958</v>
      </c>
      <c r="N912" s="12"/>
      <c r="O912" s="11" t="s">
        <v>1859</v>
      </c>
      <c r="P912" s="56"/>
    </row>
    <row r="913" spans="1:16" ht="15.75" customHeight="1" x14ac:dyDescent="0.2">
      <c r="A913" s="48">
        <v>614</v>
      </c>
      <c r="B913" s="11" t="s">
        <v>1857</v>
      </c>
      <c r="C913" s="11" t="s">
        <v>1849</v>
      </c>
      <c r="D913" s="6" t="s">
        <v>1850</v>
      </c>
      <c r="E913" s="12" t="s">
        <v>3531</v>
      </c>
      <c r="F913" s="12" t="s">
        <v>3531</v>
      </c>
      <c r="G913" s="12" t="s">
        <v>3532</v>
      </c>
      <c r="H913" s="12" t="s">
        <v>3637</v>
      </c>
      <c r="I913" s="12" t="s">
        <v>3724</v>
      </c>
      <c r="J913" s="11" t="s">
        <v>1856</v>
      </c>
      <c r="K913" s="11" t="s">
        <v>1852</v>
      </c>
      <c r="L913" s="11" t="s">
        <v>1853</v>
      </c>
      <c r="M913" s="11" t="s">
        <v>3725</v>
      </c>
      <c r="N913" s="12"/>
      <c r="O913" s="11" t="s">
        <v>3726</v>
      </c>
      <c r="P913" s="56"/>
    </row>
    <row r="914" spans="1:16" ht="15.75" customHeight="1" x14ac:dyDescent="0.2">
      <c r="A914" s="48">
        <v>624</v>
      </c>
      <c r="B914" s="11" t="s">
        <v>1857</v>
      </c>
      <c r="C914" s="11" t="s">
        <v>1849</v>
      </c>
      <c r="D914" s="6" t="s">
        <v>1850</v>
      </c>
      <c r="E914" s="12" t="s">
        <v>3531</v>
      </c>
      <c r="F914" s="12" t="s">
        <v>3531</v>
      </c>
      <c r="G914" s="12" t="s">
        <v>3532</v>
      </c>
      <c r="H914" s="12" t="s">
        <v>3727</v>
      </c>
      <c r="I914" s="12" t="s">
        <v>3728</v>
      </c>
      <c r="J914" s="11" t="s">
        <v>1856</v>
      </c>
      <c r="K914" s="11" t="s">
        <v>1852</v>
      </c>
      <c r="L914" s="11" t="s">
        <v>1853</v>
      </c>
      <c r="M914" s="11" t="s">
        <v>3729</v>
      </c>
      <c r="N914" s="12"/>
      <c r="O914" s="11" t="s">
        <v>1858</v>
      </c>
      <c r="P914" s="56"/>
    </row>
    <row r="915" spans="1:16" ht="15.75" customHeight="1" x14ac:dyDescent="0.2">
      <c r="A915" s="48">
        <v>770</v>
      </c>
      <c r="B915" s="11" t="s">
        <v>1857</v>
      </c>
      <c r="C915" s="11" t="s">
        <v>1849</v>
      </c>
      <c r="D915" s="6" t="s">
        <v>1850</v>
      </c>
      <c r="E915" s="12" t="s">
        <v>3531</v>
      </c>
      <c r="F915" s="12" t="s">
        <v>3531</v>
      </c>
      <c r="G915" s="12" t="s">
        <v>3672</v>
      </c>
      <c r="H915" s="12" t="s">
        <v>3730</v>
      </c>
      <c r="I915" s="12" t="s">
        <v>3731</v>
      </c>
      <c r="J915" s="11" t="s">
        <v>1856</v>
      </c>
      <c r="K915" s="11" t="s">
        <v>1852</v>
      </c>
      <c r="L915" s="11" t="s">
        <v>1853</v>
      </c>
      <c r="M915" s="11" t="s">
        <v>3569</v>
      </c>
      <c r="N915" s="12"/>
      <c r="O915" s="11" t="s">
        <v>1858</v>
      </c>
      <c r="P915" s="56"/>
    </row>
    <row r="916" spans="1:16" ht="15.75" customHeight="1" x14ac:dyDescent="0.2">
      <c r="A916" s="48">
        <v>751</v>
      </c>
      <c r="B916" s="11" t="s">
        <v>1857</v>
      </c>
      <c r="C916" s="11" t="s">
        <v>1849</v>
      </c>
      <c r="D916" s="6" t="s">
        <v>1850</v>
      </c>
      <c r="E916" s="12" t="s">
        <v>3531</v>
      </c>
      <c r="F916" s="12" t="s">
        <v>3531</v>
      </c>
      <c r="G916" s="12" t="s">
        <v>3546</v>
      </c>
      <c r="H916" s="12" t="s">
        <v>3583</v>
      </c>
      <c r="I916" s="12" t="s">
        <v>3732</v>
      </c>
      <c r="J916" s="11" t="s">
        <v>1856</v>
      </c>
      <c r="K916" s="11" t="s">
        <v>1852</v>
      </c>
      <c r="L916" s="11" t="s">
        <v>1853</v>
      </c>
      <c r="M916" s="11" t="s">
        <v>3733</v>
      </c>
      <c r="N916" s="12"/>
      <c r="O916" s="11" t="s">
        <v>1859</v>
      </c>
      <c r="P916" s="56"/>
    </row>
    <row r="917" spans="1:16" ht="15.75" customHeight="1" x14ac:dyDescent="0.2">
      <c r="A917" s="48">
        <v>808</v>
      </c>
      <c r="B917" s="11" t="s">
        <v>1857</v>
      </c>
      <c r="C917" s="11" t="s">
        <v>1849</v>
      </c>
      <c r="D917" s="6" t="s">
        <v>1850</v>
      </c>
      <c r="E917" s="12" t="s">
        <v>3531</v>
      </c>
      <c r="F917" s="12" t="s">
        <v>3531</v>
      </c>
      <c r="G917" s="12" t="s">
        <v>3546</v>
      </c>
      <c r="H917" s="12" t="s">
        <v>2820</v>
      </c>
      <c r="I917" s="12" t="s">
        <v>3734</v>
      </c>
      <c r="J917" s="11" t="s">
        <v>1856</v>
      </c>
      <c r="K917" s="11" t="s">
        <v>1852</v>
      </c>
      <c r="L917" s="11" t="s">
        <v>1853</v>
      </c>
      <c r="M917" s="11" t="s">
        <v>3735</v>
      </c>
      <c r="N917" s="12"/>
      <c r="O917" s="11" t="s">
        <v>1859</v>
      </c>
      <c r="P917" s="56"/>
    </row>
    <row r="918" spans="1:16" ht="15.75" customHeight="1" x14ac:dyDescent="0.2">
      <c r="A918" s="48">
        <v>689</v>
      </c>
      <c r="B918" s="11" t="s">
        <v>1857</v>
      </c>
      <c r="C918" s="11" t="s">
        <v>1849</v>
      </c>
      <c r="D918" s="6" t="s">
        <v>1850</v>
      </c>
      <c r="E918" s="12" t="s">
        <v>3531</v>
      </c>
      <c r="F918" s="12" t="s">
        <v>3531</v>
      </c>
      <c r="G918" s="12" t="s">
        <v>3546</v>
      </c>
      <c r="H918" s="12" t="s">
        <v>3546</v>
      </c>
      <c r="I918" s="12" t="s">
        <v>3736</v>
      </c>
      <c r="J918" s="11" t="s">
        <v>1856</v>
      </c>
      <c r="K918" s="11" t="s">
        <v>1852</v>
      </c>
      <c r="L918" s="11" t="s">
        <v>1853</v>
      </c>
      <c r="M918" s="11" t="s">
        <v>1854</v>
      </c>
      <c r="N918" s="12"/>
      <c r="O918" s="11" t="s">
        <v>1859</v>
      </c>
      <c r="P918" s="56"/>
    </row>
    <row r="919" spans="1:16" ht="15.75" customHeight="1" x14ac:dyDescent="0.2">
      <c r="A919" s="48">
        <v>563</v>
      </c>
      <c r="B919" s="11" t="s">
        <v>1857</v>
      </c>
      <c r="C919" s="11" t="s">
        <v>1849</v>
      </c>
      <c r="D919" s="6" t="s">
        <v>1850</v>
      </c>
      <c r="E919" s="12" t="s">
        <v>3531</v>
      </c>
      <c r="F919" s="12" t="s">
        <v>3531</v>
      </c>
      <c r="G919" s="12" t="s">
        <v>3550</v>
      </c>
      <c r="H919" s="12" t="s">
        <v>3737</v>
      </c>
      <c r="I919" s="12" t="s">
        <v>3738</v>
      </c>
      <c r="J919" s="11" t="s">
        <v>1856</v>
      </c>
      <c r="K919" s="11" t="s">
        <v>1852</v>
      </c>
      <c r="L919" s="11" t="s">
        <v>1853</v>
      </c>
      <c r="M919" s="11" t="s">
        <v>1854</v>
      </c>
      <c r="N919" s="12"/>
      <c r="O919" s="11" t="s">
        <v>1859</v>
      </c>
      <c r="P919" s="56"/>
    </row>
    <row r="920" spans="1:16" ht="15.75" customHeight="1" x14ac:dyDescent="0.2">
      <c r="A920" s="48">
        <v>746</v>
      </c>
      <c r="B920" s="11" t="s">
        <v>1857</v>
      </c>
      <c r="C920" s="11" t="s">
        <v>1849</v>
      </c>
      <c r="D920" s="6" t="s">
        <v>1850</v>
      </c>
      <c r="E920" s="12" t="s">
        <v>3531</v>
      </c>
      <c r="F920" s="12" t="s">
        <v>3531</v>
      </c>
      <c r="G920" s="12" t="s">
        <v>3546</v>
      </c>
      <c r="H920" s="12" t="s">
        <v>3583</v>
      </c>
      <c r="I920" s="12" t="s">
        <v>3739</v>
      </c>
      <c r="J920" s="11" t="s">
        <v>1856</v>
      </c>
      <c r="K920" s="11" t="s">
        <v>1852</v>
      </c>
      <c r="L920" s="11" t="s">
        <v>1853</v>
      </c>
      <c r="M920" s="11" t="s">
        <v>1854</v>
      </c>
      <c r="N920" s="12"/>
      <c r="O920" s="11" t="s">
        <v>1859</v>
      </c>
      <c r="P920" s="56"/>
    </row>
    <row r="921" spans="1:16" ht="15.75" customHeight="1" x14ac:dyDescent="0.2">
      <c r="A921" s="48">
        <v>715</v>
      </c>
      <c r="B921" s="11" t="s">
        <v>1857</v>
      </c>
      <c r="C921" s="11" t="s">
        <v>1849</v>
      </c>
      <c r="D921" s="6" t="s">
        <v>1850</v>
      </c>
      <c r="E921" s="12" t="s">
        <v>3531</v>
      </c>
      <c r="F921" s="12" t="s">
        <v>3531</v>
      </c>
      <c r="G921" s="12" t="s">
        <v>3546</v>
      </c>
      <c r="H921" s="12" t="s">
        <v>3663</v>
      </c>
      <c r="I921" s="12" t="s">
        <v>3740</v>
      </c>
      <c r="J921" s="11" t="s">
        <v>1856</v>
      </c>
      <c r="K921" s="11" t="s">
        <v>1852</v>
      </c>
      <c r="L921" s="11" t="s">
        <v>1853</v>
      </c>
      <c r="M921" s="11" t="s">
        <v>1854</v>
      </c>
      <c r="N921" s="12"/>
      <c r="O921" s="11" t="s">
        <v>1860</v>
      </c>
      <c r="P921" s="56"/>
    </row>
    <row r="922" spans="1:16" ht="15.75" customHeight="1" x14ac:dyDescent="0.2">
      <c r="A922" s="48">
        <v>622</v>
      </c>
      <c r="B922" s="11" t="s">
        <v>1857</v>
      </c>
      <c r="C922" s="11" t="s">
        <v>1849</v>
      </c>
      <c r="D922" s="6" t="s">
        <v>1850</v>
      </c>
      <c r="E922" s="12" t="s">
        <v>3531</v>
      </c>
      <c r="F922" s="12" t="s">
        <v>3531</v>
      </c>
      <c r="G922" s="12" t="s">
        <v>3532</v>
      </c>
      <c r="H922" s="12" t="s">
        <v>3727</v>
      </c>
      <c r="I922" s="12" t="s">
        <v>3741</v>
      </c>
      <c r="J922" s="11" t="s">
        <v>1856</v>
      </c>
      <c r="K922" s="11" t="s">
        <v>1852</v>
      </c>
      <c r="L922" s="11" t="s">
        <v>1853</v>
      </c>
      <c r="M922" s="11" t="s">
        <v>3742</v>
      </c>
      <c r="N922" s="12"/>
      <c r="O922" s="11" t="s">
        <v>1858</v>
      </c>
      <c r="P922" s="56"/>
    </row>
    <row r="923" spans="1:16" ht="15.75" customHeight="1" x14ac:dyDescent="0.2">
      <c r="A923" s="48">
        <v>6356</v>
      </c>
      <c r="B923" s="11" t="s">
        <v>1857</v>
      </c>
      <c r="C923" s="11" t="s">
        <v>1849</v>
      </c>
      <c r="D923" s="6" t="s">
        <v>1850</v>
      </c>
      <c r="E923" s="12" t="s">
        <v>3531</v>
      </c>
      <c r="F923" s="12" t="s">
        <v>3531</v>
      </c>
      <c r="G923" s="12" t="s">
        <v>3550</v>
      </c>
      <c r="H923" s="12" t="s">
        <v>3743</v>
      </c>
      <c r="I923" s="12" t="s">
        <v>3744</v>
      </c>
      <c r="J923" s="11" t="s">
        <v>1856</v>
      </c>
      <c r="K923" s="11" t="s">
        <v>1852</v>
      </c>
      <c r="L923" s="11" t="s">
        <v>1853</v>
      </c>
      <c r="M923" s="11" t="s">
        <v>1854</v>
      </c>
      <c r="N923" s="12"/>
      <c r="O923" s="11" t="s">
        <v>1859</v>
      </c>
      <c r="P923" s="56"/>
    </row>
    <row r="924" spans="1:16" ht="15.75" customHeight="1" x14ac:dyDescent="0.2">
      <c r="A924" s="48">
        <v>781</v>
      </c>
      <c r="B924" s="11" t="s">
        <v>1857</v>
      </c>
      <c r="C924" s="11" t="s">
        <v>1849</v>
      </c>
      <c r="D924" s="6" t="s">
        <v>1850</v>
      </c>
      <c r="E924" s="12" t="s">
        <v>3531</v>
      </c>
      <c r="F924" s="12" t="s">
        <v>3531</v>
      </c>
      <c r="G924" s="12" t="s">
        <v>3672</v>
      </c>
      <c r="H924" s="12" t="s">
        <v>3745</v>
      </c>
      <c r="I924" s="12" t="s">
        <v>3746</v>
      </c>
      <c r="J924" s="11" t="s">
        <v>1856</v>
      </c>
      <c r="K924" s="11" t="s">
        <v>1852</v>
      </c>
      <c r="L924" s="11" t="s">
        <v>1853</v>
      </c>
      <c r="M924" s="11" t="s">
        <v>1854</v>
      </c>
      <c r="N924" s="12"/>
      <c r="O924" s="11" t="s">
        <v>1859</v>
      </c>
      <c r="P924" s="56"/>
    </row>
    <row r="925" spans="1:16" ht="15.75" customHeight="1" x14ac:dyDescent="0.2">
      <c r="A925" s="48">
        <v>777</v>
      </c>
      <c r="B925" s="11" t="s">
        <v>1857</v>
      </c>
      <c r="C925" s="11" t="s">
        <v>1849</v>
      </c>
      <c r="D925" s="6" t="s">
        <v>1850</v>
      </c>
      <c r="E925" s="12" t="s">
        <v>3531</v>
      </c>
      <c r="F925" s="12" t="s">
        <v>3531</v>
      </c>
      <c r="G925" s="12" t="s">
        <v>3672</v>
      </c>
      <c r="H925" s="12" t="s">
        <v>3745</v>
      </c>
      <c r="I925" s="12" t="s">
        <v>3747</v>
      </c>
      <c r="J925" s="11" t="s">
        <v>1856</v>
      </c>
      <c r="K925" s="11" t="s">
        <v>1852</v>
      </c>
      <c r="L925" s="11" t="s">
        <v>1853</v>
      </c>
      <c r="M925" s="11" t="s">
        <v>3748</v>
      </c>
      <c r="N925" s="12"/>
      <c r="O925" s="11" t="s">
        <v>1859</v>
      </c>
      <c r="P925" s="56"/>
    </row>
    <row r="926" spans="1:16" ht="15.75" customHeight="1" x14ac:dyDescent="0.2">
      <c r="A926" s="48">
        <v>728</v>
      </c>
      <c r="B926" s="11" t="s">
        <v>1857</v>
      </c>
      <c r="C926" s="11" t="s">
        <v>1849</v>
      </c>
      <c r="D926" s="6" t="s">
        <v>1850</v>
      </c>
      <c r="E926" s="12" t="s">
        <v>3531</v>
      </c>
      <c r="F926" s="12" t="s">
        <v>3531</v>
      </c>
      <c r="G926" s="12" t="s">
        <v>3546</v>
      </c>
      <c r="H926" s="12" t="s">
        <v>3605</v>
      </c>
      <c r="I926" s="12" t="s">
        <v>3749</v>
      </c>
      <c r="J926" s="11" t="s">
        <v>1856</v>
      </c>
      <c r="K926" s="11" t="s">
        <v>1852</v>
      </c>
      <c r="L926" s="11" t="s">
        <v>1853</v>
      </c>
      <c r="M926" s="11" t="s">
        <v>3719</v>
      </c>
      <c r="N926" s="12"/>
      <c r="O926" s="11" t="s">
        <v>1858</v>
      </c>
      <c r="P926" s="56"/>
    </row>
    <row r="927" spans="1:16" ht="15.75" customHeight="1" x14ac:dyDescent="0.2">
      <c r="A927" s="48">
        <v>581</v>
      </c>
      <c r="B927" s="11" t="s">
        <v>1857</v>
      </c>
      <c r="C927" s="11" t="s">
        <v>1849</v>
      </c>
      <c r="D927" s="6" t="s">
        <v>1850</v>
      </c>
      <c r="E927" s="12" t="s">
        <v>3531</v>
      </c>
      <c r="F927" s="12" t="s">
        <v>3531</v>
      </c>
      <c r="G927" s="12" t="s">
        <v>3550</v>
      </c>
      <c r="H927" s="12" t="s">
        <v>3702</v>
      </c>
      <c r="I927" s="12" t="s">
        <v>1015</v>
      </c>
      <c r="J927" s="11" t="s">
        <v>1856</v>
      </c>
      <c r="K927" s="11" t="s">
        <v>1852</v>
      </c>
      <c r="L927" s="11" t="s">
        <v>1853</v>
      </c>
      <c r="M927" s="11" t="s">
        <v>3750</v>
      </c>
      <c r="N927" s="12" t="s">
        <v>3751</v>
      </c>
      <c r="O927" s="11" t="s">
        <v>1860</v>
      </c>
      <c r="P927" s="56"/>
    </row>
    <row r="928" spans="1:16" ht="15.75" customHeight="1" x14ac:dyDescent="0.2">
      <c r="A928" s="48">
        <v>819</v>
      </c>
      <c r="B928" s="11" t="s">
        <v>1857</v>
      </c>
      <c r="C928" s="11" t="s">
        <v>1849</v>
      </c>
      <c r="D928" s="6" t="s">
        <v>1850</v>
      </c>
      <c r="E928" s="12" t="s">
        <v>3531</v>
      </c>
      <c r="F928" s="12" t="s">
        <v>3531</v>
      </c>
      <c r="G928" s="12" t="s">
        <v>3599</v>
      </c>
      <c r="H928" s="12" t="s">
        <v>3752</v>
      </c>
      <c r="I928" s="12" t="s">
        <v>3753</v>
      </c>
      <c r="J928" s="11" t="s">
        <v>1856</v>
      </c>
      <c r="K928" s="11" t="s">
        <v>1852</v>
      </c>
      <c r="L928" s="11" t="s">
        <v>1853</v>
      </c>
      <c r="M928" s="11" t="s">
        <v>3754</v>
      </c>
      <c r="N928" s="12" t="s">
        <v>3755</v>
      </c>
      <c r="O928" s="11" t="s">
        <v>1860</v>
      </c>
      <c r="P928" s="56"/>
    </row>
    <row r="929" spans="1:16" ht="15.75" customHeight="1" x14ac:dyDescent="0.2">
      <c r="A929" s="48">
        <v>844</v>
      </c>
      <c r="B929" s="11" t="s">
        <v>1857</v>
      </c>
      <c r="C929" s="11" t="s">
        <v>1849</v>
      </c>
      <c r="D929" s="6" t="s">
        <v>1850</v>
      </c>
      <c r="E929" s="12" t="s">
        <v>3531</v>
      </c>
      <c r="F929" s="12" t="s">
        <v>3531</v>
      </c>
      <c r="G929" s="12" t="s">
        <v>3544</v>
      </c>
      <c r="H929" s="12" t="s">
        <v>3544</v>
      </c>
      <c r="I929" s="12" t="s">
        <v>3756</v>
      </c>
      <c r="J929" s="11" t="s">
        <v>1856</v>
      </c>
      <c r="K929" s="11" t="s">
        <v>1852</v>
      </c>
      <c r="L929" s="11" t="s">
        <v>1853</v>
      </c>
      <c r="M929" s="11" t="s">
        <v>3757</v>
      </c>
      <c r="N929" s="12" t="s">
        <v>2281</v>
      </c>
      <c r="O929" s="11" t="s">
        <v>2307</v>
      </c>
      <c r="P929" s="56" t="s">
        <v>3758</v>
      </c>
    </row>
    <row r="930" spans="1:16" ht="15.75" customHeight="1" x14ac:dyDescent="0.2">
      <c r="A930" s="48">
        <v>545</v>
      </c>
      <c r="B930" s="11" t="s">
        <v>1857</v>
      </c>
      <c r="C930" s="11" t="s">
        <v>1849</v>
      </c>
      <c r="D930" s="6" t="s">
        <v>1850</v>
      </c>
      <c r="E930" s="12" t="s">
        <v>3531</v>
      </c>
      <c r="F930" s="12" t="s">
        <v>3531</v>
      </c>
      <c r="G930" s="12" t="s">
        <v>3550</v>
      </c>
      <c r="H930" s="12" t="s">
        <v>3743</v>
      </c>
      <c r="I930" s="12" t="s">
        <v>3759</v>
      </c>
      <c r="J930" s="11" t="s">
        <v>1851</v>
      </c>
      <c r="K930" s="11" t="s">
        <v>1852</v>
      </c>
      <c r="L930" s="11" t="s">
        <v>1853</v>
      </c>
      <c r="M930" s="11" t="s">
        <v>1861</v>
      </c>
      <c r="N930" s="12"/>
      <c r="O930" s="11" t="s">
        <v>1858</v>
      </c>
      <c r="P930" s="56"/>
    </row>
    <row r="931" spans="1:16" ht="15.75" customHeight="1" x14ac:dyDescent="0.2">
      <c r="A931" s="48">
        <v>558</v>
      </c>
      <c r="B931" s="11" t="s">
        <v>1857</v>
      </c>
      <c r="C931" s="11" t="s">
        <v>1849</v>
      </c>
      <c r="D931" s="6" t="s">
        <v>1850</v>
      </c>
      <c r="E931" s="12" t="s">
        <v>3531</v>
      </c>
      <c r="F931" s="12" t="s">
        <v>3531</v>
      </c>
      <c r="G931" s="12" t="s">
        <v>3550</v>
      </c>
      <c r="H931" s="12" t="s">
        <v>3550</v>
      </c>
      <c r="I931" s="12" t="s">
        <v>3760</v>
      </c>
      <c r="J931" s="11" t="s">
        <v>1851</v>
      </c>
      <c r="K931" s="11" t="s">
        <v>1852</v>
      </c>
      <c r="L931" s="11" t="s">
        <v>1853</v>
      </c>
      <c r="M931" s="11" t="s">
        <v>3761</v>
      </c>
      <c r="N931" s="12" t="s">
        <v>3762</v>
      </c>
      <c r="O931" s="11" t="s">
        <v>1858</v>
      </c>
      <c r="P931" s="56"/>
    </row>
    <row r="932" spans="1:16" ht="15.75" customHeight="1" x14ac:dyDescent="0.2">
      <c r="A932" s="48">
        <v>636</v>
      </c>
      <c r="B932" s="11" t="s">
        <v>1857</v>
      </c>
      <c r="C932" s="11" t="s">
        <v>1849</v>
      </c>
      <c r="D932" s="6" t="s">
        <v>1850</v>
      </c>
      <c r="E932" s="12" t="s">
        <v>3531</v>
      </c>
      <c r="F932" s="12" t="s">
        <v>3531</v>
      </c>
      <c r="G932" s="12" t="s">
        <v>3532</v>
      </c>
      <c r="H932" s="13" t="s">
        <v>3535</v>
      </c>
      <c r="I932" s="12" t="s">
        <v>3763</v>
      </c>
      <c r="J932" s="11" t="s">
        <v>1851</v>
      </c>
      <c r="K932" s="11" t="s">
        <v>1852</v>
      </c>
      <c r="L932" s="11" t="s">
        <v>1853</v>
      </c>
      <c r="M932" s="11" t="s">
        <v>3764</v>
      </c>
      <c r="N932" s="12" t="s">
        <v>3765</v>
      </c>
      <c r="O932" s="11" t="s">
        <v>1858</v>
      </c>
      <c r="P932" s="56"/>
    </row>
    <row r="933" spans="1:16" ht="15.75" customHeight="1" x14ac:dyDescent="0.2">
      <c r="A933" s="48">
        <v>846</v>
      </c>
      <c r="B933" s="11" t="s">
        <v>1857</v>
      </c>
      <c r="C933" s="11" t="s">
        <v>1849</v>
      </c>
      <c r="D933" s="6" t="s">
        <v>1850</v>
      </c>
      <c r="E933" s="12" t="s">
        <v>3531</v>
      </c>
      <c r="F933" s="12" t="s">
        <v>3531</v>
      </c>
      <c r="G933" s="12" t="s">
        <v>3544</v>
      </c>
      <c r="H933" s="12" t="s">
        <v>3544</v>
      </c>
      <c r="I933" s="12" t="s">
        <v>3766</v>
      </c>
      <c r="J933" s="11" t="s">
        <v>1851</v>
      </c>
      <c r="K933" s="11" t="s">
        <v>1852</v>
      </c>
      <c r="L933" s="11" t="s">
        <v>1853</v>
      </c>
      <c r="M933" s="11" t="s">
        <v>3767</v>
      </c>
      <c r="N933" s="12" t="s">
        <v>3768</v>
      </c>
      <c r="O933" s="11" t="s">
        <v>1867</v>
      </c>
      <c r="P933" s="56"/>
    </row>
    <row r="934" spans="1:16" ht="15.75" customHeight="1" x14ac:dyDescent="0.2">
      <c r="A934" s="48">
        <v>790</v>
      </c>
      <c r="B934" s="11" t="s">
        <v>1857</v>
      </c>
      <c r="C934" s="11" t="s">
        <v>1849</v>
      </c>
      <c r="D934" s="6" t="s">
        <v>1850</v>
      </c>
      <c r="E934" s="12" t="s">
        <v>3531</v>
      </c>
      <c r="F934" s="12" t="s">
        <v>3531</v>
      </c>
      <c r="G934" s="12" t="s">
        <v>3672</v>
      </c>
      <c r="H934" s="12" t="s">
        <v>3769</v>
      </c>
      <c r="I934" s="12" t="s">
        <v>3770</v>
      </c>
      <c r="J934" s="11" t="s">
        <v>1856</v>
      </c>
      <c r="K934" s="11" t="s">
        <v>1852</v>
      </c>
      <c r="L934" s="11" t="s">
        <v>1853</v>
      </c>
      <c r="M934" s="11" t="s">
        <v>1861</v>
      </c>
      <c r="N934" s="12"/>
      <c r="O934" s="11" t="s">
        <v>1858</v>
      </c>
      <c r="P934" s="56"/>
    </row>
    <row r="935" spans="1:16" ht="15.75" customHeight="1" x14ac:dyDescent="0.2">
      <c r="A935" s="48">
        <v>586</v>
      </c>
      <c r="B935" s="11" t="s">
        <v>1857</v>
      </c>
      <c r="C935" s="11" t="s">
        <v>1849</v>
      </c>
      <c r="D935" s="6" t="s">
        <v>1850</v>
      </c>
      <c r="E935" s="12" t="s">
        <v>3531</v>
      </c>
      <c r="F935" s="12" t="s">
        <v>3531</v>
      </c>
      <c r="G935" s="12" t="s">
        <v>3550</v>
      </c>
      <c r="H935" s="12" t="s">
        <v>3771</v>
      </c>
      <c r="I935" s="12" t="s">
        <v>3772</v>
      </c>
      <c r="J935" s="11" t="s">
        <v>1851</v>
      </c>
      <c r="K935" s="11" t="s">
        <v>1852</v>
      </c>
      <c r="L935" s="11" t="s">
        <v>1853</v>
      </c>
      <c r="M935" s="11" t="s">
        <v>3696</v>
      </c>
      <c r="N935" s="12" t="s">
        <v>2281</v>
      </c>
      <c r="O935" s="11" t="s">
        <v>1858</v>
      </c>
      <c r="P935" s="56"/>
    </row>
    <row r="936" spans="1:16" ht="15.75" customHeight="1" x14ac:dyDescent="0.2">
      <c r="A936" s="48">
        <v>576</v>
      </c>
      <c r="B936" s="11" t="s">
        <v>1857</v>
      </c>
      <c r="C936" s="11" t="s">
        <v>1849</v>
      </c>
      <c r="D936" s="6" t="s">
        <v>1850</v>
      </c>
      <c r="E936" s="12" t="s">
        <v>3531</v>
      </c>
      <c r="F936" s="12" t="s">
        <v>3531</v>
      </c>
      <c r="G936" s="12" t="s">
        <v>3550</v>
      </c>
      <c r="H936" s="12" t="s">
        <v>3555</v>
      </c>
      <c r="I936" s="12" t="s">
        <v>3773</v>
      </c>
      <c r="J936" s="11" t="s">
        <v>1856</v>
      </c>
      <c r="K936" s="11" t="s">
        <v>1852</v>
      </c>
      <c r="L936" s="11" t="s">
        <v>1853</v>
      </c>
      <c r="M936" s="11" t="s">
        <v>3774</v>
      </c>
      <c r="N936" s="12" t="s">
        <v>3775</v>
      </c>
      <c r="O936" s="11" t="s">
        <v>1858</v>
      </c>
      <c r="P936" s="56"/>
    </row>
    <row r="937" spans="1:16" ht="15.75" customHeight="1" x14ac:dyDescent="0.2">
      <c r="A937" s="48">
        <v>756</v>
      </c>
      <c r="B937" s="11" t="s">
        <v>1857</v>
      </c>
      <c r="C937" s="11" t="s">
        <v>1849</v>
      </c>
      <c r="D937" s="6" t="s">
        <v>1850</v>
      </c>
      <c r="E937" s="12" t="s">
        <v>3531</v>
      </c>
      <c r="F937" s="12" t="s">
        <v>3531</v>
      </c>
      <c r="G937" s="12" t="s">
        <v>3672</v>
      </c>
      <c r="H937" s="12" t="s">
        <v>3672</v>
      </c>
      <c r="I937" s="12" t="s">
        <v>3776</v>
      </c>
      <c r="J937" s="11" t="s">
        <v>1851</v>
      </c>
      <c r="K937" s="11" t="s">
        <v>1852</v>
      </c>
      <c r="L937" s="11" t="s">
        <v>1853</v>
      </c>
      <c r="M937" s="11" t="s">
        <v>3764</v>
      </c>
      <c r="N937" s="12" t="s">
        <v>3777</v>
      </c>
      <c r="O937" s="11" t="s">
        <v>1858</v>
      </c>
      <c r="P937" s="56"/>
    </row>
    <row r="938" spans="1:16" ht="15.75" customHeight="1" x14ac:dyDescent="0.2">
      <c r="A938" s="48">
        <v>687</v>
      </c>
      <c r="B938" s="11" t="s">
        <v>1857</v>
      </c>
      <c r="C938" s="11" t="s">
        <v>1849</v>
      </c>
      <c r="D938" s="6" t="s">
        <v>1850</v>
      </c>
      <c r="E938" s="12" t="s">
        <v>3531</v>
      </c>
      <c r="F938" s="12" t="s">
        <v>3531</v>
      </c>
      <c r="G938" s="12" t="s">
        <v>3546</v>
      </c>
      <c r="H938" s="12" t="s">
        <v>3546</v>
      </c>
      <c r="I938" s="12" t="s">
        <v>3778</v>
      </c>
      <c r="J938" s="11" t="s">
        <v>1856</v>
      </c>
      <c r="K938" s="11" t="s">
        <v>1852</v>
      </c>
      <c r="L938" s="11" t="s">
        <v>1853</v>
      </c>
      <c r="M938" s="11" t="s">
        <v>3779</v>
      </c>
      <c r="N938" s="12" t="s">
        <v>3780</v>
      </c>
      <c r="O938" s="11" t="s">
        <v>1858</v>
      </c>
      <c r="P938" s="56"/>
    </row>
    <row r="939" spans="1:16" ht="15.75" customHeight="1" x14ac:dyDescent="0.2">
      <c r="A939" s="48">
        <v>592</v>
      </c>
      <c r="B939" s="11" t="s">
        <v>1857</v>
      </c>
      <c r="C939" s="11" t="s">
        <v>1849</v>
      </c>
      <c r="D939" s="6" t="s">
        <v>1850</v>
      </c>
      <c r="E939" s="12" t="s">
        <v>3531</v>
      </c>
      <c r="F939" s="12" t="s">
        <v>3531</v>
      </c>
      <c r="G939" s="12" t="s">
        <v>3550</v>
      </c>
      <c r="H939" s="12" t="s">
        <v>3553</v>
      </c>
      <c r="I939" s="12" t="s">
        <v>3781</v>
      </c>
      <c r="J939" s="11" t="s">
        <v>1851</v>
      </c>
      <c r="K939" s="11" t="s">
        <v>1852</v>
      </c>
      <c r="L939" s="11" t="s">
        <v>1853</v>
      </c>
      <c r="M939" s="11" t="s">
        <v>3630</v>
      </c>
      <c r="N939" s="12" t="s">
        <v>3782</v>
      </c>
      <c r="O939" s="11" t="s">
        <v>1858</v>
      </c>
      <c r="P939" s="56"/>
    </row>
    <row r="940" spans="1:16" ht="15.75" customHeight="1" x14ac:dyDescent="0.2">
      <c r="A940" s="48">
        <v>631</v>
      </c>
      <c r="B940" s="11" t="s">
        <v>1857</v>
      </c>
      <c r="C940" s="11" t="s">
        <v>1849</v>
      </c>
      <c r="D940" s="6" t="s">
        <v>1850</v>
      </c>
      <c r="E940" s="12" t="s">
        <v>3531</v>
      </c>
      <c r="F940" s="12" t="s">
        <v>3531</v>
      </c>
      <c r="G940" s="12" t="s">
        <v>3532</v>
      </c>
      <c r="H940" s="12" t="s">
        <v>3783</v>
      </c>
      <c r="I940" s="12" t="s">
        <v>3784</v>
      </c>
      <c r="J940" s="11" t="s">
        <v>1856</v>
      </c>
      <c r="K940" s="11" t="s">
        <v>1852</v>
      </c>
      <c r="L940" s="11" t="s">
        <v>1853</v>
      </c>
      <c r="M940" s="11" t="s">
        <v>3785</v>
      </c>
      <c r="N940" s="12" t="s">
        <v>2281</v>
      </c>
      <c r="O940" s="11" t="s">
        <v>1858</v>
      </c>
      <c r="P940" s="56"/>
    </row>
    <row r="941" spans="1:16" ht="15.75" customHeight="1" x14ac:dyDescent="0.2">
      <c r="A941" s="48">
        <v>718</v>
      </c>
      <c r="B941" s="11" t="s">
        <v>1857</v>
      </c>
      <c r="C941" s="11" t="s">
        <v>1849</v>
      </c>
      <c r="D941" s="6" t="s">
        <v>1850</v>
      </c>
      <c r="E941" s="12" t="s">
        <v>3531</v>
      </c>
      <c r="F941" s="12" t="s">
        <v>3531</v>
      </c>
      <c r="G941" s="12" t="s">
        <v>3546</v>
      </c>
      <c r="H941" s="12" t="s">
        <v>3663</v>
      </c>
      <c r="I941" s="12" t="s">
        <v>3786</v>
      </c>
      <c r="J941" s="11" t="s">
        <v>1856</v>
      </c>
      <c r="K941" s="11" t="s">
        <v>1852</v>
      </c>
      <c r="L941" s="11" t="s">
        <v>1853</v>
      </c>
      <c r="M941" s="11" t="s">
        <v>1861</v>
      </c>
      <c r="N941" s="12"/>
      <c r="O941" s="11" t="s">
        <v>1858</v>
      </c>
      <c r="P941" s="56"/>
    </row>
    <row r="942" spans="1:16" ht="15.75" customHeight="1" x14ac:dyDescent="0.2">
      <c r="A942" s="48">
        <v>922</v>
      </c>
      <c r="B942" s="11" t="s">
        <v>1857</v>
      </c>
      <c r="C942" s="11" t="s">
        <v>1849</v>
      </c>
      <c r="D942" s="6" t="s">
        <v>1850</v>
      </c>
      <c r="E942" s="12" t="s">
        <v>3531</v>
      </c>
      <c r="F942" s="12" t="s">
        <v>3531</v>
      </c>
      <c r="G942" s="12" t="s">
        <v>3544</v>
      </c>
      <c r="H942" s="12" t="s">
        <v>3594</v>
      </c>
      <c r="I942" s="12" t="s">
        <v>3787</v>
      </c>
      <c r="J942" s="11" t="s">
        <v>1856</v>
      </c>
      <c r="K942" s="11" t="s">
        <v>1852</v>
      </c>
      <c r="L942" s="11" t="s">
        <v>1853</v>
      </c>
      <c r="M942" s="11" t="s">
        <v>3764</v>
      </c>
      <c r="N942" s="12" t="s">
        <v>2281</v>
      </c>
      <c r="O942" s="11" t="s">
        <v>1860</v>
      </c>
      <c r="P942" s="56"/>
    </row>
    <row r="943" spans="1:16" ht="15.75" customHeight="1" x14ac:dyDescent="0.2">
      <c r="A943" s="48">
        <v>595</v>
      </c>
      <c r="B943" s="11" t="s">
        <v>1857</v>
      </c>
      <c r="C943" s="11" t="s">
        <v>1849</v>
      </c>
      <c r="D943" s="6" t="s">
        <v>1850</v>
      </c>
      <c r="E943" s="12" t="s">
        <v>3531</v>
      </c>
      <c r="F943" s="12" t="s">
        <v>3531</v>
      </c>
      <c r="G943" s="12" t="s">
        <v>3532</v>
      </c>
      <c r="H943" s="12" t="s">
        <v>3532</v>
      </c>
      <c r="I943" s="12" t="s">
        <v>3788</v>
      </c>
      <c r="J943" s="11" t="s">
        <v>1851</v>
      </c>
      <c r="K943" s="11" t="s">
        <v>1852</v>
      </c>
      <c r="L943" s="11" t="s">
        <v>1853</v>
      </c>
      <c r="M943" s="11" t="s">
        <v>3761</v>
      </c>
      <c r="N943" s="12" t="s">
        <v>3789</v>
      </c>
      <c r="O943" s="11" t="s">
        <v>1858</v>
      </c>
      <c r="P943" s="56"/>
    </row>
    <row r="944" spans="1:16" ht="15.75" customHeight="1" x14ac:dyDescent="0.2">
      <c r="A944" s="48">
        <v>765</v>
      </c>
      <c r="B944" s="11" t="s">
        <v>1857</v>
      </c>
      <c r="C944" s="11" t="s">
        <v>1849</v>
      </c>
      <c r="D944" s="6" t="s">
        <v>1850</v>
      </c>
      <c r="E944" s="12" t="s">
        <v>3531</v>
      </c>
      <c r="F944" s="12" t="s">
        <v>3531</v>
      </c>
      <c r="G944" s="12" t="s">
        <v>3672</v>
      </c>
      <c r="H944" s="12" t="s">
        <v>3673</v>
      </c>
      <c r="I944" s="12" t="s">
        <v>3790</v>
      </c>
      <c r="J944" s="11" t="s">
        <v>1856</v>
      </c>
      <c r="K944" s="11" t="s">
        <v>1852</v>
      </c>
      <c r="L944" s="11" t="s">
        <v>1853</v>
      </c>
      <c r="M944" s="11" t="s">
        <v>3791</v>
      </c>
      <c r="N944" s="12" t="s">
        <v>3792</v>
      </c>
      <c r="O944" s="11" t="s">
        <v>1858</v>
      </c>
      <c r="P944" s="56"/>
    </row>
    <row r="945" spans="1:16" ht="15.75" customHeight="1" x14ac:dyDescent="0.2">
      <c r="A945" s="48">
        <v>988</v>
      </c>
      <c r="B945" s="11" t="s">
        <v>1857</v>
      </c>
      <c r="C945" s="11" t="s">
        <v>1849</v>
      </c>
      <c r="D945" s="6" t="s">
        <v>1850</v>
      </c>
      <c r="E945" s="12" t="s">
        <v>3531</v>
      </c>
      <c r="F945" s="12" t="s">
        <v>3531</v>
      </c>
      <c r="G945" s="12" t="s">
        <v>3544</v>
      </c>
      <c r="H945" s="12" t="s">
        <v>3565</v>
      </c>
      <c r="I945" s="12" t="s">
        <v>3793</v>
      </c>
      <c r="J945" s="11" t="s">
        <v>1856</v>
      </c>
      <c r="K945" s="11" t="s">
        <v>1852</v>
      </c>
      <c r="L945" s="11" t="s">
        <v>1853</v>
      </c>
      <c r="M945" s="11" t="s">
        <v>3160</v>
      </c>
      <c r="N945" s="12" t="s">
        <v>2281</v>
      </c>
      <c r="O945" s="11" t="s">
        <v>1858</v>
      </c>
      <c r="P945" s="56"/>
    </row>
    <row r="946" spans="1:16" ht="15.75" customHeight="1" x14ac:dyDescent="0.2">
      <c r="A946" s="48">
        <v>843</v>
      </c>
      <c r="B946" s="11" t="s">
        <v>1857</v>
      </c>
      <c r="C946" s="11" t="s">
        <v>1849</v>
      </c>
      <c r="D946" s="6" t="s">
        <v>1850</v>
      </c>
      <c r="E946" s="12" t="s">
        <v>3531</v>
      </c>
      <c r="F946" s="12" t="s">
        <v>3531</v>
      </c>
      <c r="G946" s="12" t="s">
        <v>3544</v>
      </c>
      <c r="H946" s="12" t="s">
        <v>3544</v>
      </c>
      <c r="I946" s="12" t="s">
        <v>3794</v>
      </c>
      <c r="J946" s="11" t="s">
        <v>1856</v>
      </c>
      <c r="K946" s="11" t="s">
        <v>1852</v>
      </c>
      <c r="L946" s="11" t="s">
        <v>1853</v>
      </c>
      <c r="M946" s="11" t="s">
        <v>3795</v>
      </c>
      <c r="N946" s="12" t="s">
        <v>3796</v>
      </c>
      <c r="O946" s="11" t="s">
        <v>1858</v>
      </c>
      <c r="P946" s="56"/>
    </row>
    <row r="947" spans="1:16" ht="15.75" customHeight="1" x14ac:dyDescent="0.2">
      <c r="A947" s="48">
        <v>921</v>
      </c>
      <c r="B947" s="11" t="s">
        <v>1857</v>
      </c>
      <c r="C947" s="11" t="s">
        <v>1849</v>
      </c>
      <c r="D947" s="6" t="s">
        <v>1850</v>
      </c>
      <c r="E947" s="12" t="s">
        <v>3531</v>
      </c>
      <c r="F947" s="12" t="s">
        <v>3531</v>
      </c>
      <c r="G947" s="12" t="s">
        <v>3544</v>
      </c>
      <c r="H947" s="12" t="s">
        <v>3594</v>
      </c>
      <c r="I947" s="12" t="s">
        <v>3797</v>
      </c>
      <c r="J947" s="11" t="s">
        <v>1856</v>
      </c>
      <c r="K947" s="11" t="s">
        <v>1852</v>
      </c>
      <c r="L947" s="11" t="s">
        <v>1853</v>
      </c>
      <c r="M947" s="11" t="s">
        <v>2549</v>
      </c>
      <c r="N947" s="12" t="s">
        <v>3798</v>
      </c>
      <c r="O947" s="11" t="s">
        <v>1858</v>
      </c>
      <c r="P947" s="56"/>
    </row>
    <row r="948" spans="1:16" ht="15.75" customHeight="1" x14ac:dyDescent="0.2">
      <c r="A948" s="48">
        <v>847</v>
      </c>
      <c r="B948" s="11" t="s">
        <v>1857</v>
      </c>
      <c r="C948" s="11" t="s">
        <v>1849</v>
      </c>
      <c r="D948" s="6" t="s">
        <v>1850</v>
      </c>
      <c r="E948" s="12" t="s">
        <v>3531</v>
      </c>
      <c r="F948" s="12" t="s">
        <v>3531</v>
      </c>
      <c r="G948" s="12" t="s">
        <v>3544</v>
      </c>
      <c r="H948" s="12" t="s">
        <v>3544</v>
      </c>
      <c r="I948" s="12" t="s">
        <v>3799</v>
      </c>
      <c r="J948" s="11" t="s">
        <v>1851</v>
      </c>
      <c r="K948" s="11" t="s">
        <v>1852</v>
      </c>
      <c r="L948" s="11" t="s">
        <v>1853</v>
      </c>
      <c r="M948" s="11" t="s">
        <v>2549</v>
      </c>
      <c r="N948" s="12" t="s">
        <v>3800</v>
      </c>
      <c r="O948" s="11" t="s">
        <v>1858</v>
      </c>
      <c r="P948" s="56"/>
    </row>
    <row r="949" spans="1:16" ht="15.75" customHeight="1" x14ac:dyDescent="0.2">
      <c r="A949" s="48">
        <v>630</v>
      </c>
      <c r="B949" s="11" t="s">
        <v>1857</v>
      </c>
      <c r="C949" s="11" t="s">
        <v>1849</v>
      </c>
      <c r="D949" s="6" t="s">
        <v>1850</v>
      </c>
      <c r="E949" s="12" t="s">
        <v>3531</v>
      </c>
      <c r="F949" s="12" t="s">
        <v>3531</v>
      </c>
      <c r="G949" s="12" t="s">
        <v>3532</v>
      </c>
      <c r="H949" s="12" t="s">
        <v>3783</v>
      </c>
      <c r="I949" s="12" t="s">
        <v>3801</v>
      </c>
      <c r="J949" s="11" t="s">
        <v>1856</v>
      </c>
      <c r="K949" s="11" t="s">
        <v>1852</v>
      </c>
      <c r="L949" s="11" t="s">
        <v>1853</v>
      </c>
      <c r="M949" s="11" t="s">
        <v>3802</v>
      </c>
      <c r="N949" s="12" t="s">
        <v>3803</v>
      </c>
      <c r="O949" s="11" t="s">
        <v>1858</v>
      </c>
      <c r="P949" s="56"/>
    </row>
    <row r="950" spans="1:16" ht="15.75" customHeight="1" x14ac:dyDescent="0.2">
      <c r="A950" s="48">
        <v>583</v>
      </c>
      <c r="B950" s="11" t="s">
        <v>1857</v>
      </c>
      <c r="C950" s="11" t="s">
        <v>1849</v>
      </c>
      <c r="D950" s="6" t="s">
        <v>1850</v>
      </c>
      <c r="E950" s="12" t="s">
        <v>3531</v>
      </c>
      <c r="F950" s="12" t="s">
        <v>3531</v>
      </c>
      <c r="G950" s="12" t="s">
        <v>3550</v>
      </c>
      <c r="H950" s="12" t="s">
        <v>3555</v>
      </c>
      <c r="I950" s="12" t="s">
        <v>3804</v>
      </c>
      <c r="J950" s="11" t="s">
        <v>1856</v>
      </c>
      <c r="K950" s="11" t="s">
        <v>1852</v>
      </c>
      <c r="L950" s="11" t="s">
        <v>1853</v>
      </c>
      <c r="M950" s="11" t="s">
        <v>3805</v>
      </c>
      <c r="N950" s="12" t="s">
        <v>3806</v>
      </c>
      <c r="O950" s="11" t="s">
        <v>1858</v>
      </c>
      <c r="P950" s="56"/>
    </row>
    <row r="951" spans="1:16" ht="15.75" customHeight="1" x14ac:dyDescent="0.2">
      <c r="A951" s="48">
        <v>915</v>
      </c>
      <c r="B951" s="11" t="s">
        <v>1857</v>
      </c>
      <c r="C951" s="11" t="s">
        <v>1849</v>
      </c>
      <c r="D951" s="6" t="s">
        <v>1850</v>
      </c>
      <c r="E951" s="12" t="s">
        <v>3531</v>
      </c>
      <c r="F951" s="12" t="s">
        <v>3531</v>
      </c>
      <c r="G951" s="12" t="s">
        <v>3544</v>
      </c>
      <c r="H951" s="12" t="s">
        <v>3594</v>
      </c>
      <c r="I951" s="12" t="s">
        <v>3807</v>
      </c>
      <c r="J951" s="11" t="s">
        <v>1856</v>
      </c>
      <c r="K951" s="11" t="s">
        <v>1852</v>
      </c>
      <c r="L951" s="11" t="s">
        <v>1853</v>
      </c>
      <c r="M951" s="11" t="s">
        <v>1854</v>
      </c>
      <c r="N951" s="12"/>
      <c r="O951" s="11" t="s">
        <v>1858</v>
      </c>
      <c r="P951" s="56"/>
    </row>
    <row r="952" spans="1:16" ht="15.75" customHeight="1" x14ac:dyDescent="0.2">
      <c r="A952" s="48">
        <v>929</v>
      </c>
      <c r="B952" s="11" t="s">
        <v>1857</v>
      </c>
      <c r="C952" s="11" t="s">
        <v>1849</v>
      </c>
      <c r="D952" s="6" t="s">
        <v>1850</v>
      </c>
      <c r="E952" s="12" t="s">
        <v>3531</v>
      </c>
      <c r="F952" s="12" t="s">
        <v>3531</v>
      </c>
      <c r="G952" s="12" t="s">
        <v>3544</v>
      </c>
      <c r="H952" s="12" t="s">
        <v>3676</v>
      </c>
      <c r="I952" s="12" t="s">
        <v>3808</v>
      </c>
      <c r="J952" s="11" t="s">
        <v>1856</v>
      </c>
      <c r="K952" s="11" t="s">
        <v>1852</v>
      </c>
      <c r="L952" s="11" t="s">
        <v>1853</v>
      </c>
      <c r="M952" s="11" t="s">
        <v>3809</v>
      </c>
      <c r="N952" s="12"/>
      <c r="O952" s="11" t="s">
        <v>1858</v>
      </c>
      <c r="P952" s="56"/>
    </row>
    <row r="953" spans="1:16" ht="15.75" customHeight="1" x14ac:dyDescent="0.2">
      <c r="A953" s="48">
        <v>608</v>
      </c>
      <c r="B953" s="11" t="s">
        <v>1857</v>
      </c>
      <c r="C953" s="11" t="s">
        <v>1849</v>
      </c>
      <c r="D953" s="6" t="s">
        <v>1850</v>
      </c>
      <c r="E953" s="12" t="s">
        <v>3531</v>
      </c>
      <c r="F953" s="12" t="s">
        <v>3531</v>
      </c>
      <c r="G953" s="12" t="s">
        <v>3532</v>
      </c>
      <c r="H953" s="12" t="s">
        <v>3532</v>
      </c>
      <c r="I953" s="12" t="s">
        <v>3810</v>
      </c>
      <c r="J953" s="11" t="s">
        <v>1856</v>
      </c>
      <c r="K953" s="11" t="s">
        <v>1852</v>
      </c>
      <c r="L953" s="11" t="s">
        <v>1853</v>
      </c>
      <c r="M953" s="11" t="s">
        <v>3811</v>
      </c>
      <c r="N953" s="12"/>
      <c r="O953" s="11" t="s">
        <v>1858</v>
      </c>
      <c r="P953" s="56"/>
    </row>
    <row r="954" spans="1:16" ht="15.75" customHeight="1" x14ac:dyDescent="0.2">
      <c r="A954" s="48">
        <v>792</v>
      </c>
      <c r="B954" s="11" t="s">
        <v>1857</v>
      </c>
      <c r="C954" s="11" t="s">
        <v>1849</v>
      </c>
      <c r="D954" s="6" t="s">
        <v>1850</v>
      </c>
      <c r="E954" s="12" t="s">
        <v>3531</v>
      </c>
      <c r="F954" s="12" t="s">
        <v>3531</v>
      </c>
      <c r="G954" s="12" t="s">
        <v>3672</v>
      </c>
      <c r="H954" s="12" t="s">
        <v>3769</v>
      </c>
      <c r="I954" s="12" t="s">
        <v>3812</v>
      </c>
      <c r="J954" s="11" t="s">
        <v>1856</v>
      </c>
      <c r="K954" s="11" t="s">
        <v>1852</v>
      </c>
      <c r="L954" s="11" t="s">
        <v>1853</v>
      </c>
      <c r="M954" s="11" t="s">
        <v>3813</v>
      </c>
      <c r="N954" s="12"/>
      <c r="O954" s="11" t="s">
        <v>1859</v>
      </c>
      <c r="P954" s="56"/>
    </row>
    <row r="955" spans="1:16" ht="15.75" customHeight="1" x14ac:dyDescent="0.2">
      <c r="A955" s="48">
        <v>814</v>
      </c>
      <c r="B955" s="11" t="s">
        <v>1857</v>
      </c>
      <c r="C955" s="11" t="s">
        <v>1849</v>
      </c>
      <c r="D955" s="6" t="s">
        <v>1850</v>
      </c>
      <c r="E955" s="12" t="s">
        <v>3531</v>
      </c>
      <c r="F955" s="12" t="s">
        <v>3531</v>
      </c>
      <c r="G955" s="12" t="s">
        <v>3599</v>
      </c>
      <c r="H955" s="12" t="s">
        <v>3752</v>
      </c>
      <c r="I955" s="12" t="s">
        <v>3814</v>
      </c>
      <c r="J955" s="11" t="s">
        <v>1856</v>
      </c>
      <c r="K955" s="11" t="s">
        <v>1852</v>
      </c>
      <c r="L955" s="11" t="s">
        <v>1853</v>
      </c>
      <c r="M955" s="11" t="s">
        <v>3616</v>
      </c>
      <c r="N955" s="12"/>
      <c r="O955" s="11" t="s">
        <v>1859</v>
      </c>
      <c r="P955" s="56"/>
    </row>
    <row r="956" spans="1:16" ht="15.75" customHeight="1" x14ac:dyDescent="0.2">
      <c r="A956" s="48">
        <v>829</v>
      </c>
      <c r="B956" s="11" t="s">
        <v>1857</v>
      </c>
      <c r="C956" s="11" t="s">
        <v>1849</v>
      </c>
      <c r="D956" s="6" t="s">
        <v>1850</v>
      </c>
      <c r="E956" s="12" t="s">
        <v>3531</v>
      </c>
      <c r="F956" s="12" t="s">
        <v>3531</v>
      </c>
      <c r="G956" s="12" t="s">
        <v>3544</v>
      </c>
      <c r="H956" s="12" t="s">
        <v>3617</v>
      </c>
      <c r="I956" s="12" t="s">
        <v>3815</v>
      </c>
      <c r="J956" s="11" t="s">
        <v>1856</v>
      </c>
      <c r="K956" s="11" t="s">
        <v>1852</v>
      </c>
      <c r="L956" s="11" t="s">
        <v>1853</v>
      </c>
      <c r="M956" s="11" t="s">
        <v>3816</v>
      </c>
      <c r="N956" s="12"/>
      <c r="O956" s="11" t="s">
        <v>1859</v>
      </c>
      <c r="P956" s="56"/>
    </row>
    <row r="957" spans="1:16" ht="15.75" customHeight="1" x14ac:dyDescent="0.2">
      <c r="A957" s="48">
        <v>778</v>
      </c>
      <c r="B957" s="11" t="s">
        <v>1857</v>
      </c>
      <c r="C957" s="11" t="s">
        <v>1849</v>
      </c>
      <c r="D957" s="6" t="s">
        <v>1850</v>
      </c>
      <c r="E957" s="12" t="s">
        <v>3531</v>
      </c>
      <c r="F957" s="12" t="s">
        <v>3531</v>
      </c>
      <c r="G957" s="12" t="s">
        <v>3672</v>
      </c>
      <c r="H957" s="12" t="s">
        <v>3745</v>
      </c>
      <c r="I957" s="12" t="s">
        <v>3817</v>
      </c>
      <c r="J957" s="11" t="s">
        <v>1856</v>
      </c>
      <c r="K957" s="11" t="s">
        <v>1852</v>
      </c>
      <c r="L957" s="11" t="s">
        <v>1853</v>
      </c>
      <c r="M957" s="11" t="s">
        <v>3611</v>
      </c>
      <c r="N957" s="12"/>
      <c r="O957" s="11" t="s">
        <v>2755</v>
      </c>
      <c r="P957" s="56"/>
    </row>
    <row r="958" spans="1:16" ht="15.75" customHeight="1" x14ac:dyDescent="0.2">
      <c r="A958" s="48">
        <v>5056</v>
      </c>
      <c r="B958" s="11" t="s">
        <v>1857</v>
      </c>
      <c r="C958" s="11" t="s">
        <v>1849</v>
      </c>
      <c r="D958" s="6" t="s">
        <v>1850</v>
      </c>
      <c r="E958" s="12" t="s">
        <v>3531</v>
      </c>
      <c r="F958" s="12" t="s">
        <v>3531</v>
      </c>
      <c r="G958" s="12" t="s">
        <v>3546</v>
      </c>
      <c r="H958" s="12" t="s">
        <v>3605</v>
      </c>
      <c r="I958" s="12" t="s">
        <v>3818</v>
      </c>
      <c r="J958" s="11" t="s">
        <v>1856</v>
      </c>
      <c r="K958" s="11" t="s">
        <v>1852</v>
      </c>
      <c r="L958" s="11" t="s">
        <v>1853</v>
      </c>
      <c r="M958" s="11" t="s">
        <v>3819</v>
      </c>
      <c r="N958" s="12"/>
      <c r="O958" s="11" t="s">
        <v>1858</v>
      </c>
      <c r="P958" s="56"/>
    </row>
    <row r="959" spans="1:16" ht="15.75" customHeight="1" x14ac:dyDescent="0.2">
      <c r="A959" s="48">
        <v>737</v>
      </c>
      <c r="B959" s="11" t="s">
        <v>1857</v>
      </c>
      <c r="C959" s="11" t="s">
        <v>1849</v>
      </c>
      <c r="D959" s="6" t="s">
        <v>1850</v>
      </c>
      <c r="E959" s="12" t="s">
        <v>3531</v>
      </c>
      <c r="F959" s="12" t="s">
        <v>3531</v>
      </c>
      <c r="G959" s="12" t="s">
        <v>3546</v>
      </c>
      <c r="H959" s="12" t="s">
        <v>3559</v>
      </c>
      <c r="I959" s="12" t="s">
        <v>3820</v>
      </c>
      <c r="J959" s="11" t="s">
        <v>1856</v>
      </c>
      <c r="K959" s="11" t="s">
        <v>1852</v>
      </c>
      <c r="L959" s="11" t="s">
        <v>1853</v>
      </c>
      <c r="M959" s="11" t="s">
        <v>3821</v>
      </c>
      <c r="N959" s="12"/>
      <c r="O959" s="11" t="s">
        <v>1859</v>
      </c>
      <c r="P959" s="56"/>
    </row>
    <row r="960" spans="1:16" ht="15.75" customHeight="1" x14ac:dyDescent="0.2">
      <c r="A960" s="48">
        <v>569</v>
      </c>
      <c r="B960" s="11" t="s">
        <v>1857</v>
      </c>
      <c r="C960" s="11" t="s">
        <v>1849</v>
      </c>
      <c r="D960" s="6" t="s">
        <v>1850</v>
      </c>
      <c r="E960" s="12" t="s">
        <v>3531</v>
      </c>
      <c r="F960" s="12" t="s">
        <v>3531</v>
      </c>
      <c r="G960" s="12" t="s">
        <v>3550</v>
      </c>
      <c r="H960" s="12" t="s">
        <v>2624</v>
      </c>
      <c r="I960" s="12" t="s">
        <v>3822</v>
      </c>
      <c r="J960" s="11" t="s">
        <v>1856</v>
      </c>
      <c r="K960" s="11" t="s">
        <v>1852</v>
      </c>
      <c r="L960" s="11" t="s">
        <v>1853</v>
      </c>
      <c r="M960" s="11" t="s">
        <v>3709</v>
      </c>
      <c r="N960" s="12"/>
      <c r="O960" s="11" t="s">
        <v>1858</v>
      </c>
      <c r="P960" s="56"/>
    </row>
    <row r="961" spans="1:16" ht="15.75" customHeight="1" x14ac:dyDescent="0.2">
      <c r="A961" s="48">
        <v>780</v>
      </c>
      <c r="B961" s="11" t="s">
        <v>1857</v>
      </c>
      <c r="C961" s="11" t="s">
        <v>1849</v>
      </c>
      <c r="D961" s="6" t="s">
        <v>1850</v>
      </c>
      <c r="E961" s="12" t="s">
        <v>3531</v>
      </c>
      <c r="F961" s="12" t="s">
        <v>3531</v>
      </c>
      <c r="G961" s="12" t="s">
        <v>3672</v>
      </c>
      <c r="H961" s="12" t="s">
        <v>3745</v>
      </c>
      <c r="I961" s="12" t="s">
        <v>3823</v>
      </c>
      <c r="J961" s="11" t="s">
        <v>1856</v>
      </c>
      <c r="K961" s="11" t="s">
        <v>1852</v>
      </c>
      <c r="L961" s="11" t="s">
        <v>1853</v>
      </c>
      <c r="M961" s="11" t="s">
        <v>3824</v>
      </c>
      <c r="N961" s="12"/>
      <c r="O961" s="11" t="s">
        <v>1859</v>
      </c>
      <c r="P961" s="56"/>
    </row>
    <row r="962" spans="1:16" ht="15.75" customHeight="1" x14ac:dyDescent="0.2">
      <c r="A962" s="48">
        <v>909</v>
      </c>
      <c r="B962" s="11" t="s">
        <v>1857</v>
      </c>
      <c r="C962" s="11" t="s">
        <v>1849</v>
      </c>
      <c r="D962" s="6" t="s">
        <v>1850</v>
      </c>
      <c r="E962" s="12" t="s">
        <v>3531</v>
      </c>
      <c r="F962" s="12" t="s">
        <v>3531</v>
      </c>
      <c r="G962" s="12" t="s">
        <v>3544</v>
      </c>
      <c r="H962" s="12" t="s">
        <v>3590</v>
      </c>
      <c r="I962" s="12" t="s">
        <v>3825</v>
      </c>
      <c r="J962" s="11" t="s">
        <v>1856</v>
      </c>
      <c r="K962" s="11" t="s">
        <v>1852</v>
      </c>
      <c r="L962" s="11" t="s">
        <v>1853</v>
      </c>
      <c r="M962" s="11" t="s">
        <v>2549</v>
      </c>
      <c r="N962" s="12" t="s">
        <v>3826</v>
      </c>
      <c r="O962" s="11" t="s">
        <v>2022</v>
      </c>
      <c r="P962" s="56" t="s">
        <v>2796</v>
      </c>
    </row>
    <row r="963" spans="1:16" ht="15.75" customHeight="1" x14ac:dyDescent="0.2">
      <c r="A963" s="48">
        <v>554</v>
      </c>
      <c r="B963" s="11" t="s">
        <v>1857</v>
      </c>
      <c r="C963" s="11" t="s">
        <v>1849</v>
      </c>
      <c r="D963" s="6" t="s">
        <v>1850</v>
      </c>
      <c r="E963" s="12" t="s">
        <v>3531</v>
      </c>
      <c r="F963" s="12" t="s">
        <v>3531</v>
      </c>
      <c r="G963" s="12" t="s">
        <v>3550</v>
      </c>
      <c r="H963" s="12" t="s">
        <v>3550</v>
      </c>
      <c r="I963" s="12" t="s">
        <v>3827</v>
      </c>
      <c r="J963" s="11" t="s">
        <v>1851</v>
      </c>
      <c r="K963" s="11" t="s">
        <v>1852</v>
      </c>
      <c r="L963" s="11" t="s">
        <v>1853</v>
      </c>
      <c r="M963" s="11" t="s">
        <v>3828</v>
      </c>
      <c r="N963" s="12"/>
      <c r="O963" s="11" t="s">
        <v>2022</v>
      </c>
      <c r="P963" s="56" t="s">
        <v>3829</v>
      </c>
    </row>
    <row r="964" spans="1:16" ht="15.75" customHeight="1" x14ac:dyDescent="0.2">
      <c r="A964" s="48">
        <v>5270</v>
      </c>
      <c r="B964" s="11" t="s">
        <v>1857</v>
      </c>
      <c r="C964" s="11" t="s">
        <v>1849</v>
      </c>
      <c r="D964" s="6" t="s">
        <v>1850</v>
      </c>
      <c r="E964" s="12" t="s">
        <v>3531</v>
      </c>
      <c r="F964" s="12" t="s">
        <v>3531</v>
      </c>
      <c r="G964" s="12" t="s">
        <v>3544</v>
      </c>
      <c r="H964" s="12" t="s">
        <v>3594</v>
      </c>
      <c r="I964" s="12" t="s">
        <v>3830</v>
      </c>
      <c r="J964" s="11" t="s">
        <v>1856</v>
      </c>
      <c r="K964" s="11" t="s">
        <v>1852</v>
      </c>
      <c r="L964" s="11" t="s">
        <v>1853</v>
      </c>
      <c r="M964" s="11" t="s">
        <v>3630</v>
      </c>
      <c r="N964" s="12" t="s">
        <v>3831</v>
      </c>
      <c r="O964" s="11" t="s">
        <v>1866</v>
      </c>
      <c r="P964" s="56" t="s">
        <v>2573</v>
      </c>
    </row>
    <row r="965" spans="1:16" ht="15.75" customHeight="1" x14ac:dyDescent="0.2">
      <c r="A965" s="48">
        <v>7328</v>
      </c>
      <c r="B965" s="11" t="s">
        <v>1857</v>
      </c>
      <c r="C965" s="11" t="s">
        <v>1849</v>
      </c>
      <c r="D965" s="6" t="s">
        <v>1850</v>
      </c>
      <c r="E965" s="12" t="s">
        <v>3531</v>
      </c>
      <c r="F965" s="12" t="s">
        <v>3531</v>
      </c>
      <c r="G965" s="12" t="s">
        <v>3532</v>
      </c>
      <c r="H965" s="13" t="s">
        <v>3535</v>
      </c>
      <c r="I965" s="12" t="s">
        <v>3832</v>
      </c>
      <c r="J965" s="11" t="s">
        <v>1856</v>
      </c>
      <c r="K965" s="11" t="s">
        <v>1852</v>
      </c>
      <c r="L965" s="11" t="s">
        <v>1853</v>
      </c>
      <c r="M965" s="11" t="s">
        <v>3833</v>
      </c>
      <c r="N965" s="12" t="s">
        <v>3834</v>
      </c>
      <c r="O965" s="11" t="s">
        <v>3835</v>
      </c>
      <c r="P965" s="56" t="s">
        <v>1865</v>
      </c>
    </row>
    <row r="966" spans="1:16" ht="15.75" customHeight="1" x14ac:dyDescent="0.2">
      <c r="A966" s="48">
        <v>628</v>
      </c>
      <c r="B966" s="11" t="s">
        <v>1857</v>
      </c>
      <c r="C966" s="11" t="s">
        <v>1849</v>
      </c>
      <c r="D966" s="6" t="s">
        <v>1850</v>
      </c>
      <c r="E966" s="12" t="s">
        <v>3531</v>
      </c>
      <c r="F966" s="12" t="s">
        <v>3531</v>
      </c>
      <c r="G966" s="12" t="s">
        <v>3532</v>
      </c>
      <c r="H966" s="12" t="s">
        <v>3783</v>
      </c>
      <c r="I966" s="12" t="s">
        <v>3836</v>
      </c>
      <c r="J966" s="11" t="s">
        <v>1851</v>
      </c>
      <c r="K966" s="11" t="s">
        <v>1852</v>
      </c>
      <c r="L966" s="11" t="s">
        <v>1853</v>
      </c>
      <c r="M966" s="11" t="s">
        <v>3837</v>
      </c>
      <c r="N966" s="12"/>
      <c r="O966" s="11" t="s">
        <v>1866</v>
      </c>
      <c r="P966" s="56" t="s">
        <v>2916</v>
      </c>
    </row>
    <row r="967" spans="1:16" ht="15.75" customHeight="1" x14ac:dyDescent="0.2">
      <c r="A967" s="48">
        <v>676</v>
      </c>
      <c r="B967" s="11" t="s">
        <v>1857</v>
      </c>
      <c r="C967" s="11" t="s">
        <v>1849</v>
      </c>
      <c r="D967" s="6" t="s">
        <v>1850</v>
      </c>
      <c r="E967" s="12" t="s">
        <v>3531</v>
      </c>
      <c r="F967" s="12" t="s">
        <v>3531</v>
      </c>
      <c r="G967" s="12" t="s">
        <v>3546</v>
      </c>
      <c r="H967" s="12" t="s">
        <v>3546</v>
      </c>
      <c r="I967" s="12" t="s">
        <v>3838</v>
      </c>
      <c r="J967" s="11" t="s">
        <v>1856</v>
      </c>
      <c r="K967" s="11" t="s">
        <v>1852</v>
      </c>
      <c r="L967" s="11" t="s">
        <v>1853</v>
      </c>
      <c r="M967" s="11" t="s">
        <v>3839</v>
      </c>
      <c r="N967" s="12" t="s">
        <v>3840</v>
      </c>
      <c r="O967" s="11" t="s">
        <v>2022</v>
      </c>
      <c r="P967" s="56" t="s">
        <v>2796</v>
      </c>
    </row>
    <row r="968" spans="1:16" ht="15.75" customHeight="1" x14ac:dyDescent="0.2">
      <c r="A968" s="48">
        <v>5013</v>
      </c>
      <c r="B968" s="11" t="s">
        <v>1857</v>
      </c>
      <c r="C968" s="11" t="s">
        <v>1849</v>
      </c>
      <c r="D968" s="6" t="s">
        <v>1850</v>
      </c>
      <c r="E968" s="12" t="s">
        <v>3531</v>
      </c>
      <c r="F968" s="12" t="s">
        <v>3531</v>
      </c>
      <c r="G968" s="12" t="s">
        <v>3532</v>
      </c>
      <c r="H968" s="13" t="s">
        <v>3535</v>
      </c>
      <c r="I968" s="12" t="s">
        <v>3841</v>
      </c>
      <c r="J968" s="11" t="s">
        <v>1851</v>
      </c>
      <c r="K968" s="11" t="s">
        <v>1852</v>
      </c>
      <c r="L968" s="11" t="s">
        <v>1853</v>
      </c>
      <c r="M968" s="11" t="s">
        <v>3842</v>
      </c>
      <c r="N968" s="12" t="s">
        <v>3843</v>
      </c>
      <c r="O968" s="11" t="s">
        <v>2022</v>
      </c>
      <c r="P968" s="56" t="s">
        <v>3844</v>
      </c>
    </row>
    <row r="969" spans="1:16" ht="15.75" customHeight="1" x14ac:dyDescent="0.2">
      <c r="A969" s="48">
        <v>602</v>
      </c>
      <c r="B969" s="11" t="s">
        <v>1857</v>
      </c>
      <c r="C969" s="11" t="s">
        <v>1849</v>
      </c>
      <c r="D969" s="6" t="s">
        <v>1850</v>
      </c>
      <c r="E969" s="12" t="s">
        <v>3531</v>
      </c>
      <c r="F969" s="12" t="s">
        <v>3531</v>
      </c>
      <c r="G969" s="12" t="s">
        <v>3532</v>
      </c>
      <c r="H969" s="12" t="s">
        <v>3532</v>
      </c>
      <c r="I969" s="12" t="s">
        <v>3845</v>
      </c>
      <c r="J969" s="11" t="s">
        <v>1851</v>
      </c>
      <c r="K969" s="11" t="s">
        <v>1852</v>
      </c>
      <c r="L969" s="11" t="s">
        <v>1853</v>
      </c>
      <c r="M969" s="11" t="s">
        <v>3846</v>
      </c>
      <c r="N969" s="12" t="s">
        <v>3847</v>
      </c>
      <c r="O969" s="11" t="s">
        <v>1866</v>
      </c>
      <c r="P969" s="56" t="s">
        <v>3848</v>
      </c>
    </row>
    <row r="970" spans="1:16" ht="15.75" customHeight="1" x14ac:dyDescent="0.2">
      <c r="A970" s="48">
        <v>823</v>
      </c>
      <c r="B970" s="11" t="s">
        <v>1857</v>
      </c>
      <c r="C970" s="11" t="s">
        <v>1849</v>
      </c>
      <c r="D970" s="6" t="s">
        <v>1850</v>
      </c>
      <c r="E970" s="12" t="s">
        <v>3531</v>
      </c>
      <c r="F970" s="12" t="s">
        <v>3531</v>
      </c>
      <c r="G970" s="12" t="s">
        <v>3544</v>
      </c>
      <c r="H970" s="12" t="s">
        <v>3544</v>
      </c>
      <c r="I970" s="12" t="s">
        <v>3849</v>
      </c>
      <c r="J970" s="11" t="s">
        <v>1851</v>
      </c>
      <c r="K970" s="11" t="s">
        <v>1852</v>
      </c>
      <c r="L970" s="11" t="s">
        <v>1853</v>
      </c>
      <c r="M970" s="11" t="s">
        <v>3850</v>
      </c>
      <c r="N970" s="12" t="s">
        <v>3851</v>
      </c>
      <c r="O970" s="11" t="s">
        <v>2022</v>
      </c>
      <c r="P970" s="56" t="s">
        <v>3852</v>
      </c>
    </row>
    <row r="971" spans="1:16" ht="15.75" customHeight="1" x14ac:dyDescent="0.2">
      <c r="A971" s="48">
        <v>801</v>
      </c>
      <c r="B971" s="11" t="s">
        <v>1857</v>
      </c>
      <c r="C971" s="11" t="s">
        <v>1849</v>
      </c>
      <c r="D971" s="6" t="s">
        <v>1850</v>
      </c>
      <c r="E971" s="12" t="s">
        <v>3531</v>
      </c>
      <c r="F971" s="12" t="s">
        <v>3531</v>
      </c>
      <c r="G971" s="12" t="s">
        <v>3599</v>
      </c>
      <c r="H971" s="12" t="s">
        <v>3706</v>
      </c>
      <c r="I971" s="12" t="s">
        <v>3853</v>
      </c>
      <c r="J971" s="11" t="s">
        <v>1856</v>
      </c>
      <c r="K971" s="11" t="s">
        <v>1852</v>
      </c>
      <c r="L971" s="11" t="s">
        <v>1853</v>
      </c>
      <c r="M971" s="11" t="s">
        <v>3854</v>
      </c>
      <c r="N971" s="12" t="s">
        <v>3855</v>
      </c>
      <c r="O971" s="11" t="s">
        <v>2022</v>
      </c>
      <c r="P971" s="56" t="s">
        <v>2796</v>
      </c>
    </row>
    <row r="972" spans="1:16" ht="15.75" customHeight="1" x14ac:dyDescent="0.2">
      <c r="A972" s="48">
        <v>898</v>
      </c>
      <c r="B972" s="11" t="s">
        <v>1857</v>
      </c>
      <c r="C972" s="11" t="s">
        <v>1849</v>
      </c>
      <c r="D972" s="6" t="s">
        <v>1850</v>
      </c>
      <c r="E972" s="12" t="s">
        <v>3531</v>
      </c>
      <c r="F972" s="12" t="s">
        <v>3531</v>
      </c>
      <c r="G972" s="12" t="s">
        <v>3544</v>
      </c>
      <c r="H972" s="12" t="s">
        <v>3567</v>
      </c>
      <c r="I972" s="12" t="s">
        <v>3856</v>
      </c>
      <c r="J972" s="11" t="s">
        <v>1856</v>
      </c>
      <c r="K972" s="11" t="s">
        <v>1852</v>
      </c>
      <c r="L972" s="11" t="s">
        <v>1853</v>
      </c>
      <c r="M972" s="11" t="s">
        <v>3857</v>
      </c>
      <c r="N972" s="12" t="s">
        <v>3858</v>
      </c>
      <c r="O972" s="11" t="s">
        <v>1858</v>
      </c>
      <c r="P972" s="56"/>
    </row>
    <row r="973" spans="1:16" ht="15.75" customHeight="1" x14ac:dyDescent="0.2">
      <c r="A973" s="48">
        <v>582</v>
      </c>
      <c r="B973" s="11" t="s">
        <v>1857</v>
      </c>
      <c r="C973" s="11" t="s">
        <v>1849</v>
      </c>
      <c r="D973" s="6" t="s">
        <v>1850</v>
      </c>
      <c r="E973" s="12" t="s">
        <v>3531</v>
      </c>
      <c r="F973" s="12" t="s">
        <v>3531</v>
      </c>
      <c r="G973" s="12" t="s">
        <v>3550</v>
      </c>
      <c r="H973" s="12" t="s">
        <v>3702</v>
      </c>
      <c r="I973" s="12" t="s">
        <v>3859</v>
      </c>
      <c r="J973" s="11" t="s">
        <v>1856</v>
      </c>
      <c r="K973" s="11" t="s">
        <v>1852</v>
      </c>
      <c r="L973" s="11" t="s">
        <v>1853</v>
      </c>
      <c r="M973" s="11" t="s">
        <v>1854</v>
      </c>
      <c r="N973" s="12"/>
      <c r="O973" s="11" t="s">
        <v>1858</v>
      </c>
      <c r="P973" s="56"/>
    </row>
    <row r="974" spans="1:16" ht="15.75" customHeight="1" x14ac:dyDescent="0.2">
      <c r="A974" s="48">
        <v>923</v>
      </c>
      <c r="B974" s="11" t="s">
        <v>1857</v>
      </c>
      <c r="C974" s="11" t="s">
        <v>1849</v>
      </c>
      <c r="D974" s="6" t="s">
        <v>1850</v>
      </c>
      <c r="E974" s="12" t="s">
        <v>3531</v>
      </c>
      <c r="F974" s="12" t="s">
        <v>3531</v>
      </c>
      <c r="G974" s="12" t="s">
        <v>3544</v>
      </c>
      <c r="H974" s="12" t="s">
        <v>3676</v>
      </c>
      <c r="I974" s="12" t="s">
        <v>3860</v>
      </c>
      <c r="J974" s="11" t="s">
        <v>1856</v>
      </c>
      <c r="K974" s="11" t="s">
        <v>1852</v>
      </c>
      <c r="L974" s="11" t="s">
        <v>1853</v>
      </c>
      <c r="M974" s="11" t="s">
        <v>3861</v>
      </c>
      <c r="N974" s="12" t="s">
        <v>3862</v>
      </c>
      <c r="O974" s="11" t="s">
        <v>1858</v>
      </c>
      <c r="P974" s="56"/>
    </row>
    <row r="975" spans="1:16" ht="15.75" customHeight="1" x14ac:dyDescent="0.2">
      <c r="A975" s="48">
        <v>620</v>
      </c>
      <c r="B975" s="11" t="s">
        <v>1857</v>
      </c>
      <c r="C975" s="11" t="s">
        <v>1849</v>
      </c>
      <c r="D975" s="6" t="s">
        <v>1850</v>
      </c>
      <c r="E975" s="12" t="s">
        <v>3531</v>
      </c>
      <c r="F975" s="12" t="s">
        <v>3531</v>
      </c>
      <c r="G975" s="12" t="s">
        <v>3532</v>
      </c>
      <c r="H975" s="12" t="s">
        <v>3538</v>
      </c>
      <c r="I975" s="12" t="s">
        <v>3863</v>
      </c>
      <c r="J975" s="11" t="s">
        <v>1856</v>
      </c>
      <c r="K975" s="11" t="s">
        <v>1852</v>
      </c>
      <c r="L975" s="11" t="s">
        <v>1853</v>
      </c>
      <c r="M975" s="11" t="s">
        <v>3864</v>
      </c>
      <c r="N975" s="12"/>
      <c r="O975" s="11" t="s">
        <v>1858</v>
      </c>
      <c r="P975" s="56"/>
    </row>
    <row r="976" spans="1:16" ht="15.75" customHeight="1" x14ac:dyDescent="0.2">
      <c r="A976" s="48">
        <v>810</v>
      </c>
      <c r="B976" s="11" t="s">
        <v>1857</v>
      </c>
      <c r="C976" s="11" t="s">
        <v>1849</v>
      </c>
      <c r="D976" s="6" t="s">
        <v>1850</v>
      </c>
      <c r="E976" s="12" t="s">
        <v>3531</v>
      </c>
      <c r="F976" s="12" t="s">
        <v>3531</v>
      </c>
      <c r="G976" s="12" t="s">
        <v>3599</v>
      </c>
      <c r="H976" s="12" t="s">
        <v>1918</v>
      </c>
      <c r="I976" s="12" t="s">
        <v>3865</v>
      </c>
      <c r="J976" s="11" t="s">
        <v>1856</v>
      </c>
      <c r="K976" s="11" t="s">
        <v>1852</v>
      </c>
      <c r="L976" s="11" t="s">
        <v>1853</v>
      </c>
      <c r="M976" s="11" t="s">
        <v>3866</v>
      </c>
      <c r="N976" s="12" t="s">
        <v>3867</v>
      </c>
      <c r="O976" s="11" t="s">
        <v>1859</v>
      </c>
      <c r="P976" s="56"/>
    </row>
    <row r="977" spans="1:16" ht="15.75" customHeight="1" x14ac:dyDescent="0.2">
      <c r="A977" s="48">
        <v>854</v>
      </c>
      <c r="B977" s="11" t="s">
        <v>1857</v>
      </c>
      <c r="C977" s="11" t="s">
        <v>1849</v>
      </c>
      <c r="D977" s="6" t="s">
        <v>1850</v>
      </c>
      <c r="E977" s="12" t="s">
        <v>3531</v>
      </c>
      <c r="F977" s="12" t="s">
        <v>3531</v>
      </c>
      <c r="G977" s="12" t="s">
        <v>3544</v>
      </c>
      <c r="H977" s="12" t="s">
        <v>3661</v>
      </c>
      <c r="I977" s="12" t="s">
        <v>3868</v>
      </c>
      <c r="J977" s="11" t="s">
        <v>1856</v>
      </c>
      <c r="K977" s="11" t="s">
        <v>1852</v>
      </c>
      <c r="L977" s="11" t="s">
        <v>1853</v>
      </c>
      <c r="M977" s="11" t="s">
        <v>3869</v>
      </c>
      <c r="N977" s="12" t="s">
        <v>3870</v>
      </c>
      <c r="O977" s="11" t="s">
        <v>1858</v>
      </c>
      <c r="P977" s="56"/>
    </row>
    <row r="978" spans="1:16" ht="15.75" customHeight="1" x14ac:dyDescent="0.2">
      <c r="A978" s="48">
        <v>634</v>
      </c>
      <c r="B978" s="11" t="s">
        <v>1857</v>
      </c>
      <c r="C978" s="11" t="s">
        <v>1849</v>
      </c>
      <c r="D978" s="6" t="s">
        <v>1850</v>
      </c>
      <c r="E978" s="12" t="s">
        <v>3531</v>
      </c>
      <c r="F978" s="12" t="s">
        <v>3531</v>
      </c>
      <c r="G978" s="12" t="s">
        <v>3532</v>
      </c>
      <c r="H978" s="12" t="s">
        <v>3542</v>
      </c>
      <c r="I978" s="12" t="s">
        <v>3871</v>
      </c>
      <c r="J978" s="11" t="s">
        <v>1856</v>
      </c>
      <c r="K978" s="11" t="s">
        <v>1852</v>
      </c>
      <c r="L978" s="11" t="s">
        <v>1853</v>
      </c>
      <c r="M978" s="11" t="s">
        <v>3872</v>
      </c>
      <c r="N978" s="12"/>
      <c r="O978" s="11" t="s">
        <v>1858</v>
      </c>
      <c r="P978" s="56"/>
    </row>
    <row r="979" spans="1:16" ht="15.75" customHeight="1" x14ac:dyDescent="0.2">
      <c r="A979" s="48">
        <v>707</v>
      </c>
      <c r="B979" s="11" t="s">
        <v>1857</v>
      </c>
      <c r="C979" s="11" t="s">
        <v>1849</v>
      </c>
      <c r="D979" s="6" t="s">
        <v>1850</v>
      </c>
      <c r="E979" s="12" t="s">
        <v>3531</v>
      </c>
      <c r="F979" s="12" t="s">
        <v>3531</v>
      </c>
      <c r="G979" s="12" t="s">
        <v>3546</v>
      </c>
      <c r="H979" s="12" t="s">
        <v>3559</v>
      </c>
      <c r="I979" s="12" t="s">
        <v>3873</v>
      </c>
      <c r="J979" s="11" t="s">
        <v>1856</v>
      </c>
      <c r="K979" s="11" t="s">
        <v>1852</v>
      </c>
      <c r="L979" s="11" t="s">
        <v>1853</v>
      </c>
      <c r="M979" s="11" t="s">
        <v>3874</v>
      </c>
      <c r="N979" s="12" t="s">
        <v>3875</v>
      </c>
      <c r="O979" s="11" t="s">
        <v>1859</v>
      </c>
      <c r="P979" s="56"/>
    </row>
    <row r="980" spans="1:16" ht="15.75" customHeight="1" x14ac:dyDescent="0.2">
      <c r="A980" s="48">
        <v>798</v>
      </c>
      <c r="B980" s="11" t="s">
        <v>1857</v>
      </c>
      <c r="C980" s="11" t="s">
        <v>1849</v>
      </c>
      <c r="D980" s="6" t="s">
        <v>1850</v>
      </c>
      <c r="E980" s="12" t="s">
        <v>3531</v>
      </c>
      <c r="F980" s="12" t="s">
        <v>3531</v>
      </c>
      <c r="G980" s="12" t="s">
        <v>3599</v>
      </c>
      <c r="H980" s="12" t="s">
        <v>3599</v>
      </c>
      <c r="I980" s="12" t="s">
        <v>3876</v>
      </c>
      <c r="J980" s="11" t="s">
        <v>1856</v>
      </c>
      <c r="K980" s="11" t="s">
        <v>1852</v>
      </c>
      <c r="L980" s="11" t="s">
        <v>1853</v>
      </c>
      <c r="M980" s="11" t="s">
        <v>3877</v>
      </c>
      <c r="N980" s="12"/>
      <c r="O980" s="11" t="s">
        <v>1858</v>
      </c>
      <c r="P980" s="56"/>
    </row>
    <row r="981" spans="1:16" ht="15.75" customHeight="1" x14ac:dyDescent="0.2">
      <c r="A981" s="48">
        <v>609</v>
      </c>
      <c r="B981" s="11" t="s">
        <v>1857</v>
      </c>
      <c r="C981" s="11" t="s">
        <v>1849</v>
      </c>
      <c r="D981" s="6" t="s">
        <v>1850</v>
      </c>
      <c r="E981" s="12" t="s">
        <v>3531</v>
      </c>
      <c r="F981" s="12" t="s">
        <v>3531</v>
      </c>
      <c r="G981" s="12" t="s">
        <v>3532</v>
      </c>
      <c r="H981" s="12" t="s">
        <v>3532</v>
      </c>
      <c r="I981" s="12" t="s">
        <v>3878</v>
      </c>
      <c r="J981" s="11" t="s">
        <v>1856</v>
      </c>
      <c r="K981" s="11" t="s">
        <v>1852</v>
      </c>
      <c r="L981" s="11" t="s">
        <v>1853</v>
      </c>
      <c r="M981" s="11" t="s">
        <v>3879</v>
      </c>
      <c r="N981" s="12"/>
      <c r="O981" s="11" t="s">
        <v>1859</v>
      </c>
      <c r="P981" s="56"/>
    </row>
    <row r="982" spans="1:16" ht="15.75" customHeight="1" x14ac:dyDescent="0.2">
      <c r="A982" s="48">
        <v>975</v>
      </c>
      <c r="B982" s="11" t="s">
        <v>1857</v>
      </c>
      <c r="C982" s="11" t="s">
        <v>1849</v>
      </c>
      <c r="D982" s="6" t="s">
        <v>1850</v>
      </c>
      <c r="E982" s="12" t="s">
        <v>3531</v>
      </c>
      <c r="F982" s="12" t="s">
        <v>3531</v>
      </c>
      <c r="G982" s="12" t="s">
        <v>3544</v>
      </c>
      <c r="H982" s="12" t="s">
        <v>3565</v>
      </c>
      <c r="I982" s="12" t="s">
        <v>3880</v>
      </c>
      <c r="J982" s="11" t="s">
        <v>1856</v>
      </c>
      <c r="K982" s="11" t="s">
        <v>1852</v>
      </c>
      <c r="L982" s="11" t="s">
        <v>1853</v>
      </c>
      <c r="M982" s="11" t="s">
        <v>3694</v>
      </c>
      <c r="N982" s="12"/>
      <c r="O982" s="11" t="s">
        <v>1859</v>
      </c>
      <c r="P982" s="56"/>
    </row>
    <row r="983" spans="1:16" ht="15.75" customHeight="1" x14ac:dyDescent="0.2">
      <c r="A983" s="48">
        <v>637</v>
      </c>
      <c r="B983" s="11" t="s">
        <v>1857</v>
      </c>
      <c r="C983" s="11" t="s">
        <v>1849</v>
      </c>
      <c r="D983" s="6" t="s">
        <v>1850</v>
      </c>
      <c r="E983" s="12" t="s">
        <v>3531</v>
      </c>
      <c r="F983" s="12" t="s">
        <v>3531</v>
      </c>
      <c r="G983" s="12" t="s">
        <v>3532</v>
      </c>
      <c r="H983" s="13" t="s">
        <v>3535</v>
      </c>
      <c r="I983" s="12" t="s">
        <v>3881</v>
      </c>
      <c r="J983" s="11" t="s">
        <v>1856</v>
      </c>
      <c r="K983" s="11" t="s">
        <v>1852</v>
      </c>
      <c r="L983" s="11" t="s">
        <v>1853</v>
      </c>
      <c r="M983" s="11" t="s">
        <v>3882</v>
      </c>
      <c r="N983" s="12"/>
      <c r="O983" s="11" t="s">
        <v>1860</v>
      </c>
      <c r="P983" s="56"/>
    </row>
    <row r="984" spans="1:16" ht="15.75" customHeight="1" x14ac:dyDescent="0.2">
      <c r="A984" s="48">
        <v>804</v>
      </c>
      <c r="B984" s="11" t="s">
        <v>1857</v>
      </c>
      <c r="C984" s="11" t="s">
        <v>1849</v>
      </c>
      <c r="D984" s="6" t="s">
        <v>1850</v>
      </c>
      <c r="E984" s="12" t="s">
        <v>3531</v>
      </c>
      <c r="F984" s="12" t="s">
        <v>3531</v>
      </c>
      <c r="G984" s="12" t="s">
        <v>3599</v>
      </c>
      <c r="H984" s="12" t="s">
        <v>3706</v>
      </c>
      <c r="I984" s="12" t="s">
        <v>3883</v>
      </c>
      <c r="J984" s="11" t="s">
        <v>1856</v>
      </c>
      <c r="K984" s="11" t="s">
        <v>1852</v>
      </c>
      <c r="L984" s="11" t="s">
        <v>1853</v>
      </c>
      <c r="M984" s="11" t="s">
        <v>3719</v>
      </c>
      <c r="N984" s="12"/>
      <c r="O984" s="11" t="s">
        <v>1859</v>
      </c>
      <c r="P984" s="56"/>
    </row>
    <row r="985" spans="1:16" ht="15.75" customHeight="1" x14ac:dyDescent="0.2">
      <c r="A985" s="48">
        <v>812</v>
      </c>
      <c r="B985" s="11" t="s">
        <v>1857</v>
      </c>
      <c r="C985" s="11" t="s">
        <v>1849</v>
      </c>
      <c r="D985" s="6" t="s">
        <v>1850</v>
      </c>
      <c r="E985" s="12" t="s">
        <v>3531</v>
      </c>
      <c r="F985" s="12" t="s">
        <v>3531</v>
      </c>
      <c r="G985" s="12" t="s">
        <v>3599</v>
      </c>
      <c r="H985" s="12" t="s">
        <v>1918</v>
      </c>
      <c r="I985" s="12" t="s">
        <v>3883</v>
      </c>
      <c r="J985" s="11" t="s">
        <v>1856</v>
      </c>
      <c r="K985" s="11" t="s">
        <v>1852</v>
      </c>
      <c r="L985" s="11" t="s">
        <v>1853</v>
      </c>
      <c r="M985" s="11" t="s">
        <v>2276</v>
      </c>
      <c r="N985" s="12"/>
      <c r="O985" s="11" t="s">
        <v>1859</v>
      </c>
      <c r="P985" s="56"/>
    </row>
    <row r="986" spans="1:16" ht="15.75" customHeight="1" x14ac:dyDescent="0.2">
      <c r="A986" s="48">
        <v>709</v>
      </c>
      <c r="B986" s="11" t="s">
        <v>1857</v>
      </c>
      <c r="C986" s="11" t="s">
        <v>1849</v>
      </c>
      <c r="D986" s="6" t="s">
        <v>1850</v>
      </c>
      <c r="E986" s="12" t="s">
        <v>3531</v>
      </c>
      <c r="F986" s="12" t="s">
        <v>3531</v>
      </c>
      <c r="G986" s="12" t="s">
        <v>3546</v>
      </c>
      <c r="H986" s="12" t="s">
        <v>2820</v>
      </c>
      <c r="I986" s="12" t="s">
        <v>3884</v>
      </c>
      <c r="J986" s="11" t="s">
        <v>1856</v>
      </c>
      <c r="K986" s="11" t="s">
        <v>1852</v>
      </c>
      <c r="L986" s="11" t="s">
        <v>1853</v>
      </c>
      <c r="M986" s="11" t="s">
        <v>3885</v>
      </c>
      <c r="N986" s="12"/>
      <c r="O986" s="11" t="s">
        <v>1859</v>
      </c>
      <c r="P986" s="56"/>
    </row>
    <row r="987" spans="1:16" ht="15.75" customHeight="1" x14ac:dyDescent="0.2">
      <c r="A987" s="48">
        <v>935</v>
      </c>
      <c r="B987" s="11" t="s">
        <v>1857</v>
      </c>
      <c r="C987" s="11" t="s">
        <v>1849</v>
      </c>
      <c r="D987" s="6" t="s">
        <v>1850</v>
      </c>
      <c r="E987" s="12" t="s">
        <v>3531</v>
      </c>
      <c r="F987" s="12" t="s">
        <v>3531</v>
      </c>
      <c r="G987" s="12" t="s">
        <v>3544</v>
      </c>
      <c r="H987" s="12" t="s">
        <v>3617</v>
      </c>
      <c r="I987" s="12" t="s">
        <v>3886</v>
      </c>
      <c r="J987" s="11" t="s">
        <v>1856</v>
      </c>
      <c r="K987" s="11" t="s">
        <v>1852</v>
      </c>
      <c r="L987" s="11" t="s">
        <v>1853</v>
      </c>
      <c r="M987" s="11" t="s">
        <v>3887</v>
      </c>
      <c r="N987" s="12" t="s">
        <v>3888</v>
      </c>
      <c r="O987" s="11" t="s">
        <v>1858</v>
      </c>
      <c r="P987" s="56"/>
    </row>
    <row r="988" spans="1:16" ht="15.75" customHeight="1" x14ac:dyDescent="0.2">
      <c r="A988" s="48">
        <v>1000</v>
      </c>
      <c r="B988" s="11" t="s">
        <v>1857</v>
      </c>
      <c r="C988" s="11" t="s">
        <v>1849</v>
      </c>
      <c r="D988" s="6" t="s">
        <v>1850</v>
      </c>
      <c r="E988" s="12" t="s">
        <v>3531</v>
      </c>
      <c r="F988" s="12" t="s">
        <v>3531</v>
      </c>
      <c r="G988" s="12" t="s">
        <v>3544</v>
      </c>
      <c r="H988" s="12" t="s">
        <v>3623</v>
      </c>
      <c r="I988" s="12" t="s">
        <v>3889</v>
      </c>
      <c r="J988" s="11" t="s">
        <v>1856</v>
      </c>
      <c r="K988" s="11" t="s">
        <v>1852</v>
      </c>
      <c r="L988" s="11" t="s">
        <v>1853</v>
      </c>
      <c r="M988" s="11" t="s">
        <v>1854</v>
      </c>
      <c r="N988" s="12"/>
      <c r="O988" s="11" t="s">
        <v>1858</v>
      </c>
      <c r="P988" s="56"/>
    </row>
    <row r="989" spans="1:16" ht="15.75" customHeight="1" x14ac:dyDescent="0.2">
      <c r="A989" s="48">
        <v>695</v>
      </c>
      <c r="B989" s="11" t="s">
        <v>1857</v>
      </c>
      <c r="C989" s="11" t="s">
        <v>1849</v>
      </c>
      <c r="D989" s="6" t="s">
        <v>1850</v>
      </c>
      <c r="E989" s="12" t="s">
        <v>3531</v>
      </c>
      <c r="F989" s="12" t="s">
        <v>3531</v>
      </c>
      <c r="G989" s="12" t="s">
        <v>3546</v>
      </c>
      <c r="H989" s="12" t="s">
        <v>3559</v>
      </c>
      <c r="I989" s="12" t="s">
        <v>3890</v>
      </c>
      <c r="J989" s="11" t="s">
        <v>1856</v>
      </c>
      <c r="K989" s="11" t="s">
        <v>1852</v>
      </c>
      <c r="L989" s="11" t="s">
        <v>1853</v>
      </c>
      <c r="M989" s="11" t="s">
        <v>3891</v>
      </c>
      <c r="N989" s="12" t="s">
        <v>3892</v>
      </c>
      <c r="O989" s="11" t="s">
        <v>1859</v>
      </c>
      <c r="P989" s="56"/>
    </row>
    <row r="990" spans="1:16" ht="15.75" customHeight="1" x14ac:dyDescent="0.2">
      <c r="A990" s="48">
        <v>776</v>
      </c>
      <c r="B990" s="11" t="s">
        <v>1857</v>
      </c>
      <c r="C990" s="11" t="s">
        <v>1849</v>
      </c>
      <c r="D990" s="6" t="s">
        <v>1850</v>
      </c>
      <c r="E990" s="12" t="s">
        <v>3531</v>
      </c>
      <c r="F990" s="12" t="s">
        <v>3531</v>
      </c>
      <c r="G990" s="12" t="s">
        <v>3672</v>
      </c>
      <c r="H990" s="12" t="s">
        <v>3730</v>
      </c>
      <c r="I990" s="12" t="s">
        <v>3893</v>
      </c>
      <c r="J990" s="11" t="s">
        <v>1856</v>
      </c>
      <c r="K990" s="11" t="s">
        <v>1852</v>
      </c>
      <c r="L990" s="11" t="s">
        <v>1853</v>
      </c>
      <c r="M990" s="11" t="s">
        <v>3894</v>
      </c>
      <c r="N990" s="12"/>
      <c r="O990" s="11" t="s">
        <v>1858</v>
      </c>
      <c r="P990" s="56"/>
    </row>
    <row r="991" spans="1:16" ht="15.75" customHeight="1" x14ac:dyDescent="0.2">
      <c r="A991" s="48">
        <v>820</v>
      </c>
      <c r="B991" s="11" t="s">
        <v>1857</v>
      </c>
      <c r="C991" s="11" t="s">
        <v>1849</v>
      </c>
      <c r="D991" s="6" t="s">
        <v>1850</v>
      </c>
      <c r="E991" s="12" t="s">
        <v>3531</v>
      </c>
      <c r="F991" s="12" t="s">
        <v>3531</v>
      </c>
      <c r="G991" s="12" t="s">
        <v>3599</v>
      </c>
      <c r="H991" s="12" t="s">
        <v>3752</v>
      </c>
      <c r="I991" s="12" t="s">
        <v>3895</v>
      </c>
      <c r="J991" s="11" t="s">
        <v>1856</v>
      </c>
      <c r="K991" s="11" t="s">
        <v>1852</v>
      </c>
      <c r="L991" s="11" t="s">
        <v>1853</v>
      </c>
      <c r="M991" s="11" t="s">
        <v>3872</v>
      </c>
      <c r="N991" s="12"/>
      <c r="O991" s="11" t="s">
        <v>1858</v>
      </c>
      <c r="P991" s="56"/>
    </row>
    <row r="992" spans="1:16" ht="15.75" customHeight="1" x14ac:dyDescent="0.2">
      <c r="A992" s="48">
        <v>697</v>
      </c>
      <c r="B992" s="11" t="s">
        <v>1857</v>
      </c>
      <c r="C992" s="11" t="s">
        <v>1849</v>
      </c>
      <c r="D992" s="6" t="s">
        <v>1850</v>
      </c>
      <c r="E992" s="12" t="s">
        <v>3531</v>
      </c>
      <c r="F992" s="12" t="s">
        <v>3531</v>
      </c>
      <c r="G992" s="12" t="s">
        <v>3546</v>
      </c>
      <c r="H992" s="12" t="s">
        <v>2820</v>
      </c>
      <c r="I992" s="12" t="s">
        <v>3896</v>
      </c>
      <c r="J992" s="11" t="s">
        <v>1856</v>
      </c>
      <c r="K992" s="11" t="s">
        <v>1852</v>
      </c>
      <c r="L992" s="11" t="s">
        <v>1853</v>
      </c>
      <c r="M992" s="11" t="s">
        <v>3897</v>
      </c>
      <c r="N992" s="12" t="s">
        <v>3898</v>
      </c>
      <c r="O992" s="11" t="s">
        <v>1858</v>
      </c>
      <c r="P992" s="56"/>
    </row>
    <row r="993" spans="1:16" ht="15.75" customHeight="1" x14ac:dyDescent="0.2">
      <c r="A993" s="48">
        <v>1016</v>
      </c>
      <c r="B993" s="11" t="s">
        <v>1857</v>
      </c>
      <c r="C993" s="11" t="s">
        <v>1849</v>
      </c>
      <c r="D993" s="6" t="s">
        <v>1850</v>
      </c>
      <c r="E993" s="12" t="s">
        <v>3531</v>
      </c>
      <c r="F993" s="12" t="s">
        <v>3531</v>
      </c>
      <c r="G993" s="12" t="s">
        <v>3544</v>
      </c>
      <c r="H993" s="12" t="s">
        <v>3623</v>
      </c>
      <c r="I993" s="12" t="s">
        <v>3899</v>
      </c>
      <c r="J993" s="11" t="s">
        <v>1856</v>
      </c>
      <c r="K993" s="11" t="s">
        <v>1852</v>
      </c>
      <c r="L993" s="11" t="s">
        <v>1853</v>
      </c>
      <c r="M993" s="11" t="s">
        <v>3696</v>
      </c>
      <c r="N993" s="12"/>
      <c r="O993" s="11" t="s">
        <v>1859</v>
      </c>
      <c r="P993" s="56"/>
    </row>
    <row r="994" spans="1:16" ht="15.75" customHeight="1" x14ac:dyDescent="0.2">
      <c r="A994" s="48">
        <v>784</v>
      </c>
      <c r="B994" s="11" t="s">
        <v>1857</v>
      </c>
      <c r="C994" s="11" t="s">
        <v>1849</v>
      </c>
      <c r="D994" s="6" t="s">
        <v>1850</v>
      </c>
      <c r="E994" s="12" t="s">
        <v>3531</v>
      </c>
      <c r="F994" s="12" t="s">
        <v>3531</v>
      </c>
      <c r="G994" s="12" t="s">
        <v>3672</v>
      </c>
      <c r="H994" s="12" t="s">
        <v>3698</v>
      </c>
      <c r="I994" s="12" t="s">
        <v>3900</v>
      </c>
      <c r="J994" s="11" t="s">
        <v>1856</v>
      </c>
      <c r="K994" s="11" t="s">
        <v>1852</v>
      </c>
      <c r="L994" s="11" t="s">
        <v>1853</v>
      </c>
      <c r="M994" s="11" t="s">
        <v>3901</v>
      </c>
      <c r="N994" s="12"/>
      <c r="O994" s="11" t="s">
        <v>1860</v>
      </c>
      <c r="P994" s="56"/>
    </row>
    <row r="995" spans="1:16" ht="15.75" customHeight="1" x14ac:dyDescent="0.2">
      <c r="A995" s="48">
        <v>671</v>
      </c>
      <c r="B995" s="11" t="s">
        <v>1857</v>
      </c>
      <c r="C995" s="11" t="s">
        <v>1849</v>
      </c>
      <c r="D995" s="6" t="s">
        <v>1850</v>
      </c>
      <c r="E995" s="12" t="s">
        <v>3531</v>
      </c>
      <c r="F995" s="12" t="s">
        <v>3531</v>
      </c>
      <c r="G995" s="12" t="s">
        <v>3546</v>
      </c>
      <c r="H995" s="12" t="s">
        <v>3546</v>
      </c>
      <c r="I995" s="12" t="s">
        <v>3902</v>
      </c>
      <c r="J995" s="11" t="s">
        <v>1856</v>
      </c>
      <c r="K995" s="11" t="s">
        <v>1852</v>
      </c>
      <c r="L995" s="11" t="s">
        <v>1853</v>
      </c>
      <c r="M995" s="11" t="s">
        <v>3694</v>
      </c>
      <c r="N995" s="12"/>
      <c r="O995" s="11" t="s">
        <v>1859</v>
      </c>
      <c r="P995" s="56"/>
    </row>
    <row r="996" spans="1:16" ht="15.75" customHeight="1" x14ac:dyDescent="0.2">
      <c r="A996" s="48">
        <v>753</v>
      </c>
      <c r="B996" s="11" t="s">
        <v>1857</v>
      </c>
      <c r="C996" s="11" t="s">
        <v>1849</v>
      </c>
      <c r="D996" s="6" t="s">
        <v>1850</v>
      </c>
      <c r="E996" s="12" t="s">
        <v>3531</v>
      </c>
      <c r="F996" s="12" t="s">
        <v>3531</v>
      </c>
      <c r="G996" s="12" t="s">
        <v>3546</v>
      </c>
      <c r="H996" s="12" t="s">
        <v>3583</v>
      </c>
      <c r="I996" s="12" t="s">
        <v>3903</v>
      </c>
      <c r="J996" s="11" t="s">
        <v>1856</v>
      </c>
      <c r="K996" s="11" t="s">
        <v>1852</v>
      </c>
      <c r="L996" s="11" t="s">
        <v>1853</v>
      </c>
      <c r="M996" s="11" t="s">
        <v>3904</v>
      </c>
      <c r="N996" s="12" t="s">
        <v>3905</v>
      </c>
      <c r="O996" s="11" t="s">
        <v>1858</v>
      </c>
      <c r="P996" s="56"/>
    </row>
    <row r="997" spans="1:16" ht="15.75" customHeight="1" x14ac:dyDescent="0.2">
      <c r="A997" s="48">
        <v>865</v>
      </c>
      <c r="B997" s="11" t="s">
        <v>1857</v>
      </c>
      <c r="C997" s="11" t="s">
        <v>1849</v>
      </c>
      <c r="D997" s="6" t="s">
        <v>1850</v>
      </c>
      <c r="E997" s="12" t="s">
        <v>3531</v>
      </c>
      <c r="F997" s="12" t="s">
        <v>3531</v>
      </c>
      <c r="G997" s="12" t="s">
        <v>3544</v>
      </c>
      <c r="H997" s="12" t="s">
        <v>3531</v>
      </c>
      <c r="I997" s="12" t="s">
        <v>3906</v>
      </c>
      <c r="J997" s="11" t="s">
        <v>1856</v>
      </c>
      <c r="K997" s="11" t="s">
        <v>1852</v>
      </c>
      <c r="L997" s="11" t="s">
        <v>1853</v>
      </c>
      <c r="M997" s="11" t="s">
        <v>1854</v>
      </c>
      <c r="N997" s="12"/>
      <c r="O997" s="11" t="s">
        <v>1860</v>
      </c>
      <c r="P997" s="56"/>
    </row>
    <row r="998" spans="1:16" ht="15.75" customHeight="1" x14ac:dyDescent="0.2">
      <c r="A998" s="48">
        <v>649</v>
      </c>
      <c r="B998" s="11" t="s">
        <v>1857</v>
      </c>
      <c r="C998" s="11" t="s">
        <v>1849</v>
      </c>
      <c r="D998" s="6" t="s">
        <v>1850</v>
      </c>
      <c r="E998" s="12" t="s">
        <v>3531</v>
      </c>
      <c r="F998" s="12" t="s">
        <v>3531</v>
      </c>
      <c r="G998" s="12" t="s">
        <v>3532</v>
      </c>
      <c r="H998" s="13" t="s">
        <v>3535</v>
      </c>
      <c r="I998" s="12" t="s">
        <v>3907</v>
      </c>
      <c r="J998" s="11" t="s">
        <v>1856</v>
      </c>
      <c r="K998" s="11" t="s">
        <v>1852</v>
      </c>
      <c r="L998" s="11" t="s">
        <v>1853</v>
      </c>
      <c r="M998" s="11" t="s">
        <v>3908</v>
      </c>
      <c r="N998" s="12" t="s">
        <v>3909</v>
      </c>
      <c r="O998" s="11" t="s">
        <v>1858</v>
      </c>
      <c r="P998" s="56"/>
    </row>
    <row r="999" spans="1:16" ht="15.75" customHeight="1" x14ac:dyDescent="0.2">
      <c r="A999" s="48">
        <v>787</v>
      </c>
      <c r="B999" s="11" t="s">
        <v>1857</v>
      </c>
      <c r="C999" s="11" t="s">
        <v>1849</v>
      </c>
      <c r="D999" s="6" t="s">
        <v>1850</v>
      </c>
      <c r="E999" s="12" t="s">
        <v>3531</v>
      </c>
      <c r="F999" s="12" t="s">
        <v>3531</v>
      </c>
      <c r="G999" s="12" t="s">
        <v>3672</v>
      </c>
      <c r="H999" s="12" t="s">
        <v>3698</v>
      </c>
      <c r="I999" s="12" t="s">
        <v>3910</v>
      </c>
      <c r="J999" s="11" t="s">
        <v>1856</v>
      </c>
      <c r="K999" s="11" t="s">
        <v>1852</v>
      </c>
      <c r="L999" s="11" t="s">
        <v>1853</v>
      </c>
      <c r="M999" s="11" t="s">
        <v>3569</v>
      </c>
      <c r="N999" s="12"/>
      <c r="O999" s="11" t="s">
        <v>1860</v>
      </c>
      <c r="P999" s="56"/>
    </row>
    <row r="1000" spans="1:16" ht="15.75" customHeight="1" x14ac:dyDescent="0.2">
      <c r="A1000" s="48">
        <v>752</v>
      </c>
      <c r="B1000" s="11" t="s">
        <v>1857</v>
      </c>
      <c r="C1000" s="11" t="s">
        <v>1849</v>
      </c>
      <c r="D1000" s="6" t="s">
        <v>1850</v>
      </c>
      <c r="E1000" s="12" t="s">
        <v>3531</v>
      </c>
      <c r="F1000" s="12" t="s">
        <v>3531</v>
      </c>
      <c r="G1000" s="12" t="s">
        <v>3546</v>
      </c>
      <c r="H1000" s="12" t="s">
        <v>3583</v>
      </c>
      <c r="I1000" s="12" t="s">
        <v>3073</v>
      </c>
      <c r="J1000" s="11" t="s">
        <v>1856</v>
      </c>
      <c r="K1000" s="11" t="s">
        <v>1852</v>
      </c>
      <c r="L1000" s="11" t="s">
        <v>1853</v>
      </c>
      <c r="M1000" s="11" t="s">
        <v>2549</v>
      </c>
      <c r="N1000" s="12"/>
      <c r="O1000" s="11" t="s">
        <v>1859</v>
      </c>
      <c r="P1000" s="56"/>
    </row>
    <row r="1001" spans="1:16" ht="15.75" customHeight="1" x14ac:dyDescent="0.2">
      <c r="A1001" s="48">
        <v>955</v>
      </c>
      <c r="B1001" s="11" t="s">
        <v>1857</v>
      </c>
      <c r="C1001" s="11" t="s">
        <v>1849</v>
      </c>
      <c r="D1001" s="6" t="s">
        <v>1850</v>
      </c>
      <c r="E1001" s="12" t="s">
        <v>3531</v>
      </c>
      <c r="F1001" s="12" t="s">
        <v>3531</v>
      </c>
      <c r="G1001" s="12" t="s">
        <v>3544</v>
      </c>
      <c r="H1001" s="12" t="s">
        <v>3617</v>
      </c>
      <c r="I1001" s="12" t="s">
        <v>3911</v>
      </c>
      <c r="J1001" s="11" t="s">
        <v>1856</v>
      </c>
      <c r="K1001" s="11" t="s">
        <v>1852</v>
      </c>
      <c r="L1001" s="11" t="s">
        <v>1853</v>
      </c>
      <c r="M1001" s="11" t="s">
        <v>1854</v>
      </c>
      <c r="N1001" s="12"/>
      <c r="O1001" s="11" t="s">
        <v>1860</v>
      </c>
      <c r="P1001" s="56"/>
    </row>
    <row r="1002" spans="1:16" ht="15.75" customHeight="1" x14ac:dyDescent="0.2">
      <c r="A1002" s="48">
        <v>946</v>
      </c>
      <c r="B1002" s="11" t="s">
        <v>1857</v>
      </c>
      <c r="C1002" s="11" t="s">
        <v>1849</v>
      </c>
      <c r="D1002" s="6" t="s">
        <v>1850</v>
      </c>
      <c r="E1002" s="12" t="s">
        <v>3531</v>
      </c>
      <c r="F1002" s="12" t="s">
        <v>3531</v>
      </c>
      <c r="G1002" s="12" t="s">
        <v>3544</v>
      </c>
      <c r="H1002" s="12" t="s">
        <v>3617</v>
      </c>
      <c r="I1002" s="12" t="s">
        <v>3076</v>
      </c>
      <c r="J1002" s="11" t="s">
        <v>1856</v>
      </c>
      <c r="K1002" s="11" t="s">
        <v>1852</v>
      </c>
      <c r="L1002" s="11" t="s">
        <v>1853</v>
      </c>
      <c r="M1002" s="11" t="s">
        <v>3912</v>
      </c>
      <c r="N1002" s="12" t="s">
        <v>3913</v>
      </c>
      <c r="O1002" s="11" t="s">
        <v>1858</v>
      </c>
      <c r="P1002" s="56"/>
    </row>
    <row r="1003" spans="1:16" ht="15.75" customHeight="1" x14ac:dyDescent="0.2">
      <c r="A1003" s="48">
        <v>999</v>
      </c>
      <c r="B1003" s="11" t="s">
        <v>1857</v>
      </c>
      <c r="C1003" s="11" t="s">
        <v>1849</v>
      </c>
      <c r="D1003" s="6" t="s">
        <v>1850</v>
      </c>
      <c r="E1003" s="12" t="s">
        <v>3531</v>
      </c>
      <c r="F1003" s="12" t="s">
        <v>3531</v>
      </c>
      <c r="G1003" s="12" t="s">
        <v>3544</v>
      </c>
      <c r="H1003" s="12" t="s">
        <v>3623</v>
      </c>
      <c r="I1003" s="12" t="s">
        <v>3914</v>
      </c>
      <c r="J1003" s="11" t="s">
        <v>1856</v>
      </c>
      <c r="K1003" s="11" t="s">
        <v>1852</v>
      </c>
      <c r="L1003" s="11" t="s">
        <v>1853</v>
      </c>
      <c r="M1003" s="11" t="s">
        <v>3619</v>
      </c>
      <c r="N1003" s="12"/>
      <c r="O1003" s="11" t="s">
        <v>1858</v>
      </c>
      <c r="P1003" s="56"/>
    </row>
    <row r="1004" spans="1:16" ht="15.75" customHeight="1" x14ac:dyDescent="0.2">
      <c r="A1004" s="48">
        <v>1014</v>
      </c>
      <c r="B1004" s="11" t="s">
        <v>1857</v>
      </c>
      <c r="C1004" s="11" t="s">
        <v>1849</v>
      </c>
      <c r="D1004" s="6" t="s">
        <v>1850</v>
      </c>
      <c r="E1004" s="12" t="s">
        <v>3531</v>
      </c>
      <c r="F1004" s="12" t="s">
        <v>3531</v>
      </c>
      <c r="G1004" s="12" t="s">
        <v>3544</v>
      </c>
      <c r="H1004" s="12" t="s">
        <v>3623</v>
      </c>
      <c r="I1004" s="12" t="s">
        <v>3915</v>
      </c>
      <c r="J1004" s="11" t="s">
        <v>1856</v>
      </c>
      <c r="K1004" s="11" t="s">
        <v>1852</v>
      </c>
      <c r="L1004" s="11" t="s">
        <v>1853</v>
      </c>
      <c r="M1004" s="11" t="s">
        <v>3616</v>
      </c>
      <c r="N1004" s="12"/>
      <c r="O1004" s="11" t="s">
        <v>1859</v>
      </c>
      <c r="P1004" s="56"/>
    </row>
    <row r="1005" spans="1:16" ht="15.75" customHeight="1" x14ac:dyDescent="0.2">
      <c r="A1005" s="48">
        <v>717</v>
      </c>
      <c r="B1005" s="11" t="s">
        <v>1857</v>
      </c>
      <c r="C1005" s="11" t="s">
        <v>1849</v>
      </c>
      <c r="D1005" s="6" t="s">
        <v>1850</v>
      </c>
      <c r="E1005" s="12" t="s">
        <v>3531</v>
      </c>
      <c r="F1005" s="12" t="s">
        <v>3531</v>
      </c>
      <c r="G1005" s="12" t="s">
        <v>3546</v>
      </c>
      <c r="H1005" s="12" t="s">
        <v>3663</v>
      </c>
      <c r="I1005" s="12" t="s">
        <v>3916</v>
      </c>
      <c r="J1005" s="11" t="s">
        <v>1856</v>
      </c>
      <c r="K1005" s="11" t="s">
        <v>1852</v>
      </c>
      <c r="L1005" s="11" t="s">
        <v>1853</v>
      </c>
      <c r="M1005" s="11" t="s">
        <v>3917</v>
      </c>
      <c r="N1005" s="12"/>
      <c r="O1005" s="11" t="s">
        <v>1858</v>
      </c>
      <c r="P1005" s="56"/>
    </row>
    <row r="1006" spans="1:16" ht="15.75" customHeight="1" x14ac:dyDescent="0.2">
      <c r="A1006" s="48">
        <v>842</v>
      </c>
      <c r="B1006" s="11" t="s">
        <v>1857</v>
      </c>
      <c r="C1006" s="11" t="s">
        <v>1849</v>
      </c>
      <c r="D1006" s="6" t="s">
        <v>1850</v>
      </c>
      <c r="E1006" s="12" t="s">
        <v>3531</v>
      </c>
      <c r="F1006" s="12" t="s">
        <v>3531</v>
      </c>
      <c r="G1006" s="12" t="s">
        <v>3544</v>
      </c>
      <c r="H1006" s="12" t="s">
        <v>3544</v>
      </c>
      <c r="I1006" s="12" t="s">
        <v>3918</v>
      </c>
      <c r="J1006" s="11" t="s">
        <v>1856</v>
      </c>
      <c r="K1006" s="11" t="s">
        <v>1852</v>
      </c>
      <c r="L1006" s="11" t="s">
        <v>1853</v>
      </c>
      <c r="M1006" s="11" t="s">
        <v>3919</v>
      </c>
      <c r="N1006" s="12" t="s">
        <v>3920</v>
      </c>
      <c r="O1006" s="11" t="s">
        <v>1859</v>
      </c>
      <c r="P1006" s="56"/>
    </row>
    <row r="1007" spans="1:16" ht="15.75" customHeight="1" x14ac:dyDescent="0.2">
      <c r="A1007" s="48">
        <v>647</v>
      </c>
      <c r="B1007" s="11" t="s">
        <v>1857</v>
      </c>
      <c r="C1007" s="11" t="s">
        <v>1849</v>
      </c>
      <c r="D1007" s="6" t="s">
        <v>1850</v>
      </c>
      <c r="E1007" s="12" t="s">
        <v>3531</v>
      </c>
      <c r="F1007" s="12" t="s">
        <v>3531</v>
      </c>
      <c r="G1007" s="12" t="s">
        <v>3532</v>
      </c>
      <c r="H1007" s="13" t="s">
        <v>3535</v>
      </c>
      <c r="I1007" s="12" t="s">
        <v>3921</v>
      </c>
      <c r="J1007" s="11" t="s">
        <v>1856</v>
      </c>
      <c r="K1007" s="11" t="s">
        <v>1852</v>
      </c>
      <c r="L1007" s="11" t="s">
        <v>1853</v>
      </c>
      <c r="M1007" s="11" t="s">
        <v>3922</v>
      </c>
      <c r="N1007" s="12" t="s">
        <v>3923</v>
      </c>
      <c r="O1007" s="11" t="s">
        <v>1858</v>
      </c>
      <c r="P1007" s="56"/>
    </row>
    <row r="1008" spans="1:16" ht="15.75" customHeight="1" x14ac:dyDescent="0.2">
      <c r="A1008" s="48">
        <v>621</v>
      </c>
      <c r="B1008" s="11" t="s">
        <v>1857</v>
      </c>
      <c r="C1008" s="11" t="s">
        <v>1849</v>
      </c>
      <c r="D1008" s="6" t="s">
        <v>1850</v>
      </c>
      <c r="E1008" s="12" t="s">
        <v>3531</v>
      </c>
      <c r="F1008" s="12" t="s">
        <v>3531</v>
      </c>
      <c r="G1008" s="12" t="s">
        <v>3532</v>
      </c>
      <c r="H1008" s="12" t="s">
        <v>3727</v>
      </c>
      <c r="I1008" s="12" t="s">
        <v>3924</v>
      </c>
      <c r="J1008" s="11" t="s">
        <v>1856</v>
      </c>
      <c r="K1008" s="11" t="s">
        <v>1852</v>
      </c>
      <c r="L1008" s="11" t="s">
        <v>1853</v>
      </c>
      <c r="M1008" s="11" t="s">
        <v>1854</v>
      </c>
      <c r="N1008" s="12"/>
      <c r="O1008" s="11" t="s">
        <v>1858</v>
      </c>
      <c r="P1008" s="56"/>
    </row>
    <row r="1009" spans="1:16" ht="15.75" customHeight="1" x14ac:dyDescent="0.2">
      <c r="A1009" s="48">
        <v>736</v>
      </c>
      <c r="B1009" s="11" t="s">
        <v>1857</v>
      </c>
      <c r="C1009" s="11" t="s">
        <v>1849</v>
      </c>
      <c r="D1009" s="6" t="s">
        <v>1850</v>
      </c>
      <c r="E1009" s="12" t="s">
        <v>3531</v>
      </c>
      <c r="F1009" s="12" t="s">
        <v>3531</v>
      </c>
      <c r="G1009" s="12" t="s">
        <v>3546</v>
      </c>
      <c r="H1009" s="12" t="s">
        <v>3548</v>
      </c>
      <c r="I1009" s="12" t="s">
        <v>3319</v>
      </c>
      <c r="J1009" s="11" t="s">
        <v>1856</v>
      </c>
      <c r="K1009" s="11" t="s">
        <v>1852</v>
      </c>
      <c r="L1009" s="11" t="s">
        <v>1853</v>
      </c>
      <c r="M1009" s="11" t="s">
        <v>1854</v>
      </c>
      <c r="N1009" s="12"/>
      <c r="O1009" s="11" t="s">
        <v>1858</v>
      </c>
      <c r="P1009" s="56"/>
    </row>
    <row r="1010" spans="1:16" ht="15.75" customHeight="1" x14ac:dyDescent="0.2">
      <c r="A1010" s="48">
        <v>767</v>
      </c>
      <c r="B1010" s="11" t="s">
        <v>1857</v>
      </c>
      <c r="C1010" s="11" t="s">
        <v>1849</v>
      </c>
      <c r="D1010" s="6" t="s">
        <v>1850</v>
      </c>
      <c r="E1010" s="12" t="s">
        <v>3531</v>
      </c>
      <c r="F1010" s="12" t="s">
        <v>3531</v>
      </c>
      <c r="G1010" s="12" t="s">
        <v>3672</v>
      </c>
      <c r="H1010" s="12" t="s">
        <v>3673</v>
      </c>
      <c r="I1010" s="12" t="s">
        <v>3925</v>
      </c>
      <c r="J1010" s="11" t="s">
        <v>1856</v>
      </c>
      <c r="K1010" s="11" t="s">
        <v>1852</v>
      </c>
      <c r="L1010" s="11" t="s">
        <v>1853</v>
      </c>
      <c r="M1010" s="11" t="s">
        <v>1854</v>
      </c>
      <c r="N1010" s="12"/>
      <c r="O1010" s="11" t="s">
        <v>1858</v>
      </c>
      <c r="P1010" s="56"/>
    </row>
    <row r="1011" spans="1:16" ht="15.75" customHeight="1" x14ac:dyDescent="0.2">
      <c r="A1011" s="48">
        <v>893</v>
      </c>
      <c r="B1011" s="11" t="s">
        <v>1857</v>
      </c>
      <c r="C1011" s="11" t="s">
        <v>1849</v>
      </c>
      <c r="D1011" s="6" t="s">
        <v>1850</v>
      </c>
      <c r="E1011" s="12" t="s">
        <v>3531</v>
      </c>
      <c r="F1011" s="12" t="s">
        <v>3531</v>
      </c>
      <c r="G1011" s="12" t="s">
        <v>3544</v>
      </c>
      <c r="H1011" s="12" t="s">
        <v>3567</v>
      </c>
      <c r="I1011" s="12" t="s">
        <v>3926</v>
      </c>
      <c r="J1011" s="11" t="s">
        <v>1856</v>
      </c>
      <c r="K1011" s="11" t="s">
        <v>1852</v>
      </c>
      <c r="L1011" s="11" t="s">
        <v>1853</v>
      </c>
      <c r="M1011" s="11" t="s">
        <v>3927</v>
      </c>
      <c r="N1011" s="12"/>
      <c r="O1011" s="11" t="s">
        <v>1858</v>
      </c>
      <c r="P1011" s="56"/>
    </row>
    <row r="1012" spans="1:16" ht="15.75" customHeight="1" x14ac:dyDescent="0.2">
      <c r="A1012" s="48">
        <v>610</v>
      </c>
      <c r="B1012" s="11" t="s">
        <v>1857</v>
      </c>
      <c r="C1012" s="11" t="s">
        <v>1849</v>
      </c>
      <c r="D1012" s="6" t="s">
        <v>1850</v>
      </c>
      <c r="E1012" s="12" t="s">
        <v>3531</v>
      </c>
      <c r="F1012" s="12" t="s">
        <v>3531</v>
      </c>
      <c r="G1012" s="12" t="s">
        <v>3532</v>
      </c>
      <c r="H1012" s="12" t="s">
        <v>3637</v>
      </c>
      <c r="I1012" s="12" t="s">
        <v>3928</v>
      </c>
      <c r="J1012" s="11" t="s">
        <v>1856</v>
      </c>
      <c r="K1012" s="11" t="s">
        <v>1852</v>
      </c>
      <c r="L1012" s="11" t="s">
        <v>1853</v>
      </c>
      <c r="M1012" s="11" t="s">
        <v>3929</v>
      </c>
      <c r="N1012" s="12"/>
      <c r="O1012" s="11" t="s">
        <v>1859</v>
      </c>
      <c r="P1012" s="56"/>
    </row>
    <row r="1013" spans="1:16" ht="15.75" customHeight="1" x14ac:dyDescent="0.2">
      <c r="A1013" s="48">
        <v>795</v>
      </c>
      <c r="B1013" s="11" t="s">
        <v>1857</v>
      </c>
      <c r="C1013" s="11" t="s">
        <v>1849</v>
      </c>
      <c r="D1013" s="6" t="s">
        <v>1850</v>
      </c>
      <c r="E1013" s="12" t="s">
        <v>3531</v>
      </c>
      <c r="F1013" s="12" t="s">
        <v>3531</v>
      </c>
      <c r="G1013" s="12" t="s">
        <v>3599</v>
      </c>
      <c r="H1013" s="12" t="s">
        <v>3599</v>
      </c>
      <c r="I1013" s="12" t="s">
        <v>3930</v>
      </c>
      <c r="J1013" s="11" t="s">
        <v>1856</v>
      </c>
      <c r="K1013" s="11" t="s">
        <v>1852</v>
      </c>
      <c r="L1013" s="11" t="s">
        <v>1853</v>
      </c>
      <c r="M1013" s="11" t="s">
        <v>1854</v>
      </c>
      <c r="N1013" s="12"/>
      <c r="O1013" s="11" t="s">
        <v>1859</v>
      </c>
      <c r="P1013" s="56"/>
    </row>
    <row r="1014" spans="1:16" ht="15.75" customHeight="1" x14ac:dyDescent="0.2">
      <c r="A1014" s="48">
        <v>799</v>
      </c>
      <c r="B1014" s="11" t="s">
        <v>1857</v>
      </c>
      <c r="C1014" s="11" t="s">
        <v>1849</v>
      </c>
      <c r="D1014" s="6" t="s">
        <v>1850</v>
      </c>
      <c r="E1014" s="12" t="s">
        <v>3531</v>
      </c>
      <c r="F1014" s="12" t="s">
        <v>3531</v>
      </c>
      <c r="G1014" s="12" t="s">
        <v>3599</v>
      </c>
      <c r="H1014" s="12" t="s">
        <v>3706</v>
      </c>
      <c r="I1014" s="12" t="s">
        <v>3931</v>
      </c>
      <c r="J1014" s="11" t="s">
        <v>1856</v>
      </c>
      <c r="K1014" s="11" t="s">
        <v>1852</v>
      </c>
      <c r="L1014" s="11" t="s">
        <v>1853</v>
      </c>
      <c r="M1014" s="11" t="s">
        <v>1958</v>
      </c>
      <c r="N1014" s="12"/>
      <c r="O1014" s="11" t="s">
        <v>1858</v>
      </c>
      <c r="P1014" s="56"/>
    </row>
    <row r="1015" spans="1:16" ht="15.75" customHeight="1" x14ac:dyDescent="0.2">
      <c r="A1015" s="48">
        <v>665</v>
      </c>
      <c r="B1015" s="11" t="s">
        <v>1857</v>
      </c>
      <c r="C1015" s="11" t="s">
        <v>1849</v>
      </c>
      <c r="D1015" s="6" t="s">
        <v>1850</v>
      </c>
      <c r="E1015" s="12" t="s">
        <v>3531</v>
      </c>
      <c r="F1015" s="12" t="s">
        <v>3531</v>
      </c>
      <c r="G1015" s="12" t="s">
        <v>3532</v>
      </c>
      <c r="H1015" s="12" t="s">
        <v>3635</v>
      </c>
      <c r="I1015" s="12" t="s">
        <v>3932</v>
      </c>
      <c r="J1015" s="11" t="s">
        <v>1856</v>
      </c>
      <c r="K1015" s="11" t="s">
        <v>1852</v>
      </c>
      <c r="L1015" s="11" t="s">
        <v>1853</v>
      </c>
      <c r="M1015" s="11" t="s">
        <v>3872</v>
      </c>
      <c r="N1015" s="12"/>
      <c r="O1015" s="11" t="s">
        <v>1860</v>
      </c>
      <c r="P1015" s="56"/>
    </row>
    <row r="1016" spans="1:16" ht="15.75" customHeight="1" x14ac:dyDescent="0.2">
      <c r="A1016" s="48">
        <v>932</v>
      </c>
      <c r="B1016" s="11" t="s">
        <v>1857</v>
      </c>
      <c r="C1016" s="11" t="s">
        <v>1849</v>
      </c>
      <c r="D1016" s="6" t="s">
        <v>1850</v>
      </c>
      <c r="E1016" s="12" t="s">
        <v>3531</v>
      </c>
      <c r="F1016" s="12" t="s">
        <v>3531</v>
      </c>
      <c r="G1016" s="12" t="s">
        <v>3544</v>
      </c>
      <c r="H1016" s="12" t="s">
        <v>3617</v>
      </c>
      <c r="I1016" s="12" t="s">
        <v>3933</v>
      </c>
      <c r="J1016" s="11" t="s">
        <v>1856</v>
      </c>
      <c r="K1016" s="11" t="s">
        <v>1852</v>
      </c>
      <c r="L1016" s="11" t="s">
        <v>1853</v>
      </c>
      <c r="M1016" s="11" t="s">
        <v>3824</v>
      </c>
      <c r="N1016" s="12"/>
      <c r="O1016" s="11" t="s">
        <v>1859</v>
      </c>
      <c r="P1016" s="56"/>
    </row>
    <row r="1017" spans="1:16" ht="15.75" customHeight="1" x14ac:dyDescent="0.2">
      <c r="A1017" s="48">
        <v>805</v>
      </c>
      <c r="B1017" s="11" t="s">
        <v>1857</v>
      </c>
      <c r="C1017" s="11" t="s">
        <v>1849</v>
      </c>
      <c r="D1017" s="6" t="s">
        <v>1850</v>
      </c>
      <c r="E1017" s="12" t="s">
        <v>3531</v>
      </c>
      <c r="F1017" s="12" t="s">
        <v>3531</v>
      </c>
      <c r="G1017" s="12" t="s">
        <v>3599</v>
      </c>
      <c r="H1017" s="12" t="s">
        <v>1918</v>
      </c>
      <c r="I1017" s="12" t="s">
        <v>3934</v>
      </c>
      <c r="J1017" s="11" t="s">
        <v>1856</v>
      </c>
      <c r="K1017" s="11" t="s">
        <v>1852</v>
      </c>
      <c r="L1017" s="11" t="s">
        <v>1853</v>
      </c>
      <c r="M1017" s="11" t="s">
        <v>3935</v>
      </c>
      <c r="N1017" s="12" t="s">
        <v>3936</v>
      </c>
      <c r="O1017" s="11" t="s">
        <v>1858</v>
      </c>
      <c r="P1017" s="56"/>
    </row>
    <row r="1018" spans="1:16" ht="15.75" customHeight="1" x14ac:dyDescent="0.2">
      <c r="A1018" s="48">
        <v>638</v>
      </c>
      <c r="B1018" s="11" t="s">
        <v>1857</v>
      </c>
      <c r="C1018" s="11" t="s">
        <v>1849</v>
      </c>
      <c r="D1018" s="6" t="s">
        <v>1850</v>
      </c>
      <c r="E1018" s="12" t="s">
        <v>3531</v>
      </c>
      <c r="F1018" s="12" t="s">
        <v>3531</v>
      </c>
      <c r="G1018" s="12" t="s">
        <v>3532</v>
      </c>
      <c r="H1018" s="13" t="s">
        <v>3535</v>
      </c>
      <c r="I1018" s="12" t="s">
        <v>3937</v>
      </c>
      <c r="J1018" s="11" t="s">
        <v>1856</v>
      </c>
      <c r="K1018" s="11" t="s">
        <v>1852</v>
      </c>
      <c r="L1018" s="11" t="s">
        <v>1853</v>
      </c>
      <c r="M1018" s="11" t="s">
        <v>3639</v>
      </c>
      <c r="N1018" s="12"/>
      <c r="O1018" s="11" t="s">
        <v>1858</v>
      </c>
      <c r="P1018" s="56"/>
    </row>
    <row r="1019" spans="1:16" ht="15.75" customHeight="1" x14ac:dyDescent="0.2">
      <c r="A1019" s="48">
        <v>672</v>
      </c>
      <c r="B1019" s="11" t="s">
        <v>1857</v>
      </c>
      <c r="C1019" s="11" t="s">
        <v>1849</v>
      </c>
      <c r="D1019" s="6" t="s">
        <v>1850</v>
      </c>
      <c r="E1019" s="12" t="s">
        <v>3531</v>
      </c>
      <c r="F1019" s="12" t="s">
        <v>3531</v>
      </c>
      <c r="G1019" s="12" t="s">
        <v>3546</v>
      </c>
      <c r="H1019" s="12" t="s">
        <v>3546</v>
      </c>
      <c r="I1019" s="12" t="s">
        <v>3938</v>
      </c>
      <c r="J1019" s="11" t="s">
        <v>1856</v>
      </c>
      <c r="K1019" s="11" t="s">
        <v>1852</v>
      </c>
      <c r="L1019" s="11" t="s">
        <v>1853</v>
      </c>
      <c r="M1019" s="11" t="s">
        <v>3894</v>
      </c>
      <c r="N1019" s="12"/>
      <c r="O1019" s="11" t="s">
        <v>1858</v>
      </c>
      <c r="P1019" s="56"/>
    </row>
    <row r="1020" spans="1:16" ht="15.75" customHeight="1" x14ac:dyDescent="0.2">
      <c r="A1020" s="48">
        <v>857</v>
      </c>
      <c r="B1020" s="11" t="s">
        <v>1857</v>
      </c>
      <c r="C1020" s="11" t="s">
        <v>1849</v>
      </c>
      <c r="D1020" s="6" t="s">
        <v>1850</v>
      </c>
      <c r="E1020" s="12" t="s">
        <v>3531</v>
      </c>
      <c r="F1020" s="12" t="s">
        <v>3531</v>
      </c>
      <c r="G1020" s="12" t="s">
        <v>3544</v>
      </c>
      <c r="H1020" s="12" t="s">
        <v>3661</v>
      </c>
      <c r="I1020" s="12" t="s">
        <v>3939</v>
      </c>
      <c r="J1020" s="11" t="s">
        <v>1856</v>
      </c>
      <c r="K1020" s="11" t="s">
        <v>1852</v>
      </c>
      <c r="L1020" s="11" t="s">
        <v>1853</v>
      </c>
      <c r="M1020" s="11" t="s">
        <v>2316</v>
      </c>
      <c r="N1020" s="12" t="s">
        <v>3940</v>
      </c>
      <c r="O1020" s="11" t="s">
        <v>1858</v>
      </c>
      <c r="P1020" s="56"/>
    </row>
    <row r="1021" spans="1:16" ht="15.75" customHeight="1" x14ac:dyDescent="0.2">
      <c r="A1021" s="48">
        <v>815</v>
      </c>
      <c r="B1021" s="11" t="s">
        <v>1857</v>
      </c>
      <c r="C1021" s="11" t="s">
        <v>1849</v>
      </c>
      <c r="D1021" s="6" t="s">
        <v>1850</v>
      </c>
      <c r="E1021" s="12" t="s">
        <v>3531</v>
      </c>
      <c r="F1021" s="12" t="s">
        <v>3531</v>
      </c>
      <c r="G1021" s="12" t="s">
        <v>3599</v>
      </c>
      <c r="H1021" s="12" t="s">
        <v>3752</v>
      </c>
      <c r="I1021" s="12" t="s">
        <v>3941</v>
      </c>
      <c r="J1021" s="11" t="s">
        <v>1856</v>
      </c>
      <c r="K1021" s="11" t="s">
        <v>1852</v>
      </c>
      <c r="L1021" s="11" t="s">
        <v>1853</v>
      </c>
      <c r="M1021" s="11" t="s">
        <v>3942</v>
      </c>
      <c r="N1021" s="12" t="s">
        <v>3943</v>
      </c>
      <c r="O1021" s="11" t="s">
        <v>1859</v>
      </c>
      <c r="P1021" s="56"/>
    </row>
    <row r="1022" spans="1:16" ht="15.75" customHeight="1" x14ac:dyDescent="0.2">
      <c r="A1022" s="48">
        <v>565</v>
      </c>
      <c r="B1022" s="11" t="s">
        <v>1857</v>
      </c>
      <c r="C1022" s="11" t="s">
        <v>1849</v>
      </c>
      <c r="D1022" s="6" t="s">
        <v>1850</v>
      </c>
      <c r="E1022" s="12" t="s">
        <v>3531</v>
      </c>
      <c r="F1022" s="12" t="s">
        <v>3531</v>
      </c>
      <c r="G1022" s="12" t="s">
        <v>3550</v>
      </c>
      <c r="H1022" s="12" t="s">
        <v>3737</v>
      </c>
      <c r="I1022" s="12" t="s">
        <v>3944</v>
      </c>
      <c r="J1022" s="11" t="s">
        <v>1856</v>
      </c>
      <c r="K1022" s="11" t="s">
        <v>1852</v>
      </c>
      <c r="L1022" s="11" t="s">
        <v>1853</v>
      </c>
      <c r="M1022" s="11" t="s">
        <v>3569</v>
      </c>
      <c r="N1022" s="12"/>
      <c r="O1022" s="11" t="s">
        <v>1859</v>
      </c>
      <c r="P1022" s="56"/>
    </row>
    <row r="1023" spans="1:16" ht="15.75" customHeight="1" x14ac:dyDescent="0.2">
      <c r="A1023" s="48">
        <v>930</v>
      </c>
      <c r="B1023" s="11" t="s">
        <v>1857</v>
      </c>
      <c r="C1023" s="11" t="s">
        <v>1849</v>
      </c>
      <c r="D1023" s="6" t="s">
        <v>1850</v>
      </c>
      <c r="E1023" s="12" t="s">
        <v>3531</v>
      </c>
      <c r="F1023" s="12" t="s">
        <v>3531</v>
      </c>
      <c r="G1023" s="12" t="s">
        <v>3544</v>
      </c>
      <c r="H1023" s="12" t="s">
        <v>3617</v>
      </c>
      <c r="I1023" s="12" t="s">
        <v>3945</v>
      </c>
      <c r="J1023" s="11" t="s">
        <v>1856</v>
      </c>
      <c r="K1023" s="11" t="s">
        <v>1852</v>
      </c>
      <c r="L1023" s="11" t="s">
        <v>1853</v>
      </c>
      <c r="M1023" s="11" t="s">
        <v>1958</v>
      </c>
      <c r="N1023" s="12" t="s">
        <v>3946</v>
      </c>
      <c r="O1023" s="11" t="s">
        <v>1858</v>
      </c>
      <c r="P1023" s="56"/>
    </row>
    <row r="1024" spans="1:16" ht="15.75" customHeight="1" x14ac:dyDescent="0.2">
      <c r="A1024" s="48">
        <v>997</v>
      </c>
      <c r="B1024" s="11" t="s">
        <v>1857</v>
      </c>
      <c r="C1024" s="11" t="s">
        <v>1849</v>
      </c>
      <c r="D1024" s="6" t="s">
        <v>1850</v>
      </c>
      <c r="E1024" s="12" t="s">
        <v>3531</v>
      </c>
      <c r="F1024" s="12" t="s">
        <v>3531</v>
      </c>
      <c r="G1024" s="12" t="s">
        <v>3544</v>
      </c>
      <c r="H1024" s="12" t="s">
        <v>3623</v>
      </c>
      <c r="I1024" s="12" t="s">
        <v>3947</v>
      </c>
      <c r="J1024" s="11" t="s">
        <v>1856</v>
      </c>
      <c r="K1024" s="11" t="s">
        <v>1852</v>
      </c>
      <c r="L1024" s="11" t="s">
        <v>1853</v>
      </c>
      <c r="M1024" s="11" t="s">
        <v>3611</v>
      </c>
      <c r="N1024" s="12"/>
      <c r="O1024" s="11" t="s">
        <v>1860</v>
      </c>
      <c r="P1024" s="56"/>
    </row>
    <row r="1025" spans="1:16" ht="15.75" customHeight="1" x14ac:dyDescent="0.2">
      <c r="A1025" s="48">
        <v>1007</v>
      </c>
      <c r="B1025" s="11" t="s">
        <v>1857</v>
      </c>
      <c r="C1025" s="11" t="s">
        <v>1849</v>
      </c>
      <c r="D1025" s="6" t="s">
        <v>1850</v>
      </c>
      <c r="E1025" s="12" t="s">
        <v>3531</v>
      </c>
      <c r="F1025" s="12" t="s">
        <v>3531</v>
      </c>
      <c r="G1025" s="12" t="s">
        <v>3544</v>
      </c>
      <c r="H1025" s="12" t="s">
        <v>3623</v>
      </c>
      <c r="I1025" s="12" t="s">
        <v>3948</v>
      </c>
      <c r="J1025" s="11" t="s">
        <v>1856</v>
      </c>
      <c r="K1025" s="11" t="s">
        <v>1852</v>
      </c>
      <c r="L1025" s="11" t="s">
        <v>1853</v>
      </c>
      <c r="M1025" s="11" t="s">
        <v>1854</v>
      </c>
      <c r="N1025" s="12"/>
      <c r="O1025" s="11" t="s">
        <v>1859</v>
      </c>
      <c r="P1025" s="56"/>
    </row>
    <row r="1026" spans="1:16" ht="15.75" customHeight="1" x14ac:dyDescent="0.2">
      <c r="A1026" s="48">
        <v>745</v>
      </c>
      <c r="B1026" s="11" t="s">
        <v>1857</v>
      </c>
      <c r="C1026" s="11" t="s">
        <v>1849</v>
      </c>
      <c r="D1026" s="6" t="s">
        <v>1850</v>
      </c>
      <c r="E1026" s="12" t="s">
        <v>3531</v>
      </c>
      <c r="F1026" s="12" t="s">
        <v>3531</v>
      </c>
      <c r="G1026" s="12" t="s">
        <v>3546</v>
      </c>
      <c r="H1026" s="12" t="s">
        <v>3583</v>
      </c>
      <c r="I1026" s="12" t="s">
        <v>1075</v>
      </c>
      <c r="J1026" s="11" t="s">
        <v>1856</v>
      </c>
      <c r="K1026" s="11" t="s">
        <v>1852</v>
      </c>
      <c r="L1026" s="11" t="s">
        <v>1853</v>
      </c>
      <c r="M1026" s="11" t="s">
        <v>3949</v>
      </c>
      <c r="N1026" s="12"/>
      <c r="O1026" s="11" t="s">
        <v>1860</v>
      </c>
      <c r="P1026" s="56"/>
    </row>
    <row r="1027" spans="1:16" ht="15.75" customHeight="1" x14ac:dyDescent="0.2">
      <c r="A1027" s="48">
        <v>974</v>
      </c>
      <c r="B1027" s="11" t="s">
        <v>1857</v>
      </c>
      <c r="C1027" s="11" t="s">
        <v>1849</v>
      </c>
      <c r="D1027" s="6" t="s">
        <v>1850</v>
      </c>
      <c r="E1027" s="12" t="s">
        <v>3531</v>
      </c>
      <c r="F1027" s="12" t="s">
        <v>3531</v>
      </c>
      <c r="G1027" s="12" t="s">
        <v>3544</v>
      </c>
      <c r="H1027" s="12" t="s">
        <v>3565</v>
      </c>
      <c r="I1027" s="12" t="s">
        <v>3950</v>
      </c>
      <c r="J1027" s="11" t="s">
        <v>1856</v>
      </c>
      <c r="K1027" s="11" t="s">
        <v>1852</v>
      </c>
      <c r="L1027" s="11" t="s">
        <v>1853</v>
      </c>
      <c r="M1027" s="11" t="s">
        <v>3951</v>
      </c>
      <c r="N1027" s="12" t="s">
        <v>3952</v>
      </c>
      <c r="O1027" s="11" t="s">
        <v>2334</v>
      </c>
      <c r="P1027" s="56" t="s">
        <v>2323</v>
      </c>
    </row>
    <row r="1028" spans="1:16" ht="15.75" customHeight="1" x14ac:dyDescent="0.2">
      <c r="A1028" s="48">
        <v>866</v>
      </c>
      <c r="B1028" s="11" t="s">
        <v>1857</v>
      </c>
      <c r="C1028" s="11" t="s">
        <v>1849</v>
      </c>
      <c r="D1028" s="6" t="s">
        <v>1850</v>
      </c>
      <c r="E1028" s="12" t="s">
        <v>3531</v>
      </c>
      <c r="F1028" s="12" t="s">
        <v>3531</v>
      </c>
      <c r="G1028" s="12" t="s">
        <v>3544</v>
      </c>
      <c r="H1028" s="12" t="s">
        <v>3531</v>
      </c>
      <c r="I1028" s="12" t="s">
        <v>3953</v>
      </c>
      <c r="J1028" s="11" t="s">
        <v>1856</v>
      </c>
      <c r="K1028" s="11" t="s">
        <v>1852</v>
      </c>
      <c r="L1028" s="11" t="s">
        <v>1853</v>
      </c>
      <c r="M1028" s="11" t="s">
        <v>3954</v>
      </c>
      <c r="N1028" s="12" t="s">
        <v>3955</v>
      </c>
      <c r="O1028" s="11" t="s">
        <v>1858</v>
      </c>
      <c r="P1028" s="56"/>
    </row>
    <row r="1029" spans="1:16" ht="15.75" customHeight="1" x14ac:dyDescent="0.2">
      <c r="A1029" s="48">
        <v>688</v>
      </c>
      <c r="B1029" s="11" t="s">
        <v>1857</v>
      </c>
      <c r="C1029" s="11" t="s">
        <v>1849</v>
      </c>
      <c r="D1029" s="6" t="s">
        <v>1850</v>
      </c>
      <c r="E1029" s="12" t="s">
        <v>3531</v>
      </c>
      <c r="F1029" s="12" t="s">
        <v>3531</v>
      </c>
      <c r="G1029" s="12" t="s">
        <v>3546</v>
      </c>
      <c r="H1029" s="12" t="s">
        <v>3546</v>
      </c>
      <c r="I1029" s="12" t="s">
        <v>3956</v>
      </c>
      <c r="J1029" s="11" t="s">
        <v>1856</v>
      </c>
      <c r="K1029" s="11" t="s">
        <v>1852</v>
      </c>
      <c r="L1029" s="11" t="s">
        <v>1853</v>
      </c>
      <c r="M1029" s="11" t="s">
        <v>3957</v>
      </c>
      <c r="N1029" s="12"/>
      <c r="O1029" s="11" t="s">
        <v>1859</v>
      </c>
      <c r="P1029" s="56"/>
    </row>
    <row r="1030" spans="1:16" ht="15.75" customHeight="1" x14ac:dyDescent="0.2">
      <c r="A1030" s="48">
        <v>965</v>
      </c>
      <c r="B1030" s="11" t="s">
        <v>1857</v>
      </c>
      <c r="C1030" s="11" t="s">
        <v>1849</v>
      </c>
      <c r="D1030" s="6" t="s">
        <v>1850</v>
      </c>
      <c r="E1030" s="12" t="s">
        <v>3531</v>
      </c>
      <c r="F1030" s="12" t="s">
        <v>3531</v>
      </c>
      <c r="G1030" s="12" t="s">
        <v>3544</v>
      </c>
      <c r="H1030" s="12" t="s">
        <v>3565</v>
      </c>
      <c r="I1030" s="12" t="s">
        <v>3958</v>
      </c>
      <c r="J1030" s="11" t="s">
        <v>1856</v>
      </c>
      <c r="K1030" s="11" t="s">
        <v>1852</v>
      </c>
      <c r="L1030" s="11" t="s">
        <v>1853</v>
      </c>
      <c r="M1030" s="11" t="s">
        <v>3959</v>
      </c>
      <c r="N1030" s="12"/>
      <c r="O1030" s="11" t="s">
        <v>1858</v>
      </c>
      <c r="P1030" s="56"/>
    </row>
    <row r="1031" spans="1:16" ht="15.75" customHeight="1" x14ac:dyDescent="0.2">
      <c r="A1031" s="48">
        <v>907</v>
      </c>
      <c r="B1031" s="11" t="s">
        <v>1857</v>
      </c>
      <c r="C1031" s="11" t="s">
        <v>1849</v>
      </c>
      <c r="D1031" s="6" t="s">
        <v>1850</v>
      </c>
      <c r="E1031" s="12" t="s">
        <v>3531</v>
      </c>
      <c r="F1031" s="12" t="s">
        <v>3531</v>
      </c>
      <c r="G1031" s="12" t="s">
        <v>3544</v>
      </c>
      <c r="H1031" s="12" t="s">
        <v>3594</v>
      </c>
      <c r="I1031" s="12" t="s">
        <v>3960</v>
      </c>
      <c r="J1031" s="11" t="s">
        <v>1856</v>
      </c>
      <c r="K1031" s="11" t="s">
        <v>1852</v>
      </c>
      <c r="L1031" s="11" t="s">
        <v>1853</v>
      </c>
      <c r="M1031" s="11" t="s">
        <v>3961</v>
      </c>
      <c r="N1031" s="12" t="s">
        <v>3962</v>
      </c>
      <c r="O1031" s="11" t="s">
        <v>1858</v>
      </c>
      <c r="P1031" s="56"/>
    </row>
    <row r="1032" spans="1:16" ht="15.75" customHeight="1" x14ac:dyDescent="0.2">
      <c r="A1032" s="48">
        <v>1004</v>
      </c>
      <c r="B1032" s="11" t="s">
        <v>1857</v>
      </c>
      <c r="C1032" s="11" t="s">
        <v>1849</v>
      </c>
      <c r="D1032" s="6" t="s">
        <v>1850</v>
      </c>
      <c r="E1032" s="12" t="s">
        <v>3531</v>
      </c>
      <c r="F1032" s="12" t="s">
        <v>3531</v>
      </c>
      <c r="G1032" s="12" t="s">
        <v>3544</v>
      </c>
      <c r="H1032" s="12" t="s">
        <v>3623</v>
      </c>
      <c r="I1032" s="12" t="s">
        <v>3963</v>
      </c>
      <c r="J1032" s="11" t="s">
        <v>1856</v>
      </c>
      <c r="K1032" s="11" t="s">
        <v>1852</v>
      </c>
      <c r="L1032" s="11" t="s">
        <v>1853</v>
      </c>
      <c r="M1032" s="11" t="s">
        <v>3719</v>
      </c>
      <c r="N1032" s="12"/>
      <c r="O1032" s="11" t="s">
        <v>1859</v>
      </c>
      <c r="P1032" s="56"/>
    </row>
    <row r="1033" spans="1:16" ht="15.75" customHeight="1" x14ac:dyDescent="0.2">
      <c r="A1033" s="48">
        <v>885</v>
      </c>
      <c r="B1033" s="11" t="s">
        <v>1857</v>
      </c>
      <c r="C1033" s="11" t="s">
        <v>1849</v>
      </c>
      <c r="D1033" s="6" t="s">
        <v>1850</v>
      </c>
      <c r="E1033" s="12" t="s">
        <v>3531</v>
      </c>
      <c r="F1033" s="12" t="s">
        <v>3531</v>
      </c>
      <c r="G1033" s="12" t="s">
        <v>3544</v>
      </c>
      <c r="H1033" s="12" t="s">
        <v>3590</v>
      </c>
      <c r="I1033" s="12" t="s">
        <v>3964</v>
      </c>
      <c r="J1033" s="11" t="s">
        <v>1856</v>
      </c>
      <c r="K1033" s="11" t="s">
        <v>1852</v>
      </c>
      <c r="L1033" s="11" t="s">
        <v>1853</v>
      </c>
      <c r="M1033" s="11" t="s">
        <v>1854</v>
      </c>
      <c r="N1033" s="12"/>
      <c r="O1033" s="11" t="s">
        <v>1858</v>
      </c>
      <c r="P1033" s="56"/>
    </row>
    <row r="1034" spans="1:16" ht="15.75" customHeight="1" x14ac:dyDescent="0.2">
      <c r="A1034" s="48">
        <v>699</v>
      </c>
      <c r="B1034" s="11" t="s">
        <v>1857</v>
      </c>
      <c r="C1034" s="11" t="s">
        <v>1849</v>
      </c>
      <c r="D1034" s="6" t="s">
        <v>1850</v>
      </c>
      <c r="E1034" s="12" t="s">
        <v>3531</v>
      </c>
      <c r="F1034" s="12" t="s">
        <v>3531</v>
      </c>
      <c r="G1034" s="12" t="s">
        <v>3546</v>
      </c>
      <c r="H1034" s="12" t="s">
        <v>2820</v>
      </c>
      <c r="I1034" s="12" t="s">
        <v>2441</v>
      </c>
      <c r="J1034" s="11" t="s">
        <v>1856</v>
      </c>
      <c r="K1034" s="11" t="s">
        <v>1852</v>
      </c>
      <c r="L1034" s="11" t="s">
        <v>1853</v>
      </c>
      <c r="M1034" s="11" t="s">
        <v>1854</v>
      </c>
      <c r="N1034" s="12"/>
      <c r="O1034" s="11" t="s">
        <v>1869</v>
      </c>
      <c r="P1034" s="56"/>
    </row>
    <row r="1035" spans="1:16" ht="15.75" customHeight="1" x14ac:dyDescent="0.2">
      <c r="A1035" s="48">
        <v>977</v>
      </c>
      <c r="B1035" s="11" t="s">
        <v>1857</v>
      </c>
      <c r="C1035" s="11" t="s">
        <v>1849</v>
      </c>
      <c r="D1035" s="6" t="s">
        <v>1850</v>
      </c>
      <c r="E1035" s="12" t="s">
        <v>3531</v>
      </c>
      <c r="F1035" s="12" t="s">
        <v>3531</v>
      </c>
      <c r="G1035" s="12" t="s">
        <v>3544</v>
      </c>
      <c r="H1035" s="12" t="s">
        <v>3565</v>
      </c>
      <c r="I1035" s="12" t="s">
        <v>3965</v>
      </c>
      <c r="J1035" s="11" t="s">
        <v>1856</v>
      </c>
      <c r="K1035" s="11" t="s">
        <v>1852</v>
      </c>
      <c r="L1035" s="11" t="s">
        <v>1853</v>
      </c>
      <c r="M1035" s="11" t="s">
        <v>1854</v>
      </c>
      <c r="N1035" s="12"/>
      <c r="O1035" s="11" t="s">
        <v>1859</v>
      </c>
      <c r="P1035" s="56"/>
    </row>
    <row r="1036" spans="1:16" ht="15.75" customHeight="1" x14ac:dyDescent="0.2">
      <c r="A1036" s="48">
        <v>710</v>
      </c>
      <c r="B1036" s="11" t="s">
        <v>1857</v>
      </c>
      <c r="C1036" s="11" t="s">
        <v>1849</v>
      </c>
      <c r="D1036" s="6" t="s">
        <v>1850</v>
      </c>
      <c r="E1036" s="12" t="s">
        <v>3531</v>
      </c>
      <c r="F1036" s="12" t="s">
        <v>3531</v>
      </c>
      <c r="G1036" s="12" t="s">
        <v>3546</v>
      </c>
      <c r="H1036" s="12" t="s">
        <v>3559</v>
      </c>
      <c r="I1036" s="12" t="s">
        <v>1051</v>
      </c>
      <c r="J1036" s="11" t="s">
        <v>1856</v>
      </c>
      <c r="K1036" s="11" t="s">
        <v>1852</v>
      </c>
      <c r="L1036" s="11" t="s">
        <v>1853</v>
      </c>
      <c r="M1036" s="11" t="s">
        <v>3966</v>
      </c>
      <c r="N1036" s="12" t="s">
        <v>3967</v>
      </c>
      <c r="O1036" s="11" t="s">
        <v>1869</v>
      </c>
      <c r="P1036" s="56"/>
    </row>
    <row r="1037" spans="1:16" ht="15.75" customHeight="1" x14ac:dyDescent="0.2">
      <c r="A1037" s="48">
        <v>900</v>
      </c>
      <c r="B1037" s="11" t="s">
        <v>1857</v>
      </c>
      <c r="C1037" s="11" t="s">
        <v>1849</v>
      </c>
      <c r="D1037" s="6" t="s">
        <v>1850</v>
      </c>
      <c r="E1037" s="12" t="s">
        <v>3531</v>
      </c>
      <c r="F1037" s="12" t="s">
        <v>3531</v>
      </c>
      <c r="G1037" s="12" t="s">
        <v>3544</v>
      </c>
      <c r="H1037" s="12" t="s">
        <v>3594</v>
      </c>
      <c r="I1037" s="12" t="s">
        <v>3968</v>
      </c>
      <c r="J1037" s="11" t="s">
        <v>1856</v>
      </c>
      <c r="K1037" s="11" t="s">
        <v>1852</v>
      </c>
      <c r="L1037" s="11" t="s">
        <v>1853</v>
      </c>
      <c r="M1037" s="11" t="s">
        <v>3969</v>
      </c>
      <c r="N1037" s="12" t="s">
        <v>3970</v>
      </c>
      <c r="O1037" s="11" t="s">
        <v>1859</v>
      </c>
      <c r="P1037" s="56"/>
    </row>
    <row r="1038" spans="1:16" ht="15.75" customHeight="1" x14ac:dyDescent="0.2">
      <c r="A1038" s="48">
        <v>724</v>
      </c>
      <c r="B1038" s="11" t="s">
        <v>1857</v>
      </c>
      <c r="C1038" s="11" t="s">
        <v>1849</v>
      </c>
      <c r="D1038" s="6" t="s">
        <v>1850</v>
      </c>
      <c r="E1038" s="12" t="s">
        <v>3531</v>
      </c>
      <c r="F1038" s="12" t="s">
        <v>3531</v>
      </c>
      <c r="G1038" s="12" t="s">
        <v>3546</v>
      </c>
      <c r="H1038" s="12" t="s">
        <v>3548</v>
      </c>
      <c r="I1038" s="12" t="s">
        <v>3971</v>
      </c>
      <c r="J1038" s="11" t="s">
        <v>1856</v>
      </c>
      <c r="K1038" s="11" t="s">
        <v>1852</v>
      </c>
      <c r="L1038" s="11" t="s">
        <v>1853</v>
      </c>
      <c r="M1038" s="11" t="s">
        <v>3972</v>
      </c>
      <c r="N1038" s="12" t="s">
        <v>3973</v>
      </c>
      <c r="O1038" s="11" t="s">
        <v>1860</v>
      </c>
      <c r="P1038" s="56"/>
    </row>
    <row r="1039" spans="1:16" ht="15.75" customHeight="1" x14ac:dyDescent="0.2">
      <c r="A1039" s="48">
        <v>692</v>
      </c>
      <c r="B1039" s="11" t="s">
        <v>1857</v>
      </c>
      <c r="C1039" s="11" t="s">
        <v>1849</v>
      </c>
      <c r="D1039" s="6" t="s">
        <v>1850</v>
      </c>
      <c r="E1039" s="12" t="s">
        <v>3531</v>
      </c>
      <c r="F1039" s="12" t="s">
        <v>3531</v>
      </c>
      <c r="G1039" s="12" t="s">
        <v>3546</v>
      </c>
      <c r="H1039" s="12" t="s">
        <v>3559</v>
      </c>
      <c r="I1039" s="12" t="s">
        <v>3974</v>
      </c>
      <c r="J1039" s="11" t="s">
        <v>1856</v>
      </c>
      <c r="K1039" s="11" t="s">
        <v>1852</v>
      </c>
      <c r="L1039" s="11" t="s">
        <v>1853</v>
      </c>
      <c r="M1039" s="11" t="s">
        <v>1854</v>
      </c>
      <c r="N1039" s="12"/>
      <c r="O1039" s="11" t="s">
        <v>2905</v>
      </c>
      <c r="P1039" s="56"/>
    </row>
    <row r="1040" spans="1:16" ht="15.75" customHeight="1" x14ac:dyDescent="0.2">
      <c r="A1040" s="48">
        <v>546</v>
      </c>
      <c r="B1040" s="11" t="s">
        <v>1857</v>
      </c>
      <c r="C1040" s="11" t="s">
        <v>1849</v>
      </c>
      <c r="D1040" s="6" t="s">
        <v>1850</v>
      </c>
      <c r="E1040" s="12" t="s">
        <v>3531</v>
      </c>
      <c r="F1040" s="12" t="s">
        <v>3531</v>
      </c>
      <c r="G1040" s="12" t="s">
        <v>3550</v>
      </c>
      <c r="H1040" s="12" t="s">
        <v>3771</v>
      </c>
      <c r="I1040" s="12" t="s">
        <v>3975</v>
      </c>
      <c r="J1040" s="11" t="s">
        <v>1856</v>
      </c>
      <c r="K1040" s="11" t="s">
        <v>1852</v>
      </c>
      <c r="L1040" s="11" t="s">
        <v>1853</v>
      </c>
      <c r="M1040" s="11" t="s">
        <v>3696</v>
      </c>
      <c r="N1040" s="12" t="s">
        <v>3976</v>
      </c>
      <c r="O1040" s="11" t="s">
        <v>2905</v>
      </c>
      <c r="P1040" s="56"/>
    </row>
    <row r="1041" spans="1:16" ht="15.75" customHeight="1" x14ac:dyDescent="0.2">
      <c r="A1041" s="48">
        <v>566</v>
      </c>
      <c r="B1041" s="11" t="s">
        <v>1857</v>
      </c>
      <c r="C1041" s="11" t="s">
        <v>1849</v>
      </c>
      <c r="D1041" s="6" t="s">
        <v>1850</v>
      </c>
      <c r="E1041" s="12" t="s">
        <v>3531</v>
      </c>
      <c r="F1041" s="12" t="s">
        <v>3531</v>
      </c>
      <c r="G1041" s="12" t="s">
        <v>3550</v>
      </c>
      <c r="H1041" s="12" t="s">
        <v>2624</v>
      </c>
      <c r="I1041" s="12" t="s">
        <v>3977</v>
      </c>
      <c r="J1041" s="11" t="s">
        <v>1856</v>
      </c>
      <c r="K1041" s="11" t="s">
        <v>1852</v>
      </c>
      <c r="L1041" s="11" t="s">
        <v>1853</v>
      </c>
      <c r="M1041" s="11" t="s">
        <v>3978</v>
      </c>
      <c r="N1041" s="12" t="s">
        <v>3979</v>
      </c>
      <c r="O1041" s="11" t="s">
        <v>1858</v>
      </c>
      <c r="P1041" s="56"/>
    </row>
    <row r="1042" spans="1:16" ht="15.75" customHeight="1" x14ac:dyDescent="0.2">
      <c r="A1042" s="48">
        <v>1001</v>
      </c>
      <c r="B1042" s="11" t="s">
        <v>1857</v>
      </c>
      <c r="C1042" s="11" t="s">
        <v>1849</v>
      </c>
      <c r="D1042" s="6" t="s">
        <v>1850</v>
      </c>
      <c r="E1042" s="12" t="s">
        <v>3531</v>
      </c>
      <c r="F1042" s="12" t="s">
        <v>3531</v>
      </c>
      <c r="G1042" s="12" t="s">
        <v>3544</v>
      </c>
      <c r="H1042" s="12" t="s">
        <v>3623</v>
      </c>
      <c r="I1042" s="12" t="s">
        <v>3980</v>
      </c>
      <c r="J1042" s="11" t="s">
        <v>1856</v>
      </c>
      <c r="K1042" s="11" t="s">
        <v>1852</v>
      </c>
      <c r="L1042" s="11" t="s">
        <v>1853</v>
      </c>
      <c r="M1042" s="11" t="s">
        <v>3897</v>
      </c>
      <c r="N1042" s="12"/>
      <c r="O1042" s="11" t="s">
        <v>1858</v>
      </c>
      <c r="P1042" s="56"/>
    </row>
    <row r="1043" spans="1:16" ht="15.75" customHeight="1" x14ac:dyDescent="0.2">
      <c r="A1043" s="48">
        <v>783</v>
      </c>
      <c r="B1043" s="11" t="s">
        <v>1857</v>
      </c>
      <c r="C1043" s="11" t="s">
        <v>1849</v>
      </c>
      <c r="D1043" s="6" t="s">
        <v>1850</v>
      </c>
      <c r="E1043" s="12" t="s">
        <v>3531</v>
      </c>
      <c r="F1043" s="12" t="s">
        <v>3531</v>
      </c>
      <c r="G1043" s="12" t="s">
        <v>3672</v>
      </c>
      <c r="H1043" s="12" t="s">
        <v>3745</v>
      </c>
      <c r="I1043" s="12" t="s">
        <v>3981</v>
      </c>
      <c r="J1043" s="11" t="s">
        <v>1856</v>
      </c>
      <c r="K1043" s="11" t="s">
        <v>1852</v>
      </c>
      <c r="L1043" s="11" t="s">
        <v>1853</v>
      </c>
      <c r="M1043" s="11" t="s">
        <v>3982</v>
      </c>
      <c r="N1043" s="12"/>
      <c r="O1043" s="11" t="s">
        <v>2905</v>
      </c>
      <c r="P1043" s="56"/>
    </row>
    <row r="1044" spans="1:16" ht="15.75" customHeight="1" x14ac:dyDescent="0.2">
      <c r="A1044" s="48">
        <v>686</v>
      </c>
      <c r="B1044" s="11" t="s">
        <v>1857</v>
      </c>
      <c r="C1044" s="11" t="s">
        <v>1849</v>
      </c>
      <c r="D1044" s="6" t="s">
        <v>1850</v>
      </c>
      <c r="E1044" s="12" t="s">
        <v>3531</v>
      </c>
      <c r="F1044" s="12" t="s">
        <v>3531</v>
      </c>
      <c r="G1044" s="12" t="s">
        <v>3546</v>
      </c>
      <c r="H1044" s="12" t="s">
        <v>3546</v>
      </c>
      <c r="I1044" s="12" t="s">
        <v>3983</v>
      </c>
      <c r="J1044" s="11" t="s">
        <v>1856</v>
      </c>
      <c r="K1044" s="11" t="s">
        <v>1852</v>
      </c>
      <c r="L1044" s="11" t="s">
        <v>1853</v>
      </c>
      <c r="M1044" s="11" t="s">
        <v>3602</v>
      </c>
      <c r="N1044" s="12"/>
      <c r="O1044" s="11" t="s">
        <v>2905</v>
      </c>
      <c r="P1044" s="56"/>
    </row>
    <row r="1045" spans="1:16" ht="15.75" customHeight="1" x14ac:dyDescent="0.2">
      <c r="A1045" s="48">
        <v>869</v>
      </c>
      <c r="B1045" s="11" t="s">
        <v>1857</v>
      </c>
      <c r="C1045" s="11" t="s">
        <v>1849</v>
      </c>
      <c r="D1045" s="6" t="s">
        <v>1850</v>
      </c>
      <c r="E1045" s="12" t="s">
        <v>3531</v>
      </c>
      <c r="F1045" s="12" t="s">
        <v>3531</v>
      </c>
      <c r="G1045" s="12" t="s">
        <v>3544</v>
      </c>
      <c r="H1045" s="12" t="s">
        <v>3590</v>
      </c>
      <c r="I1045" s="12" t="s">
        <v>3984</v>
      </c>
      <c r="J1045" s="11" t="s">
        <v>1856</v>
      </c>
      <c r="K1045" s="11" t="s">
        <v>1852</v>
      </c>
      <c r="L1045" s="11" t="s">
        <v>1853</v>
      </c>
      <c r="M1045" s="11" t="s">
        <v>3614</v>
      </c>
      <c r="N1045" s="12" t="s">
        <v>3985</v>
      </c>
      <c r="O1045" s="11" t="s">
        <v>1858</v>
      </c>
      <c r="P1045" s="56"/>
    </row>
    <row r="1046" spans="1:16" ht="15.75" customHeight="1" x14ac:dyDescent="0.2">
      <c r="A1046" s="48">
        <v>619</v>
      </c>
      <c r="B1046" s="11" t="s">
        <v>1857</v>
      </c>
      <c r="C1046" s="11" t="s">
        <v>1849</v>
      </c>
      <c r="D1046" s="6" t="s">
        <v>1850</v>
      </c>
      <c r="E1046" s="12" t="s">
        <v>3531</v>
      </c>
      <c r="F1046" s="12" t="s">
        <v>3531</v>
      </c>
      <c r="G1046" s="12" t="s">
        <v>3532</v>
      </c>
      <c r="H1046" s="12" t="s">
        <v>3727</v>
      </c>
      <c r="I1046" s="12" t="s">
        <v>3986</v>
      </c>
      <c r="J1046" s="11" t="s">
        <v>1856</v>
      </c>
      <c r="K1046" s="11" t="s">
        <v>1852</v>
      </c>
      <c r="L1046" s="11" t="s">
        <v>1853</v>
      </c>
      <c r="M1046" s="11" t="s">
        <v>3987</v>
      </c>
      <c r="N1046" s="12"/>
      <c r="O1046" s="11" t="s">
        <v>1858</v>
      </c>
      <c r="P1046" s="56"/>
    </row>
    <row r="1047" spans="1:16" ht="15.75" customHeight="1" x14ac:dyDescent="0.2">
      <c r="A1047" s="48">
        <v>944</v>
      </c>
      <c r="B1047" s="11" t="s">
        <v>1857</v>
      </c>
      <c r="C1047" s="11" t="s">
        <v>1849</v>
      </c>
      <c r="D1047" s="6" t="s">
        <v>1850</v>
      </c>
      <c r="E1047" s="12" t="s">
        <v>3531</v>
      </c>
      <c r="F1047" s="12" t="s">
        <v>3531</v>
      </c>
      <c r="G1047" s="12" t="s">
        <v>3544</v>
      </c>
      <c r="H1047" s="12" t="s">
        <v>3617</v>
      </c>
      <c r="I1047" s="12" t="s">
        <v>3986</v>
      </c>
      <c r="J1047" s="11" t="s">
        <v>1856</v>
      </c>
      <c r="K1047" s="11" t="s">
        <v>1852</v>
      </c>
      <c r="L1047" s="11" t="s">
        <v>1853</v>
      </c>
      <c r="M1047" s="11" t="s">
        <v>3988</v>
      </c>
      <c r="N1047" s="12"/>
      <c r="O1047" s="11" t="s">
        <v>1858</v>
      </c>
      <c r="P1047" s="56"/>
    </row>
    <row r="1048" spans="1:16" ht="15.75" customHeight="1" x14ac:dyDescent="0.2">
      <c r="A1048" s="48">
        <v>874</v>
      </c>
      <c r="B1048" s="11" t="s">
        <v>1857</v>
      </c>
      <c r="C1048" s="11" t="s">
        <v>1849</v>
      </c>
      <c r="D1048" s="6" t="s">
        <v>1850</v>
      </c>
      <c r="E1048" s="12" t="s">
        <v>3531</v>
      </c>
      <c r="F1048" s="12" t="s">
        <v>3531</v>
      </c>
      <c r="G1048" s="12" t="s">
        <v>3544</v>
      </c>
      <c r="H1048" s="12" t="s">
        <v>3590</v>
      </c>
      <c r="I1048" s="12" t="s">
        <v>3175</v>
      </c>
      <c r="J1048" s="11" t="s">
        <v>1856</v>
      </c>
      <c r="K1048" s="11" t="s">
        <v>1852</v>
      </c>
      <c r="L1048" s="11" t="s">
        <v>1853</v>
      </c>
      <c r="M1048" s="11" t="s">
        <v>1854</v>
      </c>
      <c r="N1048" s="12"/>
      <c r="O1048" s="11" t="s">
        <v>1869</v>
      </c>
      <c r="P1048" s="56"/>
    </row>
    <row r="1049" spans="1:16" ht="15.75" customHeight="1" x14ac:dyDescent="0.2">
      <c r="A1049" s="48">
        <v>989</v>
      </c>
      <c r="B1049" s="11" t="s">
        <v>1857</v>
      </c>
      <c r="C1049" s="11" t="s">
        <v>1849</v>
      </c>
      <c r="D1049" s="6" t="s">
        <v>1850</v>
      </c>
      <c r="E1049" s="12" t="s">
        <v>3531</v>
      </c>
      <c r="F1049" s="12" t="s">
        <v>3531</v>
      </c>
      <c r="G1049" s="12" t="s">
        <v>3544</v>
      </c>
      <c r="H1049" s="12" t="s">
        <v>3565</v>
      </c>
      <c r="I1049" s="12" t="s">
        <v>3989</v>
      </c>
      <c r="J1049" s="11" t="s">
        <v>1856</v>
      </c>
      <c r="K1049" s="11" t="s">
        <v>1852</v>
      </c>
      <c r="L1049" s="11" t="s">
        <v>1853</v>
      </c>
      <c r="M1049" s="11" t="s">
        <v>3717</v>
      </c>
      <c r="N1049" s="12"/>
      <c r="O1049" s="11" t="s">
        <v>2905</v>
      </c>
      <c r="P1049" s="56"/>
    </row>
    <row r="1050" spans="1:16" ht="15.75" customHeight="1" x14ac:dyDescent="0.2">
      <c r="A1050" s="48">
        <v>788</v>
      </c>
      <c r="B1050" s="11" t="s">
        <v>1857</v>
      </c>
      <c r="C1050" s="11" t="s">
        <v>1849</v>
      </c>
      <c r="D1050" s="6" t="s">
        <v>1850</v>
      </c>
      <c r="E1050" s="12" t="s">
        <v>3531</v>
      </c>
      <c r="F1050" s="12" t="s">
        <v>3531</v>
      </c>
      <c r="G1050" s="12" t="s">
        <v>3672</v>
      </c>
      <c r="H1050" s="12" t="s">
        <v>3698</v>
      </c>
      <c r="I1050" s="12" t="s">
        <v>3990</v>
      </c>
      <c r="J1050" s="11" t="s">
        <v>1856</v>
      </c>
      <c r="K1050" s="11" t="s">
        <v>1852</v>
      </c>
      <c r="L1050" s="11" t="s">
        <v>1853</v>
      </c>
      <c r="M1050" s="11" t="s">
        <v>3160</v>
      </c>
      <c r="N1050" s="12"/>
      <c r="O1050" s="11" t="s">
        <v>1869</v>
      </c>
      <c r="P1050" s="56"/>
    </row>
    <row r="1051" spans="1:16" ht="15.75" customHeight="1" x14ac:dyDescent="0.2">
      <c r="A1051" s="48">
        <v>876</v>
      </c>
      <c r="B1051" s="11" t="s">
        <v>1857</v>
      </c>
      <c r="C1051" s="11" t="s">
        <v>1849</v>
      </c>
      <c r="D1051" s="6" t="s">
        <v>1850</v>
      </c>
      <c r="E1051" s="12" t="s">
        <v>3531</v>
      </c>
      <c r="F1051" s="12" t="s">
        <v>3531</v>
      </c>
      <c r="G1051" s="12" t="s">
        <v>3544</v>
      </c>
      <c r="H1051" s="12" t="s">
        <v>3590</v>
      </c>
      <c r="I1051" s="12" t="s">
        <v>3991</v>
      </c>
      <c r="J1051" s="11" t="s">
        <v>1856</v>
      </c>
      <c r="K1051" s="11" t="s">
        <v>1852</v>
      </c>
      <c r="L1051" s="11" t="s">
        <v>1853</v>
      </c>
      <c r="M1051" s="11" t="s">
        <v>3616</v>
      </c>
      <c r="N1051" s="12"/>
      <c r="O1051" s="11" t="s">
        <v>1869</v>
      </c>
      <c r="P1051" s="56"/>
    </row>
    <row r="1052" spans="1:16" ht="15.75" customHeight="1" x14ac:dyDescent="0.2">
      <c r="A1052" s="48">
        <v>918</v>
      </c>
      <c r="B1052" s="11" t="s">
        <v>1857</v>
      </c>
      <c r="C1052" s="11" t="s">
        <v>1849</v>
      </c>
      <c r="D1052" s="6" t="s">
        <v>1850</v>
      </c>
      <c r="E1052" s="12" t="s">
        <v>3531</v>
      </c>
      <c r="F1052" s="12" t="s">
        <v>3531</v>
      </c>
      <c r="G1052" s="12" t="s">
        <v>3544</v>
      </c>
      <c r="H1052" s="12" t="s">
        <v>3594</v>
      </c>
      <c r="I1052" s="12" t="s">
        <v>3992</v>
      </c>
      <c r="J1052" s="11" t="s">
        <v>1856</v>
      </c>
      <c r="K1052" s="11" t="s">
        <v>1852</v>
      </c>
      <c r="L1052" s="11" t="s">
        <v>1853</v>
      </c>
      <c r="M1052" s="11" t="s">
        <v>3604</v>
      </c>
      <c r="N1052" s="12" t="s">
        <v>3993</v>
      </c>
      <c r="O1052" s="11" t="s">
        <v>1858</v>
      </c>
      <c r="P1052" s="56"/>
    </row>
    <row r="1053" spans="1:16" ht="15.75" customHeight="1" x14ac:dyDescent="0.2">
      <c r="A1053" s="48">
        <v>868</v>
      </c>
      <c r="B1053" s="11" t="s">
        <v>1857</v>
      </c>
      <c r="C1053" s="11" t="s">
        <v>1849</v>
      </c>
      <c r="D1053" s="6" t="s">
        <v>1850</v>
      </c>
      <c r="E1053" s="12" t="s">
        <v>3531</v>
      </c>
      <c r="F1053" s="12" t="s">
        <v>3531</v>
      </c>
      <c r="G1053" s="12" t="s">
        <v>3544</v>
      </c>
      <c r="H1053" s="12" t="s">
        <v>3590</v>
      </c>
      <c r="I1053" s="12" t="s">
        <v>3994</v>
      </c>
      <c r="J1053" s="11" t="s">
        <v>1856</v>
      </c>
      <c r="K1053" s="11" t="s">
        <v>1852</v>
      </c>
      <c r="L1053" s="11" t="s">
        <v>1853</v>
      </c>
      <c r="M1053" s="11" t="s">
        <v>3611</v>
      </c>
      <c r="N1053" s="12"/>
      <c r="O1053" s="11" t="s">
        <v>1869</v>
      </c>
      <c r="P1053" s="56"/>
    </row>
    <row r="1054" spans="1:16" ht="15.75" customHeight="1" x14ac:dyDescent="0.2">
      <c r="A1054" s="48">
        <v>990</v>
      </c>
      <c r="B1054" s="11" t="s">
        <v>1857</v>
      </c>
      <c r="C1054" s="11" t="s">
        <v>1849</v>
      </c>
      <c r="D1054" s="6" t="s">
        <v>1850</v>
      </c>
      <c r="E1054" s="12" t="s">
        <v>3531</v>
      </c>
      <c r="F1054" s="12" t="s">
        <v>3531</v>
      </c>
      <c r="G1054" s="12" t="s">
        <v>3544</v>
      </c>
      <c r="H1054" s="12" t="s">
        <v>3565</v>
      </c>
      <c r="I1054" s="12" t="s">
        <v>3995</v>
      </c>
      <c r="J1054" s="11" t="s">
        <v>1856</v>
      </c>
      <c r="K1054" s="11" t="s">
        <v>1852</v>
      </c>
      <c r="L1054" s="11" t="s">
        <v>1853</v>
      </c>
      <c r="M1054" s="11" t="s">
        <v>1958</v>
      </c>
      <c r="N1054" s="12"/>
      <c r="O1054" s="11" t="s">
        <v>2905</v>
      </c>
      <c r="P1054" s="56"/>
    </row>
    <row r="1055" spans="1:16" ht="15.75" customHeight="1" x14ac:dyDescent="0.2">
      <c r="A1055" s="48">
        <v>956</v>
      </c>
      <c r="B1055" s="11" t="s">
        <v>1857</v>
      </c>
      <c r="C1055" s="11" t="s">
        <v>1849</v>
      </c>
      <c r="D1055" s="6" t="s">
        <v>1850</v>
      </c>
      <c r="E1055" s="12" t="s">
        <v>3531</v>
      </c>
      <c r="F1055" s="12" t="s">
        <v>3531</v>
      </c>
      <c r="G1055" s="12" t="s">
        <v>3544</v>
      </c>
      <c r="H1055" s="12" t="s">
        <v>3565</v>
      </c>
      <c r="I1055" s="12" t="s">
        <v>3996</v>
      </c>
      <c r="J1055" s="11" t="s">
        <v>1856</v>
      </c>
      <c r="K1055" s="11" t="s">
        <v>1852</v>
      </c>
      <c r="L1055" s="11" t="s">
        <v>1853</v>
      </c>
      <c r="M1055" s="11" t="s">
        <v>3717</v>
      </c>
      <c r="N1055" s="12"/>
      <c r="O1055" s="11" t="s">
        <v>1860</v>
      </c>
      <c r="P1055" s="56"/>
    </row>
    <row r="1056" spans="1:16" ht="15.75" customHeight="1" x14ac:dyDescent="0.2">
      <c r="A1056" s="48">
        <v>775</v>
      </c>
      <c r="B1056" s="11" t="s">
        <v>1857</v>
      </c>
      <c r="C1056" s="11" t="s">
        <v>1849</v>
      </c>
      <c r="D1056" s="6" t="s">
        <v>1850</v>
      </c>
      <c r="E1056" s="12" t="s">
        <v>3531</v>
      </c>
      <c r="F1056" s="12" t="s">
        <v>3531</v>
      </c>
      <c r="G1056" s="12" t="s">
        <v>3672</v>
      </c>
      <c r="H1056" s="12" t="s">
        <v>3730</v>
      </c>
      <c r="I1056" s="12" t="s">
        <v>3997</v>
      </c>
      <c r="J1056" s="11" t="s">
        <v>1856</v>
      </c>
      <c r="K1056" s="11" t="s">
        <v>1852</v>
      </c>
      <c r="L1056" s="11" t="s">
        <v>1853</v>
      </c>
      <c r="M1056" s="11" t="s">
        <v>3998</v>
      </c>
      <c r="N1056" s="12" t="s">
        <v>3999</v>
      </c>
      <c r="O1056" s="11" t="s">
        <v>1858</v>
      </c>
      <c r="P1056" s="56"/>
    </row>
    <row r="1057" spans="1:16" ht="15.75" customHeight="1" x14ac:dyDescent="0.2">
      <c r="A1057" s="48">
        <v>579</v>
      </c>
      <c r="B1057" s="11" t="s">
        <v>1857</v>
      </c>
      <c r="C1057" s="11" t="s">
        <v>1849</v>
      </c>
      <c r="D1057" s="6" t="s">
        <v>1850</v>
      </c>
      <c r="E1057" s="12" t="s">
        <v>3531</v>
      </c>
      <c r="F1057" s="12" t="s">
        <v>3531</v>
      </c>
      <c r="G1057" s="12" t="s">
        <v>3550</v>
      </c>
      <c r="H1057" s="12" t="s">
        <v>3702</v>
      </c>
      <c r="I1057" s="12" t="s">
        <v>4000</v>
      </c>
      <c r="J1057" s="11" t="s">
        <v>1856</v>
      </c>
      <c r="K1057" s="11" t="s">
        <v>1852</v>
      </c>
      <c r="L1057" s="11" t="s">
        <v>1853</v>
      </c>
      <c r="M1057" s="11" t="s">
        <v>4001</v>
      </c>
      <c r="N1057" s="12"/>
      <c r="O1057" s="11" t="s">
        <v>1858</v>
      </c>
      <c r="P1057" s="56"/>
    </row>
    <row r="1058" spans="1:16" ht="15.75" customHeight="1" x14ac:dyDescent="0.2">
      <c r="A1058" s="48">
        <v>793</v>
      </c>
      <c r="B1058" s="11" t="s">
        <v>1857</v>
      </c>
      <c r="C1058" s="11" t="s">
        <v>1849</v>
      </c>
      <c r="D1058" s="6" t="s">
        <v>1850</v>
      </c>
      <c r="E1058" s="12" t="s">
        <v>3531</v>
      </c>
      <c r="F1058" s="12" t="s">
        <v>3531</v>
      </c>
      <c r="G1058" s="12" t="s">
        <v>3672</v>
      </c>
      <c r="H1058" s="12" t="s">
        <v>3769</v>
      </c>
      <c r="I1058" s="12" t="s">
        <v>2119</v>
      </c>
      <c r="J1058" s="11" t="s">
        <v>1856</v>
      </c>
      <c r="K1058" s="11" t="s">
        <v>1852</v>
      </c>
      <c r="L1058" s="11" t="s">
        <v>1853</v>
      </c>
      <c r="M1058" s="11" t="s">
        <v>3641</v>
      </c>
      <c r="N1058" s="12" t="s">
        <v>4002</v>
      </c>
      <c r="O1058" s="11" t="s">
        <v>2905</v>
      </c>
      <c r="P1058" s="56"/>
    </row>
    <row r="1059" spans="1:16" ht="15.75" customHeight="1" x14ac:dyDescent="0.2">
      <c r="A1059" s="48">
        <v>934</v>
      </c>
      <c r="B1059" s="11" t="s">
        <v>1857</v>
      </c>
      <c r="C1059" s="11" t="s">
        <v>1849</v>
      </c>
      <c r="D1059" s="6" t="s">
        <v>1850</v>
      </c>
      <c r="E1059" s="12" t="s">
        <v>3531</v>
      </c>
      <c r="F1059" s="12" t="s">
        <v>3531</v>
      </c>
      <c r="G1059" s="12" t="s">
        <v>3544</v>
      </c>
      <c r="H1059" s="12" t="s">
        <v>3617</v>
      </c>
      <c r="I1059" s="12" t="s">
        <v>3196</v>
      </c>
      <c r="J1059" s="11" t="s">
        <v>1856</v>
      </c>
      <c r="K1059" s="11" t="s">
        <v>1852</v>
      </c>
      <c r="L1059" s="11" t="s">
        <v>1853</v>
      </c>
      <c r="M1059" s="11" t="s">
        <v>3701</v>
      </c>
      <c r="N1059" s="12" t="s">
        <v>3888</v>
      </c>
      <c r="O1059" s="11" t="s">
        <v>1860</v>
      </c>
      <c r="P1059" s="56"/>
    </row>
    <row r="1060" spans="1:16" ht="15.75" customHeight="1" x14ac:dyDescent="0.2">
      <c r="A1060" s="48">
        <v>698</v>
      </c>
      <c r="B1060" s="11" t="s">
        <v>1857</v>
      </c>
      <c r="C1060" s="11" t="s">
        <v>1849</v>
      </c>
      <c r="D1060" s="6" t="s">
        <v>1850</v>
      </c>
      <c r="E1060" s="12" t="s">
        <v>3531</v>
      </c>
      <c r="F1060" s="12" t="s">
        <v>3531</v>
      </c>
      <c r="G1060" s="12" t="s">
        <v>3546</v>
      </c>
      <c r="H1060" s="12" t="s">
        <v>3559</v>
      </c>
      <c r="I1060" s="12" t="s">
        <v>4003</v>
      </c>
      <c r="J1060" s="11" t="s">
        <v>1856</v>
      </c>
      <c r="K1060" s="11" t="s">
        <v>1852</v>
      </c>
      <c r="L1060" s="11" t="s">
        <v>1853</v>
      </c>
      <c r="M1060" s="11" t="s">
        <v>2276</v>
      </c>
      <c r="N1060" s="12"/>
      <c r="O1060" s="11" t="s">
        <v>2905</v>
      </c>
      <c r="P1060" s="56"/>
    </row>
    <row r="1061" spans="1:16" ht="15.75" customHeight="1" x14ac:dyDescent="0.2">
      <c r="A1061" s="48">
        <v>5569</v>
      </c>
      <c r="B1061" s="11" t="s">
        <v>1857</v>
      </c>
      <c r="C1061" s="11" t="s">
        <v>1849</v>
      </c>
      <c r="D1061" s="6" t="s">
        <v>1850</v>
      </c>
      <c r="E1061" s="12" t="s">
        <v>3531</v>
      </c>
      <c r="F1061" s="12" t="s">
        <v>3531</v>
      </c>
      <c r="G1061" s="12" t="s">
        <v>3546</v>
      </c>
      <c r="H1061" s="12" t="s">
        <v>3559</v>
      </c>
      <c r="I1061" s="12" t="s">
        <v>4004</v>
      </c>
      <c r="J1061" s="11" t="s">
        <v>1856</v>
      </c>
      <c r="K1061" s="11" t="s">
        <v>1852</v>
      </c>
      <c r="L1061" s="11" t="s">
        <v>1853</v>
      </c>
      <c r="M1061" s="11" t="s">
        <v>1854</v>
      </c>
      <c r="N1061" s="12"/>
      <c r="O1061" s="11" t="s">
        <v>2755</v>
      </c>
      <c r="P1061" s="56"/>
    </row>
    <row r="1062" spans="1:16" ht="15.75" customHeight="1" x14ac:dyDescent="0.2">
      <c r="A1062" s="48">
        <v>585</v>
      </c>
      <c r="B1062" s="11" t="s">
        <v>1857</v>
      </c>
      <c r="C1062" s="11" t="s">
        <v>1849</v>
      </c>
      <c r="D1062" s="6" t="s">
        <v>1850</v>
      </c>
      <c r="E1062" s="12" t="s">
        <v>3531</v>
      </c>
      <c r="F1062" s="12" t="s">
        <v>3531</v>
      </c>
      <c r="G1062" s="12" t="s">
        <v>3550</v>
      </c>
      <c r="H1062" s="12" t="s">
        <v>3553</v>
      </c>
      <c r="I1062" s="12" t="s">
        <v>4005</v>
      </c>
      <c r="J1062" s="11" t="s">
        <v>1851</v>
      </c>
      <c r="K1062" s="11" t="s">
        <v>1852</v>
      </c>
      <c r="L1062" s="11" t="s">
        <v>1853</v>
      </c>
      <c r="M1062" s="11" t="s">
        <v>3602</v>
      </c>
      <c r="N1062" s="12" t="s">
        <v>4006</v>
      </c>
      <c r="O1062" s="11" t="s">
        <v>1858</v>
      </c>
      <c r="P1062" s="56"/>
    </row>
    <row r="1063" spans="1:16" ht="15.75" customHeight="1" x14ac:dyDescent="0.2">
      <c r="A1063" s="48">
        <v>888</v>
      </c>
      <c r="B1063" s="11" t="s">
        <v>1857</v>
      </c>
      <c r="C1063" s="11" t="s">
        <v>1849</v>
      </c>
      <c r="D1063" s="6" t="s">
        <v>1850</v>
      </c>
      <c r="E1063" s="12" t="s">
        <v>3531</v>
      </c>
      <c r="F1063" s="12" t="s">
        <v>3531</v>
      </c>
      <c r="G1063" s="12" t="s">
        <v>3544</v>
      </c>
      <c r="H1063" s="12" t="s">
        <v>3590</v>
      </c>
      <c r="I1063" s="12" t="s">
        <v>4007</v>
      </c>
      <c r="J1063" s="11" t="s">
        <v>1856</v>
      </c>
      <c r="K1063" s="11" t="s">
        <v>1852</v>
      </c>
      <c r="L1063" s="11" t="s">
        <v>1853</v>
      </c>
      <c r="M1063" s="11" t="s">
        <v>3735</v>
      </c>
      <c r="N1063" s="12" t="s">
        <v>4008</v>
      </c>
      <c r="O1063" s="11" t="s">
        <v>2334</v>
      </c>
      <c r="P1063" s="56" t="s">
        <v>2323</v>
      </c>
    </row>
    <row r="1064" spans="1:16" ht="15.75" customHeight="1" x14ac:dyDescent="0.2">
      <c r="A1064" s="48">
        <v>1006</v>
      </c>
      <c r="B1064" s="11" t="s">
        <v>1857</v>
      </c>
      <c r="C1064" s="11" t="s">
        <v>1849</v>
      </c>
      <c r="D1064" s="6" t="s">
        <v>1850</v>
      </c>
      <c r="E1064" s="12" t="s">
        <v>3531</v>
      </c>
      <c r="F1064" s="12" t="s">
        <v>3531</v>
      </c>
      <c r="G1064" s="12" t="s">
        <v>3544</v>
      </c>
      <c r="H1064" s="12" t="s">
        <v>3623</v>
      </c>
      <c r="I1064" s="12" t="s">
        <v>4009</v>
      </c>
      <c r="J1064" s="11" t="s">
        <v>1856</v>
      </c>
      <c r="K1064" s="11" t="s">
        <v>1852</v>
      </c>
      <c r="L1064" s="11" t="s">
        <v>1853</v>
      </c>
      <c r="M1064" s="11" t="s">
        <v>1854</v>
      </c>
      <c r="N1064" s="12"/>
      <c r="O1064" s="11" t="s">
        <v>1859</v>
      </c>
      <c r="P1064" s="56"/>
    </row>
    <row r="1065" spans="1:16" ht="15.75" customHeight="1" x14ac:dyDescent="0.2">
      <c r="A1065" s="48">
        <v>5245</v>
      </c>
      <c r="B1065" s="11" t="s">
        <v>1857</v>
      </c>
      <c r="C1065" s="11" t="s">
        <v>1849</v>
      </c>
      <c r="D1065" s="6" t="s">
        <v>1850</v>
      </c>
      <c r="E1065" s="12" t="s">
        <v>3531</v>
      </c>
      <c r="F1065" s="12" t="s">
        <v>3531</v>
      </c>
      <c r="G1065" s="12" t="s">
        <v>3544</v>
      </c>
      <c r="H1065" s="12" t="s">
        <v>3623</v>
      </c>
      <c r="I1065" s="12" t="s">
        <v>2204</v>
      </c>
      <c r="J1065" s="11" t="s">
        <v>1856</v>
      </c>
      <c r="K1065" s="11" t="s">
        <v>1852</v>
      </c>
      <c r="L1065" s="11" t="s">
        <v>1853</v>
      </c>
      <c r="M1065" s="11" t="s">
        <v>3616</v>
      </c>
      <c r="N1065" s="12"/>
      <c r="O1065" s="11" t="s">
        <v>4010</v>
      </c>
      <c r="P1065" s="56"/>
    </row>
    <row r="1066" spans="1:16" ht="15.75" customHeight="1" x14ac:dyDescent="0.2">
      <c r="A1066" s="48">
        <v>727</v>
      </c>
      <c r="B1066" s="11" t="s">
        <v>1857</v>
      </c>
      <c r="C1066" s="11" t="s">
        <v>1849</v>
      </c>
      <c r="D1066" s="6" t="s">
        <v>1850</v>
      </c>
      <c r="E1066" s="12" t="s">
        <v>3531</v>
      </c>
      <c r="F1066" s="12" t="s">
        <v>3531</v>
      </c>
      <c r="G1066" s="12" t="s">
        <v>3546</v>
      </c>
      <c r="H1066" s="12" t="s">
        <v>3605</v>
      </c>
      <c r="I1066" s="12" t="s">
        <v>4011</v>
      </c>
      <c r="J1066" s="11" t="s">
        <v>1856</v>
      </c>
      <c r="K1066" s="11" t="s">
        <v>1852</v>
      </c>
      <c r="L1066" s="11" t="s">
        <v>1853</v>
      </c>
      <c r="M1066" s="11" t="s">
        <v>1854</v>
      </c>
      <c r="N1066" s="12"/>
      <c r="O1066" s="11" t="s">
        <v>1859</v>
      </c>
      <c r="P1066" s="56"/>
    </row>
    <row r="1067" spans="1:16" ht="15.75" customHeight="1" x14ac:dyDescent="0.2">
      <c r="A1067" s="48">
        <v>645</v>
      </c>
      <c r="B1067" s="11" t="s">
        <v>1857</v>
      </c>
      <c r="C1067" s="11" t="s">
        <v>1849</v>
      </c>
      <c r="D1067" s="6" t="s">
        <v>1850</v>
      </c>
      <c r="E1067" s="12" t="s">
        <v>3531</v>
      </c>
      <c r="F1067" s="12" t="s">
        <v>3531</v>
      </c>
      <c r="G1067" s="12" t="s">
        <v>3532</v>
      </c>
      <c r="H1067" s="13" t="s">
        <v>3535</v>
      </c>
      <c r="I1067" s="12" t="s">
        <v>4012</v>
      </c>
      <c r="J1067" s="11" t="s">
        <v>1856</v>
      </c>
      <c r="K1067" s="11" t="s">
        <v>1852</v>
      </c>
      <c r="L1067" s="11" t="s">
        <v>1853</v>
      </c>
      <c r="M1067" s="11" t="s">
        <v>3872</v>
      </c>
      <c r="N1067" s="12"/>
      <c r="O1067" s="11" t="s">
        <v>1859</v>
      </c>
      <c r="P1067" s="56"/>
    </row>
    <row r="1068" spans="1:16" ht="15.75" customHeight="1" x14ac:dyDescent="0.2">
      <c r="A1068" s="48">
        <v>1015</v>
      </c>
      <c r="B1068" s="11" t="s">
        <v>1857</v>
      </c>
      <c r="C1068" s="11" t="s">
        <v>1849</v>
      </c>
      <c r="D1068" s="6" t="s">
        <v>1850</v>
      </c>
      <c r="E1068" s="12" t="s">
        <v>3531</v>
      </c>
      <c r="F1068" s="12" t="s">
        <v>3531</v>
      </c>
      <c r="G1068" s="12" t="s">
        <v>3544</v>
      </c>
      <c r="H1068" s="12" t="s">
        <v>3623</v>
      </c>
      <c r="I1068" s="12" t="s">
        <v>4013</v>
      </c>
      <c r="J1068" s="11" t="s">
        <v>1856</v>
      </c>
      <c r="K1068" s="11" t="s">
        <v>1852</v>
      </c>
      <c r="L1068" s="11" t="s">
        <v>1853</v>
      </c>
      <c r="M1068" s="11" t="s">
        <v>3824</v>
      </c>
      <c r="N1068" s="12"/>
      <c r="O1068" s="11" t="s">
        <v>1858</v>
      </c>
      <c r="P1068" s="56"/>
    </row>
    <row r="1069" spans="1:16" ht="15.75" customHeight="1" x14ac:dyDescent="0.2">
      <c r="A1069" s="48">
        <v>6845</v>
      </c>
      <c r="B1069" s="11" t="s">
        <v>1857</v>
      </c>
      <c r="C1069" s="11" t="s">
        <v>1849</v>
      </c>
      <c r="D1069" s="6" t="s">
        <v>1850</v>
      </c>
      <c r="E1069" s="12" t="s">
        <v>3531</v>
      </c>
      <c r="F1069" s="12" t="s">
        <v>3531</v>
      </c>
      <c r="G1069" s="12" t="s">
        <v>3532</v>
      </c>
      <c r="H1069" s="12" t="s">
        <v>3533</v>
      </c>
      <c r="I1069" s="12" t="s">
        <v>4014</v>
      </c>
      <c r="J1069" s="11" t="s">
        <v>1856</v>
      </c>
      <c r="K1069" s="11" t="s">
        <v>1852</v>
      </c>
      <c r="L1069" s="11" t="s">
        <v>1853</v>
      </c>
      <c r="M1069" s="11" t="s">
        <v>4015</v>
      </c>
      <c r="N1069" s="12" t="s">
        <v>4016</v>
      </c>
      <c r="O1069" s="11" t="s">
        <v>2334</v>
      </c>
      <c r="P1069" s="56" t="s">
        <v>2323</v>
      </c>
    </row>
    <row r="1070" spans="1:16" ht="15.75" customHeight="1" x14ac:dyDescent="0.2">
      <c r="A1070" s="48">
        <v>859</v>
      </c>
      <c r="B1070" s="11" t="s">
        <v>1857</v>
      </c>
      <c r="C1070" s="11" t="s">
        <v>1849</v>
      </c>
      <c r="D1070" s="6" t="s">
        <v>1850</v>
      </c>
      <c r="E1070" s="12" t="s">
        <v>3531</v>
      </c>
      <c r="F1070" s="12" t="s">
        <v>3531</v>
      </c>
      <c r="G1070" s="12" t="s">
        <v>3544</v>
      </c>
      <c r="H1070" s="12" t="s">
        <v>3661</v>
      </c>
      <c r="I1070" s="12" t="s">
        <v>4017</v>
      </c>
      <c r="J1070" s="11" t="s">
        <v>1856</v>
      </c>
      <c r="K1070" s="11" t="s">
        <v>1852</v>
      </c>
      <c r="L1070" s="11" t="s">
        <v>1853</v>
      </c>
      <c r="M1070" s="11" t="s">
        <v>4018</v>
      </c>
      <c r="N1070" s="12" t="s">
        <v>4019</v>
      </c>
      <c r="O1070" s="11" t="s">
        <v>1860</v>
      </c>
      <c r="P1070" s="56"/>
    </row>
    <row r="1071" spans="1:16" ht="15.75" customHeight="1" x14ac:dyDescent="0.2">
      <c r="A1071" s="48">
        <v>5428</v>
      </c>
      <c r="B1071" s="11" t="s">
        <v>1857</v>
      </c>
      <c r="C1071" s="11" t="s">
        <v>1849</v>
      </c>
      <c r="D1071" s="6" t="s">
        <v>1850</v>
      </c>
      <c r="E1071" s="12" t="s">
        <v>3531</v>
      </c>
      <c r="F1071" s="12" t="s">
        <v>3531</v>
      </c>
      <c r="G1071" s="12" t="s">
        <v>3546</v>
      </c>
      <c r="H1071" s="12" t="s">
        <v>3583</v>
      </c>
      <c r="I1071" s="12" t="s">
        <v>4020</v>
      </c>
      <c r="J1071" s="11" t="s">
        <v>1856</v>
      </c>
      <c r="K1071" s="11" t="s">
        <v>1852</v>
      </c>
      <c r="L1071" s="11" t="s">
        <v>1853</v>
      </c>
      <c r="M1071" s="11" t="s">
        <v>3701</v>
      </c>
      <c r="N1071" s="12"/>
      <c r="O1071" s="11" t="s">
        <v>1860</v>
      </c>
      <c r="P1071" s="56"/>
    </row>
    <row r="1072" spans="1:16" ht="15.75" customHeight="1" x14ac:dyDescent="0.2">
      <c r="A1072" s="48">
        <v>774</v>
      </c>
      <c r="B1072" s="11" t="s">
        <v>1857</v>
      </c>
      <c r="C1072" s="11" t="s">
        <v>1849</v>
      </c>
      <c r="D1072" s="6" t="s">
        <v>1850</v>
      </c>
      <c r="E1072" s="12" t="s">
        <v>3531</v>
      </c>
      <c r="F1072" s="12" t="s">
        <v>3531</v>
      </c>
      <c r="G1072" s="12" t="s">
        <v>3672</v>
      </c>
      <c r="H1072" s="12" t="s">
        <v>3730</v>
      </c>
      <c r="I1072" s="12" t="s">
        <v>4021</v>
      </c>
      <c r="J1072" s="11" t="s">
        <v>1856</v>
      </c>
      <c r="K1072" s="11" t="s">
        <v>1852</v>
      </c>
      <c r="L1072" s="11" t="s">
        <v>1853</v>
      </c>
      <c r="M1072" s="11" t="s">
        <v>4022</v>
      </c>
      <c r="N1072" s="12" t="s">
        <v>4023</v>
      </c>
      <c r="O1072" s="11" t="s">
        <v>1858</v>
      </c>
      <c r="P1072" s="56"/>
    </row>
    <row r="1073" spans="1:16" ht="15.75" customHeight="1" x14ac:dyDescent="0.2">
      <c r="A1073" s="48">
        <v>899</v>
      </c>
      <c r="B1073" s="11" t="s">
        <v>1857</v>
      </c>
      <c r="C1073" s="11" t="s">
        <v>1849</v>
      </c>
      <c r="D1073" s="6" t="s">
        <v>1850</v>
      </c>
      <c r="E1073" s="12" t="s">
        <v>3531</v>
      </c>
      <c r="F1073" s="12" t="s">
        <v>3531</v>
      </c>
      <c r="G1073" s="12" t="s">
        <v>3544</v>
      </c>
      <c r="H1073" s="12" t="s">
        <v>3594</v>
      </c>
      <c r="I1073" s="12" t="s">
        <v>4024</v>
      </c>
      <c r="J1073" s="11" t="s">
        <v>1856</v>
      </c>
      <c r="K1073" s="11" t="s">
        <v>1852</v>
      </c>
      <c r="L1073" s="11" t="s">
        <v>1853</v>
      </c>
      <c r="M1073" s="11" t="s">
        <v>4025</v>
      </c>
      <c r="N1073" s="12" t="s">
        <v>4026</v>
      </c>
      <c r="O1073" s="11" t="s">
        <v>1860</v>
      </c>
      <c r="P1073" s="56"/>
    </row>
    <row r="1074" spans="1:16" ht="15.75" customHeight="1" x14ac:dyDescent="0.2">
      <c r="A1074" s="48">
        <v>821</v>
      </c>
      <c r="B1074" s="11" t="s">
        <v>1857</v>
      </c>
      <c r="C1074" s="11" t="s">
        <v>1849</v>
      </c>
      <c r="D1074" s="6" t="s">
        <v>1850</v>
      </c>
      <c r="E1074" s="12" t="s">
        <v>3531</v>
      </c>
      <c r="F1074" s="12" t="s">
        <v>3531</v>
      </c>
      <c r="G1074" s="12" t="s">
        <v>3544</v>
      </c>
      <c r="H1074" s="12" t="s">
        <v>3544</v>
      </c>
      <c r="I1074" s="12" t="s">
        <v>4027</v>
      </c>
      <c r="J1074" s="11" t="s">
        <v>1856</v>
      </c>
      <c r="K1074" s="11" t="s">
        <v>1852</v>
      </c>
      <c r="L1074" s="11" t="s">
        <v>1853</v>
      </c>
      <c r="M1074" s="11" t="s">
        <v>3988</v>
      </c>
      <c r="N1074" s="12" t="s">
        <v>4028</v>
      </c>
      <c r="O1074" s="11" t="s">
        <v>1858</v>
      </c>
      <c r="P1074" s="56"/>
    </row>
    <row r="1075" spans="1:16" ht="15.75" customHeight="1" x14ac:dyDescent="0.2">
      <c r="A1075" s="48">
        <v>916</v>
      </c>
      <c r="B1075" s="11" t="s">
        <v>1857</v>
      </c>
      <c r="C1075" s="11" t="s">
        <v>1849</v>
      </c>
      <c r="D1075" s="6" t="s">
        <v>1850</v>
      </c>
      <c r="E1075" s="12" t="s">
        <v>3531</v>
      </c>
      <c r="F1075" s="12" t="s">
        <v>3531</v>
      </c>
      <c r="G1075" s="12" t="s">
        <v>3544</v>
      </c>
      <c r="H1075" s="12" t="s">
        <v>3594</v>
      </c>
      <c r="I1075" s="12" t="s">
        <v>4029</v>
      </c>
      <c r="J1075" s="11" t="s">
        <v>1856</v>
      </c>
      <c r="K1075" s="11" t="s">
        <v>1852</v>
      </c>
      <c r="L1075" s="11" t="s">
        <v>1853</v>
      </c>
      <c r="M1075" s="11" t="s">
        <v>1854</v>
      </c>
      <c r="N1075" s="12"/>
      <c r="O1075" s="11" t="s">
        <v>1858</v>
      </c>
      <c r="P1075" s="56"/>
    </row>
    <row r="1076" spans="1:16" ht="15.75" customHeight="1" x14ac:dyDescent="0.2">
      <c r="A1076" s="48">
        <v>991</v>
      </c>
      <c r="B1076" s="11" t="s">
        <v>1857</v>
      </c>
      <c r="C1076" s="11" t="s">
        <v>1849</v>
      </c>
      <c r="D1076" s="6" t="s">
        <v>1850</v>
      </c>
      <c r="E1076" s="12" t="s">
        <v>3531</v>
      </c>
      <c r="F1076" s="12" t="s">
        <v>3531</v>
      </c>
      <c r="G1076" s="12" t="s">
        <v>3544</v>
      </c>
      <c r="H1076" s="12" t="s">
        <v>3565</v>
      </c>
      <c r="I1076" s="12" t="s">
        <v>4030</v>
      </c>
      <c r="J1076" s="11" t="s">
        <v>1856</v>
      </c>
      <c r="K1076" s="11" t="s">
        <v>1852</v>
      </c>
      <c r="L1076" s="11" t="s">
        <v>1853</v>
      </c>
      <c r="M1076" s="11" t="s">
        <v>4031</v>
      </c>
      <c r="N1076" s="12"/>
      <c r="O1076" s="11" t="s">
        <v>1858</v>
      </c>
      <c r="P1076" s="56"/>
    </row>
    <row r="1077" spans="1:16" ht="15.75" customHeight="1" x14ac:dyDescent="0.2">
      <c r="A1077" s="48">
        <v>661</v>
      </c>
      <c r="B1077" s="11" t="s">
        <v>1857</v>
      </c>
      <c r="C1077" s="11" t="s">
        <v>1849</v>
      </c>
      <c r="D1077" s="6" t="s">
        <v>1850</v>
      </c>
      <c r="E1077" s="12" t="s">
        <v>3531</v>
      </c>
      <c r="F1077" s="12" t="s">
        <v>3531</v>
      </c>
      <c r="G1077" s="12" t="s">
        <v>3532</v>
      </c>
      <c r="H1077" s="12" t="s">
        <v>3635</v>
      </c>
      <c r="I1077" s="12" t="s">
        <v>4032</v>
      </c>
      <c r="J1077" s="11" t="s">
        <v>1856</v>
      </c>
      <c r="K1077" s="11" t="s">
        <v>1852</v>
      </c>
      <c r="L1077" s="11" t="s">
        <v>1853</v>
      </c>
      <c r="M1077" s="11" t="s">
        <v>3872</v>
      </c>
      <c r="N1077" s="12"/>
      <c r="O1077" s="11" t="s">
        <v>1858</v>
      </c>
      <c r="P1077" s="56"/>
    </row>
    <row r="1078" spans="1:16" ht="15.75" customHeight="1" x14ac:dyDescent="0.2">
      <c r="A1078" s="48">
        <v>948</v>
      </c>
      <c r="B1078" s="11" t="s">
        <v>1857</v>
      </c>
      <c r="C1078" s="11" t="s">
        <v>1849</v>
      </c>
      <c r="D1078" s="6" t="s">
        <v>1850</v>
      </c>
      <c r="E1078" s="12" t="s">
        <v>3531</v>
      </c>
      <c r="F1078" s="12" t="s">
        <v>3531</v>
      </c>
      <c r="G1078" s="12" t="s">
        <v>3544</v>
      </c>
      <c r="H1078" s="12" t="s">
        <v>3617</v>
      </c>
      <c r="I1078" s="12" t="s">
        <v>4033</v>
      </c>
      <c r="J1078" s="11" t="s">
        <v>1856</v>
      </c>
      <c r="K1078" s="11" t="s">
        <v>1852</v>
      </c>
      <c r="L1078" s="11" t="s">
        <v>1853</v>
      </c>
      <c r="M1078" s="11" t="s">
        <v>4034</v>
      </c>
      <c r="N1078" s="12" t="s">
        <v>4035</v>
      </c>
      <c r="O1078" s="11" t="s">
        <v>1858</v>
      </c>
      <c r="P1078" s="56"/>
    </row>
    <row r="1079" spans="1:16" ht="15.75" customHeight="1" x14ac:dyDescent="0.2">
      <c r="A1079" s="48">
        <v>685</v>
      </c>
      <c r="B1079" s="11" t="s">
        <v>1857</v>
      </c>
      <c r="C1079" s="11" t="s">
        <v>1849</v>
      </c>
      <c r="D1079" s="6" t="s">
        <v>1850</v>
      </c>
      <c r="E1079" s="12" t="s">
        <v>3531</v>
      </c>
      <c r="F1079" s="12" t="s">
        <v>3531</v>
      </c>
      <c r="G1079" s="12" t="s">
        <v>3546</v>
      </c>
      <c r="H1079" s="12" t="s">
        <v>3546</v>
      </c>
      <c r="I1079" s="12" t="s">
        <v>4036</v>
      </c>
      <c r="J1079" s="11" t="s">
        <v>1856</v>
      </c>
      <c r="K1079" s="11" t="s">
        <v>1852</v>
      </c>
      <c r="L1079" s="11" t="s">
        <v>1853</v>
      </c>
      <c r="M1079" s="11" t="s">
        <v>1854</v>
      </c>
      <c r="N1079" s="12"/>
      <c r="O1079" s="11" t="s">
        <v>1859</v>
      </c>
      <c r="P1079" s="56"/>
    </row>
    <row r="1080" spans="1:16" ht="15.75" customHeight="1" x14ac:dyDescent="0.2">
      <c r="A1080" s="48">
        <v>789</v>
      </c>
      <c r="B1080" s="11" t="s">
        <v>1857</v>
      </c>
      <c r="C1080" s="11" t="s">
        <v>1849</v>
      </c>
      <c r="D1080" s="6" t="s">
        <v>1850</v>
      </c>
      <c r="E1080" s="12" t="s">
        <v>3531</v>
      </c>
      <c r="F1080" s="12" t="s">
        <v>3531</v>
      </c>
      <c r="G1080" s="12" t="s">
        <v>3672</v>
      </c>
      <c r="H1080" s="12" t="s">
        <v>3769</v>
      </c>
      <c r="I1080" s="12" t="s">
        <v>4037</v>
      </c>
      <c r="J1080" s="11" t="s">
        <v>1856</v>
      </c>
      <c r="K1080" s="11" t="s">
        <v>1852</v>
      </c>
      <c r="L1080" s="11" t="s">
        <v>1853</v>
      </c>
      <c r="M1080" s="11" t="s">
        <v>4038</v>
      </c>
      <c r="N1080" s="12"/>
      <c r="O1080" s="11" t="s">
        <v>1859</v>
      </c>
      <c r="P1080" s="56"/>
    </row>
    <row r="1081" spans="1:16" ht="15.75" customHeight="1" x14ac:dyDescent="0.2">
      <c r="A1081" s="48">
        <v>662</v>
      </c>
      <c r="B1081" s="11" t="s">
        <v>1857</v>
      </c>
      <c r="C1081" s="11" t="s">
        <v>1849</v>
      </c>
      <c r="D1081" s="6" t="s">
        <v>1850</v>
      </c>
      <c r="E1081" s="12" t="s">
        <v>3531</v>
      </c>
      <c r="F1081" s="12" t="s">
        <v>3531</v>
      </c>
      <c r="G1081" s="12" t="s">
        <v>3532</v>
      </c>
      <c r="H1081" s="12" t="s">
        <v>3635</v>
      </c>
      <c r="I1081" s="12" t="s">
        <v>4039</v>
      </c>
      <c r="J1081" s="11" t="s">
        <v>1856</v>
      </c>
      <c r="K1081" s="11" t="s">
        <v>1852</v>
      </c>
      <c r="L1081" s="11" t="s">
        <v>1853</v>
      </c>
      <c r="M1081" s="11" t="s">
        <v>3604</v>
      </c>
      <c r="N1081" s="12"/>
      <c r="O1081" s="11" t="s">
        <v>1858</v>
      </c>
      <c r="P1081" s="56"/>
    </row>
    <row r="1082" spans="1:16" ht="15.75" customHeight="1" x14ac:dyDescent="0.2">
      <c r="A1082" s="48">
        <v>6811</v>
      </c>
      <c r="B1082" s="11" t="s">
        <v>1857</v>
      </c>
      <c r="C1082" s="11" t="s">
        <v>1849</v>
      </c>
      <c r="D1082" s="6" t="s">
        <v>1850</v>
      </c>
      <c r="E1082" s="12" t="s">
        <v>3531</v>
      </c>
      <c r="F1082" s="12" t="s">
        <v>3531</v>
      </c>
      <c r="G1082" s="12" t="s">
        <v>3546</v>
      </c>
      <c r="H1082" s="12" t="s">
        <v>3559</v>
      </c>
      <c r="I1082" s="12" t="s">
        <v>4040</v>
      </c>
      <c r="J1082" s="11" t="s">
        <v>1856</v>
      </c>
      <c r="K1082" s="11" t="s">
        <v>1852</v>
      </c>
      <c r="L1082" s="11" t="s">
        <v>1853</v>
      </c>
      <c r="M1082" s="11" t="s">
        <v>1854</v>
      </c>
      <c r="N1082" s="12"/>
      <c r="O1082" s="11" t="s">
        <v>1859</v>
      </c>
      <c r="P1082" s="56"/>
    </row>
    <row r="1083" spans="1:16" ht="15.75" customHeight="1" x14ac:dyDescent="0.2">
      <c r="A1083" s="48">
        <v>1011</v>
      </c>
      <c r="B1083" s="11" t="s">
        <v>1857</v>
      </c>
      <c r="C1083" s="11" t="s">
        <v>1849</v>
      </c>
      <c r="D1083" s="6" t="s">
        <v>1850</v>
      </c>
      <c r="E1083" s="12" t="s">
        <v>3531</v>
      </c>
      <c r="F1083" s="12" t="s">
        <v>3531</v>
      </c>
      <c r="G1083" s="12" t="s">
        <v>3544</v>
      </c>
      <c r="H1083" s="12" t="s">
        <v>3623</v>
      </c>
      <c r="I1083" s="12" t="s">
        <v>4041</v>
      </c>
      <c r="J1083" s="11" t="s">
        <v>1856</v>
      </c>
      <c r="K1083" s="11" t="s">
        <v>1852</v>
      </c>
      <c r="L1083" s="11" t="s">
        <v>1853</v>
      </c>
      <c r="M1083" s="11" t="s">
        <v>1854</v>
      </c>
      <c r="N1083" s="12"/>
      <c r="O1083" s="11" t="s">
        <v>1860</v>
      </c>
      <c r="P1083" s="56"/>
    </row>
    <row r="1084" spans="1:16" ht="15.75" customHeight="1" x14ac:dyDescent="0.2">
      <c r="A1084" s="48">
        <v>1013</v>
      </c>
      <c r="B1084" s="11" t="s">
        <v>1857</v>
      </c>
      <c r="C1084" s="11" t="s">
        <v>1849</v>
      </c>
      <c r="D1084" s="6" t="s">
        <v>1850</v>
      </c>
      <c r="E1084" s="12" t="s">
        <v>3531</v>
      </c>
      <c r="F1084" s="12" t="s">
        <v>3531</v>
      </c>
      <c r="G1084" s="12" t="s">
        <v>3544</v>
      </c>
      <c r="H1084" s="12" t="s">
        <v>3623</v>
      </c>
      <c r="I1084" s="12" t="s">
        <v>4042</v>
      </c>
      <c r="J1084" s="11" t="s">
        <v>1856</v>
      </c>
      <c r="K1084" s="11" t="s">
        <v>1852</v>
      </c>
      <c r="L1084" s="11" t="s">
        <v>1853</v>
      </c>
      <c r="M1084" s="11" t="s">
        <v>4043</v>
      </c>
      <c r="N1084" s="12"/>
      <c r="O1084" s="11" t="s">
        <v>1859</v>
      </c>
      <c r="P1084" s="56"/>
    </row>
    <row r="1085" spans="1:16" ht="15.75" customHeight="1" x14ac:dyDescent="0.2">
      <c r="A1085" s="48">
        <v>867</v>
      </c>
      <c r="B1085" s="11" t="s">
        <v>1857</v>
      </c>
      <c r="C1085" s="11" t="s">
        <v>1849</v>
      </c>
      <c r="D1085" s="6" t="s">
        <v>1850</v>
      </c>
      <c r="E1085" s="12" t="s">
        <v>3531</v>
      </c>
      <c r="F1085" s="12" t="s">
        <v>3531</v>
      </c>
      <c r="G1085" s="12" t="s">
        <v>3544</v>
      </c>
      <c r="H1085" s="12" t="s">
        <v>3590</v>
      </c>
      <c r="I1085" s="12" t="s">
        <v>1099</v>
      </c>
      <c r="J1085" s="11" t="s">
        <v>1856</v>
      </c>
      <c r="K1085" s="11" t="s">
        <v>1852</v>
      </c>
      <c r="L1085" s="11" t="s">
        <v>1853</v>
      </c>
      <c r="M1085" s="11" t="s">
        <v>1854</v>
      </c>
      <c r="N1085" s="12"/>
      <c r="O1085" s="11" t="s">
        <v>1860</v>
      </c>
      <c r="P1085" s="56"/>
    </row>
    <row r="1086" spans="1:16" ht="15.75" customHeight="1" x14ac:dyDescent="0.2">
      <c r="A1086" s="48">
        <v>924</v>
      </c>
      <c r="B1086" s="11" t="s">
        <v>1857</v>
      </c>
      <c r="C1086" s="11" t="s">
        <v>1849</v>
      </c>
      <c r="D1086" s="6" t="s">
        <v>1850</v>
      </c>
      <c r="E1086" s="12" t="s">
        <v>3531</v>
      </c>
      <c r="F1086" s="12" t="s">
        <v>3531</v>
      </c>
      <c r="G1086" s="12" t="s">
        <v>3544</v>
      </c>
      <c r="H1086" s="12" t="s">
        <v>3676</v>
      </c>
      <c r="I1086" s="12" t="s">
        <v>4044</v>
      </c>
      <c r="J1086" s="11" t="s">
        <v>1856</v>
      </c>
      <c r="K1086" s="11" t="s">
        <v>1852</v>
      </c>
      <c r="L1086" s="11" t="s">
        <v>1853</v>
      </c>
      <c r="M1086" s="11" t="s">
        <v>4045</v>
      </c>
      <c r="N1086" s="12" t="s">
        <v>4046</v>
      </c>
      <c r="O1086" s="11" t="s">
        <v>1858</v>
      </c>
      <c r="P1086" s="56"/>
    </row>
    <row r="1087" spans="1:16" ht="15.75" customHeight="1" x14ac:dyDescent="0.2">
      <c r="A1087" s="48">
        <v>864</v>
      </c>
      <c r="B1087" s="11" t="s">
        <v>1857</v>
      </c>
      <c r="C1087" s="11" t="s">
        <v>1849</v>
      </c>
      <c r="D1087" s="6" t="s">
        <v>1850</v>
      </c>
      <c r="E1087" s="12" t="s">
        <v>3531</v>
      </c>
      <c r="F1087" s="12" t="s">
        <v>3531</v>
      </c>
      <c r="G1087" s="12" t="s">
        <v>3544</v>
      </c>
      <c r="H1087" s="12" t="s">
        <v>3531</v>
      </c>
      <c r="I1087" s="12" t="s">
        <v>4047</v>
      </c>
      <c r="J1087" s="11" t="s">
        <v>1856</v>
      </c>
      <c r="K1087" s="11" t="s">
        <v>1852</v>
      </c>
      <c r="L1087" s="11" t="s">
        <v>1853</v>
      </c>
      <c r="M1087" s="11" t="s">
        <v>4048</v>
      </c>
      <c r="N1087" s="12" t="s">
        <v>4049</v>
      </c>
      <c r="O1087" s="11" t="s">
        <v>1858</v>
      </c>
      <c r="P1087" s="56"/>
    </row>
    <row r="1088" spans="1:16" ht="15.75" customHeight="1" x14ac:dyDescent="0.2">
      <c r="A1088" s="48">
        <v>684</v>
      </c>
      <c r="B1088" s="11" t="s">
        <v>1857</v>
      </c>
      <c r="C1088" s="11" t="s">
        <v>1849</v>
      </c>
      <c r="D1088" s="6" t="s">
        <v>1850</v>
      </c>
      <c r="E1088" s="12" t="s">
        <v>3531</v>
      </c>
      <c r="F1088" s="12" t="s">
        <v>3531</v>
      </c>
      <c r="G1088" s="12" t="s">
        <v>3546</v>
      </c>
      <c r="H1088" s="12" t="s">
        <v>3605</v>
      </c>
      <c r="I1088" s="12" t="s">
        <v>4050</v>
      </c>
      <c r="J1088" s="11" t="s">
        <v>1856</v>
      </c>
      <c r="K1088" s="11" t="s">
        <v>1852</v>
      </c>
      <c r="L1088" s="11" t="s">
        <v>1853</v>
      </c>
      <c r="M1088" s="11" t="s">
        <v>1854</v>
      </c>
      <c r="N1088" s="12"/>
      <c r="O1088" s="11" t="s">
        <v>1858</v>
      </c>
      <c r="P1088" s="56"/>
    </row>
    <row r="1089" spans="1:16" ht="15.75" customHeight="1" x14ac:dyDescent="0.2">
      <c r="A1089" s="48">
        <v>5872</v>
      </c>
      <c r="B1089" s="11" t="s">
        <v>1857</v>
      </c>
      <c r="C1089" s="11" t="s">
        <v>1849</v>
      </c>
      <c r="D1089" s="6" t="s">
        <v>1850</v>
      </c>
      <c r="E1089" s="12" t="s">
        <v>3531</v>
      </c>
      <c r="F1089" s="12" t="s">
        <v>3531</v>
      </c>
      <c r="G1089" s="12" t="s">
        <v>3544</v>
      </c>
      <c r="H1089" s="12" t="s">
        <v>3565</v>
      </c>
      <c r="I1089" s="12" t="s">
        <v>4051</v>
      </c>
      <c r="J1089" s="11" t="s">
        <v>1856</v>
      </c>
      <c r="K1089" s="11" t="s">
        <v>1852</v>
      </c>
      <c r="L1089" s="11" t="s">
        <v>1853</v>
      </c>
      <c r="M1089" s="11" t="s">
        <v>1854</v>
      </c>
      <c r="N1089" s="12"/>
      <c r="O1089" s="11" t="s">
        <v>1859</v>
      </c>
      <c r="P1089" s="56"/>
    </row>
    <row r="1090" spans="1:16" ht="15.75" customHeight="1" x14ac:dyDescent="0.2">
      <c r="A1090" s="48">
        <v>858</v>
      </c>
      <c r="B1090" s="11" t="s">
        <v>1857</v>
      </c>
      <c r="C1090" s="11" t="s">
        <v>1849</v>
      </c>
      <c r="D1090" s="6" t="s">
        <v>1850</v>
      </c>
      <c r="E1090" s="12" t="s">
        <v>3531</v>
      </c>
      <c r="F1090" s="12" t="s">
        <v>3531</v>
      </c>
      <c r="G1090" s="12" t="s">
        <v>3544</v>
      </c>
      <c r="H1090" s="12" t="s">
        <v>3661</v>
      </c>
      <c r="I1090" s="12" t="s">
        <v>4052</v>
      </c>
      <c r="J1090" s="11" t="s">
        <v>1856</v>
      </c>
      <c r="K1090" s="11" t="s">
        <v>1852</v>
      </c>
      <c r="L1090" s="11" t="s">
        <v>1853</v>
      </c>
      <c r="M1090" s="11" t="s">
        <v>4053</v>
      </c>
      <c r="N1090" s="12" t="s">
        <v>4054</v>
      </c>
      <c r="O1090" s="11" t="s">
        <v>1855</v>
      </c>
      <c r="P1090" s="56"/>
    </row>
    <row r="1091" spans="1:16" ht="15.75" customHeight="1" x14ac:dyDescent="0.2">
      <c r="A1091" s="48">
        <v>760</v>
      </c>
      <c r="B1091" s="11" t="s">
        <v>1857</v>
      </c>
      <c r="C1091" s="11" t="s">
        <v>1849</v>
      </c>
      <c r="D1091" s="6" t="s">
        <v>1850</v>
      </c>
      <c r="E1091" s="12" t="s">
        <v>3531</v>
      </c>
      <c r="F1091" s="12" t="s">
        <v>3531</v>
      </c>
      <c r="G1091" s="12" t="s">
        <v>3672</v>
      </c>
      <c r="H1091" s="12" t="s">
        <v>3730</v>
      </c>
      <c r="I1091" s="12" t="s">
        <v>4055</v>
      </c>
      <c r="J1091" s="11" t="s">
        <v>1856</v>
      </c>
      <c r="K1091" s="11" t="s">
        <v>1852</v>
      </c>
      <c r="L1091" s="11" t="s">
        <v>1853</v>
      </c>
      <c r="M1091" s="11" t="s">
        <v>1854</v>
      </c>
      <c r="N1091" s="12"/>
      <c r="O1091" s="11" t="s">
        <v>1858</v>
      </c>
      <c r="P1091" s="56"/>
    </row>
    <row r="1092" spans="1:16" ht="15.75" customHeight="1" x14ac:dyDescent="0.2">
      <c r="A1092" s="48">
        <v>849</v>
      </c>
      <c r="B1092" s="11" t="s">
        <v>1857</v>
      </c>
      <c r="C1092" s="11" t="s">
        <v>1849</v>
      </c>
      <c r="D1092" s="6" t="s">
        <v>1850</v>
      </c>
      <c r="E1092" s="12" t="s">
        <v>3531</v>
      </c>
      <c r="F1092" s="12" t="s">
        <v>3531</v>
      </c>
      <c r="G1092" s="12" t="s">
        <v>3544</v>
      </c>
      <c r="H1092" s="12" t="s">
        <v>3544</v>
      </c>
      <c r="I1092" s="12" t="s">
        <v>4056</v>
      </c>
      <c r="J1092" s="11" t="s">
        <v>1856</v>
      </c>
      <c r="K1092" s="11" t="s">
        <v>1852</v>
      </c>
      <c r="L1092" s="11" t="s">
        <v>1853</v>
      </c>
      <c r="M1092" s="11" t="s">
        <v>3639</v>
      </c>
      <c r="N1092" s="12"/>
      <c r="O1092" s="11" t="s">
        <v>1858</v>
      </c>
      <c r="P1092" s="56"/>
    </row>
    <row r="1093" spans="1:16" ht="15.75" customHeight="1" x14ac:dyDescent="0.2">
      <c r="A1093" s="48">
        <v>993</v>
      </c>
      <c r="B1093" s="11" t="s">
        <v>1857</v>
      </c>
      <c r="C1093" s="11" t="s">
        <v>1849</v>
      </c>
      <c r="D1093" s="6" t="s">
        <v>1850</v>
      </c>
      <c r="E1093" s="12" t="s">
        <v>3531</v>
      </c>
      <c r="F1093" s="12" t="s">
        <v>3531</v>
      </c>
      <c r="G1093" s="12" t="s">
        <v>3544</v>
      </c>
      <c r="H1093" s="12" t="s">
        <v>3623</v>
      </c>
      <c r="I1093" s="12" t="s">
        <v>4057</v>
      </c>
      <c r="J1093" s="11" t="s">
        <v>1856</v>
      </c>
      <c r="K1093" s="11" t="s">
        <v>1852</v>
      </c>
      <c r="L1093" s="11" t="s">
        <v>1853</v>
      </c>
      <c r="M1093" s="11" t="s">
        <v>4058</v>
      </c>
      <c r="N1093" s="12"/>
      <c r="O1093" s="11" t="s">
        <v>1858</v>
      </c>
      <c r="P1093" s="56"/>
    </row>
    <row r="1094" spans="1:16" ht="15.75" customHeight="1" x14ac:dyDescent="0.2">
      <c r="A1094" s="48">
        <v>625</v>
      </c>
      <c r="B1094" s="11" t="s">
        <v>1857</v>
      </c>
      <c r="C1094" s="11" t="s">
        <v>1849</v>
      </c>
      <c r="D1094" s="6" t="s">
        <v>1850</v>
      </c>
      <c r="E1094" s="12" t="s">
        <v>3531</v>
      </c>
      <c r="F1094" s="12" t="s">
        <v>3531</v>
      </c>
      <c r="G1094" s="12" t="s">
        <v>3532</v>
      </c>
      <c r="H1094" s="12" t="s">
        <v>3783</v>
      </c>
      <c r="I1094" s="12" t="s">
        <v>4059</v>
      </c>
      <c r="J1094" s="11" t="s">
        <v>1856</v>
      </c>
      <c r="K1094" s="11" t="s">
        <v>1852</v>
      </c>
      <c r="L1094" s="11" t="s">
        <v>1853</v>
      </c>
      <c r="M1094" s="11" t="s">
        <v>4060</v>
      </c>
      <c r="N1094" s="12"/>
      <c r="O1094" s="11" t="s">
        <v>1858</v>
      </c>
      <c r="P1094" s="56"/>
    </row>
    <row r="1095" spans="1:16" ht="15.75" customHeight="1" x14ac:dyDescent="0.2">
      <c r="A1095" s="48">
        <v>945</v>
      </c>
      <c r="B1095" s="11" t="s">
        <v>1857</v>
      </c>
      <c r="C1095" s="11" t="s">
        <v>1849</v>
      </c>
      <c r="D1095" s="6" t="s">
        <v>1850</v>
      </c>
      <c r="E1095" s="12" t="s">
        <v>3531</v>
      </c>
      <c r="F1095" s="12" t="s">
        <v>3531</v>
      </c>
      <c r="G1095" s="12" t="s">
        <v>3544</v>
      </c>
      <c r="H1095" s="12" t="s">
        <v>3617</v>
      </c>
      <c r="I1095" s="12" t="s">
        <v>4061</v>
      </c>
      <c r="J1095" s="11" t="s">
        <v>1856</v>
      </c>
      <c r="K1095" s="11" t="s">
        <v>1852</v>
      </c>
      <c r="L1095" s="11" t="s">
        <v>1853</v>
      </c>
      <c r="M1095" s="11" t="s">
        <v>3719</v>
      </c>
      <c r="N1095" s="12"/>
      <c r="O1095" s="11" t="s">
        <v>1858</v>
      </c>
      <c r="P1095" s="56"/>
    </row>
    <row r="1096" spans="1:16" ht="15.75" customHeight="1" x14ac:dyDescent="0.2">
      <c r="A1096" s="48">
        <v>978</v>
      </c>
      <c r="B1096" s="11" t="s">
        <v>1857</v>
      </c>
      <c r="C1096" s="11" t="s">
        <v>1849</v>
      </c>
      <c r="D1096" s="6" t="s">
        <v>1850</v>
      </c>
      <c r="E1096" s="12" t="s">
        <v>3531</v>
      </c>
      <c r="F1096" s="12" t="s">
        <v>3531</v>
      </c>
      <c r="G1096" s="12" t="s">
        <v>3544</v>
      </c>
      <c r="H1096" s="12" t="s">
        <v>3565</v>
      </c>
      <c r="I1096" s="12" t="s">
        <v>4062</v>
      </c>
      <c r="J1096" s="11" t="s">
        <v>1856</v>
      </c>
      <c r="K1096" s="11" t="s">
        <v>1852</v>
      </c>
      <c r="L1096" s="11" t="s">
        <v>1853</v>
      </c>
      <c r="M1096" s="11" t="s">
        <v>3651</v>
      </c>
      <c r="N1096" s="12"/>
      <c r="O1096" s="11" t="s">
        <v>1858</v>
      </c>
      <c r="P1096" s="56"/>
    </row>
    <row r="1097" spans="1:16" ht="15.75" customHeight="1" x14ac:dyDescent="0.2">
      <c r="A1097" s="48">
        <v>969</v>
      </c>
      <c r="B1097" s="11" t="s">
        <v>1857</v>
      </c>
      <c r="C1097" s="11" t="s">
        <v>1849</v>
      </c>
      <c r="D1097" s="6" t="s">
        <v>1850</v>
      </c>
      <c r="E1097" s="12" t="s">
        <v>3531</v>
      </c>
      <c r="F1097" s="12" t="s">
        <v>3531</v>
      </c>
      <c r="G1097" s="12" t="s">
        <v>3544</v>
      </c>
      <c r="H1097" s="12" t="s">
        <v>3565</v>
      </c>
      <c r="I1097" s="12" t="s">
        <v>4063</v>
      </c>
      <c r="J1097" s="11" t="s">
        <v>1856</v>
      </c>
      <c r="K1097" s="11" t="s">
        <v>1852</v>
      </c>
      <c r="L1097" s="11" t="s">
        <v>1853</v>
      </c>
      <c r="M1097" s="11" t="s">
        <v>3935</v>
      </c>
      <c r="N1097" s="12" t="s">
        <v>4064</v>
      </c>
      <c r="O1097" s="11" t="s">
        <v>1860</v>
      </c>
      <c r="P1097" s="56"/>
    </row>
    <row r="1098" spans="1:16" ht="15.75" customHeight="1" x14ac:dyDescent="0.2">
      <c r="A1098" s="48">
        <v>1008</v>
      </c>
      <c r="B1098" s="11" t="s">
        <v>1857</v>
      </c>
      <c r="C1098" s="11" t="s">
        <v>1849</v>
      </c>
      <c r="D1098" s="6" t="s">
        <v>1850</v>
      </c>
      <c r="E1098" s="12" t="s">
        <v>3531</v>
      </c>
      <c r="F1098" s="12" t="s">
        <v>3531</v>
      </c>
      <c r="G1098" s="12" t="s">
        <v>3546</v>
      </c>
      <c r="H1098" s="12" t="s">
        <v>3605</v>
      </c>
      <c r="I1098" s="12" t="s">
        <v>4065</v>
      </c>
      <c r="J1098" s="11" t="s">
        <v>1856</v>
      </c>
      <c r="K1098" s="11" t="s">
        <v>1852</v>
      </c>
      <c r="L1098" s="11" t="s">
        <v>1853</v>
      </c>
      <c r="M1098" s="11" t="s">
        <v>4066</v>
      </c>
      <c r="N1098" s="12"/>
      <c r="O1098" s="11" t="s">
        <v>1858</v>
      </c>
      <c r="P1098" s="56"/>
    </row>
    <row r="1099" spans="1:16" ht="15.75" customHeight="1" x14ac:dyDescent="0.2">
      <c r="A1099" s="48">
        <v>950</v>
      </c>
      <c r="B1099" s="11" t="s">
        <v>1857</v>
      </c>
      <c r="C1099" s="11" t="s">
        <v>1849</v>
      </c>
      <c r="D1099" s="6" t="s">
        <v>1850</v>
      </c>
      <c r="E1099" s="12" t="s">
        <v>3531</v>
      </c>
      <c r="F1099" s="12" t="s">
        <v>3531</v>
      </c>
      <c r="G1099" s="12" t="s">
        <v>3544</v>
      </c>
      <c r="H1099" s="12" t="s">
        <v>3617</v>
      </c>
      <c r="I1099" s="12" t="s">
        <v>4067</v>
      </c>
      <c r="J1099" s="11" t="s">
        <v>1856</v>
      </c>
      <c r="K1099" s="11" t="s">
        <v>1852</v>
      </c>
      <c r="L1099" s="11" t="s">
        <v>1853</v>
      </c>
      <c r="M1099" s="11" t="s">
        <v>4068</v>
      </c>
      <c r="N1099" s="12"/>
      <c r="O1099" s="11" t="s">
        <v>1858</v>
      </c>
      <c r="P1099" s="56"/>
    </row>
    <row r="1100" spans="1:16" ht="15.75" customHeight="1" x14ac:dyDescent="0.2">
      <c r="A1100" s="48">
        <v>831</v>
      </c>
      <c r="B1100" s="11" t="s">
        <v>1857</v>
      </c>
      <c r="C1100" s="11" t="s">
        <v>1849</v>
      </c>
      <c r="D1100" s="6" t="s">
        <v>1850</v>
      </c>
      <c r="E1100" s="12" t="s">
        <v>3531</v>
      </c>
      <c r="F1100" s="12" t="s">
        <v>3531</v>
      </c>
      <c r="G1100" s="12" t="s">
        <v>3544</v>
      </c>
      <c r="H1100" s="12" t="s">
        <v>3544</v>
      </c>
      <c r="I1100" s="12" t="s">
        <v>4069</v>
      </c>
      <c r="J1100" s="11" t="s">
        <v>1856</v>
      </c>
      <c r="K1100" s="11" t="s">
        <v>1852</v>
      </c>
      <c r="L1100" s="11" t="s">
        <v>1853</v>
      </c>
      <c r="M1100" s="11" t="s">
        <v>4070</v>
      </c>
      <c r="N1100" s="12" t="s">
        <v>4071</v>
      </c>
      <c r="O1100" s="11" t="s">
        <v>1858</v>
      </c>
      <c r="P1100" s="56"/>
    </row>
    <row r="1101" spans="1:16" ht="15.75" customHeight="1" x14ac:dyDescent="0.2">
      <c r="A1101" s="48">
        <v>1009</v>
      </c>
      <c r="B1101" s="11" t="s">
        <v>1857</v>
      </c>
      <c r="C1101" s="11" t="s">
        <v>1849</v>
      </c>
      <c r="D1101" s="6" t="s">
        <v>1850</v>
      </c>
      <c r="E1101" s="12" t="s">
        <v>3531</v>
      </c>
      <c r="F1101" s="12" t="s">
        <v>3531</v>
      </c>
      <c r="G1101" s="12" t="s">
        <v>3544</v>
      </c>
      <c r="H1101" s="12" t="s">
        <v>3623</v>
      </c>
      <c r="I1101" s="12" t="s">
        <v>4072</v>
      </c>
      <c r="J1101" s="11" t="s">
        <v>1856</v>
      </c>
      <c r="K1101" s="11" t="s">
        <v>1852</v>
      </c>
      <c r="L1101" s="11" t="s">
        <v>1853</v>
      </c>
      <c r="M1101" s="11" t="s">
        <v>4073</v>
      </c>
      <c r="N1101" s="12" t="s">
        <v>4074</v>
      </c>
      <c r="O1101" s="11" t="s">
        <v>1860</v>
      </c>
      <c r="P1101" s="56"/>
    </row>
    <row r="1102" spans="1:16" ht="15.75" customHeight="1" x14ac:dyDescent="0.2">
      <c r="A1102" s="48">
        <v>5096</v>
      </c>
      <c r="B1102" s="11" t="s">
        <v>1857</v>
      </c>
      <c r="C1102" s="11" t="s">
        <v>1849</v>
      </c>
      <c r="D1102" s="6" t="s">
        <v>1850</v>
      </c>
      <c r="E1102" s="12" t="s">
        <v>3531</v>
      </c>
      <c r="F1102" s="12" t="s">
        <v>3531</v>
      </c>
      <c r="G1102" s="12" t="s">
        <v>3544</v>
      </c>
      <c r="H1102" s="12" t="s">
        <v>3590</v>
      </c>
      <c r="I1102" s="12" t="s">
        <v>4075</v>
      </c>
      <c r="J1102" s="11" t="s">
        <v>1856</v>
      </c>
      <c r="K1102" s="11" t="s">
        <v>1852</v>
      </c>
      <c r="L1102" s="11" t="s">
        <v>1853</v>
      </c>
      <c r="M1102" s="11" t="s">
        <v>1854</v>
      </c>
      <c r="N1102" s="12"/>
      <c r="O1102" s="11" t="s">
        <v>1858</v>
      </c>
      <c r="P1102" s="56"/>
    </row>
    <row r="1103" spans="1:16" ht="15.75" customHeight="1" x14ac:dyDescent="0.2">
      <c r="A1103" s="48">
        <v>754</v>
      </c>
      <c r="B1103" s="11" t="s">
        <v>1857</v>
      </c>
      <c r="C1103" s="11" t="s">
        <v>1849</v>
      </c>
      <c r="D1103" s="6" t="s">
        <v>1850</v>
      </c>
      <c r="E1103" s="12" t="s">
        <v>3531</v>
      </c>
      <c r="F1103" s="12" t="s">
        <v>3531</v>
      </c>
      <c r="G1103" s="12" t="s">
        <v>3546</v>
      </c>
      <c r="H1103" s="12" t="s">
        <v>3583</v>
      </c>
      <c r="I1103" s="12" t="s">
        <v>4076</v>
      </c>
      <c r="J1103" s="11" t="s">
        <v>1856</v>
      </c>
      <c r="K1103" s="11" t="s">
        <v>1852</v>
      </c>
      <c r="L1103" s="11" t="s">
        <v>1853</v>
      </c>
      <c r="M1103" s="11" t="s">
        <v>3694</v>
      </c>
      <c r="N1103" s="12"/>
      <c r="O1103" s="11" t="s">
        <v>1858</v>
      </c>
      <c r="P1103" s="56"/>
    </row>
    <row r="1104" spans="1:16" ht="15.75" customHeight="1" x14ac:dyDescent="0.2">
      <c r="A1104" s="48">
        <v>979</v>
      </c>
      <c r="B1104" s="11" t="s">
        <v>1857</v>
      </c>
      <c r="C1104" s="11" t="s">
        <v>1849</v>
      </c>
      <c r="D1104" s="6" t="s">
        <v>1850</v>
      </c>
      <c r="E1104" s="12" t="s">
        <v>3531</v>
      </c>
      <c r="F1104" s="12" t="s">
        <v>3531</v>
      </c>
      <c r="G1104" s="12" t="s">
        <v>3544</v>
      </c>
      <c r="H1104" s="12" t="s">
        <v>3565</v>
      </c>
      <c r="I1104" s="12" t="s">
        <v>4077</v>
      </c>
      <c r="J1104" s="11" t="s">
        <v>1856</v>
      </c>
      <c r="K1104" s="11" t="s">
        <v>1852</v>
      </c>
      <c r="L1104" s="11" t="s">
        <v>1853</v>
      </c>
      <c r="M1104" s="11" t="s">
        <v>4078</v>
      </c>
      <c r="N1104" s="12"/>
      <c r="O1104" s="11" t="s">
        <v>1858</v>
      </c>
      <c r="P1104" s="56"/>
    </row>
    <row r="1105" spans="1:16" ht="15.75" customHeight="1" x14ac:dyDescent="0.2">
      <c r="A1105" s="48">
        <v>967</v>
      </c>
      <c r="B1105" s="11" t="s">
        <v>1857</v>
      </c>
      <c r="C1105" s="11" t="s">
        <v>1849</v>
      </c>
      <c r="D1105" s="6" t="s">
        <v>1850</v>
      </c>
      <c r="E1105" s="12" t="s">
        <v>3531</v>
      </c>
      <c r="F1105" s="12" t="s">
        <v>3531</v>
      </c>
      <c r="G1105" s="12" t="s">
        <v>3544</v>
      </c>
      <c r="H1105" s="12" t="s">
        <v>3565</v>
      </c>
      <c r="I1105" s="12" t="s">
        <v>4079</v>
      </c>
      <c r="J1105" s="11" t="s">
        <v>1856</v>
      </c>
      <c r="K1105" s="11" t="s">
        <v>1852</v>
      </c>
      <c r="L1105" s="11" t="s">
        <v>1853</v>
      </c>
      <c r="M1105" s="11" t="s">
        <v>3696</v>
      </c>
      <c r="N1105" s="12"/>
      <c r="O1105" s="11" t="s">
        <v>1860</v>
      </c>
      <c r="P1105" s="56"/>
    </row>
    <row r="1106" spans="1:16" ht="15.75" customHeight="1" x14ac:dyDescent="0.2">
      <c r="A1106" s="48">
        <v>980</v>
      </c>
      <c r="B1106" s="11" t="s">
        <v>1857</v>
      </c>
      <c r="C1106" s="11" t="s">
        <v>1849</v>
      </c>
      <c r="D1106" s="6" t="s">
        <v>1850</v>
      </c>
      <c r="E1106" s="12" t="s">
        <v>3531</v>
      </c>
      <c r="F1106" s="12" t="s">
        <v>3531</v>
      </c>
      <c r="G1106" s="12" t="s">
        <v>3544</v>
      </c>
      <c r="H1106" s="12" t="s">
        <v>3565</v>
      </c>
      <c r="I1106" s="12" t="s">
        <v>4080</v>
      </c>
      <c r="J1106" s="11" t="s">
        <v>1856</v>
      </c>
      <c r="K1106" s="11" t="s">
        <v>1852</v>
      </c>
      <c r="L1106" s="11" t="s">
        <v>1853</v>
      </c>
      <c r="M1106" s="11" t="s">
        <v>4031</v>
      </c>
      <c r="N1106" s="12"/>
      <c r="O1106" s="11" t="s">
        <v>1858</v>
      </c>
      <c r="P1106" s="56"/>
    </row>
    <row r="1107" spans="1:16" ht="15.75" customHeight="1" x14ac:dyDescent="0.2">
      <c r="A1107" s="48">
        <v>994</v>
      </c>
      <c r="B1107" s="11" t="s">
        <v>1857</v>
      </c>
      <c r="C1107" s="11" t="s">
        <v>1849</v>
      </c>
      <c r="D1107" s="6" t="s">
        <v>1850</v>
      </c>
      <c r="E1107" s="12" t="s">
        <v>3531</v>
      </c>
      <c r="F1107" s="12" t="s">
        <v>3531</v>
      </c>
      <c r="G1107" s="12" t="s">
        <v>3544</v>
      </c>
      <c r="H1107" s="12" t="s">
        <v>3623</v>
      </c>
      <c r="I1107" s="12" t="s">
        <v>4081</v>
      </c>
      <c r="J1107" s="11" t="s">
        <v>1856</v>
      </c>
      <c r="K1107" s="11" t="s">
        <v>1852</v>
      </c>
      <c r="L1107" s="11" t="s">
        <v>1853</v>
      </c>
      <c r="M1107" s="11" t="s">
        <v>1854</v>
      </c>
      <c r="N1107" s="12"/>
      <c r="O1107" s="11" t="s">
        <v>1860</v>
      </c>
      <c r="P1107" s="56"/>
    </row>
    <row r="1108" spans="1:16" ht="15.75" customHeight="1" x14ac:dyDescent="0.2">
      <c r="A1108" s="48">
        <v>981</v>
      </c>
      <c r="B1108" s="11" t="s">
        <v>1857</v>
      </c>
      <c r="C1108" s="11" t="s">
        <v>1849</v>
      </c>
      <c r="D1108" s="6" t="s">
        <v>1850</v>
      </c>
      <c r="E1108" s="12" t="s">
        <v>3531</v>
      </c>
      <c r="F1108" s="12" t="s">
        <v>3531</v>
      </c>
      <c r="G1108" s="12" t="s">
        <v>3544</v>
      </c>
      <c r="H1108" s="12" t="s">
        <v>3565</v>
      </c>
      <c r="I1108" s="12" t="s">
        <v>4082</v>
      </c>
      <c r="J1108" s="11" t="s">
        <v>1856</v>
      </c>
      <c r="K1108" s="11" t="s">
        <v>1852</v>
      </c>
      <c r="L1108" s="11" t="s">
        <v>1853</v>
      </c>
      <c r="M1108" s="11" t="s">
        <v>1958</v>
      </c>
      <c r="N1108" s="12" t="s">
        <v>4083</v>
      </c>
      <c r="O1108" s="11" t="s">
        <v>1858</v>
      </c>
      <c r="P1108" s="56"/>
    </row>
    <row r="1109" spans="1:16" ht="15.75" customHeight="1" x14ac:dyDescent="0.2">
      <c r="A1109" s="48">
        <v>613</v>
      </c>
      <c r="B1109" s="11" t="s">
        <v>1857</v>
      </c>
      <c r="C1109" s="11" t="s">
        <v>1849</v>
      </c>
      <c r="D1109" s="6" t="s">
        <v>1850</v>
      </c>
      <c r="E1109" s="12" t="s">
        <v>3531</v>
      </c>
      <c r="F1109" s="12" t="s">
        <v>3531</v>
      </c>
      <c r="G1109" s="12" t="s">
        <v>3532</v>
      </c>
      <c r="H1109" s="12" t="s">
        <v>3637</v>
      </c>
      <c r="I1109" s="12" t="s">
        <v>4084</v>
      </c>
      <c r="J1109" s="11" t="s">
        <v>1856</v>
      </c>
      <c r="K1109" s="11" t="s">
        <v>1852</v>
      </c>
      <c r="L1109" s="11" t="s">
        <v>1853</v>
      </c>
      <c r="M1109" s="11" t="s">
        <v>1854</v>
      </c>
      <c r="N1109" s="12"/>
      <c r="O1109" s="11" t="s">
        <v>1858</v>
      </c>
      <c r="P1109" s="56"/>
    </row>
    <row r="1110" spans="1:16" ht="15.75" customHeight="1" x14ac:dyDescent="0.2">
      <c r="A1110" s="48">
        <v>779</v>
      </c>
      <c r="B1110" s="11" t="s">
        <v>1857</v>
      </c>
      <c r="C1110" s="11" t="s">
        <v>1849</v>
      </c>
      <c r="D1110" s="6" t="s">
        <v>1850</v>
      </c>
      <c r="E1110" s="12" t="s">
        <v>3531</v>
      </c>
      <c r="F1110" s="12" t="s">
        <v>3531</v>
      </c>
      <c r="G1110" s="12" t="s">
        <v>3672</v>
      </c>
      <c r="H1110" s="12" t="s">
        <v>3745</v>
      </c>
      <c r="I1110" s="12" t="s">
        <v>4085</v>
      </c>
      <c r="J1110" s="11" t="s">
        <v>1856</v>
      </c>
      <c r="K1110" s="11" t="s">
        <v>1852</v>
      </c>
      <c r="L1110" s="11" t="s">
        <v>1853</v>
      </c>
      <c r="M1110" s="11" t="s">
        <v>4086</v>
      </c>
      <c r="N1110" s="12"/>
      <c r="O1110" s="11" t="s">
        <v>1860</v>
      </c>
      <c r="P1110" s="56"/>
    </row>
    <row r="1111" spans="1:16" ht="15.75" customHeight="1" x14ac:dyDescent="0.2">
      <c r="A1111" s="48">
        <v>904</v>
      </c>
      <c r="B1111" s="11" t="s">
        <v>1857</v>
      </c>
      <c r="C1111" s="11" t="s">
        <v>1849</v>
      </c>
      <c r="D1111" s="6" t="s">
        <v>1850</v>
      </c>
      <c r="E1111" s="12" t="s">
        <v>3531</v>
      </c>
      <c r="F1111" s="12" t="s">
        <v>3531</v>
      </c>
      <c r="G1111" s="12" t="s">
        <v>3544</v>
      </c>
      <c r="H1111" s="12" t="s">
        <v>3594</v>
      </c>
      <c r="I1111" s="12" t="s">
        <v>4087</v>
      </c>
      <c r="J1111" s="11" t="s">
        <v>1856</v>
      </c>
      <c r="K1111" s="11" t="s">
        <v>1852</v>
      </c>
      <c r="L1111" s="11" t="s">
        <v>1853</v>
      </c>
      <c r="M1111" s="11" t="s">
        <v>4031</v>
      </c>
      <c r="N1111" s="12" t="s">
        <v>4088</v>
      </c>
      <c r="O1111" s="11" t="s">
        <v>1858</v>
      </c>
      <c r="P1111" s="56"/>
    </row>
    <row r="1112" spans="1:16" ht="15.75" customHeight="1" x14ac:dyDescent="0.2">
      <c r="A1112" s="48">
        <v>584</v>
      </c>
      <c r="B1112" s="11" t="s">
        <v>1857</v>
      </c>
      <c r="C1112" s="11" t="s">
        <v>1849</v>
      </c>
      <c r="D1112" s="6" t="s">
        <v>1850</v>
      </c>
      <c r="E1112" s="12" t="s">
        <v>3531</v>
      </c>
      <c r="F1112" s="12" t="s">
        <v>3531</v>
      </c>
      <c r="G1112" s="12" t="s">
        <v>3550</v>
      </c>
      <c r="H1112" s="12" t="s">
        <v>3771</v>
      </c>
      <c r="I1112" s="12" t="s">
        <v>4089</v>
      </c>
      <c r="J1112" s="11" t="s">
        <v>1856</v>
      </c>
      <c r="K1112" s="11" t="s">
        <v>1852</v>
      </c>
      <c r="L1112" s="11" t="s">
        <v>1853</v>
      </c>
      <c r="M1112" s="11" t="s">
        <v>3694</v>
      </c>
      <c r="N1112" s="12"/>
      <c r="O1112" s="11" t="s">
        <v>1858</v>
      </c>
      <c r="P1112" s="56"/>
    </row>
    <row r="1113" spans="1:16" ht="15.75" customHeight="1" x14ac:dyDescent="0.2">
      <c r="A1113" s="48">
        <v>883</v>
      </c>
      <c r="B1113" s="11" t="s">
        <v>1857</v>
      </c>
      <c r="C1113" s="11" t="s">
        <v>1849</v>
      </c>
      <c r="D1113" s="6" t="s">
        <v>1850</v>
      </c>
      <c r="E1113" s="12" t="s">
        <v>3531</v>
      </c>
      <c r="F1113" s="12" t="s">
        <v>3531</v>
      </c>
      <c r="G1113" s="12" t="s">
        <v>3544</v>
      </c>
      <c r="H1113" s="12" t="s">
        <v>3590</v>
      </c>
      <c r="I1113" s="12" t="s">
        <v>4090</v>
      </c>
      <c r="J1113" s="11" t="s">
        <v>1856</v>
      </c>
      <c r="K1113" s="11" t="s">
        <v>1852</v>
      </c>
      <c r="L1113" s="11" t="s">
        <v>1853</v>
      </c>
      <c r="M1113" s="11" t="s">
        <v>4091</v>
      </c>
      <c r="N1113" s="12"/>
      <c r="O1113" s="11" t="s">
        <v>1858</v>
      </c>
      <c r="P1113" s="56"/>
    </row>
    <row r="1114" spans="1:16" ht="15.75" customHeight="1" x14ac:dyDescent="0.2">
      <c r="A1114" s="48">
        <v>654</v>
      </c>
      <c r="B1114" s="11" t="s">
        <v>1857</v>
      </c>
      <c r="C1114" s="11" t="s">
        <v>1849</v>
      </c>
      <c r="D1114" s="6" t="s">
        <v>1850</v>
      </c>
      <c r="E1114" s="12" t="s">
        <v>3531</v>
      </c>
      <c r="F1114" s="12" t="s">
        <v>3531</v>
      </c>
      <c r="G1114" s="12" t="s">
        <v>3532</v>
      </c>
      <c r="H1114" s="12" t="s">
        <v>3574</v>
      </c>
      <c r="I1114" s="12" t="s">
        <v>4092</v>
      </c>
      <c r="J1114" s="11" t="s">
        <v>1856</v>
      </c>
      <c r="K1114" s="11" t="s">
        <v>1852</v>
      </c>
      <c r="L1114" s="11" t="s">
        <v>1853</v>
      </c>
      <c r="M1114" s="11" t="s">
        <v>4093</v>
      </c>
      <c r="N1114" s="12"/>
      <c r="O1114" s="11" t="s">
        <v>1858</v>
      </c>
      <c r="P1114" s="56"/>
    </row>
    <row r="1115" spans="1:16" ht="15.75" customHeight="1" x14ac:dyDescent="0.2">
      <c r="A1115" s="48">
        <v>938</v>
      </c>
      <c r="B1115" s="11" t="s">
        <v>1857</v>
      </c>
      <c r="C1115" s="11" t="s">
        <v>1849</v>
      </c>
      <c r="D1115" s="6" t="s">
        <v>1850</v>
      </c>
      <c r="E1115" s="12" t="s">
        <v>3531</v>
      </c>
      <c r="F1115" s="12" t="s">
        <v>3531</v>
      </c>
      <c r="G1115" s="12" t="s">
        <v>3544</v>
      </c>
      <c r="H1115" s="12" t="s">
        <v>3617</v>
      </c>
      <c r="I1115" s="12" t="s">
        <v>4094</v>
      </c>
      <c r="J1115" s="11" t="s">
        <v>1856</v>
      </c>
      <c r="K1115" s="11" t="s">
        <v>1852</v>
      </c>
      <c r="L1115" s="11" t="s">
        <v>1853</v>
      </c>
      <c r="M1115" s="11" t="s">
        <v>3696</v>
      </c>
      <c r="N1115" s="12"/>
      <c r="O1115" s="11" t="s">
        <v>1860</v>
      </c>
      <c r="P1115" s="56"/>
    </row>
    <row r="1116" spans="1:16" ht="15.75" customHeight="1" x14ac:dyDescent="0.2">
      <c r="A1116" s="48">
        <v>740</v>
      </c>
      <c r="B1116" s="11" t="s">
        <v>1857</v>
      </c>
      <c r="C1116" s="11" t="s">
        <v>1849</v>
      </c>
      <c r="D1116" s="6" t="s">
        <v>1850</v>
      </c>
      <c r="E1116" s="12" t="s">
        <v>3531</v>
      </c>
      <c r="F1116" s="12" t="s">
        <v>3531</v>
      </c>
      <c r="G1116" s="12" t="s">
        <v>3546</v>
      </c>
      <c r="H1116" s="12" t="s">
        <v>3605</v>
      </c>
      <c r="I1116" s="12" t="s">
        <v>4095</v>
      </c>
      <c r="J1116" s="11" t="s">
        <v>1856</v>
      </c>
      <c r="K1116" s="11" t="s">
        <v>1852</v>
      </c>
      <c r="L1116" s="11" t="s">
        <v>1853</v>
      </c>
      <c r="M1116" s="11" t="s">
        <v>4096</v>
      </c>
      <c r="N1116" s="12"/>
      <c r="O1116" s="11" t="s">
        <v>1858</v>
      </c>
      <c r="P1116" s="56"/>
    </row>
    <row r="1117" spans="1:16" ht="15.75" customHeight="1" x14ac:dyDescent="0.2">
      <c r="A1117" s="48">
        <v>901</v>
      </c>
      <c r="B1117" s="11" t="s">
        <v>1857</v>
      </c>
      <c r="C1117" s="11" t="s">
        <v>1849</v>
      </c>
      <c r="D1117" s="6" t="s">
        <v>1850</v>
      </c>
      <c r="E1117" s="12" t="s">
        <v>3531</v>
      </c>
      <c r="F1117" s="12" t="s">
        <v>3531</v>
      </c>
      <c r="G1117" s="12" t="s">
        <v>3544</v>
      </c>
      <c r="H1117" s="12" t="s">
        <v>3594</v>
      </c>
      <c r="I1117" s="12" t="s">
        <v>4097</v>
      </c>
      <c r="J1117" s="11" t="s">
        <v>1856</v>
      </c>
      <c r="K1117" s="11" t="s">
        <v>1852</v>
      </c>
      <c r="L1117" s="11" t="s">
        <v>1853</v>
      </c>
      <c r="M1117" s="11" t="s">
        <v>3824</v>
      </c>
      <c r="N1117" s="12"/>
      <c r="O1117" s="11" t="s">
        <v>1858</v>
      </c>
      <c r="P1117" s="56"/>
    </row>
    <row r="1118" spans="1:16" ht="15.75" customHeight="1" x14ac:dyDescent="0.2">
      <c r="A1118" s="48">
        <v>903</v>
      </c>
      <c r="B1118" s="11" t="s">
        <v>1857</v>
      </c>
      <c r="C1118" s="11" t="s">
        <v>1849</v>
      </c>
      <c r="D1118" s="6" t="s">
        <v>1850</v>
      </c>
      <c r="E1118" s="12" t="s">
        <v>3531</v>
      </c>
      <c r="F1118" s="12" t="s">
        <v>3531</v>
      </c>
      <c r="G1118" s="12" t="s">
        <v>3544</v>
      </c>
      <c r="H1118" s="12" t="s">
        <v>3594</v>
      </c>
      <c r="I1118" s="12" t="s">
        <v>3703</v>
      </c>
      <c r="J1118" s="11" t="s">
        <v>1856</v>
      </c>
      <c r="K1118" s="11" t="s">
        <v>1852</v>
      </c>
      <c r="L1118" s="11" t="s">
        <v>1853</v>
      </c>
      <c r="M1118" s="11" t="s">
        <v>4098</v>
      </c>
      <c r="N1118" s="12" t="s">
        <v>4099</v>
      </c>
      <c r="O1118" s="11" t="s">
        <v>1858</v>
      </c>
      <c r="P1118" s="56"/>
    </row>
    <row r="1119" spans="1:16" ht="15.75" customHeight="1" x14ac:dyDescent="0.2">
      <c r="A1119" s="48">
        <v>561</v>
      </c>
      <c r="B1119" s="11" t="s">
        <v>1857</v>
      </c>
      <c r="C1119" s="11" t="s">
        <v>1849</v>
      </c>
      <c r="D1119" s="6" t="s">
        <v>1850</v>
      </c>
      <c r="E1119" s="12" t="s">
        <v>3531</v>
      </c>
      <c r="F1119" s="12" t="s">
        <v>3531</v>
      </c>
      <c r="G1119" s="12" t="s">
        <v>3550</v>
      </c>
      <c r="H1119" s="12" t="s">
        <v>2624</v>
      </c>
      <c r="I1119" s="12" t="s">
        <v>4100</v>
      </c>
      <c r="J1119" s="11" t="s">
        <v>1856</v>
      </c>
      <c r="K1119" s="11" t="s">
        <v>1852</v>
      </c>
      <c r="L1119" s="11" t="s">
        <v>1853</v>
      </c>
      <c r="M1119" s="11" t="s">
        <v>4101</v>
      </c>
      <c r="N1119" s="12"/>
      <c r="O1119" s="11" t="s">
        <v>1858</v>
      </c>
      <c r="P1119" s="56"/>
    </row>
    <row r="1120" spans="1:16" ht="15.75" customHeight="1" x14ac:dyDescent="0.2">
      <c r="A1120" s="48">
        <v>690</v>
      </c>
      <c r="B1120" s="11" t="s">
        <v>1857</v>
      </c>
      <c r="C1120" s="11" t="s">
        <v>1849</v>
      </c>
      <c r="D1120" s="6" t="s">
        <v>1850</v>
      </c>
      <c r="E1120" s="12" t="s">
        <v>3531</v>
      </c>
      <c r="F1120" s="12" t="s">
        <v>3531</v>
      </c>
      <c r="G1120" s="12" t="s">
        <v>3546</v>
      </c>
      <c r="H1120" s="12" t="s">
        <v>3546</v>
      </c>
      <c r="I1120" s="12" t="s">
        <v>4102</v>
      </c>
      <c r="J1120" s="11" t="s">
        <v>1856</v>
      </c>
      <c r="K1120" s="11" t="s">
        <v>1852</v>
      </c>
      <c r="L1120" s="11" t="s">
        <v>1853</v>
      </c>
      <c r="M1120" s="11" t="s">
        <v>1854</v>
      </c>
      <c r="N1120" s="12"/>
      <c r="O1120" s="11" t="s">
        <v>1858</v>
      </c>
      <c r="P1120" s="56"/>
    </row>
    <row r="1121" spans="1:16" ht="15.75" customHeight="1" x14ac:dyDescent="0.2">
      <c r="A1121" s="48">
        <v>5878</v>
      </c>
      <c r="B1121" s="11" t="s">
        <v>1857</v>
      </c>
      <c r="C1121" s="11" t="s">
        <v>1849</v>
      </c>
      <c r="D1121" s="6" t="s">
        <v>1850</v>
      </c>
      <c r="E1121" s="12" t="s">
        <v>3531</v>
      </c>
      <c r="F1121" s="12" t="s">
        <v>3531</v>
      </c>
      <c r="G1121" s="12" t="s">
        <v>3546</v>
      </c>
      <c r="H1121" s="12" t="s">
        <v>3583</v>
      </c>
      <c r="I1121" s="12" t="s">
        <v>4103</v>
      </c>
      <c r="J1121" s="11" t="s">
        <v>1856</v>
      </c>
      <c r="K1121" s="11" t="s">
        <v>1852</v>
      </c>
      <c r="L1121" s="11" t="s">
        <v>1853</v>
      </c>
      <c r="M1121" s="11" t="s">
        <v>4104</v>
      </c>
      <c r="N1121" s="12" t="s">
        <v>4105</v>
      </c>
      <c r="O1121" s="11" t="s">
        <v>1858</v>
      </c>
      <c r="P1121" s="56"/>
    </row>
    <row r="1122" spans="1:16" ht="15.75" customHeight="1" x14ac:dyDescent="0.2">
      <c r="A1122" s="48">
        <v>744</v>
      </c>
      <c r="B1122" s="11" t="s">
        <v>1857</v>
      </c>
      <c r="C1122" s="11" t="s">
        <v>1849</v>
      </c>
      <c r="D1122" s="6" t="s">
        <v>1850</v>
      </c>
      <c r="E1122" s="12" t="s">
        <v>3531</v>
      </c>
      <c r="F1122" s="12" t="s">
        <v>3531</v>
      </c>
      <c r="G1122" s="12" t="s">
        <v>3546</v>
      </c>
      <c r="H1122" s="12" t="s">
        <v>3583</v>
      </c>
      <c r="I1122" s="12" t="s">
        <v>4106</v>
      </c>
      <c r="J1122" s="11" t="s">
        <v>1856</v>
      </c>
      <c r="K1122" s="11" t="s">
        <v>1852</v>
      </c>
      <c r="L1122" s="11" t="s">
        <v>1853</v>
      </c>
      <c r="M1122" s="11" t="s">
        <v>3604</v>
      </c>
      <c r="N1122" s="12"/>
      <c r="O1122" s="11" t="s">
        <v>1858</v>
      </c>
      <c r="P1122" s="56"/>
    </row>
    <row r="1123" spans="1:16" ht="15.75" customHeight="1" x14ac:dyDescent="0.2">
      <c r="A1123" s="48">
        <v>562</v>
      </c>
      <c r="B1123" s="11" t="s">
        <v>1857</v>
      </c>
      <c r="C1123" s="11" t="s">
        <v>1849</v>
      </c>
      <c r="D1123" s="6" t="s">
        <v>1850</v>
      </c>
      <c r="E1123" s="12" t="s">
        <v>3531</v>
      </c>
      <c r="F1123" s="12" t="s">
        <v>3531</v>
      </c>
      <c r="G1123" s="12" t="s">
        <v>3550</v>
      </c>
      <c r="H1123" s="12" t="s">
        <v>2624</v>
      </c>
      <c r="I1123" s="12" t="s">
        <v>4107</v>
      </c>
      <c r="J1123" s="11" t="s">
        <v>1856</v>
      </c>
      <c r="K1123" s="11" t="s">
        <v>1852</v>
      </c>
      <c r="L1123" s="11" t="s">
        <v>1853</v>
      </c>
      <c r="M1123" s="11" t="s">
        <v>3813</v>
      </c>
      <c r="N1123" s="12"/>
      <c r="O1123" s="11" t="s">
        <v>1858</v>
      </c>
      <c r="P1123" s="56"/>
    </row>
    <row r="1124" spans="1:16" ht="15.75" customHeight="1" x14ac:dyDescent="0.2">
      <c r="A1124" s="48">
        <v>782</v>
      </c>
      <c r="B1124" s="11" t="s">
        <v>1857</v>
      </c>
      <c r="C1124" s="11" t="s">
        <v>1849</v>
      </c>
      <c r="D1124" s="6" t="s">
        <v>1850</v>
      </c>
      <c r="E1124" s="12" t="s">
        <v>3531</v>
      </c>
      <c r="F1124" s="12" t="s">
        <v>3531</v>
      </c>
      <c r="G1124" s="12" t="s">
        <v>3672</v>
      </c>
      <c r="H1124" s="12" t="s">
        <v>3745</v>
      </c>
      <c r="I1124" s="12" t="s">
        <v>4108</v>
      </c>
      <c r="J1124" s="11" t="s">
        <v>1856</v>
      </c>
      <c r="K1124" s="11" t="s">
        <v>1852</v>
      </c>
      <c r="L1124" s="11" t="s">
        <v>1853</v>
      </c>
      <c r="M1124" s="11" t="s">
        <v>3639</v>
      </c>
      <c r="N1124" s="12"/>
      <c r="O1124" s="11" t="s">
        <v>1858</v>
      </c>
      <c r="P1124" s="56"/>
    </row>
    <row r="1125" spans="1:16" ht="15.75" customHeight="1" x14ac:dyDescent="0.2">
      <c r="A1125" s="48">
        <v>811</v>
      </c>
      <c r="B1125" s="11" t="s">
        <v>1857</v>
      </c>
      <c r="C1125" s="11" t="s">
        <v>1849</v>
      </c>
      <c r="D1125" s="6" t="s">
        <v>1850</v>
      </c>
      <c r="E1125" s="12" t="s">
        <v>3531</v>
      </c>
      <c r="F1125" s="12" t="s">
        <v>3531</v>
      </c>
      <c r="G1125" s="12" t="s">
        <v>3546</v>
      </c>
      <c r="H1125" s="12" t="s">
        <v>2820</v>
      </c>
      <c r="I1125" s="12" t="s">
        <v>4109</v>
      </c>
      <c r="J1125" s="11" t="s">
        <v>1856</v>
      </c>
      <c r="K1125" s="11" t="s">
        <v>1852</v>
      </c>
      <c r="L1125" s="11" t="s">
        <v>1853</v>
      </c>
      <c r="M1125" s="11" t="s">
        <v>1854</v>
      </c>
      <c r="N1125" s="12"/>
      <c r="O1125" s="11" t="s">
        <v>1858</v>
      </c>
      <c r="P1125" s="56"/>
    </row>
    <row r="1126" spans="1:16" ht="15.75" customHeight="1" x14ac:dyDescent="0.2">
      <c r="A1126" s="48">
        <v>646</v>
      </c>
      <c r="B1126" s="11" t="s">
        <v>1857</v>
      </c>
      <c r="C1126" s="11" t="s">
        <v>1849</v>
      </c>
      <c r="D1126" s="6" t="s">
        <v>1850</v>
      </c>
      <c r="E1126" s="12" t="s">
        <v>3531</v>
      </c>
      <c r="F1126" s="12" t="s">
        <v>3531</v>
      </c>
      <c r="G1126" s="12" t="s">
        <v>3532</v>
      </c>
      <c r="H1126" s="13" t="s">
        <v>3535</v>
      </c>
      <c r="I1126" s="12" t="s">
        <v>3739</v>
      </c>
      <c r="J1126" s="11" t="s">
        <v>1856</v>
      </c>
      <c r="K1126" s="11" t="s">
        <v>1852</v>
      </c>
      <c r="L1126" s="11" t="s">
        <v>1853</v>
      </c>
      <c r="M1126" s="11" t="s">
        <v>4110</v>
      </c>
      <c r="N1126" s="12"/>
      <c r="O1126" s="11" t="s">
        <v>1858</v>
      </c>
      <c r="P1126" s="56"/>
    </row>
    <row r="1127" spans="1:16" ht="15.75" customHeight="1" x14ac:dyDescent="0.2">
      <c r="A1127" s="48">
        <v>889</v>
      </c>
      <c r="B1127" s="11" t="s">
        <v>1857</v>
      </c>
      <c r="C1127" s="11" t="s">
        <v>1849</v>
      </c>
      <c r="D1127" s="6" t="s">
        <v>1850</v>
      </c>
      <c r="E1127" s="12" t="s">
        <v>3531</v>
      </c>
      <c r="F1127" s="12" t="s">
        <v>3531</v>
      </c>
      <c r="G1127" s="12" t="s">
        <v>3544</v>
      </c>
      <c r="H1127" s="12" t="s">
        <v>3567</v>
      </c>
      <c r="I1127" s="12" t="s">
        <v>4111</v>
      </c>
      <c r="J1127" s="11" t="s">
        <v>1856</v>
      </c>
      <c r="K1127" s="11" t="s">
        <v>1852</v>
      </c>
      <c r="L1127" s="11" t="s">
        <v>1853</v>
      </c>
      <c r="M1127" s="11" t="s">
        <v>4112</v>
      </c>
      <c r="N1127" s="12"/>
      <c r="O1127" s="11" t="s">
        <v>1858</v>
      </c>
      <c r="P1127" s="56"/>
    </row>
    <row r="1128" spans="1:16" ht="15.75" customHeight="1" x14ac:dyDescent="0.2">
      <c r="A1128" s="48">
        <v>720</v>
      </c>
      <c r="B1128" s="11" t="s">
        <v>1857</v>
      </c>
      <c r="C1128" s="11" t="s">
        <v>1849</v>
      </c>
      <c r="D1128" s="6" t="s">
        <v>1850</v>
      </c>
      <c r="E1128" s="12" t="s">
        <v>3531</v>
      </c>
      <c r="F1128" s="12" t="s">
        <v>3531</v>
      </c>
      <c r="G1128" s="12" t="s">
        <v>3546</v>
      </c>
      <c r="H1128" s="12" t="s">
        <v>3605</v>
      </c>
      <c r="I1128" s="12" t="s">
        <v>4113</v>
      </c>
      <c r="J1128" s="11" t="s">
        <v>1856</v>
      </c>
      <c r="K1128" s="11" t="s">
        <v>1852</v>
      </c>
      <c r="L1128" s="11" t="s">
        <v>1853</v>
      </c>
      <c r="M1128" s="11" t="s">
        <v>3735</v>
      </c>
      <c r="N1128" s="12"/>
      <c r="O1128" s="11" t="s">
        <v>1858</v>
      </c>
      <c r="P1128" s="56"/>
    </row>
    <row r="1129" spans="1:16" ht="15.75" customHeight="1" x14ac:dyDescent="0.2">
      <c r="A1129" s="48">
        <v>906</v>
      </c>
      <c r="B1129" s="11" t="s">
        <v>1857</v>
      </c>
      <c r="C1129" s="11" t="s">
        <v>1849</v>
      </c>
      <c r="D1129" s="6" t="s">
        <v>1850</v>
      </c>
      <c r="E1129" s="12" t="s">
        <v>3531</v>
      </c>
      <c r="F1129" s="12" t="s">
        <v>3531</v>
      </c>
      <c r="G1129" s="12" t="s">
        <v>3544</v>
      </c>
      <c r="H1129" s="12" t="s">
        <v>3594</v>
      </c>
      <c r="I1129" s="12" t="s">
        <v>4114</v>
      </c>
      <c r="J1129" s="11" t="s">
        <v>1856</v>
      </c>
      <c r="K1129" s="11" t="s">
        <v>1852</v>
      </c>
      <c r="L1129" s="11" t="s">
        <v>1853</v>
      </c>
      <c r="M1129" s="11" t="s">
        <v>4115</v>
      </c>
      <c r="N1129" s="12"/>
      <c r="O1129" s="11" t="s">
        <v>1858</v>
      </c>
      <c r="P1129" s="56"/>
    </row>
    <row r="1130" spans="1:16" ht="15.75" customHeight="1" x14ac:dyDescent="0.2">
      <c r="A1130" s="48">
        <v>568</v>
      </c>
      <c r="B1130" s="11" t="s">
        <v>1857</v>
      </c>
      <c r="C1130" s="11" t="s">
        <v>1849</v>
      </c>
      <c r="D1130" s="6" t="s">
        <v>1850</v>
      </c>
      <c r="E1130" s="12" t="s">
        <v>3531</v>
      </c>
      <c r="F1130" s="12" t="s">
        <v>3531</v>
      </c>
      <c r="G1130" s="12" t="s">
        <v>3550</v>
      </c>
      <c r="H1130" s="12" t="s">
        <v>2624</v>
      </c>
      <c r="I1130" s="12" t="s">
        <v>4116</v>
      </c>
      <c r="J1130" s="11" t="s">
        <v>1856</v>
      </c>
      <c r="K1130" s="11" t="s">
        <v>1852</v>
      </c>
      <c r="L1130" s="11" t="s">
        <v>1853</v>
      </c>
      <c r="M1130" s="11" t="s">
        <v>1854</v>
      </c>
      <c r="N1130" s="12"/>
      <c r="O1130" s="11" t="s">
        <v>1858</v>
      </c>
      <c r="P1130" s="56"/>
    </row>
    <row r="1131" spans="1:16" ht="15.75" customHeight="1" x14ac:dyDescent="0.2">
      <c r="A1131" s="48">
        <v>750</v>
      </c>
      <c r="B1131" s="11" t="s">
        <v>1857</v>
      </c>
      <c r="C1131" s="11" t="s">
        <v>1849</v>
      </c>
      <c r="D1131" s="6" t="s">
        <v>1850</v>
      </c>
      <c r="E1131" s="12" t="s">
        <v>3531</v>
      </c>
      <c r="F1131" s="12" t="s">
        <v>3531</v>
      </c>
      <c r="G1131" s="12" t="s">
        <v>3546</v>
      </c>
      <c r="H1131" s="12" t="s">
        <v>3583</v>
      </c>
      <c r="I1131" s="12" t="s">
        <v>4117</v>
      </c>
      <c r="J1131" s="11" t="s">
        <v>1856</v>
      </c>
      <c r="K1131" s="11" t="s">
        <v>1852</v>
      </c>
      <c r="L1131" s="11" t="s">
        <v>1853</v>
      </c>
      <c r="M1131" s="11" t="s">
        <v>1854</v>
      </c>
      <c r="N1131" s="12"/>
      <c r="O1131" s="11" t="s">
        <v>1858</v>
      </c>
      <c r="P1131" s="56"/>
    </row>
    <row r="1132" spans="1:16" ht="15.75" customHeight="1" x14ac:dyDescent="0.2">
      <c r="A1132" s="48">
        <v>652</v>
      </c>
      <c r="B1132" s="11" t="s">
        <v>1857</v>
      </c>
      <c r="C1132" s="11" t="s">
        <v>1849</v>
      </c>
      <c r="D1132" s="6" t="s">
        <v>1850</v>
      </c>
      <c r="E1132" s="12" t="s">
        <v>3531</v>
      </c>
      <c r="F1132" s="12" t="s">
        <v>3531</v>
      </c>
      <c r="G1132" s="12" t="s">
        <v>3532</v>
      </c>
      <c r="H1132" s="12" t="s">
        <v>3635</v>
      </c>
      <c r="I1132" s="12" t="s">
        <v>4118</v>
      </c>
      <c r="J1132" s="11" t="s">
        <v>1856</v>
      </c>
      <c r="K1132" s="11" t="s">
        <v>1852</v>
      </c>
      <c r="L1132" s="11" t="s">
        <v>1853</v>
      </c>
      <c r="M1132" s="11" t="s">
        <v>3872</v>
      </c>
      <c r="N1132" s="12"/>
      <c r="O1132" s="11" t="s">
        <v>1858</v>
      </c>
      <c r="P1132" s="56"/>
    </row>
    <row r="1133" spans="1:16" ht="15.75" customHeight="1" x14ac:dyDescent="0.2">
      <c r="A1133" s="48">
        <v>954</v>
      </c>
      <c r="B1133" s="11" t="s">
        <v>1857</v>
      </c>
      <c r="C1133" s="11" t="s">
        <v>1849</v>
      </c>
      <c r="D1133" s="6" t="s">
        <v>1850</v>
      </c>
      <c r="E1133" s="12" t="s">
        <v>3531</v>
      </c>
      <c r="F1133" s="12" t="s">
        <v>3531</v>
      </c>
      <c r="G1133" s="12" t="s">
        <v>3544</v>
      </c>
      <c r="H1133" s="12" t="s">
        <v>3617</v>
      </c>
      <c r="I1133" s="12" t="s">
        <v>4119</v>
      </c>
      <c r="J1133" s="11" t="s">
        <v>1856</v>
      </c>
      <c r="K1133" s="11" t="s">
        <v>1852</v>
      </c>
      <c r="L1133" s="11" t="s">
        <v>1853</v>
      </c>
      <c r="M1133" s="11" t="s">
        <v>3735</v>
      </c>
      <c r="N1133" s="12"/>
      <c r="O1133" s="11" t="s">
        <v>1860</v>
      </c>
      <c r="P1133" s="56"/>
    </row>
    <row r="1134" spans="1:16" ht="15.75" customHeight="1" x14ac:dyDescent="0.2">
      <c r="A1134" s="48">
        <v>721</v>
      </c>
      <c r="B1134" s="11" t="s">
        <v>1857</v>
      </c>
      <c r="C1134" s="11" t="s">
        <v>1849</v>
      </c>
      <c r="D1134" s="6" t="s">
        <v>1850</v>
      </c>
      <c r="E1134" s="12" t="s">
        <v>3531</v>
      </c>
      <c r="F1134" s="12" t="s">
        <v>3531</v>
      </c>
      <c r="G1134" s="12" t="s">
        <v>3546</v>
      </c>
      <c r="H1134" s="12" t="s">
        <v>3548</v>
      </c>
      <c r="I1134" s="12" t="s">
        <v>4120</v>
      </c>
      <c r="J1134" s="11" t="s">
        <v>1856</v>
      </c>
      <c r="K1134" s="11" t="s">
        <v>1852</v>
      </c>
      <c r="L1134" s="11" t="s">
        <v>1853</v>
      </c>
      <c r="M1134" s="11" t="s">
        <v>1854</v>
      </c>
      <c r="N1134" s="12"/>
      <c r="O1134" s="11" t="s">
        <v>1858</v>
      </c>
      <c r="P1134" s="56"/>
    </row>
    <row r="1135" spans="1:16" ht="15.75" customHeight="1" x14ac:dyDescent="0.2">
      <c r="A1135" s="48">
        <v>920</v>
      </c>
      <c r="B1135" s="11" t="s">
        <v>1857</v>
      </c>
      <c r="C1135" s="11" t="s">
        <v>1849</v>
      </c>
      <c r="D1135" s="6" t="s">
        <v>1850</v>
      </c>
      <c r="E1135" s="12" t="s">
        <v>3531</v>
      </c>
      <c r="F1135" s="12" t="s">
        <v>3531</v>
      </c>
      <c r="G1135" s="12" t="s">
        <v>3544</v>
      </c>
      <c r="H1135" s="12" t="s">
        <v>3594</v>
      </c>
      <c r="I1135" s="12" t="s">
        <v>4121</v>
      </c>
      <c r="J1135" s="11" t="s">
        <v>1856</v>
      </c>
      <c r="K1135" s="11" t="s">
        <v>1852</v>
      </c>
      <c r="L1135" s="11" t="s">
        <v>1853</v>
      </c>
      <c r="M1135" s="11" t="s">
        <v>1854</v>
      </c>
      <c r="N1135" s="12"/>
      <c r="O1135" s="11" t="s">
        <v>1858</v>
      </c>
      <c r="P1135" s="56"/>
    </row>
    <row r="1136" spans="1:16" ht="15.75" customHeight="1" x14ac:dyDescent="0.2">
      <c r="A1136" s="48">
        <v>732</v>
      </c>
      <c r="B1136" s="11" t="s">
        <v>1857</v>
      </c>
      <c r="C1136" s="11" t="s">
        <v>1849</v>
      </c>
      <c r="D1136" s="6" t="s">
        <v>1850</v>
      </c>
      <c r="E1136" s="12" t="s">
        <v>3531</v>
      </c>
      <c r="F1136" s="12" t="s">
        <v>3531</v>
      </c>
      <c r="G1136" s="12" t="s">
        <v>3546</v>
      </c>
      <c r="H1136" s="12" t="s">
        <v>3548</v>
      </c>
      <c r="I1136" s="12" t="s">
        <v>4122</v>
      </c>
      <c r="J1136" s="11" t="s">
        <v>1856</v>
      </c>
      <c r="K1136" s="11" t="s">
        <v>1852</v>
      </c>
      <c r="L1136" s="11" t="s">
        <v>1853</v>
      </c>
      <c r="M1136" s="11" t="s">
        <v>3897</v>
      </c>
      <c r="N1136" s="12"/>
      <c r="O1136" s="11" t="s">
        <v>1860</v>
      </c>
      <c r="P1136" s="56"/>
    </row>
    <row r="1137" spans="1:16" ht="15.75" customHeight="1" x14ac:dyDescent="0.2">
      <c r="A1137" s="48">
        <v>806</v>
      </c>
      <c r="B1137" s="11" t="s">
        <v>1857</v>
      </c>
      <c r="C1137" s="11" t="s">
        <v>1849</v>
      </c>
      <c r="D1137" s="6" t="s">
        <v>1850</v>
      </c>
      <c r="E1137" s="12" t="s">
        <v>3531</v>
      </c>
      <c r="F1137" s="12" t="s">
        <v>3531</v>
      </c>
      <c r="G1137" s="12" t="s">
        <v>3599</v>
      </c>
      <c r="H1137" s="12" t="s">
        <v>1918</v>
      </c>
      <c r="I1137" s="12" t="s">
        <v>4123</v>
      </c>
      <c r="J1137" s="11" t="s">
        <v>1856</v>
      </c>
      <c r="K1137" s="11" t="s">
        <v>1852</v>
      </c>
      <c r="L1137" s="11" t="s">
        <v>1853</v>
      </c>
      <c r="M1137" s="11" t="s">
        <v>1854</v>
      </c>
      <c r="N1137" s="12"/>
      <c r="O1137" s="11" t="s">
        <v>1860</v>
      </c>
      <c r="P1137" s="56"/>
    </row>
    <row r="1138" spans="1:16" ht="15.75" customHeight="1" x14ac:dyDescent="0.2">
      <c r="A1138" s="48">
        <v>650</v>
      </c>
      <c r="B1138" s="11" t="s">
        <v>1857</v>
      </c>
      <c r="C1138" s="11" t="s">
        <v>1849</v>
      </c>
      <c r="D1138" s="6" t="s">
        <v>1850</v>
      </c>
      <c r="E1138" s="12" t="s">
        <v>3531</v>
      </c>
      <c r="F1138" s="12" t="s">
        <v>3531</v>
      </c>
      <c r="G1138" s="12" t="s">
        <v>3532</v>
      </c>
      <c r="H1138" s="13" t="s">
        <v>3535</v>
      </c>
      <c r="I1138" s="12" t="s">
        <v>4124</v>
      </c>
      <c r="J1138" s="11" t="s">
        <v>1856</v>
      </c>
      <c r="K1138" s="11" t="s">
        <v>1852</v>
      </c>
      <c r="L1138" s="11" t="s">
        <v>1853</v>
      </c>
      <c r="M1138" s="11" t="s">
        <v>4125</v>
      </c>
      <c r="N1138" s="12"/>
      <c r="O1138" s="11" t="s">
        <v>1858</v>
      </c>
      <c r="P1138" s="56"/>
    </row>
    <row r="1139" spans="1:16" ht="15.75" customHeight="1" x14ac:dyDescent="0.2">
      <c r="A1139" s="48">
        <v>998</v>
      </c>
      <c r="B1139" s="11" t="s">
        <v>1857</v>
      </c>
      <c r="C1139" s="11" t="s">
        <v>1849</v>
      </c>
      <c r="D1139" s="6" t="s">
        <v>1850</v>
      </c>
      <c r="E1139" s="12" t="s">
        <v>3531</v>
      </c>
      <c r="F1139" s="12" t="s">
        <v>3531</v>
      </c>
      <c r="G1139" s="12" t="s">
        <v>3544</v>
      </c>
      <c r="H1139" s="12" t="s">
        <v>3623</v>
      </c>
      <c r="I1139" s="12" t="s">
        <v>4126</v>
      </c>
      <c r="J1139" s="11" t="s">
        <v>1856</v>
      </c>
      <c r="K1139" s="11" t="s">
        <v>1852</v>
      </c>
      <c r="L1139" s="11" t="s">
        <v>1853</v>
      </c>
      <c r="M1139" s="11" t="s">
        <v>3616</v>
      </c>
      <c r="N1139" s="12"/>
      <c r="O1139" s="11" t="s">
        <v>1858</v>
      </c>
      <c r="P1139" s="56"/>
    </row>
    <row r="1140" spans="1:16" ht="15.75" customHeight="1" x14ac:dyDescent="0.2">
      <c r="A1140" s="48">
        <v>951</v>
      </c>
      <c r="B1140" s="11" t="s">
        <v>1857</v>
      </c>
      <c r="C1140" s="11" t="s">
        <v>1849</v>
      </c>
      <c r="D1140" s="6" t="s">
        <v>1850</v>
      </c>
      <c r="E1140" s="12" t="s">
        <v>3531</v>
      </c>
      <c r="F1140" s="12" t="s">
        <v>3531</v>
      </c>
      <c r="G1140" s="12" t="s">
        <v>3544</v>
      </c>
      <c r="H1140" s="12" t="s">
        <v>3617</v>
      </c>
      <c r="I1140" s="12" t="s">
        <v>4127</v>
      </c>
      <c r="J1140" s="11" t="s">
        <v>1856</v>
      </c>
      <c r="K1140" s="11" t="s">
        <v>1852</v>
      </c>
      <c r="L1140" s="11" t="s">
        <v>1853</v>
      </c>
      <c r="M1140" s="11" t="s">
        <v>4128</v>
      </c>
      <c r="N1140" s="12" t="s">
        <v>4129</v>
      </c>
      <c r="O1140" s="11" t="s">
        <v>1860</v>
      </c>
      <c r="P1140" s="56"/>
    </row>
    <row r="1141" spans="1:16" ht="15.75" customHeight="1" x14ac:dyDescent="0.2">
      <c r="A1141" s="48">
        <v>719</v>
      </c>
      <c r="B1141" s="11" t="s">
        <v>1857</v>
      </c>
      <c r="C1141" s="11" t="s">
        <v>1849</v>
      </c>
      <c r="D1141" s="6" t="s">
        <v>1850</v>
      </c>
      <c r="E1141" s="12" t="s">
        <v>3531</v>
      </c>
      <c r="F1141" s="12" t="s">
        <v>3531</v>
      </c>
      <c r="G1141" s="12" t="s">
        <v>3546</v>
      </c>
      <c r="H1141" s="12" t="s">
        <v>3605</v>
      </c>
      <c r="I1141" s="12" t="s">
        <v>4130</v>
      </c>
      <c r="J1141" s="11" t="s">
        <v>1856</v>
      </c>
      <c r="K1141" s="11" t="s">
        <v>1852</v>
      </c>
      <c r="L1141" s="11" t="s">
        <v>1853</v>
      </c>
      <c r="M1141" s="11" t="s">
        <v>3619</v>
      </c>
      <c r="N1141" s="12"/>
      <c r="O1141" s="11" t="s">
        <v>1858</v>
      </c>
      <c r="P1141" s="56"/>
    </row>
    <row r="1142" spans="1:16" ht="15.75" customHeight="1" x14ac:dyDescent="0.2">
      <c r="A1142" s="48">
        <v>708</v>
      </c>
      <c r="B1142" s="11" t="s">
        <v>1857</v>
      </c>
      <c r="C1142" s="11" t="s">
        <v>1849</v>
      </c>
      <c r="D1142" s="6" t="s">
        <v>1850</v>
      </c>
      <c r="E1142" s="12" t="s">
        <v>3531</v>
      </c>
      <c r="F1142" s="12" t="s">
        <v>3531</v>
      </c>
      <c r="G1142" s="12" t="s">
        <v>3546</v>
      </c>
      <c r="H1142" s="12" t="s">
        <v>2820</v>
      </c>
      <c r="I1142" s="12" t="s">
        <v>2535</v>
      </c>
      <c r="J1142" s="11" t="s">
        <v>1856</v>
      </c>
      <c r="K1142" s="11" t="s">
        <v>1852</v>
      </c>
      <c r="L1142" s="11" t="s">
        <v>1853</v>
      </c>
      <c r="M1142" s="11" t="s">
        <v>1854</v>
      </c>
      <c r="N1142" s="12"/>
      <c r="O1142" s="11" t="s">
        <v>1860</v>
      </c>
      <c r="P1142" s="56"/>
    </row>
    <row r="1143" spans="1:16" ht="15.75" customHeight="1" x14ac:dyDescent="0.2">
      <c r="A1143" s="48">
        <v>567</v>
      </c>
      <c r="B1143" s="11" t="s">
        <v>1857</v>
      </c>
      <c r="C1143" s="11" t="s">
        <v>1849</v>
      </c>
      <c r="D1143" s="6" t="s">
        <v>1850</v>
      </c>
      <c r="E1143" s="12" t="s">
        <v>3531</v>
      </c>
      <c r="F1143" s="12" t="s">
        <v>3531</v>
      </c>
      <c r="G1143" s="12" t="s">
        <v>3550</v>
      </c>
      <c r="H1143" s="12" t="s">
        <v>3737</v>
      </c>
      <c r="I1143" s="12" t="s">
        <v>4131</v>
      </c>
      <c r="J1143" s="11" t="s">
        <v>1856</v>
      </c>
      <c r="K1143" s="11" t="s">
        <v>1852</v>
      </c>
      <c r="L1143" s="11" t="s">
        <v>1853</v>
      </c>
      <c r="M1143" s="11" t="s">
        <v>1854</v>
      </c>
      <c r="N1143" s="12"/>
      <c r="O1143" s="11" t="s">
        <v>1860</v>
      </c>
      <c r="P1143" s="56"/>
    </row>
    <row r="1144" spans="1:16" ht="15.75" customHeight="1" x14ac:dyDescent="0.2">
      <c r="A1144" s="48">
        <v>870</v>
      </c>
      <c r="B1144" s="11" t="s">
        <v>1857</v>
      </c>
      <c r="C1144" s="11" t="s">
        <v>1849</v>
      </c>
      <c r="D1144" s="6" t="s">
        <v>1850</v>
      </c>
      <c r="E1144" s="12" t="s">
        <v>3531</v>
      </c>
      <c r="F1144" s="12" t="s">
        <v>3531</v>
      </c>
      <c r="G1144" s="12" t="s">
        <v>3532</v>
      </c>
      <c r="H1144" s="12" t="s">
        <v>3727</v>
      </c>
      <c r="I1144" s="12" t="s">
        <v>4132</v>
      </c>
      <c r="J1144" s="11" t="s">
        <v>1856</v>
      </c>
      <c r="K1144" s="11" t="s">
        <v>1852</v>
      </c>
      <c r="L1144" s="11" t="s">
        <v>1853</v>
      </c>
      <c r="M1144" s="11" t="s">
        <v>1958</v>
      </c>
      <c r="N1144" s="12"/>
      <c r="O1144" s="11" t="s">
        <v>1858</v>
      </c>
      <c r="P1144" s="56"/>
    </row>
    <row r="1145" spans="1:16" ht="15.75" customHeight="1" x14ac:dyDescent="0.2">
      <c r="A1145" s="48">
        <v>693</v>
      </c>
      <c r="B1145" s="11" t="s">
        <v>1857</v>
      </c>
      <c r="C1145" s="11" t="s">
        <v>1849</v>
      </c>
      <c r="D1145" s="6" t="s">
        <v>1850</v>
      </c>
      <c r="E1145" s="12" t="s">
        <v>3531</v>
      </c>
      <c r="F1145" s="12" t="s">
        <v>3531</v>
      </c>
      <c r="G1145" s="12" t="s">
        <v>3546</v>
      </c>
      <c r="H1145" s="12" t="s">
        <v>3559</v>
      </c>
      <c r="I1145" s="12" t="s">
        <v>4133</v>
      </c>
      <c r="J1145" s="11" t="s">
        <v>1856</v>
      </c>
      <c r="K1145" s="11" t="s">
        <v>1852</v>
      </c>
      <c r="L1145" s="11" t="s">
        <v>1853</v>
      </c>
      <c r="M1145" s="11" t="s">
        <v>4134</v>
      </c>
      <c r="N1145" s="12" t="s">
        <v>4135</v>
      </c>
      <c r="O1145" s="11" t="s">
        <v>1859</v>
      </c>
      <c r="P1145" s="56"/>
    </row>
    <row r="1146" spans="1:16" ht="15.75" customHeight="1" x14ac:dyDescent="0.2">
      <c r="A1146" s="48">
        <v>964</v>
      </c>
      <c r="B1146" s="11" t="s">
        <v>1857</v>
      </c>
      <c r="C1146" s="11" t="s">
        <v>1849</v>
      </c>
      <c r="D1146" s="6" t="s">
        <v>1850</v>
      </c>
      <c r="E1146" s="12" t="s">
        <v>3531</v>
      </c>
      <c r="F1146" s="12" t="s">
        <v>3531</v>
      </c>
      <c r="G1146" s="12" t="s">
        <v>3544</v>
      </c>
      <c r="H1146" s="12" t="s">
        <v>3565</v>
      </c>
      <c r="I1146" s="12" t="s">
        <v>4136</v>
      </c>
      <c r="J1146" s="11" t="s">
        <v>1856</v>
      </c>
      <c r="K1146" s="11" t="s">
        <v>1852</v>
      </c>
      <c r="L1146" s="11" t="s">
        <v>1853</v>
      </c>
      <c r="M1146" s="11" t="s">
        <v>1854</v>
      </c>
      <c r="N1146" s="12"/>
      <c r="O1146" s="11" t="s">
        <v>1860</v>
      </c>
      <c r="P1146" s="56"/>
    </row>
    <row r="1147" spans="1:16" ht="15.75" customHeight="1" x14ac:dyDescent="0.2">
      <c r="A1147" s="48">
        <v>800</v>
      </c>
      <c r="B1147" s="11" t="s">
        <v>1857</v>
      </c>
      <c r="C1147" s="11" t="s">
        <v>1849</v>
      </c>
      <c r="D1147" s="6" t="s">
        <v>1850</v>
      </c>
      <c r="E1147" s="12" t="s">
        <v>3531</v>
      </c>
      <c r="F1147" s="12" t="s">
        <v>3531</v>
      </c>
      <c r="G1147" s="12" t="s">
        <v>3599</v>
      </c>
      <c r="H1147" s="12" t="s">
        <v>3706</v>
      </c>
      <c r="I1147" s="12" t="s">
        <v>4137</v>
      </c>
      <c r="J1147" s="11" t="s">
        <v>1856</v>
      </c>
      <c r="K1147" s="11" t="s">
        <v>1852</v>
      </c>
      <c r="L1147" s="11" t="s">
        <v>1853</v>
      </c>
      <c r="M1147" s="11" t="s">
        <v>4138</v>
      </c>
      <c r="N1147" s="12"/>
      <c r="O1147" s="11" t="s">
        <v>1858</v>
      </c>
      <c r="P1147" s="56"/>
    </row>
    <row r="1148" spans="1:16" ht="15.75" customHeight="1" x14ac:dyDescent="0.2">
      <c r="A1148" s="48">
        <v>853</v>
      </c>
      <c r="B1148" s="11" t="s">
        <v>1857</v>
      </c>
      <c r="C1148" s="11" t="s">
        <v>1849</v>
      </c>
      <c r="D1148" s="6" t="s">
        <v>1850</v>
      </c>
      <c r="E1148" s="12" t="s">
        <v>3531</v>
      </c>
      <c r="F1148" s="12" t="s">
        <v>3531</v>
      </c>
      <c r="G1148" s="12" t="s">
        <v>3544</v>
      </c>
      <c r="H1148" s="12" t="s">
        <v>3661</v>
      </c>
      <c r="I1148" s="12" t="s">
        <v>4139</v>
      </c>
      <c r="J1148" s="11" t="s">
        <v>1856</v>
      </c>
      <c r="K1148" s="11" t="s">
        <v>1852</v>
      </c>
      <c r="L1148" s="11" t="s">
        <v>1853</v>
      </c>
      <c r="M1148" s="11" t="s">
        <v>4140</v>
      </c>
      <c r="N1148" s="12" t="s">
        <v>4141</v>
      </c>
      <c r="O1148" s="11" t="s">
        <v>1858</v>
      </c>
      <c r="P1148" s="56"/>
    </row>
    <row r="1149" spans="1:16" ht="15.75" customHeight="1" x14ac:dyDescent="0.2">
      <c r="A1149" s="48">
        <v>611</v>
      </c>
      <c r="B1149" s="11" t="s">
        <v>1857</v>
      </c>
      <c r="C1149" s="11" t="s">
        <v>1849</v>
      </c>
      <c r="D1149" s="6" t="s">
        <v>1850</v>
      </c>
      <c r="E1149" s="12" t="s">
        <v>3531</v>
      </c>
      <c r="F1149" s="12" t="s">
        <v>3531</v>
      </c>
      <c r="G1149" s="12" t="s">
        <v>3532</v>
      </c>
      <c r="H1149" s="12" t="s">
        <v>3637</v>
      </c>
      <c r="I1149" s="12" t="s">
        <v>4142</v>
      </c>
      <c r="J1149" s="11" t="s">
        <v>1856</v>
      </c>
      <c r="K1149" s="11" t="s">
        <v>1852</v>
      </c>
      <c r="L1149" s="11" t="s">
        <v>1853</v>
      </c>
      <c r="M1149" s="11" t="s">
        <v>3897</v>
      </c>
      <c r="N1149" s="12"/>
      <c r="O1149" s="11" t="s">
        <v>1858</v>
      </c>
      <c r="P1149" s="56"/>
    </row>
    <row r="1150" spans="1:16" ht="15.75" customHeight="1" x14ac:dyDescent="0.2">
      <c r="A1150" s="48">
        <v>722</v>
      </c>
      <c r="B1150" s="11" t="s">
        <v>1857</v>
      </c>
      <c r="C1150" s="11" t="s">
        <v>1849</v>
      </c>
      <c r="D1150" s="6" t="s">
        <v>1850</v>
      </c>
      <c r="E1150" s="12" t="s">
        <v>3531</v>
      </c>
      <c r="F1150" s="12" t="s">
        <v>3531</v>
      </c>
      <c r="G1150" s="12" t="s">
        <v>3546</v>
      </c>
      <c r="H1150" s="12" t="s">
        <v>3605</v>
      </c>
      <c r="I1150" s="12" t="s">
        <v>4143</v>
      </c>
      <c r="J1150" s="11" t="s">
        <v>1856</v>
      </c>
      <c r="K1150" s="11" t="s">
        <v>1852</v>
      </c>
      <c r="L1150" s="11" t="s">
        <v>1853</v>
      </c>
      <c r="M1150" s="11" t="s">
        <v>1854</v>
      </c>
      <c r="N1150" s="12"/>
      <c r="O1150" s="11" t="s">
        <v>1858</v>
      </c>
      <c r="P1150" s="56"/>
    </row>
    <row r="1151" spans="1:16" ht="15.75" customHeight="1" x14ac:dyDescent="0.2">
      <c r="A1151" s="48">
        <v>919</v>
      </c>
      <c r="B1151" s="11" t="s">
        <v>1857</v>
      </c>
      <c r="C1151" s="11" t="s">
        <v>1849</v>
      </c>
      <c r="D1151" s="6" t="s">
        <v>1850</v>
      </c>
      <c r="E1151" s="12" t="s">
        <v>3531</v>
      </c>
      <c r="F1151" s="12" t="s">
        <v>3531</v>
      </c>
      <c r="G1151" s="12" t="s">
        <v>3544</v>
      </c>
      <c r="H1151" s="12" t="s">
        <v>3594</v>
      </c>
      <c r="I1151" s="12" t="s">
        <v>4144</v>
      </c>
      <c r="J1151" s="11" t="s">
        <v>1856</v>
      </c>
      <c r="K1151" s="11" t="s">
        <v>1852</v>
      </c>
      <c r="L1151" s="11" t="s">
        <v>1853</v>
      </c>
      <c r="M1151" s="11" t="s">
        <v>1854</v>
      </c>
      <c r="N1151" s="12"/>
      <c r="O1151" s="11" t="s">
        <v>1858</v>
      </c>
      <c r="P1151" s="56"/>
    </row>
    <row r="1152" spans="1:16" ht="15.75" customHeight="1" x14ac:dyDescent="0.2">
      <c r="A1152" s="48">
        <v>723</v>
      </c>
      <c r="B1152" s="11" t="s">
        <v>1857</v>
      </c>
      <c r="C1152" s="11" t="s">
        <v>1849</v>
      </c>
      <c r="D1152" s="6" t="s">
        <v>1850</v>
      </c>
      <c r="E1152" s="12" t="s">
        <v>3531</v>
      </c>
      <c r="F1152" s="12" t="s">
        <v>3531</v>
      </c>
      <c r="G1152" s="12" t="s">
        <v>3546</v>
      </c>
      <c r="H1152" s="12" t="s">
        <v>3548</v>
      </c>
      <c r="I1152" s="12" t="s">
        <v>4145</v>
      </c>
      <c r="J1152" s="11" t="s">
        <v>1856</v>
      </c>
      <c r="K1152" s="11" t="s">
        <v>1852</v>
      </c>
      <c r="L1152" s="11" t="s">
        <v>1853</v>
      </c>
      <c r="M1152" s="11" t="s">
        <v>3616</v>
      </c>
      <c r="N1152" s="12"/>
      <c r="O1152" s="11" t="s">
        <v>1858</v>
      </c>
      <c r="P1152" s="56"/>
    </row>
    <row r="1153" spans="1:16" ht="15.75" customHeight="1" x14ac:dyDescent="0.2">
      <c r="A1153" s="48">
        <v>962</v>
      </c>
      <c r="B1153" s="11" t="s">
        <v>1857</v>
      </c>
      <c r="C1153" s="11" t="s">
        <v>1849</v>
      </c>
      <c r="D1153" s="6" t="s">
        <v>1850</v>
      </c>
      <c r="E1153" s="12" t="s">
        <v>3531</v>
      </c>
      <c r="F1153" s="12" t="s">
        <v>3531</v>
      </c>
      <c r="G1153" s="12" t="s">
        <v>3544</v>
      </c>
      <c r="H1153" s="12" t="s">
        <v>3565</v>
      </c>
      <c r="I1153" s="12" t="s">
        <v>4146</v>
      </c>
      <c r="J1153" s="11" t="s">
        <v>1856</v>
      </c>
      <c r="K1153" s="11" t="s">
        <v>1852</v>
      </c>
      <c r="L1153" s="11" t="s">
        <v>1853</v>
      </c>
      <c r="M1153" s="11" t="s">
        <v>1854</v>
      </c>
      <c r="N1153" s="12"/>
      <c r="O1153" s="11" t="s">
        <v>1858</v>
      </c>
      <c r="P1153" s="56"/>
    </row>
    <row r="1154" spans="1:16" ht="15.75" customHeight="1" x14ac:dyDescent="0.2">
      <c r="A1154" s="48">
        <v>714</v>
      </c>
      <c r="B1154" s="11" t="s">
        <v>1857</v>
      </c>
      <c r="C1154" s="11" t="s">
        <v>1849</v>
      </c>
      <c r="D1154" s="6" t="s">
        <v>1850</v>
      </c>
      <c r="E1154" s="12" t="s">
        <v>3531</v>
      </c>
      <c r="F1154" s="12" t="s">
        <v>3531</v>
      </c>
      <c r="G1154" s="12" t="s">
        <v>3546</v>
      </c>
      <c r="H1154" s="12" t="s">
        <v>3663</v>
      </c>
      <c r="I1154" s="12" t="s">
        <v>4147</v>
      </c>
      <c r="J1154" s="11" t="s">
        <v>1856</v>
      </c>
      <c r="K1154" s="11" t="s">
        <v>1852</v>
      </c>
      <c r="L1154" s="11" t="s">
        <v>1853</v>
      </c>
      <c r="M1154" s="11" t="s">
        <v>3819</v>
      </c>
      <c r="N1154" s="12"/>
      <c r="O1154" s="11" t="s">
        <v>1858</v>
      </c>
      <c r="P1154" s="56"/>
    </row>
    <row r="1155" spans="1:16" ht="15.75" customHeight="1" x14ac:dyDescent="0.2">
      <c r="A1155" s="48">
        <v>735</v>
      </c>
      <c r="B1155" s="11" t="s">
        <v>1857</v>
      </c>
      <c r="C1155" s="11" t="s">
        <v>1849</v>
      </c>
      <c r="D1155" s="6" t="s">
        <v>1850</v>
      </c>
      <c r="E1155" s="12" t="s">
        <v>3531</v>
      </c>
      <c r="F1155" s="12" t="s">
        <v>3531</v>
      </c>
      <c r="G1155" s="12" t="s">
        <v>3546</v>
      </c>
      <c r="H1155" s="12" t="s">
        <v>3548</v>
      </c>
      <c r="I1155" s="12" t="s">
        <v>4148</v>
      </c>
      <c r="J1155" s="11" t="s">
        <v>1856</v>
      </c>
      <c r="K1155" s="11" t="s">
        <v>1852</v>
      </c>
      <c r="L1155" s="11" t="s">
        <v>1853</v>
      </c>
      <c r="M1155" s="11" t="s">
        <v>4149</v>
      </c>
      <c r="N1155" s="12" t="s">
        <v>4150</v>
      </c>
      <c r="O1155" s="11" t="s">
        <v>1858</v>
      </c>
      <c r="P1155" s="56"/>
    </row>
    <row r="1156" spans="1:16" ht="15.75" customHeight="1" x14ac:dyDescent="0.2">
      <c r="A1156" s="48">
        <v>571</v>
      </c>
      <c r="B1156" s="11" t="s">
        <v>1857</v>
      </c>
      <c r="C1156" s="11" t="s">
        <v>1849</v>
      </c>
      <c r="D1156" s="6" t="s">
        <v>1850</v>
      </c>
      <c r="E1156" s="12" t="s">
        <v>3531</v>
      </c>
      <c r="F1156" s="12" t="s">
        <v>3531</v>
      </c>
      <c r="G1156" s="12" t="s">
        <v>3550</v>
      </c>
      <c r="H1156" s="12" t="s">
        <v>3702</v>
      </c>
      <c r="I1156" s="12" t="s">
        <v>4151</v>
      </c>
      <c r="J1156" s="11" t="s">
        <v>1856</v>
      </c>
      <c r="K1156" s="11" t="s">
        <v>1852</v>
      </c>
      <c r="L1156" s="11" t="s">
        <v>1853</v>
      </c>
      <c r="M1156" s="11" t="s">
        <v>4152</v>
      </c>
      <c r="N1156" s="12"/>
      <c r="O1156" s="11" t="s">
        <v>1858</v>
      </c>
      <c r="P1156" s="56"/>
    </row>
    <row r="1157" spans="1:16" ht="15.75" customHeight="1" x14ac:dyDescent="0.2">
      <c r="A1157" s="48">
        <v>1002</v>
      </c>
      <c r="B1157" s="11" t="s">
        <v>1857</v>
      </c>
      <c r="C1157" s="11" t="s">
        <v>1849</v>
      </c>
      <c r="D1157" s="6" t="s">
        <v>1850</v>
      </c>
      <c r="E1157" s="12" t="s">
        <v>3531</v>
      </c>
      <c r="F1157" s="12" t="s">
        <v>3531</v>
      </c>
      <c r="G1157" s="12" t="s">
        <v>3544</v>
      </c>
      <c r="H1157" s="12" t="s">
        <v>3623</v>
      </c>
      <c r="I1157" s="12" t="s">
        <v>3199</v>
      </c>
      <c r="J1157" s="11" t="s">
        <v>1856</v>
      </c>
      <c r="K1157" s="11" t="s">
        <v>1852</v>
      </c>
      <c r="L1157" s="11" t="s">
        <v>1853</v>
      </c>
      <c r="M1157" s="11" t="s">
        <v>3696</v>
      </c>
      <c r="N1157" s="12" t="s">
        <v>4153</v>
      </c>
      <c r="O1157" s="11" t="s">
        <v>1860</v>
      </c>
      <c r="P1157" s="56"/>
    </row>
    <row r="1158" spans="1:16" ht="15.75" customHeight="1" x14ac:dyDescent="0.2">
      <c r="A1158" s="48">
        <v>987</v>
      </c>
      <c r="B1158" s="11" t="s">
        <v>1857</v>
      </c>
      <c r="C1158" s="11" t="s">
        <v>1849</v>
      </c>
      <c r="D1158" s="6" t="s">
        <v>1850</v>
      </c>
      <c r="E1158" s="12" t="s">
        <v>3531</v>
      </c>
      <c r="F1158" s="12" t="s">
        <v>3531</v>
      </c>
      <c r="G1158" s="12" t="s">
        <v>3544</v>
      </c>
      <c r="H1158" s="12" t="s">
        <v>3565</v>
      </c>
      <c r="I1158" s="12" t="s">
        <v>4154</v>
      </c>
      <c r="J1158" s="11" t="s">
        <v>1856</v>
      </c>
      <c r="K1158" s="11" t="s">
        <v>1852</v>
      </c>
      <c r="L1158" s="11" t="s">
        <v>1853</v>
      </c>
      <c r="M1158" s="11" t="s">
        <v>4155</v>
      </c>
      <c r="N1158" s="12"/>
      <c r="O1158" s="11" t="s">
        <v>1860</v>
      </c>
      <c r="P1158" s="56"/>
    </row>
    <row r="1159" spans="1:16" ht="15.75" customHeight="1" x14ac:dyDescent="0.2">
      <c r="A1159" s="48">
        <v>729</v>
      </c>
      <c r="B1159" s="11" t="s">
        <v>1857</v>
      </c>
      <c r="C1159" s="11" t="s">
        <v>1849</v>
      </c>
      <c r="D1159" s="6" t="s">
        <v>1850</v>
      </c>
      <c r="E1159" s="12" t="s">
        <v>3531</v>
      </c>
      <c r="F1159" s="12" t="s">
        <v>3531</v>
      </c>
      <c r="G1159" s="12" t="s">
        <v>3546</v>
      </c>
      <c r="H1159" s="12" t="s">
        <v>3548</v>
      </c>
      <c r="I1159" s="12" t="s">
        <v>4156</v>
      </c>
      <c r="J1159" s="11" t="s">
        <v>1856</v>
      </c>
      <c r="K1159" s="11" t="s">
        <v>1852</v>
      </c>
      <c r="L1159" s="11" t="s">
        <v>1853</v>
      </c>
      <c r="M1159" s="11" t="s">
        <v>4157</v>
      </c>
      <c r="N1159" s="12"/>
      <c r="O1159" s="11" t="s">
        <v>1858</v>
      </c>
      <c r="P1159" s="56"/>
    </row>
    <row r="1160" spans="1:16" ht="15.75" customHeight="1" x14ac:dyDescent="0.2">
      <c r="A1160" s="48">
        <v>986</v>
      </c>
      <c r="B1160" s="11" t="s">
        <v>1857</v>
      </c>
      <c r="C1160" s="11" t="s">
        <v>1849</v>
      </c>
      <c r="D1160" s="6" t="s">
        <v>1850</v>
      </c>
      <c r="E1160" s="12" t="s">
        <v>3531</v>
      </c>
      <c r="F1160" s="12" t="s">
        <v>3531</v>
      </c>
      <c r="G1160" s="12" t="s">
        <v>3544</v>
      </c>
      <c r="H1160" s="12" t="s">
        <v>3565</v>
      </c>
      <c r="I1160" s="12" t="s">
        <v>4158</v>
      </c>
      <c r="J1160" s="11" t="s">
        <v>1856</v>
      </c>
      <c r="K1160" s="11" t="s">
        <v>1852</v>
      </c>
      <c r="L1160" s="11" t="s">
        <v>1853</v>
      </c>
      <c r="M1160" s="11" t="s">
        <v>4159</v>
      </c>
      <c r="N1160" s="12" t="s">
        <v>4160</v>
      </c>
      <c r="O1160" s="11" t="s">
        <v>1860</v>
      </c>
      <c r="P1160" s="56"/>
    </row>
    <row r="1161" spans="1:16" ht="15.75" customHeight="1" x14ac:dyDescent="0.2">
      <c r="A1161" s="48">
        <v>917</v>
      </c>
      <c r="B1161" s="11" t="s">
        <v>1857</v>
      </c>
      <c r="C1161" s="11" t="s">
        <v>1849</v>
      </c>
      <c r="D1161" s="6" t="s">
        <v>1850</v>
      </c>
      <c r="E1161" s="12" t="s">
        <v>3531</v>
      </c>
      <c r="F1161" s="12" t="s">
        <v>3531</v>
      </c>
      <c r="G1161" s="12" t="s">
        <v>3544</v>
      </c>
      <c r="H1161" s="12" t="s">
        <v>3594</v>
      </c>
      <c r="I1161" s="12" t="s">
        <v>3223</v>
      </c>
      <c r="J1161" s="11" t="s">
        <v>1856</v>
      </c>
      <c r="K1161" s="11" t="s">
        <v>1852</v>
      </c>
      <c r="L1161" s="11" t="s">
        <v>1853</v>
      </c>
      <c r="M1161" s="11" t="s">
        <v>4161</v>
      </c>
      <c r="N1161" s="12"/>
      <c r="O1161" s="11" t="s">
        <v>1858</v>
      </c>
      <c r="P1161" s="56"/>
    </row>
    <row r="1162" spans="1:16" ht="15.75" customHeight="1" x14ac:dyDescent="0.2">
      <c r="A1162" s="48">
        <v>773</v>
      </c>
      <c r="B1162" s="11" t="s">
        <v>1857</v>
      </c>
      <c r="C1162" s="11" t="s">
        <v>1849</v>
      </c>
      <c r="D1162" s="6" t="s">
        <v>1850</v>
      </c>
      <c r="E1162" s="12" t="s">
        <v>3531</v>
      </c>
      <c r="F1162" s="12" t="s">
        <v>3531</v>
      </c>
      <c r="G1162" s="12" t="s">
        <v>3672</v>
      </c>
      <c r="H1162" s="12" t="s">
        <v>3730</v>
      </c>
      <c r="I1162" s="12" t="s">
        <v>4162</v>
      </c>
      <c r="J1162" s="11" t="s">
        <v>1856</v>
      </c>
      <c r="K1162" s="11" t="s">
        <v>1852</v>
      </c>
      <c r="L1162" s="11" t="s">
        <v>1853</v>
      </c>
      <c r="M1162" s="11" t="s">
        <v>4163</v>
      </c>
      <c r="N1162" s="12"/>
      <c r="O1162" s="11" t="s">
        <v>1858</v>
      </c>
      <c r="P1162" s="56"/>
    </row>
    <row r="1163" spans="1:16" ht="15.75" customHeight="1" x14ac:dyDescent="0.2">
      <c r="A1163" s="48">
        <v>670</v>
      </c>
      <c r="B1163" s="11" t="s">
        <v>1857</v>
      </c>
      <c r="C1163" s="11" t="s">
        <v>1849</v>
      </c>
      <c r="D1163" s="6" t="s">
        <v>1850</v>
      </c>
      <c r="E1163" s="12" t="s">
        <v>3531</v>
      </c>
      <c r="F1163" s="12" t="s">
        <v>3531</v>
      </c>
      <c r="G1163" s="12" t="s">
        <v>3532</v>
      </c>
      <c r="H1163" s="12" t="s">
        <v>3533</v>
      </c>
      <c r="I1163" s="12" t="s">
        <v>4164</v>
      </c>
      <c r="J1163" s="11" t="s">
        <v>1856</v>
      </c>
      <c r="K1163" s="11" t="s">
        <v>1852</v>
      </c>
      <c r="L1163" s="11" t="s">
        <v>1853</v>
      </c>
      <c r="M1163" s="11" t="s">
        <v>4165</v>
      </c>
      <c r="N1163" s="12"/>
      <c r="O1163" s="11" t="s">
        <v>1858</v>
      </c>
      <c r="P1163" s="56"/>
    </row>
    <row r="1164" spans="1:16" ht="15.75" customHeight="1" x14ac:dyDescent="0.2">
      <c r="A1164" s="48">
        <v>731</v>
      </c>
      <c r="B1164" s="11" t="s">
        <v>1857</v>
      </c>
      <c r="C1164" s="11" t="s">
        <v>1849</v>
      </c>
      <c r="D1164" s="6" t="s">
        <v>1850</v>
      </c>
      <c r="E1164" s="12" t="s">
        <v>3531</v>
      </c>
      <c r="F1164" s="12" t="s">
        <v>3531</v>
      </c>
      <c r="G1164" s="12" t="s">
        <v>3546</v>
      </c>
      <c r="H1164" s="12" t="s">
        <v>3605</v>
      </c>
      <c r="I1164" s="12" t="s">
        <v>4166</v>
      </c>
      <c r="J1164" s="11" t="s">
        <v>1856</v>
      </c>
      <c r="K1164" s="11" t="s">
        <v>1852</v>
      </c>
      <c r="L1164" s="11" t="s">
        <v>1853</v>
      </c>
      <c r="M1164" s="11" t="s">
        <v>2276</v>
      </c>
      <c r="N1164" s="12" t="s">
        <v>4167</v>
      </c>
      <c r="O1164" s="11" t="s">
        <v>1860</v>
      </c>
      <c r="P1164" s="56"/>
    </row>
    <row r="1165" spans="1:16" ht="15.75" customHeight="1" x14ac:dyDescent="0.2">
      <c r="A1165" s="48">
        <v>992</v>
      </c>
      <c r="B1165" s="11" t="s">
        <v>1857</v>
      </c>
      <c r="C1165" s="11" t="s">
        <v>1849</v>
      </c>
      <c r="D1165" s="6" t="s">
        <v>1850</v>
      </c>
      <c r="E1165" s="12" t="s">
        <v>3531</v>
      </c>
      <c r="F1165" s="12" t="s">
        <v>3531</v>
      </c>
      <c r="G1165" s="12" t="s">
        <v>3544</v>
      </c>
      <c r="H1165" s="12" t="s">
        <v>3565</v>
      </c>
      <c r="I1165" s="12" t="s">
        <v>4168</v>
      </c>
      <c r="J1165" s="11" t="s">
        <v>1856</v>
      </c>
      <c r="K1165" s="11" t="s">
        <v>1852</v>
      </c>
      <c r="L1165" s="11" t="s">
        <v>1853</v>
      </c>
      <c r="M1165" s="11" t="s">
        <v>4045</v>
      </c>
      <c r="N1165" s="12"/>
      <c r="O1165" s="11" t="s">
        <v>1860</v>
      </c>
      <c r="P1165" s="56"/>
    </row>
    <row r="1166" spans="1:16" ht="15.75" customHeight="1" x14ac:dyDescent="0.2">
      <c r="A1166" s="48">
        <v>947</v>
      </c>
      <c r="B1166" s="11" t="s">
        <v>1857</v>
      </c>
      <c r="C1166" s="11" t="s">
        <v>1849</v>
      </c>
      <c r="D1166" s="6" t="s">
        <v>1850</v>
      </c>
      <c r="E1166" s="12" t="s">
        <v>3531</v>
      </c>
      <c r="F1166" s="12" t="s">
        <v>3531</v>
      </c>
      <c r="G1166" s="12" t="s">
        <v>3544</v>
      </c>
      <c r="H1166" s="12" t="s">
        <v>3617</v>
      </c>
      <c r="I1166" s="12" t="s">
        <v>4169</v>
      </c>
      <c r="J1166" s="11" t="s">
        <v>1856</v>
      </c>
      <c r="K1166" s="11" t="s">
        <v>1852</v>
      </c>
      <c r="L1166" s="11" t="s">
        <v>1853</v>
      </c>
      <c r="M1166" s="11" t="s">
        <v>4170</v>
      </c>
      <c r="N1166" s="12" t="s">
        <v>4171</v>
      </c>
      <c r="O1166" s="11" t="s">
        <v>1858</v>
      </c>
      <c r="P1166" s="56"/>
    </row>
    <row r="1167" spans="1:16" ht="15.75" customHeight="1" x14ac:dyDescent="0.2">
      <c r="A1167" s="48">
        <v>943</v>
      </c>
      <c r="B1167" s="11" t="s">
        <v>1857</v>
      </c>
      <c r="C1167" s="11" t="s">
        <v>1849</v>
      </c>
      <c r="D1167" s="6" t="s">
        <v>1850</v>
      </c>
      <c r="E1167" s="12" t="s">
        <v>3531</v>
      </c>
      <c r="F1167" s="12" t="s">
        <v>3531</v>
      </c>
      <c r="G1167" s="12" t="s">
        <v>3544</v>
      </c>
      <c r="H1167" s="12" t="s">
        <v>3617</v>
      </c>
      <c r="I1167" s="12" t="s">
        <v>4172</v>
      </c>
      <c r="J1167" s="11" t="s">
        <v>1856</v>
      </c>
      <c r="K1167" s="11" t="s">
        <v>1852</v>
      </c>
      <c r="L1167" s="11" t="s">
        <v>1853</v>
      </c>
      <c r="M1167" s="11" t="s">
        <v>4173</v>
      </c>
      <c r="N1167" s="12"/>
      <c r="O1167" s="11" t="s">
        <v>1858</v>
      </c>
      <c r="P1167" s="56"/>
    </row>
    <row r="1168" spans="1:16" ht="15.75" customHeight="1" x14ac:dyDescent="0.2">
      <c r="A1168" s="48">
        <v>957</v>
      </c>
      <c r="B1168" s="11" t="s">
        <v>1857</v>
      </c>
      <c r="C1168" s="11" t="s">
        <v>1849</v>
      </c>
      <c r="D1168" s="6" t="s">
        <v>1850</v>
      </c>
      <c r="E1168" s="12" t="s">
        <v>3531</v>
      </c>
      <c r="F1168" s="12" t="s">
        <v>3531</v>
      </c>
      <c r="G1168" s="12" t="s">
        <v>3544</v>
      </c>
      <c r="H1168" s="12" t="s">
        <v>3565</v>
      </c>
      <c r="I1168" s="12" t="s">
        <v>4174</v>
      </c>
      <c r="J1168" s="11" t="s">
        <v>1856</v>
      </c>
      <c r="K1168" s="11" t="s">
        <v>1852</v>
      </c>
      <c r="L1168" s="11" t="s">
        <v>1853</v>
      </c>
      <c r="M1168" s="11" t="s">
        <v>3630</v>
      </c>
      <c r="N1168" s="12"/>
      <c r="O1168" s="11" t="s">
        <v>1858</v>
      </c>
      <c r="P1168" s="56"/>
    </row>
    <row r="1169" spans="1:16" ht="15.75" customHeight="1" x14ac:dyDescent="0.2">
      <c r="A1169" s="48">
        <v>696</v>
      </c>
      <c r="B1169" s="11" t="s">
        <v>1857</v>
      </c>
      <c r="C1169" s="11" t="s">
        <v>1849</v>
      </c>
      <c r="D1169" s="6" t="s">
        <v>1850</v>
      </c>
      <c r="E1169" s="12" t="s">
        <v>3531</v>
      </c>
      <c r="F1169" s="12" t="s">
        <v>3531</v>
      </c>
      <c r="G1169" s="12" t="s">
        <v>3546</v>
      </c>
      <c r="H1169" s="12" t="s">
        <v>3559</v>
      </c>
      <c r="I1169" s="12" t="s">
        <v>4175</v>
      </c>
      <c r="J1169" s="11" t="s">
        <v>1856</v>
      </c>
      <c r="K1169" s="11" t="s">
        <v>1852</v>
      </c>
      <c r="L1169" s="11" t="s">
        <v>1853</v>
      </c>
      <c r="M1169" s="11" t="s">
        <v>4176</v>
      </c>
      <c r="N1169" s="12"/>
      <c r="O1169" s="11" t="s">
        <v>1858</v>
      </c>
      <c r="P1169" s="56"/>
    </row>
    <row r="1170" spans="1:16" ht="15.75" customHeight="1" x14ac:dyDescent="0.2">
      <c r="A1170" s="48">
        <v>761</v>
      </c>
      <c r="B1170" s="11" t="s">
        <v>1857</v>
      </c>
      <c r="C1170" s="11" t="s">
        <v>1849</v>
      </c>
      <c r="D1170" s="6" t="s">
        <v>1850</v>
      </c>
      <c r="E1170" s="12" t="s">
        <v>3531</v>
      </c>
      <c r="F1170" s="12" t="s">
        <v>3531</v>
      </c>
      <c r="G1170" s="12" t="s">
        <v>3672</v>
      </c>
      <c r="H1170" s="12" t="s">
        <v>4177</v>
      </c>
      <c r="I1170" s="12" t="s">
        <v>4178</v>
      </c>
      <c r="J1170" s="11" t="s">
        <v>1856</v>
      </c>
      <c r="K1170" s="11" t="s">
        <v>1852</v>
      </c>
      <c r="L1170" s="11" t="s">
        <v>1853</v>
      </c>
      <c r="M1170" s="11" t="s">
        <v>1854</v>
      </c>
      <c r="N1170" s="12"/>
      <c r="O1170" s="11" t="s">
        <v>1858</v>
      </c>
      <c r="P1170" s="56"/>
    </row>
    <row r="1171" spans="1:16" ht="15.75" customHeight="1" x14ac:dyDescent="0.2">
      <c r="A1171" s="48">
        <v>809</v>
      </c>
      <c r="B1171" s="11" t="s">
        <v>1857</v>
      </c>
      <c r="C1171" s="11" t="s">
        <v>1849</v>
      </c>
      <c r="D1171" s="6" t="s">
        <v>1850</v>
      </c>
      <c r="E1171" s="12" t="s">
        <v>3531</v>
      </c>
      <c r="F1171" s="12" t="s">
        <v>3531</v>
      </c>
      <c r="G1171" s="12" t="s">
        <v>3599</v>
      </c>
      <c r="H1171" s="12" t="s">
        <v>1918</v>
      </c>
      <c r="I1171" s="12" t="s">
        <v>4179</v>
      </c>
      <c r="J1171" s="11" t="s">
        <v>1856</v>
      </c>
      <c r="K1171" s="11" t="s">
        <v>1852</v>
      </c>
      <c r="L1171" s="11" t="s">
        <v>1853</v>
      </c>
      <c r="M1171" s="11" t="s">
        <v>1854</v>
      </c>
      <c r="N1171" s="12"/>
      <c r="O1171" s="11" t="s">
        <v>1858</v>
      </c>
      <c r="P1171" s="56"/>
    </row>
    <row r="1172" spans="1:16" ht="15.75" customHeight="1" x14ac:dyDescent="0.2">
      <c r="A1172" s="48">
        <v>15400</v>
      </c>
      <c r="B1172" s="11" t="s">
        <v>1871</v>
      </c>
      <c r="C1172" s="11" t="s">
        <v>1849</v>
      </c>
      <c r="D1172" s="6" t="s">
        <v>1850</v>
      </c>
      <c r="E1172" s="12" t="s">
        <v>3531</v>
      </c>
      <c r="F1172" s="12" t="s">
        <v>3531</v>
      </c>
      <c r="G1172" s="12" t="s">
        <v>3550</v>
      </c>
      <c r="H1172" s="12" t="s">
        <v>3743</v>
      </c>
      <c r="I1172" s="12" t="s">
        <v>3580</v>
      </c>
      <c r="J1172" s="11" t="s">
        <v>1856</v>
      </c>
      <c r="K1172" s="11" t="s">
        <v>1852</v>
      </c>
      <c r="L1172" s="11" t="s">
        <v>1853</v>
      </c>
      <c r="M1172" s="11" t="s">
        <v>1854</v>
      </c>
      <c r="N1172" s="12"/>
      <c r="O1172" s="11" t="s">
        <v>1859</v>
      </c>
      <c r="P1172" s="56"/>
    </row>
    <row r="1173" spans="1:16" ht="15.75" customHeight="1" x14ac:dyDescent="0.2">
      <c r="A1173" s="48">
        <v>15616</v>
      </c>
      <c r="B1173" s="11" t="s">
        <v>1871</v>
      </c>
      <c r="C1173" s="11" t="s">
        <v>1849</v>
      </c>
      <c r="D1173" s="6" t="s">
        <v>1850</v>
      </c>
      <c r="E1173" s="12" t="s">
        <v>3531</v>
      </c>
      <c r="F1173" s="12" t="s">
        <v>3531</v>
      </c>
      <c r="G1173" s="12" t="s">
        <v>3544</v>
      </c>
      <c r="H1173" s="12" t="s">
        <v>3565</v>
      </c>
      <c r="I1173" s="12" t="s">
        <v>3615</v>
      </c>
      <c r="J1173" s="11" t="s">
        <v>1856</v>
      </c>
      <c r="K1173" s="11" t="s">
        <v>1852</v>
      </c>
      <c r="L1173" s="11" t="s">
        <v>1853</v>
      </c>
      <c r="M1173" s="11" t="s">
        <v>1854</v>
      </c>
      <c r="N1173" s="12"/>
      <c r="O1173" s="11" t="s">
        <v>3016</v>
      </c>
      <c r="P1173" s="56" t="s">
        <v>2323</v>
      </c>
    </row>
    <row r="1174" spans="1:16" ht="15.75" customHeight="1" x14ac:dyDescent="0.2">
      <c r="A1174" s="48">
        <v>5621</v>
      </c>
      <c r="B1174" s="11" t="s">
        <v>1871</v>
      </c>
      <c r="C1174" s="11" t="s">
        <v>1849</v>
      </c>
      <c r="D1174" s="6" t="s">
        <v>1850</v>
      </c>
      <c r="E1174" s="12" t="s">
        <v>3531</v>
      </c>
      <c r="F1174" s="12" t="s">
        <v>3531</v>
      </c>
      <c r="G1174" s="12" t="s">
        <v>3532</v>
      </c>
      <c r="H1174" s="12" t="s">
        <v>3783</v>
      </c>
      <c r="I1174" s="12" t="s">
        <v>4180</v>
      </c>
      <c r="J1174" s="11" t="s">
        <v>1851</v>
      </c>
      <c r="K1174" s="11" t="s">
        <v>1852</v>
      </c>
      <c r="L1174" s="11" t="s">
        <v>1853</v>
      </c>
      <c r="M1174" s="11" t="s">
        <v>1854</v>
      </c>
      <c r="N1174" s="12"/>
      <c r="O1174" s="11" t="s">
        <v>2022</v>
      </c>
      <c r="P1174" s="56" t="s">
        <v>2323</v>
      </c>
    </row>
    <row r="1175" spans="1:16" ht="15.75" customHeight="1" x14ac:dyDescent="0.2">
      <c r="A1175" s="48">
        <v>16123</v>
      </c>
      <c r="B1175" s="11" t="s">
        <v>1871</v>
      </c>
      <c r="C1175" s="11" t="s">
        <v>1849</v>
      </c>
      <c r="D1175" s="6" t="s">
        <v>1850</v>
      </c>
      <c r="E1175" s="12" t="s">
        <v>3531</v>
      </c>
      <c r="F1175" s="12" t="s">
        <v>3531</v>
      </c>
      <c r="G1175" s="12" t="s">
        <v>3532</v>
      </c>
      <c r="H1175" s="12" t="s">
        <v>3727</v>
      </c>
      <c r="I1175" s="12" t="s">
        <v>4181</v>
      </c>
      <c r="J1175" s="11" t="s">
        <v>1856</v>
      </c>
      <c r="K1175" s="11" t="s">
        <v>1852</v>
      </c>
      <c r="L1175" s="11" t="s">
        <v>1853</v>
      </c>
      <c r="M1175" s="11" t="s">
        <v>1854</v>
      </c>
      <c r="N1175" s="12"/>
      <c r="O1175" s="11" t="s">
        <v>1854</v>
      </c>
      <c r="P1175" s="56"/>
    </row>
    <row r="1176" spans="1:16" ht="15.75" customHeight="1" x14ac:dyDescent="0.2">
      <c r="A1176" s="48">
        <v>15104</v>
      </c>
      <c r="B1176" s="11" t="s">
        <v>1871</v>
      </c>
      <c r="C1176" s="11" t="s">
        <v>1849</v>
      </c>
      <c r="D1176" s="6" t="s">
        <v>1850</v>
      </c>
      <c r="E1176" s="12" t="s">
        <v>3531</v>
      </c>
      <c r="F1176" s="12" t="s">
        <v>3531</v>
      </c>
      <c r="G1176" s="12" t="s">
        <v>3546</v>
      </c>
      <c r="H1176" s="12" t="s">
        <v>3546</v>
      </c>
      <c r="I1176" s="12" t="s">
        <v>4182</v>
      </c>
      <c r="J1176" s="11" t="s">
        <v>1851</v>
      </c>
      <c r="K1176" s="11" t="s">
        <v>1852</v>
      </c>
      <c r="L1176" s="11" t="s">
        <v>1853</v>
      </c>
      <c r="M1176" s="11" t="s">
        <v>1854</v>
      </c>
      <c r="N1176" s="12"/>
      <c r="O1176" s="11" t="s">
        <v>1859</v>
      </c>
      <c r="P1176" s="56"/>
    </row>
    <row r="1177" spans="1:16" ht="15.75" customHeight="1" x14ac:dyDescent="0.2">
      <c r="A1177" s="48">
        <v>15114</v>
      </c>
      <c r="B1177" s="11" t="s">
        <v>1871</v>
      </c>
      <c r="C1177" s="11" t="s">
        <v>1849</v>
      </c>
      <c r="D1177" s="6" t="s">
        <v>1850</v>
      </c>
      <c r="E1177" s="12" t="s">
        <v>3531</v>
      </c>
      <c r="F1177" s="12" t="s">
        <v>3531</v>
      </c>
      <c r="G1177" s="12" t="s">
        <v>3599</v>
      </c>
      <c r="H1177" s="12" t="s">
        <v>3706</v>
      </c>
      <c r="I1177" s="12" t="s">
        <v>4183</v>
      </c>
      <c r="J1177" s="11" t="s">
        <v>1851</v>
      </c>
      <c r="K1177" s="11" t="s">
        <v>1852</v>
      </c>
      <c r="L1177" s="11" t="s">
        <v>1853</v>
      </c>
      <c r="M1177" s="11" t="s">
        <v>1854</v>
      </c>
      <c r="N1177" s="12"/>
      <c r="O1177" s="11" t="s">
        <v>1859</v>
      </c>
      <c r="P1177" s="56"/>
    </row>
    <row r="1178" spans="1:16" ht="15.75" customHeight="1" x14ac:dyDescent="0.2">
      <c r="A1178" s="48">
        <v>15401</v>
      </c>
      <c r="B1178" s="11" t="s">
        <v>1871</v>
      </c>
      <c r="C1178" s="11" t="s">
        <v>1849</v>
      </c>
      <c r="D1178" s="6" t="s">
        <v>1850</v>
      </c>
      <c r="E1178" s="12" t="s">
        <v>3531</v>
      </c>
      <c r="F1178" s="12" t="s">
        <v>3531</v>
      </c>
      <c r="G1178" s="12" t="s">
        <v>3599</v>
      </c>
      <c r="H1178" s="12" t="s">
        <v>4184</v>
      </c>
      <c r="I1178" s="12" t="s">
        <v>4185</v>
      </c>
      <c r="J1178" s="11" t="s">
        <v>1856</v>
      </c>
      <c r="K1178" s="11" t="s">
        <v>1852</v>
      </c>
      <c r="L1178" s="11" t="s">
        <v>1853</v>
      </c>
      <c r="M1178" s="11" t="s">
        <v>1854</v>
      </c>
      <c r="N1178" s="12"/>
      <c r="O1178" s="11" t="s">
        <v>1859</v>
      </c>
      <c r="P1178" s="56"/>
    </row>
    <row r="1179" spans="1:16" ht="15.75" customHeight="1" x14ac:dyDescent="0.2">
      <c r="A1179" s="48">
        <v>15615</v>
      </c>
      <c r="B1179" s="11" t="s">
        <v>1871</v>
      </c>
      <c r="C1179" s="11" t="s">
        <v>1849</v>
      </c>
      <c r="D1179" s="6" t="s">
        <v>1850</v>
      </c>
      <c r="E1179" s="12" t="s">
        <v>3531</v>
      </c>
      <c r="F1179" s="12" t="s">
        <v>3531</v>
      </c>
      <c r="G1179" s="12" t="s">
        <v>3544</v>
      </c>
      <c r="H1179" s="12" t="s">
        <v>3565</v>
      </c>
      <c r="I1179" s="12" t="s">
        <v>4186</v>
      </c>
      <c r="J1179" s="11" t="s">
        <v>1856</v>
      </c>
      <c r="K1179" s="11" t="s">
        <v>1852</v>
      </c>
      <c r="L1179" s="11" t="s">
        <v>1853</v>
      </c>
      <c r="M1179" s="11" t="s">
        <v>1854</v>
      </c>
      <c r="N1179" s="12"/>
      <c r="O1179" s="11" t="s">
        <v>3016</v>
      </c>
      <c r="P1179" s="56" t="s">
        <v>2323</v>
      </c>
    </row>
    <row r="1180" spans="1:16" ht="15.75" customHeight="1" x14ac:dyDescent="0.2">
      <c r="A1180" s="48">
        <v>601</v>
      </c>
      <c r="B1180" s="11" t="s">
        <v>1871</v>
      </c>
      <c r="C1180" s="11" t="s">
        <v>1849</v>
      </c>
      <c r="D1180" s="6" t="s">
        <v>1850</v>
      </c>
      <c r="E1180" s="12" t="s">
        <v>3531</v>
      </c>
      <c r="F1180" s="12" t="s">
        <v>3531</v>
      </c>
      <c r="G1180" s="12" t="s">
        <v>3532</v>
      </c>
      <c r="H1180" s="12" t="s">
        <v>3532</v>
      </c>
      <c r="I1180" s="12" t="s">
        <v>4187</v>
      </c>
      <c r="J1180" s="11" t="s">
        <v>1851</v>
      </c>
      <c r="K1180" s="11" t="s">
        <v>1852</v>
      </c>
      <c r="L1180" s="11" t="s">
        <v>1853</v>
      </c>
      <c r="M1180" s="11" t="s">
        <v>1854</v>
      </c>
      <c r="N1180" s="12"/>
      <c r="O1180" s="11" t="s">
        <v>2022</v>
      </c>
      <c r="P1180" s="56" t="s">
        <v>2323</v>
      </c>
    </row>
    <row r="1181" spans="1:16" ht="15.75" customHeight="1" x14ac:dyDescent="0.2">
      <c r="A1181" s="48">
        <v>822</v>
      </c>
      <c r="B1181" s="11" t="s">
        <v>1871</v>
      </c>
      <c r="C1181" s="11" t="s">
        <v>1849</v>
      </c>
      <c r="D1181" s="6" t="s">
        <v>1850</v>
      </c>
      <c r="E1181" s="12" t="s">
        <v>3531</v>
      </c>
      <c r="F1181" s="12" t="s">
        <v>3531</v>
      </c>
      <c r="G1181" s="12" t="s">
        <v>3544</v>
      </c>
      <c r="H1181" s="12" t="s">
        <v>3544</v>
      </c>
      <c r="I1181" s="12" t="s">
        <v>4188</v>
      </c>
      <c r="J1181" s="11" t="s">
        <v>1851</v>
      </c>
      <c r="K1181" s="11" t="s">
        <v>1852</v>
      </c>
      <c r="L1181" s="11" t="s">
        <v>1853</v>
      </c>
      <c r="M1181" s="11" t="s">
        <v>1854</v>
      </c>
      <c r="N1181" s="12"/>
      <c r="O1181" s="11" t="s">
        <v>1866</v>
      </c>
      <c r="P1181" s="56" t="s">
        <v>3343</v>
      </c>
    </row>
    <row r="1182" spans="1:16" ht="15.75" customHeight="1" x14ac:dyDescent="0.2">
      <c r="A1182" s="48">
        <v>15112</v>
      </c>
      <c r="B1182" s="11" t="s">
        <v>1871</v>
      </c>
      <c r="C1182" s="11" t="s">
        <v>1849</v>
      </c>
      <c r="D1182" s="6" t="s">
        <v>1850</v>
      </c>
      <c r="E1182" s="12" t="s">
        <v>3531</v>
      </c>
      <c r="F1182" s="12" t="s">
        <v>3531</v>
      </c>
      <c r="G1182" s="12" t="s">
        <v>3544</v>
      </c>
      <c r="H1182" s="12" t="s">
        <v>3544</v>
      </c>
      <c r="I1182" s="12" t="s">
        <v>4189</v>
      </c>
      <c r="J1182" s="11" t="s">
        <v>1851</v>
      </c>
      <c r="K1182" s="11" t="s">
        <v>1852</v>
      </c>
      <c r="L1182" s="11" t="s">
        <v>1853</v>
      </c>
      <c r="M1182" s="11" t="s">
        <v>1854</v>
      </c>
      <c r="N1182" s="12"/>
      <c r="O1182" s="11" t="s">
        <v>1859</v>
      </c>
      <c r="P1182" s="56"/>
    </row>
    <row r="1183" spans="1:16" ht="15.75" customHeight="1" x14ac:dyDescent="0.2">
      <c r="A1183" s="48">
        <v>15402</v>
      </c>
      <c r="B1183" s="11" t="s">
        <v>1871</v>
      </c>
      <c r="C1183" s="11" t="s">
        <v>1849</v>
      </c>
      <c r="D1183" s="6" t="s">
        <v>1850</v>
      </c>
      <c r="E1183" s="12" t="s">
        <v>3531</v>
      </c>
      <c r="F1183" s="12" t="s">
        <v>3531</v>
      </c>
      <c r="G1183" s="12" t="s">
        <v>3550</v>
      </c>
      <c r="H1183" s="12" t="s">
        <v>3555</v>
      </c>
      <c r="I1183" s="12" t="s">
        <v>4190</v>
      </c>
      <c r="J1183" s="11" t="s">
        <v>1851</v>
      </c>
      <c r="K1183" s="11" t="s">
        <v>1852</v>
      </c>
      <c r="L1183" s="11" t="s">
        <v>1853</v>
      </c>
      <c r="M1183" s="11" t="s">
        <v>1854</v>
      </c>
      <c r="N1183" s="12"/>
      <c r="O1183" s="11" t="s">
        <v>1859</v>
      </c>
      <c r="P1183" s="56"/>
    </row>
    <row r="1184" spans="1:16" ht="15.75" customHeight="1" x14ac:dyDescent="0.2">
      <c r="A1184" s="48">
        <v>15620</v>
      </c>
      <c r="B1184" s="11" t="s">
        <v>1871</v>
      </c>
      <c r="C1184" s="11" t="s">
        <v>1849</v>
      </c>
      <c r="D1184" s="6" t="s">
        <v>1850</v>
      </c>
      <c r="E1184" s="12" t="s">
        <v>3531</v>
      </c>
      <c r="F1184" s="12" t="s">
        <v>3531</v>
      </c>
      <c r="G1184" s="12" t="s">
        <v>3550</v>
      </c>
      <c r="H1184" s="12" t="s">
        <v>2624</v>
      </c>
      <c r="I1184" s="12" t="s">
        <v>4191</v>
      </c>
      <c r="J1184" s="11" t="s">
        <v>1851</v>
      </c>
      <c r="K1184" s="11" t="s">
        <v>1852</v>
      </c>
      <c r="L1184" s="11" t="s">
        <v>1853</v>
      </c>
      <c r="M1184" s="11" t="s">
        <v>1854</v>
      </c>
      <c r="N1184" s="12"/>
      <c r="O1184" s="11" t="s">
        <v>1854</v>
      </c>
      <c r="P1184" s="56"/>
    </row>
    <row r="1185" spans="1:16" ht="15.75" customHeight="1" x14ac:dyDescent="0.2">
      <c r="A1185" s="48">
        <v>15392</v>
      </c>
      <c r="B1185" s="11" t="s">
        <v>1871</v>
      </c>
      <c r="C1185" s="11" t="s">
        <v>1849</v>
      </c>
      <c r="D1185" s="6" t="s">
        <v>1850</v>
      </c>
      <c r="E1185" s="12" t="s">
        <v>3531</v>
      </c>
      <c r="F1185" s="12" t="s">
        <v>3531</v>
      </c>
      <c r="G1185" s="12" t="s">
        <v>3544</v>
      </c>
      <c r="H1185" s="12" t="s">
        <v>3676</v>
      </c>
      <c r="I1185" s="12" t="s">
        <v>4192</v>
      </c>
      <c r="J1185" s="11" t="s">
        <v>1856</v>
      </c>
      <c r="K1185" s="11" t="s">
        <v>1852</v>
      </c>
      <c r="L1185" s="11" t="s">
        <v>1853</v>
      </c>
      <c r="M1185" s="11" t="s">
        <v>1854</v>
      </c>
      <c r="N1185" s="12"/>
      <c r="O1185" s="11" t="s">
        <v>1872</v>
      </c>
      <c r="P1185" s="56"/>
    </row>
    <row r="1186" spans="1:16" ht="15.75" customHeight="1" x14ac:dyDescent="0.2">
      <c r="A1186" s="48">
        <v>15109</v>
      </c>
      <c r="B1186" s="11" t="s">
        <v>1871</v>
      </c>
      <c r="C1186" s="11" t="s">
        <v>1849</v>
      </c>
      <c r="D1186" s="6" t="s">
        <v>1850</v>
      </c>
      <c r="E1186" s="12" t="s">
        <v>3531</v>
      </c>
      <c r="F1186" s="12" t="s">
        <v>3531</v>
      </c>
      <c r="G1186" s="12" t="s">
        <v>3599</v>
      </c>
      <c r="H1186" s="12" t="s">
        <v>4184</v>
      </c>
      <c r="I1186" s="12" t="s">
        <v>4193</v>
      </c>
      <c r="J1186" s="11" t="s">
        <v>1856</v>
      </c>
      <c r="K1186" s="11" t="s">
        <v>1852</v>
      </c>
      <c r="L1186" s="11" t="s">
        <v>1853</v>
      </c>
      <c r="M1186" s="11" t="s">
        <v>1854</v>
      </c>
      <c r="N1186" s="12"/>
      <c r="O1186" s="11" t="s">
        <v>1859</v>
      </c>
      <c r="P1186" s="56"/>
    </row>
    <row r="1187" spans="1:16" ht="15.75" customHeight="1" x14ac:dyDescent="0.2">
      <c r="A1187" s="48">
        <v>15394</v>
      </c>
      <c r="B1187" s="11" t="s">
        <v>1871</v>
      </c>
      <c r="C1187" s="11" t="s">
        <v>1849</v>
      </c>
      <c r="D1187" s="6" t="s">
        <v>1850</v>
      </c>
      <c r="E1187" s="12" t="s">
        <v>3531</v>
      </c>
      <c r="F1187" s="12" t="s">
        <v>3531</v>
      </c>
      <c r="G1187" s="12" t="s">
        <v>3672</v>
      </c>
      <c r="H1187" s="12" t="s">
        <v>4194</v>
      </c>
      <c r="I1187" s="12" t="s">
        <v>3072</v>
      </c>
      <c r="J1187" s="11" t="s">
        <v>1856</v>
      </c>
      <c r="K1187" s="11" t="s">
        <v>1852</v>
      </c>
      <c r="L1187" s="11" t="s">
        <v>1853</v>
      </c>
      <c r="M1187" s="11" t="s">
        <v>1854</v>
      </c>
      <c r="N1187" s="12"/>
      <c r="O1187" s="11" t="s">
        <v>2022</v>
      </c>
      <c r="P1187" s="56" t="s">
        <v>2323</v>
      </c>
    </row>
    <row r="1188" spans="1:16" ht="15.75" customHeight="1" x14ac:dyDescent="0.2">
      <c r="A1188" s="48">
        <v>15100</v>
      </c>
      <c r="B1188" s="11" t="s">
        <v>1871</v>
      </c>
      <c r="C1188" s="11" t="s">
        <v>1849</v>
      </c>
      <c r="D1188" s="6" t="s">
        <v>1850</v>
      </c>
      <c r="E1188" s="12" t="s">
        <v>3531</v>
      </c>
      <c r="F1188" s="12" t="s">
        <v>3531</v>
      </c>
      <c r="G1188" s="12" t="s">
        <v>3544</v>
      </c>
      <c r="H1188" s="12" t="s">
        <v>3544</v>
      </c>
      <c r="I1188" s="12" t="s">
        <v>4195</v>
      </c>
      <c r="J1188" s="11" t="s">
        <v>1851</v>
      </c>
      <c r="K1188" s="11" t="s">
        <v>1852</v>
      </c>
      <c r="L1188" s="11" t="s">
        <v>1853</v>
      </c>
      <c r="M1188" s="11" t="s">
        <v>1854</v>
      </c>
      <c r="N1188" s="12"/>
      <c r="O1188" s="11" t="s">
        <v>1859</v>
      </c>
      <c r="P1188" s="56"/>
    </row>
    <row r="1189" spans="1:16" ht="15.75" customHeight="1" x14ac:dyDescent="0.2">
      <c r="A1189" s="48">
        <v>15947</v>
      </c>
      <c r="B1189" s="11" t="s">
        <v>1871</v>
      </c>
      <c r="C1189" s="11" t="s">
        <v>1849</v>
      </c>
      <c r="D1189" s="6" t="s">
        <v>1850</v>
      </c>
      <c r="E1189" s="12" t="s">
        <v>3531</v>
      </c>
      <c r="F1189" s="12" t="s">
        <v>3531</v>
      </c>
      <c r="G1189" s="12" t="s">
        <v>3544</v>
      </c>
      <c r="H1189" s="12" t="s">
        <v>3617</v>
      </c>
      <c r="I1189" s="12" t="s">
        <v>4196</v>
      </c>
      <c r="J1189" s="11" t="s">
        <v>1856</v>
      </c>
      <c r="K1189" s="11" t="s">
        <v>1852</v>
      </c>
      <c r="L1189" s="11" t="s">
        <v>1853</v>
      </c>
      <c r="M1189" s="11" t="s">
        <v>1854</v>
      </c>
      <c r="N1189" s="12"/>
      <c r="O1189" s="11" t="s">
        <v>3016</v>
      </c>
      <c r="P1189" s="56" t="s">
        <v>2323</v>
      </c>
    </row>
    <row r="1190" spans="1:16" ht="15.75" customHeight="1" x14ac:dyDescent="0.2">
      <c r="A1190" s="48">
        <v>15948</v>
      </c>
      <c r="B1190" s="11" t="s">
        <v>1871</v>
      </c>
      <c r="C1190" s="11" t="s">
        <v>1849</v>
      </c>
      <c r="D1190" s="6" t="s">
        <v>1850</v>
      </c>
      <c r="E1190" s="12" t="s">
        <v>3531</v>
      </c>
      <c r="F1190" s="12" t="s">
        <v>3531</v>
      </c>
      <c r="G1190" s="12" t="s">
        <v>3544</v>
      </c>
      <c r="H1190" s="12" t="s">
        <v>3531</v>
      </c>
      <c r="I1190" s="12" t="s">
        <v>4197</v>
      </c>
      <c r="J1190" s="11" t="s">
        <v>1856</v>
      </c>
      <c r="K1190" s="11" t="s">
        <v>1852</v>
      </c>
      <c r="L1190" s="11" t="s">
        <v>1853</v>
      </c>
      <c r="M1190" s="11" t="s">
        <v>1854</v>
      </c>
      <c r="N1190" s="12"/>
      <c r="O1190" s="11" t="s">
        <v>1854</v>
      </c>
      <c r="P1190" s="56"/>
    </row>
    <row r="1191" spans="1:16" ht="15.75" customHeight="1" x14ac:dyDescent="0.2">
      <c r="A1191" s="48">
        <v>15098</v>
      </c>
      <c r="B1191" s="11" t="s">
        <v>1871</v>
      </c>
      <c r="C1191" s="11" t="s">
        <v>1849</v>
      </c>
      <c r="D1191" s="6" t="s">
        <v>1850</v>
      </c>
      <c r="E1191" s="12" t="s">
        <v>3531</v>
      </c>
      <c r="F1191" s="12" t="s">
        <v>3531</v>
      </c>
      <c r="G1191" s="12" t="s">
        <v>3550</v>
      </c>
      <c r="H1191" s="12" t="s">
        <v>3550</v>
      </c>
      <c r="I1191" s="12" t="s">
        <v>4198</v>
      </c>
      <c r="J1191" s="11" t="s">
        <v>1851</v>
      </c>
      <c r="K1191" s="11" t="s">
        <v>1852</v>
      </c>
      <c r="L1191" s="11" t="s">
        <v>1853</v>
      </c>
      <c r="M1191" s="11" t="s">
        <v>1854</v>
      </c>
      <c r="N1191" s="12"/>
      <c r="O1191" s="11" t="s">
        <v>1859</v>
      </c>
      <c r="P1191" s="56"/>
    </row>
    <row r="1192" spans="1:16" ht="15.75" customHeight="1" x14ac:dyDescent="0.2">
      <c r="A1192" s="48">
        <v>15099</v>
      </c>
      <c r="B1192" s="11" t="s">
        <v>1871</v>
      </c>
      <c r="C1192" s="11" t="s">
        <v>1849</v>
      </c>
      <c r="D1192" s="6" t="s">
        <v>1850</v>
      </c>
      <c r="E1192" s="12" t="s">
        <v>3531</v>
      </c>
      <c r="F1192" s="12" t="s">
        <v>3531</v>
      </c>
      <c r="G1192" s="12" t="s">
        <v>3544</v>
      </c>
      <c r="H1192" s="12" t="s">
        <v>3544</v>
      </c>
      <c r="I1192" s="12" t="s">
        <v>4199</v>
      </c>
      <c r="J1192" s="11" t="s">
        <v>1856</v>
      </c>
      <c r="K1192" s="11" t="s">
        <v>1852</v>
      </c>
      <c r="L1192" s="11" t="s">
        <v>1853</v>
      </c>
      <c r="M1192" s="11" t="s">
        <v>1854</v>
      </c>
      <c r="N1192" s="12"/>
      <c r="O1192" s="11" t="s">
        <v>1859</v>
      </c>
      <c r="P1192" s="56"/>
    </row>
    <row r="1193" spans="1:16" ht="15.75" customHeight="1" x14ac:dyDescent="0.2">
      <c r="A1193" s="48">
        <v>15617</v>
      </c>
      <c r="B1193" s="11" t="s">
        <v>1871</v>
      </c>
      <c r="C1193" s="11" t="s">
        <v>1849</v>
      </c>
      <c r="D1193" s="6" t="s">
        <v>1850</v>
      </c>
      <c r="E1193" s="12" t="s">
        <v>3531</v>
      </c>
      <c r="F1193" s="12" t="s">
        <v>3531</v>
      </c>
      <c r="G1193" s="12" t="s">
        <v>3672</v>
      </c>
      <c r="H1193" s="12" t="s">
        <v>4194</v>
      </c>
      <c r="I1193" s="12" t="s">
        <v>4200</v>
      </c>
      <c r="J1193" s="11" t="s">
        <v>1856</v>
      </c>
      <c r="K1193" s="11" t="s">
        <v>1852</v>
      </c>
      <c r="L1193" s="11" t="s">
        <v>1853</v>
      </c>
      <c r="M1193" s="11" t="s">
        <v>1854</v>
      </c>
      <c r="N1193" s="12"/>
      <c r="O1193" s="11" t="s">
        <v>2022</v>
      </c>
      <c r="P1193" s="56" t="s">
        <v>2323</v>
      </c>
    </row>
    <row r="1194" spans="1:16" ht="15.75" customHeight="1" x14ac:dyDescent="0.2">
      <c r="A1194" s="48">
        <v>552</v>
      </c>
      <c r="B1194" s="11" t="s">
        <v>1871</v>
      </c>
      <c r="C1194" s="11" t="s">
        <v>1849</v>
      </c>
      <c r="D1194" s="6" t="s">
        <v>1850</v>
      </c>
      <c r="E1194" s="12" t="s">
        <v>3531</v>
      </c>
      <c r="F1194" s="12" t="s">
        <v>3531</v>
      </c>
      <c r="G1194" s="12" t="s">
        <v>3550</v>
      </c>
      <c r="H1194" s="12" t="s">
        <v>3550</v>
      </c>
      <c r="I1194" s="12" t="s">
        <v>4201</v>
      </c>
      <c r="J1194" s="11" t="s">
        <v>1851</v>
      </c>
      <c r="K1194" s="11" t="s">
        <v>1852</v>
      </c>
      <c r="L1194" s="11" t="s">
        <v>1853</v>
      </c>
      <c r="M1194" s="11" t="s">
        <v>1854</v>
      </c>
      <c r="N1194" s="12"/>
      <c r="O1194" s="11" t="s">
        <v>1866</v>
      </c>
      <c r="P1194" s="56" t="s">
        <v>3343</v>
      </c>
    </row>
    <row r="1195" spans="1:16" ht="15.75" customHeight="1" x14ac:dyDescent="0.2">
      <c r="A1195" s="48">
        <v>15619</v>
      </c>
      <c r="B1195" s="11" t="s">
        <v>1871</v>
      </c>
      <c r="C1195" s="11" t="s">
        <v>1849</v>
      </c>
      <c r="D1195" s="6" t="s">
        <v>1850</v>
      </c>
      <c r="E1195" s="12" t="s">
        <v>3531</v>
      </c>
      <c r="F1195" s="12" t="s">
        <v>3531</v>
      </c>
      <c r="G1195" s="12" t="s">
        <v>3544</v>
      </c>
      <c r="H1195" s="12" t="s">
        <v>3531</v>
      </c>
      <c r="I1195" s="12" t="s">
        <v>4202</v>
      </c>
      <c r="J1195" s="11" t="s">
        <v>1856</v>
      </c>
      <c r="K1195" s="11" t="s">
        <v>1852</v>
      </c>
      <c r="L1195" s="11" t="s">
        <v>1853</v>
      </c>
      <c r="M1195" s="11" t="s">
        <v>1854</v>
      </c>
      <c r="N1195" s="12"/>
      <c r="O1195" s="11" t="s">
        <v>2755</v>
      </c>
      <c r="P1195" s="56"/>
    </row>
    <row r="1196" spans="1:16" ht="15.75" customHeight="1" x14ac:dyDescent="0.2">
      <c r="A1196" s="48">
        <v>15403</v>
      </c>
      <c r="B1196" s="11" t="s">
        <v>1871</v>
      </c>
      <c r="C1196" s="11" t="s">
        <v>1849</v>
      </c>
      <c r="D1196" s="6" t="s">
        <v>1850</v>
      </c>
      <c r="E1196" s="12" t="s">
        <v>3531</v>
      </c>
      <c r="F1196" s="12" t="s">
        <v>3531</v>
      </c>
      <c r="G1196" s="12" t="s">
        <v>3550</v>
      </c>
      <c r="H1196" s="12" t="s">
        <v>3743</v>
      </c>
      <c r="I1196" s="12" t="s">
        <v>4203</v>
      </c>
      <c r="J1196" s="11" t="s">
        <v>1851</v>
      </c>
      <c r="K1196" s="11" t="s">
        <v>1852</v>
      </c>
      <c r="L1196" s="11" t="s">
        <v>1853</v>
      </c>
      <c r="M1196" s="11" t="s">
        <v>1854</v>
      </c>
      <c r="N1196" s="12"/>
      <c r="O1196" s="11" t="s">
        <v>1872</v>
      </c>
      <c r="P1196" s="56"/>
    </row>
    <row r="1197" spans="1:16" ht="15.75" customHeight="1" x14ac:dyDescent="0.2">
      <c r="A1197" s="48">
        <v>15093</v>
      </c>
      <c r="B1197" s="11" t="s">
        <v>1871</v>
      </c>
      <c r="C1197" s="11" t="s">
        <v>1849</v>
      </c>
      <c r="D1197" s="6" t="s">
        <v>1850</v>
      </c>
      <c r="E1197" s="12" t="s">
        <v>3531</v>
      </c>
      <c r="F1197" s="12" t="s">
        <v>3531</v>
      </c>
      <c r="G1197" s="12" t="s">
        <v>3546</v>
      </c>
      <c r="H1197" s="12" t="s">
        <v>3583</v>
      </c>
      <c r="I1197" s="12" t="s">
        <v>4204</v>
      </c>
      <c r="J1197" s="11" t="s">
        <v>1856</v>
      </c>
      <c r="K1197" s="11" t="s">
        <v>1852</v>
      </c>
      <c r="L1197" s="11" t="s">
        <v>1853</v>
      </c>
      <c r="M1197" s="11" t="s">
        <v>1854</v>
      </c>
      <c r="N1197" s="12"/>
      <c r="O1197" s="11" t="s">
        <v>2022</v>
      </c>
      <c r="P1197" s="56" t="s">
        <v>2323</v>
      </c>
    </row>
    <row r="1198" spans="1:16" ht="15.75" customHeight="1" x14ac:dyDescent="0.2">
      <c r="A1198" s="48">
        <v>15095</v>
      </c>
      <c r="B1198" s="11" t="s">
        <v>1871</v>
      </c>
      <c r="C1198" s="11" t="s">
        <v>1849</v>
      </c>
      <c r="D1198" s="6" t="s">
        <v>1850</v>
      </c>
      <c r="E1198" s="12" t="s">
        <v>3531</v>
      </c>
      <c r="F1198" s="12" t="s">
        <v>3531</v>
      </c>
      <c r="G1198" s="12" t="s">
        <v>3532</v>
      </c>
      <c r="H1198" s="12" t="s">
        <v>3574</v>
      </c>
      <c r="I1198" s="12" t="s">
        <v>4205</v>
      </c>
      <c r="J1198" s="11" t="s">
        <v>1856</v>
      </c>
      <c r="K1198" s="11" t="s">
        <v>1852</v>
      </c>
      <c r="L1198" s="11" t="s">
        <v>1853</v>
      </c>
      <c r="M1198" s="11" t="s">
        <v>1854</v>
      </c>
      <c r="N1198" s="12"/>
      <c r="O1198" s="11" t="s">
        <v>2022</v>
      </c>
      <c r="P1198" s="56" t="s">
        <v>2323</v>
      </c>
    </row>
    <row r="1199" spans="1:16" ht="15.75" customHeight="1" x14ac:dyDescent="0.2">
      <c r="A1199" s="48">
        <v>15103</v>
      </c>
      <c r="B1199" s="11" t="s">
        <v>1871</v>
      </c>
      <c r="C1199" s="11" t="s">
        <v>1849</v>
      </c>
      <c r="D1199" s="6" t="s">
        <v>1850</v>
      </c>
      <c r="E1199" s="12" t="s">
        <v>3531</v>
      </c>
      <c r="F1199" s="12" t="s">
        <v>3531</v>
      </c>
      <c r="G1199" s="12" t="s">
        <v>3532</v>
      </c>
      <c r="H1199" s="13" t="s">
        <v>3535</v>
      </c>
      <c r="I1199" s="12" t="s">
        <v>4206</v>
      </c>
      <c r="J1199" s="11" t="s">
        <v>1856</v>
      </c>
      <c r="K1199" s="11" t="s">
        <v>1852</v>
      </c>
      <c r="L1199" s="11" t="s">
        <v>1853</v>
      </c>
      <c r="M1199" s="11" t="s">
        <v>1854</v>
      </c>
      <c r="N1199" s="12"/>
      <c r="O1199" s="11" t="s">
        <v>2022</v>
      </c>
      <c r="P1199" s="56" t="s">
        <v>2323</v>
      </c>
    </row>
    <row r="1200" spans="1:16" ht="15.75" customHeight="1" x14ac:dyDescent="0.2">
      <c r="A1200" s="48">
        <v>15091</v>
      </c>
      <c r="B1200" s="11" t="s">
        <v>1871</v>
      </c>
      <c r="C1200" s="11" t="s">
        <v>1849</v>
      </c>
      <c r="D1200" s="6" t="s">
        <v>1850</v>
      </c>
      <c r="E1200" s="12" t="s">
        <v>3531</v>
      </c>
      <c r="F1200" s="12" t="s">
        <v>3531</v>
      </c>
      <c r="G1200" s="12" t="s">
        <v>3532</v>
      </c>
      <c r="H1200" s="12" t="s">
        <v>3542</v>
      </c>
      <c r="I1200" s="12" t="s">
        <v>4207</v>
      </c>
      <c r="J1200" s="11" t="s">
        <v>1856</v>
      </c>
      <c r="K1200" s="11" t="s">
        <v>1852</v>
      </c>
      <c r="L1200" s="11" t="s">
        <v>1853</v>
      </c>
      <c r="M1200" s="11" t="s">
        <v>1854</v>
      </c>
      <c r="N1200" s="12"/>
      <c r="O1200" s="11" t="s">
        <v>3016</v>
      </c>
      <c r="P1200" s="56" t="s">
        <v>2323</v>
      </c>
    </row>
    <row r="1201" spans="1:16" ht="15.75" customHeight="1" x14ac:dyDescent="0.2">
      <c r="A1201" s="48">
        <v>15090</v>
      </c>
      <c r="B1201" s="11" t="s">
        <v>1871</v>
      </c>
      <c r="C1201" s="11" t="s">
        <v>1849</v>
      </c>
      <c r="D1201" s="6" t="s">
        <v>1850</v>
      </c>
      <c r="E1201" s="12" t="s">
        <v>3531</v>
      </c>
      <c r="F1201" s="12" t="s">
        <v>3531</v>
      </c>
      <c r="G1201" s="12" t="s">
        <v>3599</v>
      </c>
      <c r="H1201" s="12" t="s">
        <v>4184</v>
      </c>
      <c r="I1201" s="12" t="s">
        <v>4208</v>
      </c>
      <c r="J1201" s="11" t="s">
        <v>1851</v>
      </c>
      <c r="K1201" s="11" t="s">
        <v>1852</v>
      </c>
      <c r="L1201" s="11" t="s">
        <v>1853</v>
      </c>
      <c r="M1201" s="11" t="s">
        <v>1854</v>
      </c>
      <c r="N1201" s="12"/>
      <c r="O1201" s="11" t="s">
        <v>2022</v>
      </c>
      <c r="P1201" s="56" t="s">
        <v>2323</v>
      </c>
    </row>
    <row r="1202" spans="1:16" ht="15.75" customHeight="1" x14ac:dyDescent="0.2">
      <c r="A1202" s="48">
        <v>15094</v>
      </c>
      <c r="B1202" s="11" t="s">
        <v>1871</v>
      </c>
      <c r="C1202" s="11" t="s">
        <v>1849</v>
      </c>
      <c r="D1202" s="6" t="s">
        <v>1850</v>
      </c>
      <c r="E1202" s="12" t="s">
        <v>3531</v>
      </c>
      <c r="F1202" s="12" t="s">
        <v>3531</v>
      </c>
      <c r="G1202" s="12" t="s">
        <v>3544</v>
      </c>
      <c r="H1202" s="12" t="s">
        <v>3590</v>
      </c>
      <c r="I1202" s="12" t="s">
        <v>4209</v>
      </c>
      <c r="J1202" s="11" t="s">
        <v>1856</v>
      </c>
      <c r="K1202" s="11" t="s">
        <v>1852</v>
      </c>
      <c r="L1202" s="11" t="s">
        <v>1853</v>
      </c>
      <c r="M1202" s="11" t="s">
        <v>1854</v>
      </c>
      <c r="N1202" s="12"/>
      <c r="O1202" s="11" t="s">
        <v>2022</v>
      </c>
      <c r="P1202" s="56" t="s">
        <v>2323</v>
      </c>
    </row>
    <row r="1203" spans="1:16" ht="15.75" customHeight="1" x14ac:dyDescent="0.2">
      <c r="A1203" s="48">
        <v>15257</v>
      </c>
      <c r="B1203" s="11" t="s">
        <v>1871</v>
      </c>
      <c r="C1203" s="11" t="s">
        <v>1849</v>
      </c>
      <c r="D1203" s="6" t="s">
        <v>1850</v>
      </c>
      <c r="E1203" s="12" t="s">
        <v>3531</v>
      </c>
      <c r="F1203" s="12" t="s">
        <v>3531</v>
      </c>
      <c r="G1203" s="12" t="s">
        <v>3546</v>
      </c>
      <c r="H1203" s="12" t="s">
        <v>3605</v>
      </c>
      <c r="I1203" s="12" t="s">
        <v>4210</v>
      </c>
      <c r="J1203" s="11" t="s">
        <v>1856</v>
      </c>
      <c r="K1203" s="11" t="s">
        <v>1852</v>
      </c>
      <c r="L1203" s="11" t="s">
        <v>1853</v>
      </c>
      <c r="M1203" s="11" t="s">
        <v>1854</v>
      </c>
      <c r="N1203" s="12"/>
      <c r="O1203" s="11" t="s">
        <v>1872</v>
      </c>
      <c r="P1203" s="56"/>
    </row>
    <row r="1204" spans="1:16" ht="15.75" customHeight="1" x14ac:dyDescent="0.2">
      <c r="A1204" s="48">
        <v>15258</v>
      </c>
      <c r="B1204" s="11" t="s">
        <v>1871</v>
      </c>
      <c r="C1204" s="11" t="s">
        <v>1849</v>
      </c>
      <c r="D1204" s="6" t="s">
        <v>1850</v>
      </c>
      <c r="E1204" s="12" t="s">
        <v>3531</v>
      </c>
      <c r="F1204" s="12" t="s">
        <v>3531</v>
      </c>
      <c r="G1204" s="12" t="s">
        <v>3544</v>
      </c>
      <c r="H1204" s="12" t="s">
        <v>3623</v>
      </c>
      <c r="I1204" s="12" t="s">
        <v>4041</v>
      </c>
      <c r="J1204" s="11" t="s">
        <v>1856</v>
      </c>
      <c r="K1204" s="11" t="s">
        <v>1852</v>
      </c>
      <c r="L1204" s="11" t="s">
        <v>1853</v>
      </c>
      <c r="M1204" s="11" t="s">
        <v>1854</v>
      </c>
      <c r="N1204" s="12"/>
      <c r="O1204" s="11" t="s">
        <v>3016</v>
      </c>
      <c r="P1204" s="56" t="s">
        <v>2323</v>
      </c>
    </row>
    <row r="1205" spans="1:16" ht="15.75" customHeight="1" x14ac:dyDescent="0.2">
      <c r="A1205" s="48">
        <v>16120</v>
      </c>
      <c r="B1205" s="11" t="s">
        <v>1871</v>
      </c>
      <c r="C1205" s="11" t="s">
        <v>1849</v>
      </c>
      <c r="D1205" s="6" t="s">
        <v>1850</v>
      </c>
      <c r="E1205" s="12" t="s">
        <v>3531</v>
      </c>
      <c r="F1205" s="12" t="s">
        <v>3531</v>
      </c>
      <c r="G1205" s="12" t="s">
        <v>3544</v>
      </c>
      <c r="H1205" s="12" t="s">
        <v>3590</v>
      </c>
      <c r="I1205" s="12" t="s">
        <v>4211</v>
      </c>
      <c r="J1205" s="11" t="s">
        <v>1856</v>
      </c>
      <c r="K1205" s="11" t="s">
        <v>1852</v>
      </c>
      <c r="L1205" s="11" t="s">
        <v>1853</v>
      </c>
      <c r="M1205" s="11" t="s">
        <v>1854</v>
      </c>
      <c r="N1205" s="12"/>
      <c r="O1205" s="11" t="s">
        <v>1872</v>
      </c>
      <c r="P1205" s="56"/>
    </row>
    <row r="1206" spans="1:16" ht="15.75" customHeight="1" x14ac:dyDescent="0.2">
      <c r="A1206" s="48">
        <v>16121</v>
      </c>
      <c r="B1206" s="11" t="s">
        <v>1871</v>
      </c>
      <c r="C1206" s="11" t="s">
        <v>1849</v>
      </c>
      <c r="D1206" s="6" t="s">
        <v>1850</v>
      </c>
      <c r="E1206" s="12" t="s">
        <v>3531</v>
      </c>
      <c r="F1206" s="12" t="s">
        <v>3531</v>
      </c>
      <c r="G1206" s="12" t="s">
        <v>3544</v>
      </c>
      <c r="H1206" s="12" t="s">
        <v>3590</v>
      </c>
      <c r="I1206" s="12" t="s">
        <v>4212</v>
      </c>
      <c r="J1206" s="11" t="s">
        <v>1856</v>
      </c>
      <c r="K1206" s="11" t="s">
        <v>1852</v>
      </c>
      <c r="L1206" s="11" t="s">
        <v>1853</v>
      </c>
      <c r="M1206" s="11" t="s">
        <v>1854</v>
      </c>
      <c r="N1206" s="12"/>
      <c r="O1206" s="11" t="s">
        <v>1872</v>
      </c>
      <c r="P1206" s="56"/>
    </row>
    <row r="1207" spans="1:16" ht="15.75" customHeight="1" x14ac:dyDescent="0.2">
      <c r="A1207" s="48">
        <v>16122</v>
      </c>
      <c r="B1207" s="11" t="s">
        <v>1871</v>
      </c>
      <c r="C1207" s="11" t="s">
        <v>1849</v>
      </c>
      <c r="D1207" s="6" t="s">
        <v>1850</v>
      </c>
      <c r="E1207" s="12" t="s">
        <v>3531</v>
      </c>
      <c r="F1207" s="12" t="s">
        <v>3531</v>
      </c>
      <c r="G1207" s="12" t="s">
        <v>3544</v>
      </c>
      <c r="H1207" s="12" t="s">
        <v>3590</v>
      </c>
      <c r="I1207" s="12" t="s">
        <v>4213</v>
      </c>
      <c r="J1207" s="11" t="s">
        <v>1856</v>
      </c>
      <c r="K1207" s="11" t="s">
        <v>1852</v>
      </c>
      <c r="L1207" s="11" t="s">
        <v>1853</v>
      </c>
      <c r="M1207" s="11" t="s">
        <v>1854</v>
      </c>
      <c r="N1207" s="12"/>
      <c r="O1207" s="11" t="s">
        <v>1859</v>
      </c>
      <c r="P1207" s="56"/>
    </row>
    <row r="1208" spans="1:16" ht="15.75" customHeight="1" x14ac:dyDescent="0.2">
      <c r="A1208" s="48">
        <v>16128</v>
      </c>
      <c r="B1208" s="11" t="s">
        <v>1871</v>
      </c>
      <c r="C1208" s="11" t="s">
        <v>1849</v>
      </c>
      <c r="D1208" s="6" t="s">
        <v>1850</v>
      </c>
      <c r="E1208" s="12" t="s">
        <v>3531</v>
      </c>
      <c r="F1208" s="12" t="s">
        <v>3531</v>
      </c>
      <c r="G1208" s="12" t="s">
        <v>3544</v>
      </c>
      <c r="H1208" s="12" t="s">
        <v>3617</v>
      </c>
      <c r="I1208" s="12" t="s">
        <v>4214</v>
      </c>
      <c r="J1208" s="11" t="s">
        <v>1856</v>
      </c>
      <c r="K1208" s="11" t="s">
        <v>1852</v>
      </c>
      <c r="L1208" s="11" t="s">
        <v>1853</v>
      </c>
      <c r="M1208" s="11" t="s">
        <v>1854</v>
      </c>
      <c r="N1208" s="12"/>
      <c r="O1208" s="11" t="s">
        <v>1859</v>
      </c>
      <c r="P1208" s="56"/>
    </row>
    <row r="1209" spans="1:16" ht="15.75" customHeight="1" x14ac:dyDescent="0.2">
      <c r="A1209" s="48">
        <v>16129</v>
      </c>
      <c r="B1209" s="11" t="s">
        <v>1871</v>
      </c>
      <c r="C1209" s="11" t="s">
        <v>1849</v>
      </c>
      <c r="D1209" s="6" t="s">
        <v>1850</v>
      </c>
      <c r="E1209" s="12" t="s">
        <v>3531</v>
      </c>
      <c r="F1209" s="12" t="s">
        <v>3531</v>
      </c>
      <c r="G1209" s="12" t="s">
        <v>3544</v>
      </c>
      <c r="H1209" s="12" t="s">
        <v>3623</v>
      </c>
      <c r="I1209" s="12" t="s">
        <v>4215</v>
      </c>
      <c r="J1209" s="11" t="s">
        <v>1856</v>
      </c>
      <c r="K1209" s="11" t="s">
        <v>1852</v>
      </c>
      <c r="L1209" s="11" t="s">
        <v>1853</v>
      </c>
      <c r="M1209" s="11" t="s">
        <v>1854</v>
      </c>
      <c r="N1209" s="12"/>
      <c r="O1209" s="11" t="s">
        <v>1859</v>
      </c>
      <c r="P1209" s="56"/>
    </row>
    <row r="1210" spans="1:16" ht="15.75" customHeight="1" x14ac:dyDescent="0.2">
      <c r="A1210" s="48">
        <v>16131</v>
      </c>
      <c r="B1210" s="11" t="s">
        <v>1871</v>
      </c>
      <c r="C1210" s="11" t="s">
        <v>1849</v>
      </c>
      <c r="D1210" s="6" t="s">
        <v>1850</v>
      </c>
      <c r="E1210" s="12" t="s">
        <v>3531</v>
      </c>
      <c r="F1210" s="12" t="s">
        <v>3531</v>
      </c>
      <c r="G1210" s="12" t="s">
        <v>3550</v>
      </c>
      <c r="H1210" s="12" t="s">
        <v>3553</v>
      </c>
      <c r="I1210" s="12" t="s">
        <v>4216</v>
      </c>
      <c r="J1210" s="11" t="s">
        <v>1856</v>
      </c>
      <c r="K1210" s="11" t="s">
        <v>1852</v>
      </c>
      <c r="L1210" s="11" t="s">
        <v>1853</v>
      </c>
      <c r="M1210" s="11" t="s">
        <v>1854</v>
      </c>
      <c r="N1210" s="12"/>
      <c r="O1210" s="11" t="s">
        <v>1859</v>
      </c>
      <c r="P1210" s="56"/>
    </row>
    <row r="1211" spans="1:16" ht="15.75" customHeight="1" x14ac:dyDescent="0.2">
      <c r="A1211" s="48">
        <v>16134</v>
      </c>
      <c r="B1211" s="11" t="s">
        <v>1871</v>
      </c>
      <c r="C1211" s="11" t="s">
        <v>1849</v>
      </c>
      <c r="D1211" s="6" t="s">
        <v>1850</v>
      </c>
      <c r="E1211" s="12" t="s">
        <v>3531</v>
      </c>
      <c r="F1211" s="12" t="s">
        <v>3531</v>
      </c>
      <c r="G1211" s="12" t="s">
        <v>3544</v>
      </c>
      <c r="H1211" s="12" t="s">
        <v>3676</v>
      </c>
      <c r="I1211" s="12" t="s">
        <v>4217</v>
      </c>
      <c r="J1211" s="11" t="s">
        <v>1856</v>
      </c>
      <c r="K1211" s="11" t="s">
        <v>1852</v>
      </c>
      <c r="L1211" s="11" t="s">
        <v>1853</v>
      </c>
      <c r="M1211" s="11" t="s">
        <v>1854</v>
      </c>
      <c r="N1211" s="12"/>
      <c r="O1211" s="11" t="s">
        <v>1859</v>
      </c>
      <c r="P1211" s="56"/>
    </row>
    <row r="1212" spans="1:16" ht="15.75" customHeight="1" x14ac:dyDescent="0.2">
      <c r="A1212" s="48">
        <v>7566</v>
      </c>
      <c r="B1212" s="11" t="s">
        <v>1857</v>
      </c>
      <c r="C1212" s="11" t="s">
        <v>1849</v>
      </c>
      <c r="D1212" s="6" t="s">
        <v>1875</v>
      </c>
      <c r="E1212" s="12" t="s">
        <v>3531</v>
      </c>
      <c r="F1212" s="12" t="s">
        <v>3531</v>
      </c>
      <c r="G1212" s="12" t="s">
        <v>3550</v>
      </c>
      <c r="H1212" s="12" t="s">
        <v>3550</v>
      </c>
      <c r="I1212" s="12" t="s">
        <v>4218</v>
      </c>
      <c r="J1212" s="11" t="s">
        <v>1851</v>
      </c>
      <c r="K1212" s="11" t="s">
        <v>1852</v>
      </c>
      <c r="L1212" s="11" t="s">
        <v>1853</v>
      </c>
      <c r="M1212" s="11" t="s">
        <v>1854</v>
      </c>
      <c r="N1212" s="12"/>
      <c r="O1212" s="11" t="s">
        <v>1854</v>
      </c>
      <c r="P1212" s="56"/>
    </row>
    <row r="1213" spans="1:16" ht="15.75" customHeight="1" x14ac:dyDescent="0.2">
      <c r="A1213" s="48">
        <v>7567</v>
      </c>
      <c r="B1213" s="11" t="s">
        <v>1857</v>
      </c>
      <c r="C1213" s="11" t="s">
        <v>1849</v>
      </c>
      <c r="D1213" s="6" t="s">
        <v>1875</v>
      </c>
      <c r="E1213" s="12" t="s">
        <v>3531</v>
      </c>
      <c r="F1213" s="12" t="s">
        <v>3531</v>
      </c>
      <c r="G1213" s="12" t="s">
        <v>3544</v>
      </c>
      <c r="H1213" s="12" t="s">
        <v>3544</v>
      </c>
      <c r="I1213" s="12" t="s">
        <v>4219</v>
      </c>
      <c r="J1213" s="11" t="s">
        <v>1851</v>
      </c>
      <c r="K1213" s="11" t="s">
        <v>1852</v>
      </c>
      <c r="L1213" s="11" t="s">
        <v>1853</v>
      </c>
      <c r="M1213" s="11" t="s">
        <v>1854</v>
      </c>
      <c r="N1213" s="12"/>
      <c r="O1213" s="11" t="s">
        <v>1854</v>
      </c>
      <c r="P1213" s="56"/>
    </row>
    <row r="1214" spans="1:16" ht="15.75" customHeight="1" x14ac:dyDescent="0.2">
      <c r="A1214" s="48">
        <v>7568</v>
      </c>
      <c r="B1214" s="11" t="s">
        <v>1857</v>
      </c>
      <c r="C1214" s="11" t="s">
        <v>1849</v>
      </c>
      <c r="D1214" s="6" t="s">
        <v>1875</v>
      </c>
      <c r="E1214" s="12" t="s">
        <v>3531</v>
      </c>
      <c r="F1214" s="12" t="s">
        <v>3531</v>
      </c>
      <c r="G1214" s="12" t="s">
        <v>3532</v>
      </c>
      <c r="H1214" s="12" t="s">
        <v>3532</v>
      </c>
      <c r="I1214" s="12" t="s">
        <v>4220</v>
      </c>
      <c r="J1214" s="11" t="s">
        <v>1851</v>
      </c>
      <c r="K1214" s="11" t="s">
        <v>1852</v>
      </c>
      <c r="L1214" s="11" t="s">
        <v>1853</v>
      </c>
      <c r="M1214" s="11" t="s">
        <v>1854</v>
      </c>
      <c r="N1214" s="12"/>
      <c r="O1214" s="11" t="s">
        <v>1854</v>
      </c>
      <c r="P1214" s="56"/>
    </row>
    <row r="1215" spans="1:16" ht="15.75" customHeight="1" x14ac:dyDescent="0.2">
      <c r="A1215" s="48">
        <v>548</v>
      </c>
      <c r="B1215" s="11" t="s">
        <v>1857</v>
      </c>
      <c r="C1215" s="11" t="s">
        <v>1849</v>
      </c>
      <c r="D1215" s="6" t="s">
        <v>2594</v>
      </c>
      <c r="E1215" s="12" t="s">
        <v>3531</v>
      </c>
      <c r="F1215" s="12" t="s">
        <v>3531</v>
      </c>
      <c r="G1215" s="12" t="s">
        <v>3550</v>
      </c>
      <c r="H1215" s="12" t="s">
        <v>3550</v>
      </c>
      <c r="I1215" s="12" t="s">
        <v>4221</v>
      </c>
      <c r="J1215" s="11" t="s">
        <v>1851</v>
      </c>
      <c r="K1215" s="11" t="s">
        <v>1852</v>
      </c>
      <c r="L1215" s="11" t="s">
        <v>1853</v>
      </c>
      <c r="M1215" s="11" t="s">
        <v>1854</v>
      </c>
      <c r="N1215" s="12"/>
      <c r="O1215" s="11" t="s">
        <v>1854</v>
      </c>
      <c r="P1215" s="56" t="s">
        <v>2796</v>
      </c>
    </row>
    <row r="1216" spans="1:16" ht="15.75" customHeight="1" x14ac:dyDescent="0.2">
      <c r="A1216" s="48">
        <v>7323</v>
      </c>
      <c r="B1216" s="11" t="s">
        <v>1857</v>
      </c>
      <c r="C1216" s="11" t="s">
        <v>1849</v>
      </c>
      <c r="D1216" s="6" t="s">
        <v>2594</v>
      </c>
      <c r="E1216" s="12" t="s">
        <v>3531</v>
      </c>
      <c r="F1216" s="12" t="s">
        <v>3531</v>
      </c>
      <c r="G1216" s="12" t="s">
        <v>3532</v>
      </c>
      <c r="H1216" s="12" t="s">
        <v>3532</v>
      </c>
      <c r="I1216" s="12" t="s">
        <v>4222</v>
      </c>
      <c r="J1216" s="11" t="s">
        <v>1856</v>
      </c>
      <c r="K1216" s="11" t="s">
        <v>1852</v>
      </c>
      <c r="L1216" s="11" t="s">
        <v>1853</v>
      </c>
      <c r="M1216" s="11" t="s">
        <v>1854</v>
      </c>
      <c r="N1216" s="12"/>
      <c r="O1216" s="11" t="s">
        <v>2334</v>
      </c>
      <c r="P1216" s="56"/>
    </row>
    <row r="1217" spans="1:16" ht="15.75" customHeight="1" x14ac:dyDescent="0.2">
      <c r="A1217" s="48">
        <v>837</v>
      </c>
      <c r="B1217" s="11" t="s">
        <v>1857</v>
      </c>
      <c r="C1217" s="11" t="s">
        <v>1849</v>
      </c>
      <c r="D1217" s="6" t="s">
        <v>2594</v>
      </c>
      <c r="E1217" s="12" t="s">
        <v>3531</v>
      </c>
      <c r="F1217" s="12" t="s">
        <v>3531</v>
      </c>
      <c r="G1217" s="12" t="s">
        <v>3544</v>
      </c>
      <c r="H1217" s="12" t="s">
        <v>3544</v>
      </c>
      <c r="I1217" s="12" t="s">
        <v>4223</v>
      </c>
      <c r="J1217" s="11" t="s">
        <v>1851</v>
      </c>
      <c r="K1217" s="11" t="s">
        <v>1852</v>
      </c>
      <c r="L1217" s="11" t="s">
        <v>1853</v>
      </c>
      <c r="M1217" s="11" t="s">
        <v>1854</v>
      </c>
      <c r="N1217" s="12"/>
      <c r="O1217" s="11" t="s">
        <v>2334</v>
      </c>
      <c r="P1217" s="56"/>
    </row>
    <row r="1218" spans="1:16" ht="15.75" customHeight="1" x14ac:dyDescent="0.2">
      <c r="A1218" s="50">
        <v>5982</v>
      </c>
      <c r="B1218" s="11" t="s">
        <v>1848</v>
      </c>
      <c r="C1218" s="11" t="s">
        <v>1876</v>
      </c>
      <c r="D1218" s="6" t="s">
        <v>1850</v>
      </c>
      <c r="E1218" s="12" t="s">
        <v>3531</v>
      </c>
      <c r="F1218" s="12" t="s">
        <v>3531</v>
      </c>
      <c r="G1218" s="12" t="s">
        <v>3550</v>
      </c>
      <c r="H1218" s="12" t="s">
        <v>3553</v>
      </c>
      <c r="I1218" s="12" t="s">
        <v>4224</v>
      </c>
      <c r="J1218" s="11" t="s">
        <v>1851</v>
      </c>
      <c r="K1218" s="11" t="s">
        <v>1852</v>
      </c>
      <c r="L1218" s="11" t="s">
        <v>1853</v>
      </c>
      <c r="M1218" s="11" t="s">
        <v>1854</v>
      </c>
      <c r="N1218" s="12"/>
      <c r="O1218" s="11" t="s">
        <v>1855</v>
      </c>
      <c r="P1218" s="56"/>
    </row>
    <row r="1219" spans="1:16" ht="15.75" customHeight="1" x14ac:dyDescent="0.2">
      <c r="A1219" s="48">
        <v>16013</v>
      </c>
      <c r="B1219" s="11" t="s">
        <v>1848</v>
      </c>
      <c r="C1219" s="11" t="s">
        <v>1876</v>
      </c>
      <c r="D1219" s="6" t="s">
        <v>1850</v>
      </c>
      <c r="E1219" s="12" t="s">
        <v>3531</v>
      </c>
      <c r="F1219" s="12" t="s">
        <v>3531</v>
      </c>
      <c r="G1219" s="12" t="s">
        <v>3544</v>
      </c>
      <c r="H1219" s="12" t="s">
        <v>3567</v>
      </c>
      <c r="I1219" s="12" t="s">
        <v>4225</v>
      </c>
      <c r="J1219" s="11" t="s">
        <v>1856</v>
      </c>
      <c r="K1219" s="11" t="s">
        <v>1852</v>
      </c>
      <c r="L1219" s="11" t="s">
        <v>1853</v>
      </c>
      <c r="M1219" s="11" t="s">
        <v>1854</v>
      </c>
      <c r="N1219" s="12"/>
      <c r="O1219" s="11" t="s">
        <v>1855</v>
      </c>
      <c r="P1219" s="56"/>
    </row>
    <row r="1220" spans="1:16" ht="15.75" customHeight="1" x14ac:dyDescent="0.2">
      <c r="A1220" s="48">
        <v>7597</v>
      </c>
      <c r="B1220" s="11" t="s">
        <v>1857</v>
      </c>
      <c r="C1220" s="11" t="s">
        <v>1876</v>
      </c>
      <c r="D1220" s="6" t="s">
        <v>1850</v>
      </c>
      <c r="E1220" s="12" t="s">
        <v>3531</v>
      </c>
      <c r="F1220" s="12" t="s">
        <v>3531</v>
      </c>
      <c r="G1220" s="12" t="s">
        <v>3544</v>
      </c>
      <c r="H1220" s="12" t="s">
        <v>3544</v>
      </c>
      <c r="I1220" s="12" t="s">
        <v>4226</v>
      </c>
      <c r="J1220" s="11" t="s">
        <v>1851</v>
      </c>
      <c r="K1220" s="11" t="s">
        <v>1852</v>
      </c>
      <c r="L1220" s="11" t="s">
        <v>1853</v>
      </c>
      <c r="M1220" s="11" t="s">
        <v>4227</v>
      </c>
      <c r="N1220" s="12"/>
      <c r="O1220" s="11" t="s">
        <v>1860</v>
      </c>
      <c r="P1220" s="56"/>
    </row>
    <row r="1221" spans="1:16" ht="15.75" customHeight="1" x14ac:dyDescent="0.2">
      <c r="A1221" s="48">
        <v>5978</v>
      </c>
      <c r="B1221" s="11" t="s">
        <v>1857</v>
      </c>
      <c r="C1221" s="11" t="s">
        <v>1876</v>
      </c>
      <c r="D1221" s="6" t="s">
        <v>1850</v>
      </c>
      <c r="E1221" s="12" t="s">
        <v>3531</v>
      </c>
      <c r="F1221" s="12" t="s">
        <v>3531</v>
      </c>
      <c r="G1221" s="12" t="s">
        <v>3550</v>
      </c>
      <c r="H1221" s="12" t="s">
        <v>3550</v>
      </c>
      <c r="I1221" s="12" t="s">
        <v>4228</v>
      </c>
      <c r="J1221" s="11" t="s">
        <v>1851</v>
      </c>
      <c r="K1221" s="11" t="s">
        <v>1852</v>
      </c>
      <c r="L1221" s="11" t="s">
        <v>1853</v>
      </c>
      <c r="M1221" s="11" t="s">
        <v>1854</v>
      </c>
      <c r="N1221" s="12"/>
      <c r="O1221" s="11" t="s">
        <v>1867</v>
      </c>
      <c r="P1221" s="56" t="s">
        <v>1865</v>
      </c>
    </row>
    <row r="1222" spans="1:16" ht="15.75" customHeight="1" x14ac:dyDescent="0.2">
      <c r="A1222" s="48">
        <v>5983</v>
      </c>
      <c r="B1222" s="11" t="s">
        <v>1857</v>
      </c>
      <c r="C1222" s="11" t="s">
        <v>1876</v>
      </c>
      <c r="D1222" s="6" t="s">
        <v>1850</v>
      </c>
      <c r="E1222" s="12" t="s">
        <v>3531</v>
      </c>
      <c r="F1222" s="12" t="s">
        <v>3531</v>
      </c>
      <c r="G1222" s="12" t="s">
        <v>3550</v>
      </c>
      <c r="H1222" s="12" t="s">
        <v>3553</v>
      </c>
      <c r="I1222" s="12" t="s">
        <v>4229</v>
      </c>
      <c r="J1222" s="11" t="s">
        <v>1851</v>
      </c>
      <c r="K1222" s="11" t="s">
        <v>1852</v>
      </c>
      <c r="L1222" s="11" t="s">
        <v>1853</v>
      </c>
      <c r="M1222" s="11" t="s">
        <v>1854</v>
      </c>
      <c r="N1222" s="12"/>
      <c r="O1222" s="11" t="s">
        <v>1860</v>
      </c>
      <c r="P1222" s="56"/>
    </row>
    <row r="1223" spans="1:16" ht="15.75" customHeight="1" x14ac:dyDescent="0.2">
      <c r="A1223" s="48">
        <v>5789</v>
      </c>
      <c r="B1223" s="11" t="s">
        <v>1857</v>
      </c>
      <c r="C1223" s="11" t="s">
        <v>1876</v>
      </c>
      <c r="D1223" s="6" t="s">
        <v>1850</v>
      </c>
      <c r="E1223" s="12" t="s">
        <v>3531</v>
      </c>
      <c r="F1223" s="12" t="s">
        <v>3531</v>
      </c>
      <c r="G1223" s="12" t="s">
        <v>3544</v>
      </c>
      <c r="H1223" s="12" t="s">
        <v>3544</v>
      </c>
      <c r="I1223" s="12" t="s">
        <v>4230</v>
      </c>
      <c r="J1223" s="11" t="s">
        <v>1851</v>
      </c>
      <c r="K1223" s="11" t="s">
        <v>1852</v>
      </c>
      <c r="L1223" s="11" t="s">
        <v>1853</v>
      </c>
      <c r="M1223" s="11" t="s">
        <v>1854</v>
      </c>
      <c r="N1223" s="12"/>
      <c r="O1223" s="11" t="s">
        <v>1867</v>
      </c>
      <c r="P1223" s="56" t="s">
        <v>1865</v>
      </c>
    </row>
    <row r="1224" spans="1:16" ht="15.75" customHeight="1" x14ac:dyDescent="0.2">
      <c r="A1224" s="48">
        <v>5979</v>
      </c>
      <c r="B1224" s="11" t="s">
        <v>1857</v>
      </c>
      <c r="C1224" s="11" t="s">
        <v>1876</v>
      </c>
      <c r="D1224" s="6" t="s">
        <v>1850</v>
      </c>
      <c r="E1224" s="12" t="s">
        <v>3531</v>
      </c>
      <c r="F1224" s="12" t="s">
        <v>3531</v>
      </c>
      <c r="G1224" s="12" t="s">
        <v>3550</v>
      </c>
      <c r="H1224" s="12" t="s">
        <v>3550</v>
      </c>
      <c r="I1224" s="12" t="s">
        <v>4231</v>
      </c>
      <c r="J1224" s="11" t="s">
        <v>1851</v>
      </c>
      <c r="K1224" s="11" t="s">
        <v>1852</v>
      </c>
      <c r="L1224" s="11" t="s">
        <v>1853</v>
      </c>
      <c r="M1224" s="11" t="s">
        <v>1854</v>
      </c>
      <c r="N1224" s="12"/>
      <c r="O1224" s="11" t="s">
        <v>1867</v>
      </c>
      <c r="P1224" s="56" t="s">
        <v>1865</v>
      </c>
    </row>
    <row r="1225" spans="1:16" ht="15.75" customHeight="1" x14ac:dyDescent="0.2">
      <c r="A1225" s="50">
        <v>7133</v>
      </c>
      <c r="B1225" s="11" t="s">
        <v>1857</v>
      </c>
      <c r="C1225" s="11" t="s">
        <v>1876</v>
      </c>
      <c r="D1225" s="6" t="s">
        <v>1850</v>
      </c>
      <c r="E1225" s="12" t="s">
        <v>3531</v>
      </c>
      <c r="F1225" s="12" t="s">
        <v>3531</v>
      </c>
      <c r="G1225" s="12" t="s">
        <v>3550</v>
      </c>
      <c r="H1225" s="12" t="s">
        <v>3550</v>
      </c>
      <c r="I1225" s="12" t="s">
        <v>4232</v>
      </c>
      <c r="J1225" s="11" t="s">
        <v>1851</v>
      </c>
      <c r="K1225" s="11" t="s">
        <v>1852</v>
      </c>
      <c r="L1225" s="11" t="s">
        <v>1853</v>
      </c>
      <c r="M1225" s="11" t="s">
        <v>1854</v>
      </c>
      <c r="N1225" s="12"/>
      <c r="O1225" s="11" t="s">
        <v>1867</v>
      </c>
      <c r="P1225" s="56" t="s">
        <v>1865</v>
      </c>
    </row>
    <row r="1226" spans="1:16" ht="15.75" customHeight="1" x14ac:dyDescent="0.2">
      <c r="A1226" s="50">
        <v>7135</v>
      </c>
      <c r="B1226" s="11" t="s">
        <v>1857</v>
      </c>
      <c r="C1226" s="11" t="s">
        <v>1876</v>
      </c>
      <c r="D1226" s="6" t="s">
        <v>1850</v>
      </c>
      <c r="E1226" s="12" t="s">
        <v>3531</v>
      </c>
      <c r="F1226" s="12" t="s">
        <v>3531</v>
      </c>
      <c r="G1226" s="12" t="s">
        <v>3544</v>
      </c>
      <c r="H1226" s="12" t="s">
        <v>3567</v>
      </c>
      <c r="I1226" s="12" t="s">
        <v>4233</v>
      </c>
      <c r="J1226" s="11" t="s">
        <v>1851</v>
      </c>
      <c r="K1226" s="11" t="s">
        <v>1852</v>
      </c>
      <c r="L1226" s="11" t="s">
        <v>1853</v>
      </c>
      <c r="M1226" s="11" t="s">
        <v>1854</v>
      </c>
      <c r="N1226" s="12"/>
      <c r="O1226" s="11" t="s">
        <v>1860</v>
      </c>
      <c r="P1226" s="56"/>
    </row>
    <row r="1227" spans="1:16" ht="15.75" customHeight="1" x14ac:dyDescent="0.2">
      <c r="A1227" s="48">
        <v>7141</v>
      </c>
      <c r="B1227" s="11" t="s">
        <v>1857</v>
      </c>
      <c r="C1227" s="11" t="s">
        <v>1876</v>
      </c>
      <c r="D1227" s="6" t="s">
        <v>1850</v>
      </c>
      <c r="E1227" s="12" t="s">
        <v>3531</v>
      </c>
      <c r="F1227" s="12" t="s">
        <v>3531</v>
      </c>
      <c r="G1227" s="12" t="s">
        <v>3544</v>
      </c>
      <c r="H1227" s="12" t="s">
        <v>3544</v>
      </c>
      <c r="I1227" s="12" t="s">
        <v>3444</v>
      </c>
      <c r="J1227" s="11" t="s">
        <v>1851</v>
      </c>
      <c r="K1227" s="11" t="s">
        <v>1852</v>
      </c>
      <c r="L1227" s="11" t="s">
        <v>1853</v>
      </c>
      <c r="M1227" s="11" t="s">
        <v>1854</v>
      </c>
      <c r="N1227" s="12"/>
      <c r="O1227" s="11" t="s">
        <v>1867</v>
      </c>
      <c r="P1227" s="56" t="s">
        <v>1865</v>
      </c>
    </row>
    <row r="1228" spans="1:16" ht="15.75" customHeight="1" x14ac:dyDescent="0.2">
      <c r="A1228" s="48">
        <v>5791</v>
      </c>
      <c r="B1228" s="11" t="s">
        <v>1857</v>
      </c>
      <c r="C1228" s="11" t="s">
        <v>1876</v>
      </c>
      <c r="D1228" s="6" t="s">
        <v>1850</v>
      </c>
      <c r="E1228" s="12" t="s">
        <v>3531</v>
      </c>
      <c r="F1228" s="12" t="s">
        <v>3531</v>
      </c>
      <c r="G1228" s="12" t="s">
        <v>3550</v>
      </c>
      <c r="H1228" s="12" t="s">
        <v>3550</v>
      </c>
      <c r="I1228" s="12" t="s">
        <v>4234</v>
      </c>
      <c r="J1228" s="11" t="s">
        <v>1851</v>
      </c>
      <c r="K1228" s="11" t="s">
        <v>1852</v>
      </c>
      <c r="L1228" s="11" t="s">
        <v>1853</v>
      </c>
      <c r="M1228" s="11" t="s">
        <v>1854</v>
      </c>
      <c r="N1228" s="12"/>
      <c r="O1228" s="11" t="s">
        <v>1860</v>
      </c>
      <c r="P1228" s="56"/>
    </row>
    <row r="1229" spans="1:16" ht="15.75" customHeight="1" x14ac:dyDescent="0.2">
      <c r="A1229" s="48">
        <v>5790</v>
      </c>
      <c r="B1229" s="11" t="s">
        <v>1857</v>
      </c>
      <c r="C1229" s="11" t="s">
        <v>1876</v>
      </c>
      <c r="D1229" s="6" t="s">
        <v>1850</v>
      </c>
      <c r="E1229" s="12" t="s">
        <v>3531</v>
      </c>
      <c r="F1229" s="12" t="s">
        <v>3531</v>
      </c>
      <c r="G1229" s="12" t="s">
        <v>3544</v>
      </c>
      <c r="H1229" s="12" t="s">
        <v>3544</v>
      </c>
      <c r="I1229" s="12" t="s">
        <v>4235</v>
      </c>
      <c r="J1229" s="11" t="s">
        <v>1851</v>
      </c>
      <c r="K1229" s="11" t="s">
        <v>1852</v>
      </c>
      <c r="L1229" s="11" t="s">
        <v>1853</v>
      </c>
      <c r="M1229" s="11" t="s">
        <v>1854</v>
      </c>
      <c r="N1229" s="12"/>
      <c r="O1229" s="11" t="s">
        <v>1858</v>
      </c>
      <c r="P1229" s="56"/>
    </row>
    <row r="1230" spans="1:16" ht="15.75" customHeight="1" x14ac:dyDescent="0.2">
      <c r="A1230" s="48">
        <v>5981</v>
      </c>
      <c r="B1230" s="11" t="s">
        <v>1857</v>
      </c>
      <c r="C1230" s="11" t="s">
        <v>1876</v>
      </c>
      <c r="D1230" s="6" t="s">
        <v>1850</v>
      </c>
      <c r="E1230" s="12" t="s">
        <v>3531</v>
      </c>
      <c r="F1230" s="12" t="s">
        <v>3531</v>
      </c>
      <c r="G1230" s="12" t="s">
        <v>3550</v>
      </c>
      <c r="H1230" s="12" t="s">
        <v>3550</v>
      </c>
      <c r="I1230" s="12" t="s">
        <v>4236</v>
      </c>
      <c r="J1230" s="11" t="s">
        <v>1851</v>
      </c>
      <c r="K1230" s="11" t="s">
        <v>1852</v>
      </c>
      <c r="L1230" s="11" t="s">
        <v>1853</v>
      </c>
      <c r="M1230" s="11" t="s">
        <v>4237</v>
      </c>
      <c r="N1230" s="12"/>
      <c r="O1230" s="11" t="s">
        <v>1867</v>
      </c>
      <c r="P1230" s="56" t="s">
        <v>3487</v>
      </c>
    </row>
    <row r="1231" spans="1:16" ht="15.75" customHeight="1" x14ac:dyDescent="0.2">
      <c r="A1231" s="50">
        <v>828</v>
      </c>
      <c r="B1231" s="11" t="s">
        <v>1857</v>
      </c>
      <c r="C1231" s="11" t="s">
        <v>1876</v>
      </c>
      <c r="D1231" s="6" t="s">
        <v>1850</v>
      </c>
      <c r="E1231" s="12" t="s">
        <v>3531</v>
      </c>
      <c r="F1231" s="12" t="s">
        <v>3531</v>
      </c>
      <c r="G1231" s="12" t="s">
        <v>3544</v>
      </c>
      <c r="H1231" s="12" t="s">
        <v>3544</v>
      </c>
      <c r="I1231" s="12" t="s">
        <v>4238</v>
      </c>
      <c r="J1231" s="11" t="s">
        <v>1851</v>
      </c>
      <c r="K1231" s="11" t="s">
        <v>1852</v>
      </c>
      <c r="L1231" s="11" t="s">
        <v>1853</v>
      </c>
      <c r="M1231" s="11" t="s">
        <v>1854</v>
      </c>
      <c r="N1231" s="12"/>
      <c r="O1231" s="11" t="s">
        <v>3835</v>
      </c>
      <c r="P1231" s="56" t="s">
        <v>4239</v>
      </c>
    </row>
    <row r="1232" spans="1:16" ht="15.75" customHeight="1" x14ac:dyDescent="0.2">
      <c r="A1232" s="50">
        <v>7136</v>
      </c>
      <c r="B1232" s="11" t="s">
        <v>1857</v>
      </c>
      <c r="C1232" s="11" t="s">
        <v>1876</v>
      </c>
      <c r="D1232" s="6" t="s">
        <v>1850</v>
      </c>
      <c r="E1232" s="12" t="s">
        <v>3531</v>
      </c>
      <c r="F1232" s="12" t="s">
        <v>3531</v>
      </c>
      <c r="G1232" s="12" t="s">
        <v>3544</v>
      </c>
      <c r="H1232" s="13" t="s">
        <v>3567</v>
      </c>
      <c r="I1232" s="12" t="s">
        <v>4240</v>
      </c>
      <c r="J1232" s="11" t="s">
        <v>1851</v>
      </c>
      <c r="K1232" s="11" t="s">
        <v>1852</v>
      </c>
      <c r="L1232" s="11" t="s">
        <v>1853</v>
      </c>
      <c r="M1232" s="11" t="s">
        <v>1854</v>
      </c>
      <c r="N1232" s="12"/>
      <c r="O1232" s="11" t="s">
        <v>2587</v>
      </c>
      <c r="P1232" s="56" t="s">
        <v>4241</v>
      </c>
    </row>
    <row r="1233" spans="1:16" ht="15.75" customHeight="1" x14ac:dyDescent="0.2">
      <c r="A1233" s="48">
        <v>7139</v>
      </c>
      <c r="B1233" s="11" t="s">
        <v>1857</v>
      </c>
      <c r="C1233" s="11" t="s">
        <v>1876</v>
      </c>
      <c r="D1233" s="6" t="s">
        <v>4242</v>
      </c>
      <c r="E1233" s="12" t="s">
        <v>3531</v>
      </c>
      <c r="F1233" s="12" t="s">
        <v>3531</v>
      </c>
      <c r="G1233" s="12" t="s">
        <v>3544</v>
      </c>
      <c r="H1233" s="12" t="s">
        <v>3544</v>
      </c>
      <c r="I1233" s="12" t="s">
        <v>4243</v>
      </c>
      <c r="J1233" s="11" t="s">
        <v>1851</v>
      </c>
      <c r="K1233" s="11" t="s">
        <v>1852</v>
      </c>
      <c r="L1233" s="11" t="s">
        <v>1853</v>
      </c>
      <c r="M1233" s="11" t="s">
        <v>1854</v>
      </c>
      <c r="N1233" s="12"/>
      <c r="O1233" s="11" t="s">
        <v>1864</v>
      </c>
      <c r="P1233" s="56" t="s">
        <v>4244</v>
      </c>
    </row>
    <row r="1234" spans="1:16" ht="15.75" customHeight="1" x14ac:dyDescent="0.2">
      <c r="A1234" s="50">
        <v>7230</v>
      </c>
      <c r="B1234" s="11" t="s">
        <v>1857</v>
      </c>
      <c r="C1234" s="11" t="s">
        <v>1876</v>
      </c>
      <c r="D1234" s="6" t="s">
        <v>1850</v>
      </c>
      <c r="E1234" s="12" t="s">
        <v>3531</v>
      </c>
      <c r="F1234" s="12" t="s">
        <v>3531</v>
      </c>
      <c r="G1234" s="12" t="s">
        <v>3544</v>
      </c>
      <c r="H1234" s="12" t="s">
        <v>3567</v>
      </c>
      <c r="I1234" s="12" t="s">
        <v>4245</v>
      </c>
      <c r="J1234" s="11" t="s">
        <v>1851</v>
      </c>
      <c r="K1234" s="11" t="s">
        <v>1852</v>
      </c>
      <c r="L1234" s="11" t="s">
        <v>1853</v>
      </c>
      <c r="M1234" s="11" t="s">
        <v>1854</v>
      </c>
      <c r="N1234" s="12"/>
      <c r="O1234" s="11" t="s">
        <v>2587</v>
      </c>
      <c r="P1234" s="56" t="s">
        <v>1865</v>
      </c>
    </row>
    <row r="1235" spans="1:16" ht="15.75" customHeight="1" x14ac:dyDescent="0.2">
      <c r="A1235" s="48">
        <v>7138</v>
      </c>
      <c r="B1235" s="11" t="s">
        <v>1857</v>
      </c>
      <c r="C1235" s="11" t="s">
        <v>1876</v>
      </c>
      <c r="D1235" s="6" t="s">
        <v>1850</v>
      </c>
      <c r="E1235" s="12" t="s">
        <v>3531</v>
      </c>
      <c r="F1235" s="12" t="s">
        <v>3531</v>
      </c>
      <c r="G1235" s="12" t="s">
        <v>3544</v>
      </c>
      <c r="H1235" s="12" t="s">
        <v>3544</v>
      </c>
      <c r="I1235" s="12" t="s">
        <v>4246</v>
      </c>
      <c r="J1235" s="11" t="s">
        <v>1851</v>
      </c>
      <c r="K1235" s="11" t="s">
        <v>1852</v>
      </c>
      <c r="L1235" s="11" t="s">
        <v>1853</v>
      </c>
      <c r="M1235" s="11" t="s">
        <v>1854</v>
      </c>
      <c r="N1235" s="12"/>
      <c r="O1235" s="11" t="s">
        <v>1866</v>
      </c>
      <c r="P1235" s="56" t="s">
        <v>4247</v>
      </c>
    </row>
    <row r="1236" spans="1:16" ht="15.75" customHeight="1" x14ac:dyDescent="0.2">
      <c r="A1236" s="50">
        <v>7130</v>
      </c>
      <c r="B1236" s="11" t="s">
        <v>1857</v>
      </c>
      <c r="C1236" s="11" t="s">
        <v>1876</v>
      </c>
      <c r="D1236" s="6" t="s">
        <v>1850</v>
      </c>
      <c r="E1236" s="12" t="s">
        <v>3531</v>
      </c>
      <c r="F1236" s="12" t="s">
        <v>3531</v>
      </c>
      <c r="G1236" s="12" t="s">
        <v>3550</v>
      </c>
      <c r="H1236" s="12" t="s">
        <v>3550</v>
      </c>
      <c r="I1236" s="12" t="s">
        <v>4248</v>
      </c>
      <c r="J1236" s="11" t="s">
        <v>1851</v>
      </c>
      <c r="K1236" s="11" t="s">
        <v>1852</v>
      </c>
      <c r="L1236" s="11" t="s">
        <v>1853</v>
      </c>
      <c r="M1236" s="11" t="s">
        <v>1854</v>
      </c>
      <c r="N1236" s="12"/>
      <c r="O1236" s="11" t="s">
        <v>1858</v>
      </c>
      <c r="P1236" s="56"/>
    </row>
    <row r="1237" spans="1:16" ht="15.75" customHeight="1" x14ac:dyDescent="0.2">
      <c r="A1237" s="48">
        <v>15817</v>
      </c>
      <c r="B1237" s="11" t="s">
        <v>1857</v>
      </c>
      <c r="C1237" s="11" t="s">
        <v>1876</v>
      </c>
      <c r="D1237" s="6" t="s">
        <v>1850</v>
      </c>
      <c r="E1237" s="12" t="s">
        <v>3531</v>
      </c>
      <c r="F1237" s="12" t="s">
        <v>3531</v>
      </c>
      <c r="G1237" s="12" t="s">
        <v>3544</v>
      </c>
      <c r="H1237" s="12" t="s">
        <v>3567</v>
      </c>
      <c r="I1237" s="12" t="s">
        <v>4249</v>
      </c>
      <c r="J1237" s="11" t="s">
        <v>1851</v>
      </c>
      <c r="K1237" s="11" t="s">
        <v>1852</v>
      </c>
      <c r="L1237" s="11" t="s">
        <v>1853</v>
      </c>
      <c r="M1237" s="11" t="s">
        <v>4250</v>
      </c>
      <c r="N1237" s="12"/>
      <c r="O1237" s="11" t="s">
        <v>1860</v>
      </c>
      <c r="P1237" s="56"/>
    </row>
    <row r="1238" spans="1:16" ht="15.75" customHeight="1" x14ac:dyDescent="0.2">
      <c r="A1238" s="48">
        <v>15968</v>
      </c>
      <c r="B1238" s="11" t="s">
        <v>1871</v>
      </c>
      <c r="C1238" s="11" t="s">
        <v>1876</v>
      </c>
      <c r="D1238" s="6" t="s">
        <v>1850</v>
      </c>
      <c r="E1238" s="12" t="s">
        <v>3531</v>
      </c>
      <c r="F1238" s="12" t="s">
        <v>3531</v>
      </c>
      <c r="G1238" s="12" t="s">
        <v>3544</v>
      </c>
      <c r="H1238" s="12" t="s">
        <v>3661</v>
      </c>
      <c r="I1238" s="12" t="s">
        <v>4251</v>
      </c>
      <c r="J1238" s="11" t="s">
        <v>1851</v>
      </c>
      <c r="K1238" s="11" t="s">
        <v>1852</v>
      </c>
      <c r="L1238" s="11" t="s">
        <v>1853</v>
      </c>
      <c r="M1238" s="11" t="s">
        <v>1854</v>
      </c>
      <c r="N1238" s="12"/>
      <c r="O1238" s="11" t="s">
        <v>2350</v>
      </c>
      <c r="P1238" s="56" t="s">
        <v>2323</v>
      </c>
    </row>
    <row r="1239" spans="1:16" ht="15.75" customHeight="1" x14ac:dyDescent="0.2">
      <c r="A1239" s="48">
        <v>5984</v>
      </c>
      <c r="B1239" s="11" t="s">
        <v>1871</v>
      </c>
      <c r="C1239" s="11" t="s">
        <v>1876</v>
      </c>
      <c r="D1239" s="6" t="s">
        <v>1850</v>
      </c>
      <c r="E1239" s="12" t="s">
        <v>3531</v>
      </c>
      <c r="F1239" s="12" t="s">
        <v>3531</v>
      </c>
      <c r="G1239" s="12" t="s">
        <v>3544</v>
      </c>
      <c r="H1239" s="12" t="s">
        <v>3544</v>
      </c>
      <c r="I1239" s="12" t="s">
        <v>4252</v>
      </c>
      <c r="J1239" s="11" t="s">
        <v>1851</v>
      </c>
      <c r="K1239" s="11" t="s">
        <v>1852</v>
      </c>
      <c r="L1239" s="11" t="s">
        <v>1853</v>
      </c>
      <c r="M1239" s="11" t="s">
        <v>1854</v>
      </c>
      <c r="N1239" s="12"/>
      <c r="O1239" s="11" t="s">
        <v>1866</v>
      </c>
      <c r="P1239" s="56" t="s">
        <v>3476</v>
      </c>
    </row>
    <row r="1240" spans="1:16" ht="15.75" customHeight="1" x14ac:dyDescent="0.2">
      <c r="A1240" s="48">
        <v>7142</v>
      </c>
      <c r="B1240" s="11" t="s">
        <v>1871</v>
      </c>
      <c r="C1240" s="11" t="s">
        <v>1876</v>
      </c>
      <c r="D1240" s="6" t="s">
        <v>1850</v>
      </c>
      <c r="E1240" s="12" t="s">
        <v>3531</v>
      </c>
      <c r="F1240" s="12" t="s">
        <v>3531</v>
      </c>
      <c r="G1240" s="12" t="s">
        <v>3544</v>
      </c>
      <c r="H1240" s="12" t="s">
        <v>3544</v>
      </c>
      <c r="I1240" s="12" t="s">
        <v>4253</v>
      </c>
      <c r="J1240" s="11" t="s">
        <v>1851</v>
      </c>
      <c r="K1240" s="11" t="s">
        <v>1852</v>
      </c>
      <c r="L1240" s="11" t="s">
        <v>1853</v>
      </c>
      <c r="M1240" s="11" t="s">
        <v>1854</v>
      </c>
      <c r="N1240" s="12"/>
      <c r="O1240" s="11" t="s">
        <v>2412</v>
      </c>
      <c r="P1240" s="56"/>
    </row>
    <row r="1241" spans="1:16" ht="15.75" customHeight="1" x14ac:dyDescent="0.2">
      <c r="A1241" s="48">
        <v>15967</v>
      </c>
      <c r="B1241" s="11" t="s">
        <v>1871</v>
      </c>
      <c r="C1241" s="11" t="s">
        <v>1876</v>
      </c>
      <c r="D1241" s="6" t="s">
        <v>1850</v>
      </c>
      <c r="E1241" s="12" t="s">
        <v>3531</v>
      </c>
      <c r="F1241" s="12" t="s">
        <v>3531</v>
      </c>
      <c r="G1241" s="12" t="s">
        <v>3544</v>
      </c>
      <c r="H1241" s="12" t="s">
        <v>3544</v>
      </c>
      <c r="I1241" s="12" t="s">
        <v>4254</v>
      </c>
      <c r="J1241" s="11" t="s">
        <v>1851</v>
      </c>
      <c r="K1241" s="11" t="s">
        <v>1852</v>
      </c>
      <c r="L1241" s="11" t="s">
        <v>1853</v>
      </c>
      <c r="M1241" s="11" t="s">
        <v>1854</v>
      </c>
      <c r="N1241" s="12"/>
      <c r="O1241" s="11" t="s">
        <v>1866</v>
      </c>
      <c r="P1241" s="56" t="s">
        <v>2614</v>
      </c>
    </row>
    <row r="1242" spans="1:16" ht="15.75" customHeight="1" x14ac:dyDescent="0.2">
      <c r="A1242" s="48">
        <v>15970</v>
      </c>
      <c r="B1242" s="11" t="s">
        <v>1871</v>
      </c>
      <c r="C1242" s="11" t="s">
        <v>1876</v>
      </c>
      <c r="D1242" s="6" t="s">
        <v>1850</v>
      </c>
      <c r="E1242" s="12" t="s">
        <v>3531</v>
      </c>
      <c r="F1242" s="12" t="s">
        <v>3531</v>
      </c>
      <c r="G1242" s="12" t="s">
        <v>3550</v>
      </c>
      <c r="H1242" s="12" t="s">
        <v>3553</v>
      </c>
      <c r="I1242" s="12" t="s">
        <v>4255</v>
      </c>
      <c r="J1242" s="11" t="s">
        <v>1851</v>
      </c>
      <c r="K1242" s="11" t="s">
        <v>1852</v>
      </c>
      <c r="L1242" s="11" t="s">
        <v>1853</v>
      </c>
      <c r="M1242" s="11" t="s">
        <v>1854</v>
      </c>
      <c r="N1242" s="12"/>
      <c r="O1242" s="11" t="s">
        <v>2350</v>
      </c>
      <c r="P1242" s="56" t="s">
        <v>1865</v>
      </c>
    </row>
    <row r="1243" spans="1:16" ht="15.75" customHeight="1" x14ac:dyDescent="0.2">
      <c r="A1243" s="48">
        <v>15969</v>
      </c>
      <c r="B1243" s="11" t="s">
        <v>1871</v>
      </c>
      <c r="C1243" s="11" t="s">
        <v>1876</v>
      </c>
      <c r="D1243" s="6" t="s">
        <v>1850</v>
      </c>
      <c r="E1243" s="12" t="s">
        <v>3531</v>
      </c>
      <c r="F1243" s="12" t="s">
        <v>3531</v>
      </c>
      <c r="G1243" s="12" t="s">
        <v>3544</v>
      </c>
      <c r="H1243" s="12" t="s">
        <v>3544</v>
      </c>
      <c r="I1243" s="12" t="s">
        <v>4256</v>
      </c>
      <c r="J1243" s="11" t="s">
        <v>1851</v>
      </c>
      <c r="K1243" s="11" t="s">
        <v>1852</v>
      </c>
      <c r="L1243" s="11" t="s">
        <v>1853</v>
      </c>
      <c r="M1243" s="11" t="s">
        <v>1854</v>
      </c>
      <c r="N1243" s="12"/>
      <c r="O1243" s="11" t="s">
        <v>1854</v>
      </c>
      <c r="P1243" s="56"/>
    </row>
    <row r="1244" spans="1:16" ht="15.75" customHeight="1" x14ac:dyDescent="0.2">
      <c r="A1244" s="48">
        <v>7129</v>
      </c>
      <c r="B1244" s="11" t="s">
        <v>1871</v>
      </c>
      <c r="C1244" s="11" t="s">
        <v>1876</v>
      </c>
      <c r="D1244" s="6" t="s">
        <v>1850</v>
      </c>
      <c r="E1244" s="12" t="s">
        <v>3531</v>
      </c>
      <c r="F1244" s="12" t="s">
        <v>3531</v>
      </c>
      <c r="G1244" s="12" t="s">
        <v>3550</v>
      </c>
      <c r="H1244" s="12" t="s">
        <v>3550</v>
      </c>
      <c r="I1244" s="12" t="s">
        <v>4257</v>
      </c>
      <c r="J1244" s="11" t="s">
        <v>1851</v>
      </c>
      <c r="K1244" s="11" t="s">
        <v>1852</v>
      </c>
      <c r="L1244" s="11" t="s">
        <v>1853</v>
      </c>
      <c r="M1244" s="11" t="s">
        <v>1854</v>
      </c>
      <c r="N1244" s="12"/>
      <c r="O1244" s="11" t="s">
        <v>1866</v>
      </c>
      <c r="P1244" s="56" t="s">
        <v>3476</v>
      </c>
    </row>
    <row r="1245" spans="1:16" ht="15.75" customHeight="1" x14ac:dyDescent="0.2">
      <c r="A1245" s="48">
        <v>7140</v>
      </c>
      <c r="B1245" s="11" t="s">
        <v>1871</v>
      </c>
      <c r="C1245" s="11" t="s">
        <v>1876</v>
      </c>
      <c r="D1245" s="6" t="s">
        <v>1850</v>
      </c>
      <c r="E1245" s="12" t="s">
        <v>3531</v>
      </c>
      <c r="F1245" s="12" t="s">
        <v>3531</v>
      </c>
      <c r="G1245" s="12" t="s">
        <v>3544</v>
      </c>
      <c r="H1245" s="12" t="s">
        <v>3544</v>
      </c>
      <c r="I1245" s="12" t="s">
        <v>4258</v>
      </c>
      <c r="J1245" s="11" t="s">
        <v>1851</v>
      </c>
      <c r="K1245" s="11" t="s">
        <v>1852</v>
      </c>
      <c r="L1245" s="11" t="s">
        <v>1853</v>
      </c>
      <c r="M1245" s="11" t="s">
        <v>1854</v>
      </c>
      <c r="N1245" s="12"/>
      <c r="O1245" s="11" t="s">
        <v>2618</v>
      </c>
      <c r="P1245" s="56"/>
    </row>
    <row r="1246" spans="1:16" ht="15.75" customHeight="1" x14ac:dyDescent="0.2">
      <c r="A1246" s="48">
        <v>7131</v>
      </c>
      <c r="B1246" s="11" t="s">
        <v>1871</v>
      </c>
      <c r="C1246" s="11" t="s">
        <v>1876</v>
      </c>
      <c r="D1246" s="6" t="s">
        <v>1850</v>
      </c>
      <c r="E1246" s="12" t="s">
        <v>3531</v>
      </c>
      <c r="F1246" s="12" t="s">
        <v>3531</v>
      </c>
      <c r="G1246" s="12" t="s">
        <v>3550</v>
      </c>
      <c r="H1246" s="12" t="s">
        <v>3553</v>
      </c>
      <c r="I1246" s="12" t="s">
        <v>4259</v>
      </c>
      <c r="J1246" s="11" t="s">
        <v>1851</v>
      </c>
      <c r="K1246" s="11" t="s">
        <v>1852</v>
      </c>
      <c r="L1246" s="11" t="s">
        <v>1853</v>
      </c>
      <c r="M1246" s="11" t="s">
        <v>1854</v>
      </c>
      <c r="N1246" s="12"/>
      <c r="O1246" s="11" t="s">
        <v>1864</v>
      </c>
      <c r="P1246" s="56"/>
    </row>
    <row r="1247" spans="1:16" ht="15.75" customHeight="1" x14ac:dyDescent="0.2">
      <c r="A1247" s="48">
        <v>7132</v>
      </c>
      <c r="B1247" s="11" t="s">
        <v>1871</v>
      </c>
      <c r="C1247" s="11" t="s">
        <v>1876</v>
      </c>
      <c r="D1247" s="6" t="s">
        <v>1850</v>
      </c>
      <c r="E1247" s="12" t="s">
        <v>3531</v>
      </c>
      <c r="F1247" s="12" t="s">
        <v>3531</v>
      </c>
      <c r="G1247" s="12" t="s">
        <v>3550</v>
      </c>
      <c r="H1247" s="12" t="s">
        <v>3550</v>
      </c>
      <c r="I1247" s="12" t="s">
        <v>4260</v>
      </c>
      <c r="J1247" s="11" t="s">
        <v>1851</v>
      </c>
      <c r="K1247" s="11" t="s">
        <v>1852</v>
      </c>
      <c r="L1247" s="11" t="s">
        <v>1853</v>
      </c>
      <c r="M1247" s="11" t="s">
        <v>1854</v>
      </c>
      <c r="N1247" s="12"/>
      <c r="O1247" s="11" t="s">
        <v>2412</v>
      </c>
      <c r="P1247" s="56" t="s">
        <v>3343</v>
      </c>
    </row>
    <row r="1248" spans="1:16" ht="15.75" customHeight="1" x14ac:dyDescent="0.2">
      <c r="A1248" s="50">
        <v>7134</v>
      </c>
      <c r="B1248" s="11" t="s">
        <v>1857</v>
      </c>
      <c r="C1248" s="11" t="s">
        <v>1876</v>
      </c>
      <c r="D1248" s="6" t="s">
        <v>4261</v>
      </c>
      <c r="E1248" s="12" t="s">
        <v>3531</v>
      </c>
      <c r="F1248" s="12" t="s">
        <v>3531</v>
      </c>
      <c r="G1248" s="12" t="s">
        <v>3532</v>
      </c>
      <c r="H1248" s="13" t="s">
        <v>3535</v>
      </c>
      <c r="I1248" s="12" t="s">
        <v>4262</v>
      </c>
      <c r="J1248" s="11" t="s">
        <v>1851</v>
      </c>
      <c r="K1248" s="11" t="s">
        <v>1852</v>
      </c>
      <c r="L1248" s="11" t="s">
        <v>1853</v>
      </c>
      <c r="M1248" s="11" t="s">
        <v>1854</v>
      </c>
      <c r="N1248" s="12"/>
      <c r="O1248" s="11" t="s">
        <v>1867</v>
      </c>
      <c r="P1248" s="56" t="s">
        <v>1865</v>
      </c>
    </row>
    <row r="1249" spans="1:16" ht="15.75" customHeight="1" x14ac:dyDescent="0.2">
      <c r="A1249" s="48">
        <v>1040</v>
      </c>
      <c r="B1249" s="11" t="s">
        <v>1848</v>
      </c>
      <c r="C1249" s="11" t="s">
        <v>1849</v>
      </c>
      <c r="D1249" s="6" t="s">
        <v>1850</v>
      </c>
      <c r="E1249" s="12" t="s">
        <v>4263</v>
      </c>
      <c r="F1249" s="12" t="s">
        <v>4263</v>
      </c>
      <c r="G1249" s="12" t="s">
        <v>4263</v>
      </c>
      <c r="H1249" s="12" t="s">
        <v>4264</v>
      </c>
      <c r="I1249" s="12" t="s">
        <v>4265</v>
      </c>
      <c r="J1249" s="11" t="s">
        <v>1851</v>
      </c>
      <c r="K1249" s="11" t="s">
        <v>1852</v>
      </c>
      <c r="L1249" s="11" t="s">
        <v>1853</v>
      </c>
      <c r="M1249" s="12" t="s">
        <v>1854</v>
      </c>
      <c r="N1249" s="12"/>
      <c r="O1249" s="11" t="s">
        <v>1855</v>
      </c>
      <c r="P1249" s="56"/>
    </row>
    <row r="1250" spans="1:16" ht="15.75" customHeight="1" x14ac:dyDescent="0.2">
      <c r="A1250" s="48">
        <v>15444</v>
      </c>
      <c r="B1250" s="11" t="s">
        <v>1848</v>
      </c>
      <c r="C1250" s="11" t="s">
        <v>1849</v>
      </c>
      <c r="D1250" s="6" t="s">
        <v>1850</v>
      </c>
      <c r="E1250" s="12" t="s">
        <v>4263</v>
      </c>
      <c r="F1250" s="12" t="s">
        <v>4263</v>
      </c>
      <c r="G1250" s="12" t="s">
        <v>4263</v>
      </c>
      <c r="H1250" s="12" t="s">
        <v>4264</v>
      </c>
      <c r="I1250" s="12" t="s">
        <v>4266</v>
      </c>
      <c r="J1250" s="11" t="s">
        <v>1851</v>
      </c>
      <c r="K1250" s="11" t="s">
        <v>1852</v>
      </c>
      <c r="L1250" s="11" t="s">
        <v>1853</v>
      </c>
      <c r="M1250" s="12" t="s">
        <v>1854</v>
      </c>
      <c r="N1250" s="12"/>
      <c r="O1250" s="11" t="s">
        <v>1855</v>
      </c>
      <c r="P1250" s="56"/>
    </row>
    <row r="1251" spans="1:16" ht="15.75" customHeight="1" x14ac:dyDescent="0.2">
      <c r="A1251" s="48">
        <v>7550</v>
      </c>
      <c r="B1251" s="11" t="s">
        <v>1848</v>
      </c>
      <c r="C1251" s="11" t="s">
        <v>1849</v>
      </c>
      <c r="D1251" s="6" t="s">
        <v>1850</v>
      </c>
      <c r="E1251" s="12" t="s">
        <v>4263</v>
      </c>
      <c r="F1251" s="12" t="s">
        <v>4263</v>
      </c>
      <c r="G1251" s="12" t="s">
        <v>4263</v>
      </c>
      <c r="H1251" s="12" t="s">
        <v>4267</v>
      </c>
      <c r="I1251" s="12" t="s">
        <v>4268</v>
      </c>
      <c r="J1251" s="11" t="s">
        <v>1851</v>
      </c>
      <c r="K1251" s="11" t="s">
        <v>1852</v>
      </c>
      <c r="L1251" s="11" t="s">
        <v>1853</v>
      </c>
      <c r="M1251" s="12" t="s">
        <v>1854</v>
      </c>
      <c r="N1251" s="12"/>
      <c r="O1251" s="11" t="s">
        <v>1855</v>
      </c>
      <c r="P1251" s="56"/>
    </row>
    <row r="1252" spans="1:16" ht="15.75" customHeight="1" x14ac:dyDescent="0.2">
      <c r="A1252" s="48">
        <v>16012</v>
      </c>
      <c r="B1252" s="11" t="s">
        <v>1848</v>
      </c>
      <c r="C1252" s="11" t="s">
        <v>1849</v>
      </c>
      <c r="D1252" s="6" t="s">
        <v>1850</v>
      </c>
      <c r="E1252" s="12" t="s">
        <v>4263</v>
      </c>
      <c r="F1252" s="12" t="s">
        <v>4263</v>
      </c>
      <c r="G1252" s="12" t="s">
        <v>4263</v>
      </c>
      <c r="H1252" s="12" t="s">
        <v>4267</v>
      </c>
      <c r="I1252" s="12" t="s">
        <v>4269</v>
      </c>
      <c r="J1252" s="11" t="s">
        <v>1851</v>
      </c>
      <c r="K1252" s="11" t="s">
        <v>1852</v>
      </c>
      <c r="L1252" s="11" t="s">
        <v>1853</v>
      </c>
      <c r="M1252" s="12" t="s">
        <v>1854</v>
      </c>
      <c r="N1252" s="12"/>
      <c r="O1252" s="11" t="s">
        <v>1855</v>
      </c>
      <c r="P1252" s="56"/>
    </row>
    <row r="1253" spans="1:16" ht="15.75" customHeight="1" x14ac:dyDescent="0.2">
      <c r="A1253" s="48">
        <v>16038</v>
      </c>
      <c r="B1253" s="11" t="s">
        <v>1848</v>
      </c>
      <c r="C1253" s="11" t="s">
        <v>1849</v>
      </c>
      <c r="D1253" s="6" t="s">
        <v>1850</v>
      </c>
      <c r="E1253" s="12" t="s">
        <v>4263</v>
      </c>
      <c r="F1253" s="12" t="s">
        <v>4263</v>
      </c>
      <c r="G1253" s="12" t="s">
        <v>4263</v>
      </c>
      <c r="H1253" s="12" t="s">
        <v>4270</v>
      </c>
      <c r="I1253" s="12" t="s">
        <v>4271</v>
      </c>
      <c r="J1253" s="11" t="s">
        <v>1851</v>
      </c>
      <c r="K1253" s="11" t="s">
        <v>1852</v>
      </c>
      <c r="L1253" s="11" t="s">
        <v>1853</v>
      </c>
      <c r="M1253" s="12" t="s">
        <v>1854</v>
      </c>
      <c r="N1253" s="12"/>
      <c r="O1253" s="11" t="s">
        <v>1855</v>
      </c>
      <c r="P1253" s="56"/>
    </row>
    <row r="1254" spans="1:16" ht="15.75" customHeight="1" x14ac:dyDescent="0.2">
      <c r="A1254" s="48">
        <v>16039</v>
      </c>
      <c r="B1254" s="11" t="s">
        <v>1848</v>
      </c>
      <c r="C1254" s="11" t="s">
        <v>1849</v>
      </c>
      <c r="D1254" s="6" t="s">
        <v>1850</v>
      </c>
      <c r="E1254" s="12" t="s">
        <v>4263</v>
      </c>
      <c r="F1254" s="12" t="s">
        <v>4263</v>
      </c>
      <c r="G1254" s="12" t="s">
        <v>4263</v>
      </c>
      <c r="H1254" s="12" t="s">
        <v>4272</v>
      </c>
      <c r="I1254" s="12" t="s">
        <v>4273</v>
      </c>
      <c r="J1254" s="11" t="s">
        <v>1851</v>
      </c>
      <c r="K1254" s="11" t="s">
        <v>1852</v>
      </c>
      <c r="L1254" s="11" t="s">
        <v>1853</v>
      </c>
      <c r="M1254" s="12" t="s">
        <v>1854</v>
      </c>
      <c r="N1254" s="12"/>
      <c r="O1254" s="11" t="s">
        <v>1855</v>
      </c>
      <c r="P1254" s="56"/>
    </row>
    <row r="1255" spans="1:16" ht="15.75" customHeight="1" x14ac:dyDescent="0.2">
      <c r="A1255" s="48">
        <v>16040</v>
      </c>
      <c r="B1255" s="11" t="s">
        <v>1848</v>
      </c>
      <c r="C1255" s="11" t="s">
        <v>1849</v>
      </c>
      <c r="D1255" s="6" t="s">
        <v>1850</v>
      </c>
      <c r="E1255" s="12" t="s">
        <v>4263</v>
      </c>
      <c r="F1255" s="12" t="s">
        <v>4263</v>
      </c>
      <c r="G1255" s="12" t="s">
        <v>4263</v>
      </c>
      <c r="H1255" s="12" t="s">
        <v>4274</v>
      </c>
      <c r="I1255" s="12" t="s">
        <v>4275</v>
      </c>
      <c r="J1255" s="11" t="s">
        <v>1851</v>
      </c>
      <c r="K1255" s="11" t="s">
        <v>1852</v>
      </c>
      <c r="L1255" s="11" t="s">
        <v>1853</v>
      </c>
      <c r="M1255" s="12" t="s">
        <v>1854</v>
      </c>
      <c r="N1255" s="12"/>
      <c r="O1255" s="11" t="s">
        <v>1855</v>
      </c>
      <c r="P1255" s="56"/>
    </row>
    <row r="1256" spans="1:16" ht="15.75" customHeight="1" x14ac:dyDescent="0.2">
      <c r="A1256" s="48">
        <v>16041</v>
      </c>
      <c r="B1256" s="11" t="s">
        <v>1848</v>
      </c>
      <c r="C1256" s="11" t="s">
        <v>1849</v>
      </c>
      <c r="D1256" s="6" t="s">
        <v>1850</v>
      </c>
      <c r="E1256" s="12" t="s">
        <v>4263</v>
      </c>
      <c r="F1256" s="12" t="s">
        <v>4263</v>
      </c>
      <c r="G1256" s="12" t="s">
        <v>4263</v>
      </c>
      <c r="H1256" s="12" t="s">
        <v>4276</v>
      </c>
      <c r="I1256" s="12" t="s">
        <v>4277</v>
      </c>
      <c r="J1256" s="11" t="s">
        <v>1851</v>
      </c>
      <c r="K1256" s="11" t="s">
        <v>1852</v>
      </c>
      <c r="L1256" s="11" t="s">
        <v>1853</v>
      </c>
      <c r="M1256" s="12" t="s">
        <v>1854</v>
      </c>
      <c r="N1256" s="12"/>
      <c r="O1256" s="11" t="s">
        <v>1855</v>
      </c>
      <c r="P1256" s="56"/>
    </row>
    <row r="1257" spans="1:16" ht="15.75" customHeight="1" x14ac:dyDescent="0.2">
      <c r="A1257" s="48">
        <v>16154</v>
      </c>
      <c r="B1257" s="11" t="s">
        <v>1848</v>
      </c>
      <c r="C1257" s="11" t="s">
        <v>1849</v>
      </c>
      <c r="D1257" s="6" t="s">
        <v>1850</v>
      </c>
      <c r="E1257" s="12" t="s">
        <v>4263</v>
      </c>
      <c r="F1257" s="12" t="s">
        <v>4263</v>
      </c>
      <c r="G1257" s="12" t="s">
        <v>4263</v>
      </c>
      <c r="H1257" s="12" t="s">
        <v>4278</v>
      </c>
      <c r="I1257" s="12" t="s">
        <v>4279</v>
      </c>
      <c r="J1257" s="11" t="s">
        <v>1851</v>
      </c>
      <c r="K1257" s="11" t="s">
        <v>1852</v>
      </c>
      <c r="L1257" s="11" t="s">
        <v>1853</v>
      </c>
      <c r="M1257" s="11" t="s">
        <v>1854</v>
      </c>
      <c r="N1257" s="12"/>
      <c r="O1257" s="11" t="s">
        <v>1855</v>
      </c>
      <c r="P1257" s="56"/>
    </row>
    <row r="1258" spans="1:16" ht="15.75" customHeight="1" x14ac:dyDescent="0.2">
      <c r="A1258" s="48">
        <v>16155</v>
      </c>
      <c r="B1258" s="11" t="s">
        <v>1848</v>
      </c>
      <c r="C1258" s="11" t="s">
        <v>1849</v>
      </c>
      <c r="D1258" s="6" t="s">
        <v>1850</v>
      </c>
      <c r="E1258" s="12" t="s">
        <v>4263</v>
      </c>
      <c r="F1258" s="12" t="s">
        <v>4263</v>
      </c>
      <c r="G1258" s="12" t="s">
        <v>4263</v>
      </c>
      <c r="H1258" s="12" t="s">
        <v>4274</v>
      </c>
      <c r="I1258" s="12" t="s">
        <v>4280</v>
      </c>
      <c r="J1258" s="11" t="s">
        <v>1851</v>
      </c>
      <c r="K1258" s="11" t="s">
        <v>1852</v>
      </c>
      <c r="L1258" s="11" t="s">
        <v>1853</v>
      </c>
      <c r="M1258" s="11" t="s">
        <v>1854</v>
      </c>
      <c r="N1258" s="12"/>
      <c r="O1258" s="11" t="s">
        <v>1855</v>
      </c>
      <c r="P1258" s="56"/>
    </row>
    <row r="1259" spans="1:16" ht="15.75" customHeight="1" x14ac:dyDescent="0.2">
      <c r="A1259" s="48">
        <v>16156</v>
      </c>
      <c r="B1259" s="11" t="s">
        <v>1848</v>
      </c>
      <c r="C1259" s="11" t="s">
        <v>1849</v>
      </c>
      <c r="D1259" s="6" t="s">
        <v>1850</v>
      </c>
      <c r="E1259" s="12" t="s">
        <v>4263</v>
      </c>
      <c r="F1259" s="12" t="s">
        <v>4263</v>
      </c>
      <c r="G1259" s="12" t="s">
        <v>4263</v>
      </c>
      <c r="H1259" s="12" t="s">
        <v>4270</v>
      </c>
      <c r="I1259" s="12" t="s">
        <v>4281</v>
      </c>
      <c r="J1259" s="11" t="s">
        <v>1851</v>
      </c>
      <c r="K1259" s="11" t="s">
        <v>1852</v>
      </c>
      <c r="L1259" s="11" t="s">
        <v>1853</v>
      </c>
      <c r="M1259" s="11" t="s">
        <v>1854</v>
      </c>
      <c r="N1259" s="12"/>
      <c r="O1259" s="11" t="s">
        <v>1855</v>
      </c>
      <c r="P1259" s="56"/>
    </row>
    <row r="1260" spans="1:16" ht="15.75" customHeight="1" x14ac:dyDescent="0.2">
      <c r="A1260" s="48">
        <v>16157</v>
      </c>
      <c r="B1260" s="11" t="s">
        <v>1848</v>
      </c>
      <c r="C1260" s="11" t="s">
        <v>1849</v>
      </c>
      <c r="D1260" s="6" t="s">
        <v>1850</v>
      </c>
      <c r="E1260" s="12" t="s">
        <v>4263</v>
      </c>
      <c r="F1260" s="12" t="s">
        <v>4263</v>
      </c>
      <c r="G1260" s="12" t="s">
        <v>4263</v>
      </c>
      <c r="H1260" s="12" t="s">
        <v>4282</v>
      </c>
      <c r="I1260" s="12" t="s">
        <v>4283</v>
      </c>
      <c r="J1260" s="11" t="s">
        <v>1851</v>
      </c>
      <c r="K1260" s="11" t="s">
        <v>1852</v>
      </c>
      <c r="L1260" s="11" t="s">
        <v>1853</v>
      </c>
      <c r="M1260" s="11" t="s">
        <v>1854</v>
      </c>
      <c r="N1260" s="12"/>
      <c r="O1260" s="11" t="s">
        <v>1855</v>
      </c>
      <c r="P1260" s="56"/>
    </row>
    <row r="1261" spans="1:16" ht="15.75" customHeight="1" x14ac:dyDescent="0.2">
      <c r="A1261" s="48">
        <v>16158</v>
      </c>
      <c r="B1261" s="11" t="s">
        <v>1848</v>
      </c>
      <c r="C1261" s="11" t="s">
        <v>1849</v>
      </c>
      <c r="D1261" s="6" t="s">
        <v>1850</v>
      </c>
      <c r="E1261" s="12" t="s">
        <v>4263</v>
      </c>
      <c r="F1261" s="12" t="s">
        <v>4263</v>
      </c>
      <c r="G1261" s="12" t="s">
        <v>4263</v>
      </c>
      <c r="H1261" s="12" t="s">
        <v>4282</v>
      </c>
      <c r="I1261" s="12" t="s">
        <v>4284</v>
      </c>
      <c r="J1261" s="11" t="s">
        <v>1851</v>
      </c>
      <c r="K1261" s="11" t="s">
        <v>1852</v>
      </c>
      <c r="L1261" s="11" t="s">
        <v>1853</v>
      </c>
      <c r="M1261" s="11" t="s">
        <v>1854</v>
      </c>
      <c r="N1261" s="12"/>
      <c r="O1261" s="11" t="s">
        <v>1855</v>
      </c>
      <c r="P1261" s="56"/>
    </row>
    <row r="1262" spans="1:16" ht="15.75" customHeight="1" x14ac:dyDescent="0.2">
      <c r="A1262" s="48">
        <v>16159</v>
      </c>
      <c r="B1262" s="11" t="s">
        <v>1848</v>
      </c>
      <c r="C1262" s="11" t="s">
        <v>1849</v>
      </c>
      <c r="D1262" s="6" t="s">
        <v>1850</v>
      </c>
      <c r="E1262" s="12" t="s">
        <v>4263</v>
      </c>
      <c r="F1262" s="12" t="s">
        <v>4263</v>
      </c>
      <c r="G1262" s="12" t="s">
        <v>4263</v>
      </c>
      <c r="H1262" s="12" t="s">
        <v>4276</v>
      </c>
      <c r="I1262" s="12" t="s">
        <v>4285</v>
      </c>
      <c r="J1262" s="11" t="s">
        <v>1851</v>
      </c>
      <c r="K1262" s="11" t="s">
        <v>1852</v>
      </c>
      <c r="L1262" s="11" t="s">
        <v>1853</v>
      </c>
      <c r="M1262" s="11" t="s">
        <v>1854</v>
      </c>
      <c r="N1262" s="12"/>
      <c r="O1262" s="11" t="s">
        <v>1855</v>
      </c>
      <c r="P1262" s="56"/>
    </row>
    <row r="1263" spans="1:16" ht="15.75" customHeight="1" x14ac:dyDescent="0.2">
      <c r="A1263" s="48">
        <v>16160</v>
      </c>
      <c r="B1263" s="11" t="s">
        <v>1848</v>
      </c>
      <c r="C1263" s="11" t="s">
        <v>1849</v>
      </c>
      <c r="D1263" s="6" t="s">
        <v>1850</v>
      </c>
      <c r="E1263" s="12" t="s">
        <v>4263</v>
      </c>
      <c r="F1263" s="12" t="s">
        <v>4263</v>
      </c>
      <c r="G1263" s="12" t="s">
        <v>4263</v>
      </c>
      <c r="H1263" s="12" t="s">
        <v>4270</v>
      </c>
      <c r="I1263" s="12" t="s">
        <v>4286</v>
      </c>
      <c r="J1263" s="11" t="s">
        <v>1851</v>
      </c>
      <c r="K1263" s="11" t="s">
        <v>1852</v>
      </c>
      <c r="L1263" s="11" t="s">
        <v>1853</v>
      </c>
      <c r="M1263" s="11" t="s">
        <v>1854</v>
      </c>
      <c r="N1263" s="12"/>
      <c r="O1263" s="11" t="s">
        <v>1855</v>
      </c>
      <c r="P1263" s="56"/>
    </row>
    <row r="1264" spans="1:16" ht="15.75" customHeight="1" x14ac:dyDescent="0.2">
      <c r="A1264" s="48">
        <v>16161</v>
      </c>
      <c r="B1264" s="11" t="s">
        <v>1848</v>
      </c>
      <c r="C1264" s="11" t="s">
        <v>1849</v>
      </c>
      <c r="D1264" s="6" t="s">
        <v>1850</v>
      </c>
      <c r="E1264" s="12" t="s">
        <v>4263</v>
      </c>
      <c r="F1264" s="12" t="s">
        <v>4263</v>
      </c>
      <c r="G1264" s="12" t="s">
        <v>4263</v>
      </c>
      <c r="H1264" s="12" t="s">
        <v>4282</v>
      </c>
      <c r="I1264" s="12" t="s">
        <v>4287</v>
      </c>
      <c r="J1264" s="11" t="s">
        <v>1851</v>
      </c>
      <c r="K1264" s="11" t="s">
        <v>1852</v>
      </c>
      <c r="L1264" s="11" t="s">
        <v>1853</v>
      </c>
      <c r="M1264" s="11" t="s">
        <v>1854</v>
      </c>
      <c r="N1264" s="12"/>
      <c r="O1264" s="11" t="s">
        <v>1855</v>
      </c>
      <c r="P1264" s="56"/>
    </row>
    <row r="1265" spans="1:16" ht="15.75" customHeight="1" x14ac:dyDescent="0.2">
      <c r="A1265" s="48">
        <v>16162</v>
      </c>
      <c r="B1265" s="11" t="s">
        <v>1848</v>
      </c>
      <c r="C1265" s="11" t="s">
        <v>1849</v>
      </c>
      <c r="D1265" s="6" t="s">
        <v>1850</v>
      </c>
      <c r="E1265" s="12" t="s">
        <v>4263</v>
      </c>
      <c r="F1265" s="12" t="s">
        <v>4263</v>
      </c>
      <c r="G1265" s="12" t="s">
        <v>4263</v>
      </c>
      <c r="H1265" s="12" t="s">
        <v>4278</v>
      </c>
      <c r="I1265" s="12" t="s">
        <v>4288</v>
      </c>
      <c r="J1265" s="11" t="s">
        <v>1851</v>
      </c>
      <c r="K1265" s="11" t="s">
        <v>1852</v>
      </c>
      <c r="L1265" s="11" t="s">
        <v>1853</v>
      </c>
      <c r="M1265" s="11" t="s">
        <v>1854</v>
      </c>
      <c r="N1265" s="12"/>
      <c r="O1265" s="11" t="s">
        <v>1855</v>
      </c>
      <c r="P1265" s="56"/>
    </row>
    <row r="1266" spans="1:16" ht="15.75" customHeight="1" x14ac:dyDescent="0.2">
      <c r="A1266" s="48">
        <v>16163</v>
      </c>
      <c r="B1266" s="11" t="s">
        <v>1848</v>
      </c>
      <c r="C1266" s="11" t="s">
        <v>1849</v>
      </c>
      <c r="D1266" s="6" t="s">
        <v>1850</v>
      </c>
      <c r="E1266" s="12" t="s">
        <v>4263</v>
      </c>
      <c r="F1266" s="12" t="s">
        <v>4263</v>
      </c>
      <c r="G1266" s="12" t="s">
        <v>4263</v>
      </c>
      <c r="H1266" s="12" t="s">
        <v>4267</v>
      </c>
      <c r="I1266" s="12" t="s">
        <v>4289</v>
      </c>
      <c r="J1266" s="11" t="s">
        <v>1851</v>
      </c>
      <c r="K1266" s="11" t="s">
        <v>1852</v>
      </c>
      <c r="L1266" s="11" t="s">
        <v>1853</v>
      </c>
      <c r="M1266" s="11" t="s">
        <v>1854</v>
      </c>
      <c r="N1266" s="12"/>
      <c r="O1266" s="11" t="s">
        <v>1855</v>
      </c>
      <c r="P1266" s="56"/>
    </row>
    <row r="1267" spans="1:16" ht="15.75" customHeight="1" x14ac:dyDescent="0.2">
      <c r="A1267" s="48">
        <v>16164</v>
      </c>
      <c r="B1267" s="11" t="s">
        <v>1848</v>
      </c>
      <c r="C1267" s="11" t="s">
        <v>1849</v>
      </c>
      <c r="D1267" s="6" t="s">
        <v>1850</v>
      </c>
      <c r="E1267" s="12" t="s">
        <v>4263</v>
      </c>
      <c r="F1267" s="12" t="s">
        <v>4263</v>
      </c>
      <c r="G1267" s="12" t="s">
        <v>4263</v>
      </c>
      <c r="H1267" s="12" t="s">
        <v>4282</v>
      </c>
      <c r="I1267" s="12" t="s">
        <v>4290</v>
      </c>
      <c r="J1267" s="11" t="s">
        <v>1851</v>
      </c>
      <c r="K1267" s="11" t="s">
        <v>1852</v>
      </c>
      <c r="L1267" s="11" t="s">
        <v>1853</v>
      </c>
      <c r="M1267" s="11" t="s">
        <v>1854</v>
      </c>
      <c r="N1267" s="12"/>
      <c r="O1267" s="11" t="s">
        <v>1855</v>
      </c>
      <c r="P1267" s="56"/>
    </row>
    <row r="1268" spans="1:16" ht="15.75" customHeight="1" x14ac:dyDescent="0.2">
      <c r="A1268" s="48">
        <v>16165</v>
      </c>
      <c r="B1268" s="11" t="s">
        <v>1848</v>
      </c>
      <c r="C1268" s="11" t="s">
        <v>1849</v>
      </c>
      <c r="D1268" s="6" t="s">
        <v>1850</v>
      </c>
      <c r="E1268" s="12" t="s">
        <v>4263</v>
      </c>
      <c r="F1268" s="12" t="s">
        <v>4263</v>
      </c>
      <c r="G1268" s="12" t="s">
        <v>4263</v>
      </c>
      <c r="H1268" s="12" t="s">
        <v>4278</v>
      </c>
      <c r="I1268" s="12" t="s">
        <v>4291</v>
      </c>
      <c r="J1268" s="11" t="s">
        <v>1851</v>
      </c>
      <c r="K1268" s="11" t="s">
        <v>1852</v>
      </c>
      <c r="L1268" s="11" t="s">
        <v>1853</v>
      </c>
      <c r="M1268" s="11" t="s">
        <v>1854</v>
      </c>
      <c r="N1268" s="12"/>
      <c r="O1268" s="11" t="s">
        <v>1855</v>
      </c>
      <c r="P1268" s="56"/>
    </row>
    <row r="1269" spans="1:16" ht="15.75" customHeight="1" x14ac:dyDescent="0.2">
      <c r="A1269" s="48">
        <v>16166</v>
      </c>
      <c r="B1269" s="11" t="s">
        <v>1848</v>
      </c>
      <c r="C1269" s="11" t="s">
        <v>1849</v>
      </c>
      <c r="D1269" s="6" t="s">
        <v>1850</v>
      </c>
      <c r="E1269" s="12" t="s">
        <v>4263</v>
      </c>
      <c r="F1269" s="12" t="s">
        <v>4263</v>
      </c>
      <c r="G1269" s="12" t="s">
        <v>4263</v>
      </c>
      <c r="H1269" s="12" t="s">
        <v>4276</v>
      </c>
      <c r="I1269" s="12" t="s">
        <v>4292</v>
      </c>
      <c r="J1269" s="11" t="s">
        <v>1856</v>
      </c>
      <c r="K1269" s="11" t="s">
        <v>1852</v>
      </c>
      <c r="L1269" s="11" t="s">
        <v>1853</v>
      </c>
      <c r="M1269" s="11" t="s">
        <v>1854</v>
      </c>
      <c r="N1269" s="12"/>
      <c r="O1269" s="11" t="s">
        <v>1855</v>
      </c>
      <c r="P1269" s="56"/>
    </row>
    <row r="1270" spans="1:16" ht="15.75" customHeight="1" x14ac:dyDescent="0.2">
      <c r="A1270" s="48">
        <v>16167</v>
      </c>
      <c r="B1270" s="11" t="s">
        <v>1848</v>
      </c>
      <c r="C1270" s="11" t="s">
        <v>1849</v>
      </c>
      <c r="D1270" s="6" t="s">
        <v>1850</v>
      </c>
      <c r="E1270" s="12" t="s">
        <v>4263</v>
      </c>
      <c r="F1270" s="12" t="s">
        <v>4263</v>
      </c>
      <c r="G1270" s="12" t="s">
        <v>4263</v>
      </c>
      <c r="H1270" s="12" t="s">
        <v>4267</v>
      </c>
      <c r="I1270" s="12" t="s">
        <v>4293</v>
      </c>
      <c r="J1270" s="11" t="s">
        <v>1856</v>
      </c>
      <c r="K1270" s="11" t="s">
        <v>1852</v>
      </c>
      <c r="L1270" s="11" t="s">
        <v>1853</v>
      </c>
      <c r="M1270" s="11" t="s">
        <v>1854</v>
      </c>
      <c r="N1270" s="12"/>
      <c r="O1270" s="11" t="s">
        <v>1855</v>
      </c>
      <c r="P1270" s="56"/>
    </row>
    <row r="1271" spans="1:16" ht="15.75" customHeight="1" x14ac:dyDescent="0.2">
      <c r="A1271" s="48">
        <v>16168</v>
      </c>
      <c r="B1271" s="11" t="s">
        <v>1848</v>
      </c>
      <c r="C1271" s="11" t="s">
        <v>1849</v>
      </c>
      <c r="D1271" s="6" t="s">
        <v>1850</v>
      </c>
      <c r="E1271" s="12" t="s">
        <v>4263</v>
      </c>
      <c r="F1271" s="12" t="s">
        <v>4263</v>
      </c>
      <c r="G1271" s="12" t="s">
        <v>4263</v>
      </c>
      <c r="H1271" s="12" t="s">
        <v>4294</v>
      </c>
      <c r="I1271" s="12" t="s">
        <v>4295</v>
      </c>
      <c r="J1271" s="11" t="s">
        <v>1851</v>
      </c>
      <c r="K1271" s="11" t="s">
        <v>1852</v>
      </c>
      <c r="L1271" s="11" t="s">
        <v>1853</v>
      </c>
      <c r="M1271" s="11" t="s">
        <v>1854</v>
      </c>
      <c r="N1271" s="12"/>
      <c r="O1271" s="11" t="s">
        <v>1855</v>
      </c>
      <c r="P1271" s="56"/>
    </row>
    <row r="1272" spans="1:16" ht="15.75" customHeight="1" x14ac:dyDescent="0.2">
      <c r="A1272" s="49">
        <v>7329</v>
      </c>
      <c r="B1272" s="11" t="s">
        <v>2240</v>
      </c>
      <c r="C1272" s="11" t="s">
        <v>1849</v>
      </c>
      <c r="D1272" s="6" t="s">
        <v>1850</v>
      </c>
      <c r="E1272" s="12" t="s">
        <v>4263</v>
      </c>
      <c r="F1272" s="12" t="s">
        <v>4263</v>
      </c>
      <c r="G1272" s="12" t="s">
        <v>4263</v>
      </c>
      <c r="H1272" s="12" t="s">
        <v>4267</v>
      </c>
      <c r="I1272" s="12" t="s">
        <v>4296</v>
      </c>
      <c r="J1272" s="11" t="s">
        <v>1851</v>
      </c>
      <c r="K1272" s="11" t="s">
        <v>1852</v>
      </c>
      <c r="L1272" s="11" t="s">
        <v>1853</v>
      </c>
      <c r="M1272" s="11" t="s">
        <v>1854</v>
      </c>
      <c r="N1272" s="12"/>
      <c r="O1272" s="11" t="s">
        <v>1855</v>
      </c>
      <c r="P1272" s="56"/>
    </row>
    <row r="1273" spans="1:16" ht="15.75" customHeight="1" x14ac:dyDescent="0.2">
      <c r="A1273" s="48">
        <v>1105</v>
      </c>
      <c r="B1273" s="11" t="s">
        <v>1857</v>
      </c>
      <c r="C1273" s="11" t="s">
        <v>1849</v>
      </c>
      <c r="D1273" s="6" t="s">
        <v>1850</v>
      </c>
      <c r="E1273" s="12" t="s">
        <v>4263</v>
      </c>
      <c r="F1273" s="12" t="s">
        <v>4263</v>
      </c>
      <c r="G1273" s="12" t="s">
        <v>4263</v>
      </c>
      <c r="H1273" s="12" t="s">
        <v>4297</v>
      </c>
      <c r="I1273" s="12" t="s">
        <v>4298</v>
      </c>
      <c r="J1273" s="11" t="s">
        <v>1856</v>
      </c>
      <c r="K1273" s="11" t="s">
        <v>1852</v>
      </c>
      <c r="L1273" s="11" t="s">
        <v>1853</v>
      </c>
      <c r="M1273" s="11" t="s">
        <v>2276</v>
      </c>
      <c r="N1273" s="12"/>
      <c r="O1273" s="11" t="s">
        <v>1859</v>
      </c>
      <c r="P1273" s="56"/>
    </row>
    <row r="1274" spans="1:16" ht="15.75" customHeight="1" x14ac:dyDescent="0.2">
      <c r="A1274" s="48">
        <v>1052</v>
      </c>
      <c r="B1274" s="11" t="s">
        <v>1857</v>
      </c>
      <c r="C1274" s="11" t="s">
        <v>1849</v>
      </c>
      <c r="D1274" s="6" t="s">
        <v>1850</v>
      </c>
      <c r="E1274" s="12" t="s">
        <v>4263</v>
      </c>
      <c r="F1274" s="12" t="s">
        <v>4263</v>
      </c>
      <c r="G1274" s="12" t="s">
        <v>4263</v>
      </c>
      <c r="H1274" s="12" t="s">
        <v>4267</v>
      </c>
      <c r="I1274" s="12" t="s">
        <v>4299</v>
      </c>
      <c r="J1274" s="11" t="s">
        <v>1856</v>
      </c>
      <c r="K1274" s="11" t="s">
        <v>1852</v>
      </c>
      <c r="L1274" s="11" t="s">
        <v>1853</v>
      </c>
      <c r="M1274" s="11" t="s">
        <v>4300</v>
      </c>
      <c r="N1274" s="12" t="s">
        <v>4301</v>
      </c>
      <c r="O1274" s="11" t="s">
        <v>4302</v>
      </c>
      <c r="P1274" s="56" t="s">
        <v>4303</v>
      </c>
    </row>
    <row r="1275" spans="1:16" ht="15.75" customHeight="1" x14ac:dyDescent="0.2">
      <c r="A1275" s="48">
        <v>1094</v>
      </c>
      <c r="B1275" s="11" t="s">
        <v>1857</v>
      </c>
      <c r="C1275" s="11" t="s">
        <v>1849</v>
      </c>
      <c r="D1275" s="6" t="s">
        <v>1850</v>
      </c>
      <c r="E1275" s="12" t="s">
        <v>4263</v>
      </c>
      <c r="F1275" s="12" t="s">
        <v>4263</v>
      </c>
      <c r="G1275" s="12" t="s">
        <v>4263</v>
      </c>
      <c r="H1275" s="12" t="s">
        <v>4304</v>
      </c>
      <c r="I1275" s="12" t="s">
        <v>4305</v>
      </c>
      <c r="J1275" s="11" t="s">
        <v>1856</v>
      </c>
      <c r="K1275" s="11" t="s">
        <v>1852</v>
      </c>
      <c r="L1275" s="11" t="s">
        <v>1853</v>
      </c>
      <c r="M1275" s="11" t="s">
        <v>4306</v>
      </c>
      <c r="N1275" s="12" t="s">
        <v>4307</v>
      </c>
      <c r="O1275" s="11" t="s">
        <v>1867</v>
      </c>
      <c r="P1275" s="56" t="s">
        <v>3529</v>
      </c>
    </row>
    <row r="1276" spans="1:16" ht="15.75" customHeight="1" x14ac:dyDescent="0.2">
      <c r="A1276" s="48">
        <v>1155</v>
      </c>
      <c r="B1276" s="11" t="s">
        <v>1857</v>
      </c>
      <c r="C1276" s="11" t="s">
        <v>1849</v>
      </c>
      <c r="D1276" s="6" t="s">
        <v>1850</v>
      </c>
      <c r="E1276" s="12" t="s">
        <v>4263</v>
      </c>
      <c r="F1276" s="12" t="s">
        <v>4263</v>
      </c>
      <c r="G1276" s="12" t="s">
        <v>4263</v>
      </c>
      <c r="H1276" s="12" t="s">
        <v>2728</v>
      </c>
      <c r="I1276" s="12" t="s">
        <v>4308</v>
      </c>
      <c r="J1276" s="11" t="s">
        <v>1856</v>
      </c>
      <c r="K1276" s="11" t="s">
        <v>1852</v>
      </c>
      <c r="L1276" s="11" t="s">
        <v>1853</v>
      </c>
      <c r="M1276" s="11" t="s">
        <v>3735</v>
      </c>
      <c r="N1276" s="12" t="s">
        <v>4309</v>
      </c>
      <c r="O1276" s="11" t="s">
        <v>1859</v>
      </c>
      <c r="P1276" s="56"/>
    </row>
    <row r="1277" spans="1:16" ht="15.75" customHeight="1" x14ac:dyDescent="0.2">
      <c r="A1277" s="48">
        <v>1117</v>
      </c>
      <c r="B1277" s="11" t="s">
        <v>1857</v>
      </c>
      <c r="C1277" s="11" t="s">
        <v>1849</v>
      </c>
      <c r="D1277" s="6" t="s">
        <v>1850</v>
      </c>
      <c r="E1277" s="12" t="s">
        <v>4263</v>
      </c>
      <c r="F1277" s="12" t="s">
        <v>4263</v>
      </c>
      <c r="G1277" s="12" t="s">
        <v>4263</v>
      </c>
      <c r="H1277" s="12" t="s">
        <v>4274</v>
      </c>
      <c r="I1277" s="12" t="s">
        <v>4310</v>
      </c>
      <c r="J1277" s="11" t="s">
        <v>1856</v>
      </c>
      <c r="K1277" s="11" t="s">
        <v>1852</v>
      </c>
      <c r="L1277" s="11" t="s">
        <v>1853</v>
      </c>
      <c r="M1277" s="11" t="s">
        <v>3735</v>
      </c>
      <c r="N1277" s="12" t="s">
        <v>4309</v>
      </c>
      <c r="O1277" s="11" t="s">
        <v>1859</v>
      </c>
      <c r="P1277" s="56"/>
    </row>
    <row r="1278" spans="1:16" ht="15.75" customHeight="1" x14ac:dyDescent="0.2">
      <c r="A1278" s="48">
        <v>1184</v>
      </c>
      <c r="B1278" s="11" t="s">
        <v>1857</v>
      </c>
      <c r="C1278" s="11" t="s">
        <v>1849</v>
      </c>
      <c r="D1278" s="6" t="s">
        <v>1850</v>
      </c>
      <c r="E1278" s="12" t="s">
        <v>4263</v>
      </c>
      <c r="F1278" s="12" t="s">
        <v>4263</v>
      </c>
      <c r="G1278" s="12" t="s">
        <v>4311</v>
      </c>
      <c r="H1278" s="12" t="s">
        <v>4312</v>
      </c>
      <c r="I1278" s="12" t="s">
        <v>4313</v>
      </c>
      <c r="J1278" s="11" t="s">
        <v>1856</v>
      </c>
      <c r="K1278" s="11" t="s">
        <v>1852</v>
      </c>
      <c r="L1278" s="11" t="s">
        <v>1853</v>
      </c>
      <c r="M1278" s="11" t="s">
        <v>1854</v>
      </c>
      <c r="N1278" s="12"/>
      <c r="O1278" s="11" t="s">
        <v>1859</v>
      </c>
      <c r="P1278" s="56"/>
    </row>
    <row r="1279" spans="1:16" ht="15.75" customHeight="1" x14ac:dyDescent="0.2">
      <c r="A1279" s="48">
        <v>1207</v>
      </c>
      <c r="B1279" s="11" t="s">
        <v>1857</v>
      </c>
      <c r="C1279" s="11" t="s">
        <v>1849</v>
      </c>
      <c r="D1279" s="6" t="s">
        <v>1850</v>
      </c>
      <c r="E1279" s="12" t="s">
        <v>4263</v>
      </c>
      <c r="F1279" s="12" t="s">
        <v>4263</v>
      </c>
      <c r="G1279" s="12" t="s">
        <v>4314</v>
      </c>
      <c r="H1279" s="12" t="s">
        <v>4315</v>
      </c>
      <c r="I1279" s="12" t="s">
        <v>4316</v>
      </c>
      <c r="J1279" s="11" t="s">
        <v>1856</v>
      </c>
      <c r="K1279" s="11" t="s">
        <v>1852</v>
      </c>
      <c r="L1279" s="11" t="s">
        <v>1853</v>
      </c>
      <c r="M1279" s="11" t="s">
        <v>4317</v>
      </c>
      <c r="N1279" s="12"/>
      <c r="O1279" s="11" t="s">
        <v>1858</v>
      </c>
      <c r="P1279" s="56"/>
    </row>
    <row r="1280" spans="1:16" ht="15.75" customHeight="1" x14ac:dyDescent="0.2">
      <c r="A1280" s="48">
        <v>1058</v>
      </c>
      <c r="B1280" s="11" t="s">
        <v>1857</v>
      </c>
      <c r="C1280" s="11" t="s">
        <v>1849</v>
      </c>
      <c r="D1280" s="6" t="s">
        <v>1850</v>
      </c>
      <c r="E1280" s="12" t="s">
        <v>4263</v>
      </c>
      <c r="F1280" s="12" t="s">
        <v>4263</v>
      </c>
      <c r="G1280" s="12" t="s">
        <v>4263</v>
      </c>
      <c r="H1280" s="12" t="s">
        <v>4278</v>
      </c>
      <c r="I1280" s="12" t="s">
        <v>4318</v>
      </c>
      <c r="J1280" s="11" t="s">
        <v>1856</v>
      </c>
      <c r="K1280" s="11" t="s">
        <v>1852</v>
      </c>
      <c r="L1280" s="11" t="s">
        <v>1853</v>
      </c>
      <c r="M1280" s="11" t="s">
        <v>3969</v>
      </c>
      <c r="N1280" s="12"/>
      <c r="O1280" s="11" t="s">
        <v>1859</v>
      </c>
      <c r="P1280" s="56"/>
    </row>
    <row r="1281" spans="1:16" ht="15.75" customHeight="1" x14ac:dyDescent="0.2">
      <c r="A1281" s="48">
        <v>1187</v>
      </c>
      <c r="B1281" s="11" t="s">
        <v>1857</v>
      </c>
      <c r="C1281" s="11" t="s">
        <v>1849</v>
      </c>
      <c r="D1281" s="6" t="s">
        <v>1850</v>
      </c>
      <c r="E1281" s="12" t="s">
        <v>4263</v>
      </c>
      <c r="F1281" s="12" t="s">
        <v>4263</v>
      </c>
      <c r="G1281" s="12" t="s">
        <v>4311</v>
      </c>
      <c r="H1281" s="12" t="s">
        <v>4312</v>
      </c>
      <c r="I1281" s="12" t="s">
        <v>4319</v>
      </c>
      <c r="J1281" s="11" t="s">
        <v>1856</v>
      </c>
      <c r="K1281" s="11" t="s">
        <v>1852</v>
      </c>
      <c r="L1281" s="11" t="s">
        <v>1853</v>
      </c>
      <c r="M1281" s="11" t="s">
        <v>4320</v>
      </c>
      <c r="N1281" s="12" t="s">
        <v>4321</v>
      </c>
      <c r="O1281" s="11" t="s">
        <v>1873</v>
      </c>
      <c r="P1281" s="56"/>
    </row>
    <row r="1282" spans="1:16" ht="15.75" customHeight="1" x14ac:dyDescent="0.2">
      <c r="A1282" s="48">
        <v>1200</v>
      </c>
      <c r="B1282" s="11" t="s">
        <v>1857</v>
      </c>
      <c r="C1282" s="11" t="s">
        <v>1849</v>
      </c>
      <c r="D1282" s="6" t="s">
        <v>1850</v>
      </c>
      <c r="E1282" s="12" t="s">
        <v>4263</v>
      </c>
      <c r="F1282" s="12" t="s">
        <v>4263</v>
      </c>
      <c r="G1282" s="12" t="s">
        <v>4311</v>
      </c>
      <c r="H1282" s="12" t="s">
        <v>4322</v>
      </c>
      <c r="I1282" s="12" t="s">
        <v>4323</v>
      </c>
      <c r="J1282" s="11" t="s">
        <v>1856</v>
      </c>
      <c r="K1282" s="11" t="s">
        <v>1852</v>
      </c>
      <c r="L1282" s="11" t="s">
        <v>1853</v>
      </c>
      <c r="M1282" s="11" t="s">
        <v>4324</v>
      </c>
      <c r="N1282" s="12"/>
      <c r="O1282" s="11" t="s">
        <v>1859</v>
      </c>
      <c r="P1282" s="56"/>
    </row>
    <row r="1283" spans="1:16" ht="15.75" customHeight="1" x14ac:dyDescent="0.2">
      <c r="A1283" s="48">
        <v>1076</v>
      </c>
      <c r="B1283" s="11" t="s">
        <v>1857</v>
      </c>
      <c r="C1283" s="11" t="s">
        <v>1849</v>
      </c>
      <c r="D1283" s="6" t="s">
        <v>1850</v>
      </c>
      <c r="E1283" s="12" t="s">
        <v>4263</v>
      </c>
      <c r="F1283" s="12" t="s">
        <v>4263</v>
      </c>
      <c r="G1283" s="12" t="s">
        <v>4263</v>
      </c>
      <c r="H1283" s="12" t="s">
        <v>4282</v>
      </c>
      <c r="I1283" s="12" t="s">
        <v>4325</v>
      </c>
      <c r="J1283" s="11" t="s">
        <v>1856</v>
      </c>
      <c r="K1283" s="11" t="s">
        <v>1852</v>
      </c>
      <c r="L1283" s="11" t="s">
        <v>1853</v>
      </c>
      <c r="M1283" s="11" t="s">
        <v>4326</v>
      </c>
      <c r="N1283" s="12" t="s">
        <v>4327</v>
      </c>
      <c r="O1283" s="11" t="s">
        <v>1858</v>
      </c>
      <c r="P1283" s="56"/>
    </row>
    <row r="1284" spans="1:16" ht="15.75" customHeight="1" x14ac:dyDescent="0.2">
      <c r="A1284" s="48">
        <v>1139</v>
      </c>
      <c r="B1284" s="11" t="s">
        <v>1857</v>
      </c>
      <c r="C1284" s="11" t="s">
        <v>1849</v>
      </c>
      <c r="D1284" s="6" t="s">
        <v>1850</v>
      </c>
      <c r="E1284" s="12" t="s">
        <v>4263</v>
      </c>
      <c r="F1284" s="12" t="s">
        <v>4263</v>
      </c>
      <c r="G1284" s="12" t="s">
        <v>4263</v>
      </c>
      <c r="H1284" s="12" t="s">
        <v>4328</v>
      </c>
      <c r="I1284" s="12" t="s">
        <v>4329</v>
      </c>
      <c r="J1284" s="11" t="s">
        <v>1856</v>
      </c>
      <c r="K1284" s="11" t="s">
        <v>1852</v>
      </c>
      <c r="L1284" s="11" t="s">
        <v>1853</v>
      </c>
      <c r="M1284" s="11" t="s">
        <v>1854</v>
      </c>
      <c r="N1284" s="12"/>
      <c r="O1284" s="11" t="s">
        <v>1860</v>
      </c>
      <c r="P1284" s="56"/>
    </row>
    <row r="1285" spans="1:16" ht="15.75" customHeight="1" x14ac:dyDescent="0.2">
      <c r="A1285" s="48">
        <v>1136</v>
      </c>
      <c r="B1285" s="11" t="s">
        <v>1857</v>
      </c>
      <c r="C1285" s="11" t="s">
        <v>1849</v>
      </c>
      <c r="D1285" s="6" t="s">
        <v>1850</v>
      </c>
      <c r="E1285" s="12" t="s">
        <v>4263</v>
      </c>
      <c r="F1285" s="12" t="s">
        <v>4263</v>
      </c>
      <c r="G1285" s="12" t="s">
        <v>4263</v>
      </c>
      <c r="H1285" s="12" t="s">
        <v>4328</v>
      </c>
      <c r="I1285" s="12" t="s">
        <v>4330</v>
      </c>
      <c r="J1285" s="11" t="s">
        <v>1856</v>
      </c>
      <c r="K1285" s="11" t="s">
        <v>1852</v>
      </c>
      <c r="L1285" s="11" t="s">
        <v>1853</v>
      </c>
      <c r="M1285" s="11" t="s">
        <v>4331</v>
      </c>
      <c r="N1285" s="12"/>
      <c r="O1285" s="11" t="s">
        <v>1859</v>
      </c>
      <c r="P1285" s="56"/>
    </row>
    <row r="1286" spans="1:16" ht="15.75" customHeight="1" x14ac:dyDescent="0.2">
      <c r="A1286" s="48">
        <v>1268</v>
      </c>
      <c r="B1286" s="11" t="s">
        <v>1857</v>
      </c>
      <c r="C1286" s="11" t="s">
        <v>1849</v>
      </c>
      <c r="D1286" s="6" t="s">
        <v>1850</v>
      </c>
      <c r="E1286" s="12" t="s">
        <v>4263</v>
      </c>
      <c r="F1286" s="12" t="s">
        <v>4263</v>
      </c>
      <c r="G1286" s="12" t="s">
        <v>4332</v>
      </c>
      <c r="H1286" s="12" t="s">
        <v>4332</v>
      </c>
      <c r="I1286" s="12" t="s">
        <v>4333</v>
      </c>
      <c r="J1286" s="11" t="s">
        <v>1856</v>
      </c>
      <c r="K1286" s="11" t="s">
        <v>1852</v>
      </c>
      <c r="L1286" s="11" t="s">
        <v>1853</v>
      </c>
      <c r="M1286" s="11" t="s">
        <v>3824</v>
      </c>
      <c r="N1286" s="12"/>
      <c r="O1286" s="11" t="s">
        <v>1858</v>
      </c>
      <c r="P1286" s="56"/>
    </row>
    <row r="1287" spans="1:16" ht="15.75" customHeight="1" x14ac:dyDescent="0.2">
      <c r="A1287" s="48">
        <v>1225</v>
      </c>
      <c r="B1287" s="11" t="s">
        <v>1857</v>
      </c>
      <c r="C1287" s="11" t="s">
        <v>1849</v>
      </c>
      <c r="D1287" s="6" t="s">
        <v>1850</v>
      </c>
      <c r="E1287" s="12" t="s">
        <v>4263</v>
      </c>
      <c r="F1287" s="12" t="s">
        <v>4263</v>
      </c>
      <c r="G1287" s="12" t="s">
        <v>4314</v>
      </c>
      <c r="H1287" s="12" t="s">
        <v>4334</v>
      </c>
      <c r="I1287" s="12" t="s">
        <v>4335</v>
      </c>
      <c r="J1287" s="11" t="s">
        <v>1856</v>
      </c>
      <c r="K1287" s="11" t="s">
        <v>1852</v>
      </c>
      <c r="L1287" s="11" t="s">
        <v>1853</v>
      </c>
      <c r="M1287" s="11" t="s">
        <v>3824</v>
      </c>
      <c r="N1287" s="12"/>
      <c r="O1287" s="11" t="s">
        <v>1859</v>
      </c>
      <c r="P1287" s="56"/>
    </row>
    <row r="1288" spans="1:16" ht="15.75" customHeight="1" x14ac:dyDescent="0.2">
      <c r="A1288" s="48">
        <v>1095</v>
      </c>
      <c r="B1288" s="11" t="s">
        <v>1857</v>
      </c>
      <c r="C1288" s="11" t="s">
        <v>1849</v>
      </c>
      <c r="D1288" s="6" t="s">
        <v>1850</v>
      </c>
      <c r="E1288" s="12" t="s">
        <v>4263</v>
      </c>
      <c r="F1288" s="12" t="s">
        <v>4263</v>
      </c>
      <c r="G1288" s="12" t="s">
        <v>4263</v>
      </c>
      <c r="H1288" s="12" t="s">
        <v>4304</v>
      </c>
      <c r="I1288" s="12" t="s">
        <v>4336</v>
      </c>
      <c r="J1288" s="11" t="s">
        <v>1856</v>
      </c>
      <c r="K1288" s="11" t="s">
        <v>1852</v>
      </c>
      <c r="L1288" s="11" t="s">
        <v>1853</v>
      </c>
      <c r="M1288" s="11" t="s">
        <v>3160</v>
      </c>
      <c r="N1288" s="12"/>
      <c r="O1288" s="11" t="s">
        <v>1859</v>
      </c>
      <c r="P1288" s="56"/>
    </row>
    <row r="1289" spans="1:16" ht="15.75" customHeight="1" x14ac:dyDescent="0.2">
      <c r="A1289" s="48">
        <v>1264</v>
      </c>
      <c r="B1289" s="11" t="s">
        <v>1857</v>
      </c>
      <c r="C1289" s="11" t="s">
        <v>1849</v>
      </c>
      <c r="D1289" s="6" t="s">
        <v>1850</v>
      </c>
      <c r="E1289" s="12" t="s">
        <v>4263</v>
      </c>
      <c r="F1289" s="12" t="s">
        <v>4263</v>
      </c>
      <c r="G1289" s="12" t="s">
        <v>4337</v>
      </c>
      <c r="H1289" s="12" t="s">
        <v>4338</v>
      </c>
      <c r="I1289" s="12" t="s">
        <v>4339</v>
      </c>
      <c r="J1289" s="11" t="s">
        <v>1856</v>
      </c>
      <c r="K1289" s="11" t="s">
        <v>1852</v>
      </c>
      <c r="L1289" s="11" t="s">
        <v>1853</v>
      </c>
      <c r="M1289" s="11" t="s">
        <v>1854</v>
      </c>
      <c r="N1289" s="12"/>
      <c r="O1289" s="11" t="s">
        <v>1859</v>
      </c>
      <c r="P1289" s="56"/>
    </row>
    <row r="1290" spans="1:16" ht="15.75" customHeight="1" x14ac:dyDescent="0.2">
      <c r="A1290" s="48">
        <v>1259</v>
      </c>
      <c r="B1290" s="11" t="s">
        <v>1857</v>
      </c>
      <c r="C1290" s="11" t="s">
        <v>1849</v>
      </c>
      <c r="D1290" s="6" t="s">
        <v>1850</v>
      </c>
      <c r="E1290" s="12" t="s">
        <v>4263</v>
      </c>
      <c r="F1290" s="12" t="s">
        <v>4263</v>
      </c>
      <c r="G1290" s="12" t="s">
        <v>4314</v>
      </c>
      <c r="H1290" s="12" t="s">
        <v>4340</v>
      </c>
      <c r="I1290" s="12" t="s">
        <v>4341</v>
      </c>
      <c r="J1290" s="11" t="s">
        <v>1856</v>
      </c>
      <c r="K1290" s="11" t="s">
        <v>1852</v>
      </c>
      <c r="L1290" s="11" t="s">
        <v>1853</v>
      </c>
      <c r="M1290" s="11" t="s">
        <v>4176</v>
      </c>
      <c r="N1290" s="12"/>
      <c r="O1290" s="11" t="s">
        <v>1859</v>
      </c>
      <c r="P1290" s="56"/>
    </row>
    <row r="1291" spans="1:16" ht="15.75" customHeight="1" x14ac:dyDescent="0.2">
      <c r="A1291" s="48">
        <v>5433</v>
      </c>
      <c r="B1291" s="11" t="s">
        <v>1857</v>
      </c>
      <c r="C1291" s="11" t="s">
        <v>1849</v>
      </c>
      <c r="D1291" s="6" t="s">
        <v>1850</v>
      </c>
      <c r="E1291" s="12" t="s">
        <v>4263</v>
      </c>
      <c r="F1291" s="12" t="s">
        <v>4263</v>
      </c>
      <c r="G1291" s="12" t="s">
        <v>4314</v>
      </c>
      <c r="H1291" s="12" t="s">
        <v>4334</v>
      </c>
      <c r="I1291" s="12" t="s">
        <v>4342</v>
      </c>
      <c r="J1291" s="11" t="s">
        <v>1856</v>
      </c>
      <c r="K1291" s="11" t="s">
        <v>1852</v>
      </c>
      <c r="L1291" s="11" t="s">
        <v>1853</v>
      </c>
      <c r="M1291" s="11" t="s">
        <v>4343</v>
      </c>
      <c r="N1291" s="12" t="s">
        <v>4344</v>
      </c>
      <c r="O1291" s="11" t="s">
        <v>1858</v>
      </c>
      <c r="P1291" s="56"/>
    </row>
    <row r="1292" spans="1:16" ht="15.75" customHeight="1" x14ac:dyDescent="0.2">
      <c r="A1292" s="48">
        <v>1251</v>
      </c>
      <c r="B1292" s="11" t="s">
        <v>1857</v>
      </c>
      <c r="C1292" s="11" t="s">
        <v>1849</v>
      </c>
      <c r="D1292" s="6" t="s">
        <v>1850</v>
      </c>
      <c r="E1292" s="12" t="s">
        <v>4263</v>
      </c>
      <c r="F1292" s="12" t="s">
        <v>4263</v>
      </c>
      <c r="G1292" s="12" t="s">
        <v>4314</v>
      </c>
      <c r="H1292" s="12" t="s">
        <v>4345</v>
      </c>
      <c r="I1292" s="12" t="s">
        <v>4346</v>
      </c>
      <c r="J1292" s="11" t="s">
        <v>1856</v>
      </c>
      <c r="K1292" s="11" t="s">
        <v>1852</v>
      </c>
      <c r="L1292" s="11" t="s">
        <v>1853</v>
      </c>
      <c r="M1292" s="11" t="s">
        <v>1854</v>
      </c>
      <c r="N1292" s="12"/>
      <c r="O1292" s="11" t="s">
        <v>1859</v>
      </c>
      <c r="P1292" s="56"/>
    </row>
    <row r="1293" spans="1:16" ht="15.75" customHeight="1" x14ac:dyDescent="0.2">
      <c r="A1293" s="48">
        <v>1163</v>
      </c>
      <c r="B1293" s="11" t="s">
        <v>1857</v>
      </c>
      <c r="C1293" s="11" t="s">
        <v>1849</v>
      </c>
      <c r="D1293" s="6" t="s">
        <v>1850</v>
      </c>
      <c r="E1293" s="12" t="s">
        <v>4263</v>
      </c>
      <c r="F1293" s="12" t="s">
        <v>4263</v>
      </c>
      <c r="G1293" s="12" t="s">
        <v>4311</v>
      </c>
      <c r="H1293" s="12" t="s">
        <v>4347</v>
      </c>
      <c r="I1293" s="12" t="s">
        <v>4348</v>
      </c>
      <c r="J1293" s="11" t="s">
        <v>1856</v>
      </c>
      <c r="K1293" s="11" t="s">
        <v>1852</v>
      </c>
      <c r="L1293" s="11" t="s">
        <v>1853</v>
      </c>
      <c r="M1293" s="11" t="s">
        <v>2549</v>
      </c>
      <c r="N1293" s="12"/>
      <c r="O1293" s="11" t="s">
        <v>1859</v>
      </c>
      <c r="P1293" s="56"/>
    </row>
    <row r="1294" spans="1:16" ht="15.75" customHeight="1" x14ac:dyDescent="0.2">
      <c r="A1294" s="48">
        <v>1232</v>
      </c>
      <c r="B1294" s="11" t="s">
        <v>1857</v>
      </c>
      <c r="C1294" s="11" t="s">
        <v>1849</v>
      </c>
      <c r="D1294" s="6" t="s">
        <v>1850</v>
      </c>
      <c r="E1294" s="12" t="s">
        <v>4263</v>
      </c>
      <c r="F1294" s="12" t="s">
        <v>4263</v>
      </c>
      <c r="G1294" s="12" t="s">
        <v>4349</v>
      </c>
      <c r="H1294" s="12" t="s">
        <v>4315</v>
      </c>
      <c r="I1294" s="12" t="s">
        <v>4350</v>
      </c>
      <c r="J1294" s="11" t="s">
        <v>1856</v>
      </c>
      <c r="K1294" s="11" t="s">
        <v>1852</v>
      </c>
      <c r="L1294" s="11" t="s">
        <v>1853</v>
      </c>
      <c r="M1294" s="11" t="s">
        <v>4351</v>
      </c>
      <c r="N1294" s="12" t="s">
        <v>4352</v>
      </c>
      <c r="O1294" s="11" t="s">
        <v>1860</v>
      </c>
      <c r="P1294" s="56"/>
    </row>
    <row r="1295" spans="1:16" ht="15.75" customHeight="1" x14ac:dyDescent="0.2">
      <c r="A1295" s="48">
        <v>1246</v>
      </c>
      <c r="B1295" s="11" t="s">
        <v>1857</v>
      </c>
      <c r="C1295" s="11" t="s">
        <v>1849</v>
      </c>
      <c r="D1295" s="6" t="s">
        <v>1850</v>
      </c>
      <c r="E1295" s="12" t="s">
        <v>4263</v>
      </c>
      <c r="F1295" s="12" t="s">
        <v>4263</v>
      </c>
      <c r="G1295" s="12" t="s">
        <v>4314</v>
      </c>
      <c r="H1295" s="12" t="s">
        <v>4315</v>
      </c>
      <c r="I1295" s="12" t="s">
        <v>4353</v>
      </c>
      <c r="J1295" s="11" t="s">
        <v>1856</v>
      </c>
      <c r="K1295" s="11" t="s">
        <v>1852</v>
      </c>
      <c r="L1295" s="11" t="s">
        <v>1853</v>
      </c>
      <c r="M1295" s="11" t="s">
        <v>2276</v>
      </c>
      <c r="N1295" s="12"/>
      <c r="O1295" s="11" t="s">
        <v>2755</v>
      </c>
      <c r="P1295" s="56"/>
    </row>
    <row r="1296" spans="1:16" ht="15.75" customHeight="1" x14ac:dyDescent="0.2">
      <c r="A1296" s="48">
        <v>1157</v>
      </c>
      <c r="B1296" s="11" t="s">
        <v>1857</v>
      </c>
      <c r="C1296" s="11" t="s">
        <v>1849</v>
      </c>
      <c r="D1296" s="6" t="s">
        <v>1850</v>
      </c>
      <c r="E1296" s="12" t="s">
        <v>4263</v>
      </c>
      <c r="F1296" s="12" t="s">
        <v>4263</v>
      </c>
      <c r="G1296" s="12" t="s">
        <v>4311</v>
      </c>
      <c r="H1296" s="12" t="s">
        <v>4354</v>
      </c>
      <c r="I1296" s="12" t="s">
        <v>4355</v>
      </c>
      <c r="J1296" s="11" t="s">
        <v>1856</v>
      </c>
      <c r="K1296" s="11" t="s">
        <v>1852</v>
      </c>
      <c r="L1296" s="11" t="s">
        <v>1853</v>
      </c>
      <c r="M1296" s="11" t="s">
        <v>1854</v>
      </c>
      <c r="N1296" s="12"/>
      <c r="O1296" s="11" t="s">
        <v>1858</v>
      </c>
      <c r="P1296" s="56"/>
    </row>
    <row r="1297" spans="1:16" ht="15.75" customHeight="1" x14ac:dyDescent="0.2">
      <c r="A1297" s="48">
        <v>1087</v>
      </c>
      <c r="B1297" s="11" t="s">
        <v>1857</v>
      </c>
      <c r="C1297" s="11" t="s">
        <v>1849</v>
      </c>
      <c r="D1297" s="6" t="s">
        <v>1850</v>
      </c>
      <c r="E1297" s="12" t="s">
        <v>4263</v>
      </c>
      <c r="F1297" s="12" t="s">
        <v>4263</v>
      </c>
      <c r="G1297" s="12" t="s">
        <v>4263</v>
      </c>
      <c r="H1297" s="12" t="s">
        <v>4356</v>
      </c>
      <c r="I1297" s="12" t="s">
        <v>4357</v>
      </c>
      <c r="J1297" s="11" t="s">
        <v>1856</v>
      </c>
      <c r="K1297" s="11" t="s">
        <v>1852</v>
      </c>
      <c r="L1297" s="11" t="s">
        <v>1853</v>
      </c>
      <c r="M1297" s="11" t="s">
        <v>3982</v>
      </c>
      <c r="N1297" s="12" t="s">
        <v>4358</v>
      </c>
      <c r="O1297" s="11" t="s">
        <v>1859</v>
      </c>
      <c r="P1297" s="56"/>
    </row>
    <row r="1298" spans="1:16" ht="15.75" customHeight="1" x14ac:dyDescent="0.2">
      <c r="A1298" s="48">
        <v>1229</v>
      </c>
      <c r="B1298" s="11" t="s">
        <v>1857</v>
      </c>
      <c r="C1298" s="11" t="s">
        <v>1849</v>
      </c>
      <c r="D1298" s="6" t="s">
        <v>1850</v>
      </c>
      <c r="E1298" s="12" t="s">
        <v>4263</v>
      </c>
      <c r="F1298" s="12" t="s">
        <v>4263</v>
      </c>
      <c r="G1298" s="12" t="s">
        <v>4349</v>
      </c>
      <c r="H1298" s="12" t="s">
        <v>4334</v>
      </c>
      <c r="I1298" s="12" t="s">
        <v>4359</v>
      </c>
      <c r="J1298" s="11" t="s">
        <v>1856</v>
      </c>
      <c r="K1298" s="11" t="s">
        <v>1852</v>
      </c>
      <c r="L1298" s="11" t="s">
        <v>1853</v>
      </c>
      <c r="M1298" s="11" t="s">
        <v>1854</v>
      </c>
      <c r="N1298" s="12"/>
      <c r="O1298" s="11" t="s">
        <v>1860</v>
      </c>
      <c r="P1298" s="56"/>
    </row>
    <row r="1299" spans="1:16" ht="15.75" customHeight="1" x14ac:dyDescent="0.2">
      <c r="A1299" s="48">
        <v>1148</v>
      </c>
      <c r="B1299" s="11" t="s">
        <v>1857</v>
      </c>
      <c r="C1299" s="11" t="s">
        <v>1849</v>
      </c>
      <c r="D1299" s="6" t="s">
        <v>1850</v>
      </c>
      <c r="E1299" s="12" t="s">
        <v>4263</v>
      </c>
      <c r="F1299" s="12" t="s">
        <v>4263</v>
      </c>
      <c r="G1299" s="12" t="s">
        <v>4263</v>
      </c>
      <c r="H1299" s="12" t="s">
        <v>2845</v>
      </c>
      <c r="I1299" s="12" t="s">
        <v>4360</v>
      </c>
      <c r="J1299" s="11" t="s">
        <v>1856</v>
      </c>
      <c r="K1299" s="11" t="s">
        <v>1852</v>
      </c>
      <c r="L1299" s="11" t="s">
        <v>1853</v>
      </c>
      <c r="M1299" s="11" t="s">
        <v>4361</v>
      </c>
      <c r="N1299" s="12" t="s">
        <v>4362</v>
      </c>
      <c r="O1299" s="11" t="s">
        <v>1866</v>
      </c>
      <c r="P1299" s="56" t="s">
        <v>4363</v>
      </c>
    </row>
    <row r="1300" spans="1:16" ht="15.75" customHeight="1" x14ac:dyDescent="0.2">
      <c r="A1300" s="48">
        <v>1199</v>
      </c>
      <c r="B1300" s="11" t="s">
        <v>1857</v>
      </c>
      <c r="C1300" s="11" t="s">
        <v>1849</v>
      </c>
      <c r="D1300" s="6" t="s">
        <v>1850</v>
      </c>
      <c r="E1300" s="12" t="s">
        <v>4263</v>
      </c>
      <c r="F1300" s="12" t="s">
        <v>4263</v>
      </c>
      <c r="G1300" s="12" t="s">
        <v>4311</v>
      </c>
      <c r="H1300" s="12" t="s">
        <v>4322</v>
      </c>
      <c r="I1300" s="12" t="s">
        <v>1159</v>
      </c>
      <c r="J1300" s="11" t="s">
        <v>1856</v>
      </c>
      <c r="K1300" s="11" t="s">
        <v>1852</v>
      </c>
      <c r="L1300" s="11" t="s">
        <v>1853</v>
      </c>
      <c r="M1300" s="11" t="s">
        <v>4364</v>
      </c>
      <c r="N1300" s="12"/>
      <c r="O1300" s="11" t="s">
        <v>1858</v>
      </c>
      <c r="P1300" s="56"/>
    </row>
    <row r="1301" spans="1:16" ht="15.75" customHeight="1" x14ac:dyDescent="0.2">
      <c r="A1301" s="48">
        <v>1140</v>
      </c>
      <c r="B1301" s="11" t="s">
        <v>1857</v>
      </c>
      <c r="C1301" s="11" t="s">
        <v>1849</v>
      </c>
      <c r="D1301" s="6" t="s">
        <v>1850</v>
      </c>
      <c r="E1301" s="12" t="s">
        <v>4263</v>
      </c>
      <c r="F1301" s="12" t="s">
        <v>4263</v>
      </c>
      <c r="G1301" s="12" t="s">
        <v>4263</v>
      </c>
      <c r="H1301" s="12" t="s">
        <v>4328</v>
      </c>
      <c r="I1301" s="12" t="s">
        <v>4365</v>
      </c>
      <c r="J1301" s="11" t="s">
        <v>1856</v>
      </c>
      <c r="K1301" s="11" t="s">
        <v>1852</v>
      </c>
      <c r="L1301" s="11" t="s">
        <v>1853</v>
      </c>
      <c r="M1301" s="11" t="s">
        <v>4366</v>
      </c>
      <c r="N1301" s="12"/>
      <c r="O1301" s="11" t="s">
        <v>1858</v>
      </c>
      <c r="P1301" s="56"/>
    </row>
    <row r="1302" spans="1:16" ht="15.75" customHeight="1" x14ac:dyDescent="0.2">
      <c r="A1302" s="48">
        <v>1153</v>
      </c>
      <c r="B1302" s="11" t="s">
        <v>1857</v>
      </c>
      <c r="C1302" s="11" t="s">
        <v>1849</v>
      </c>
      <c r="D1302" s="6" t="s">
        <v>1850</v>
      </c>
      <c r="E1302" s="12" t="s">
        <v>4263</v>
      </c>
      <c r="F1302" s="12" t="s">
        <v>4263</v>
      </c>
      <c r="G1302" s="12" t="s">
        <v>4263</v>
      </c>
      <c r="H1302" s="12" t="s">
        <v>2845</v>
      </c>
      <c r="I1302" s="12" t="s">
        <v>4367</v>
      </c>
      <c r="J1302" s="11" t="s">
        <v>1856</v>
      </c>
      <c r="K1302" s="11" t="s">
        <v>1852</v>
      </c>
      <c r="L1302" s="11" t="s">
        <v>1853</v>
      </c>
      <c r="M1302" s="11" t="s">
        <v>4368</v>
      </c>
      <c r="N1302" s="12" t="s">
        <v>4369</v>
      </c>
      <c r="O1302" s="11" t="s">
        <v>1860</v>
      </c>
      <c r="P1302" s="56"/>
    </row>
    <row r="1303" spans="1:16" ht="15.75" customHeight="1" x14ac:dyDescent="0.2">
      <c r="A1303" s="48">
        <v>1107</v>
      </c>
      <c r="B1303" s="11" t="s">
        <v>1857</v>
      </c>
      <c r="C1303" s="11" t="s">
        <v>1849</v>
      </c>
      <c r="D1303" s="6" t="s">
        <v>1850</v>
      </c>
      <c r="E1303" s="12" t="s">
        <v>4263</v>
      </c>
      <c r="F1303" s="12" t="s">
        <v>4263</v>
      </c>
      <c r="G1303" s="12" t="s">
        <v>4263</v>
      </c>
      <c r="H1303" s="12" t="s">
        <v>4297</v>
      </c>
      <c r="I1303" s="12" t="s">
        <v>4370</v>
      </c>
      <c r="J1303" s="11" t="s">
        <v>1856</v>
      </c>
      <c r="K1303" s="11" t="s">
        <v>1852</v>
      </c>
      <c r="L1303" s="11" t="s">
        <v>1853</v>
      </c>
      <c r="M1303" s="11" t="s">
        <v>4371</v>
      </c>
      <c r="N1303" s="12" t="s">
        <v>4372</v>
      </c>
      <c r="O1303" s="11" t="s">
        <v>1858</v>
      </c>
      <c r="P1303" s="56"/>
    </row>
    <row r="1304" spans="1:16" ht="15.75" customHeight="1" x14ac:dyDescent="0.2">
      <c r="A1304" s="48">
        <v>1162</v>
      </c>
      <c r="B1304" s="11" t="s">
        <v>1857</v>
      </c>
      <c r="C1304" s="11" t="s">
        <v>1849</v>
      </c>
      <c r="D1304" s="6" t="s">
        <v>1850</v>
      </c>
      <c r="E1304" s="12" t="s">
        <v>4263</v>
      </c>
      <c r="F1304" s="12" t="s">
        <v>4263</v>
      </c>
      <c r="G1304" s="12" t="s">
        <v>4311</v>
      </c>
      <c r="H1304" s="12" t="s">
        <v>4347</v>
      </c>
      <c r="I1304" s="12" t="s">
        <v>4373</v>
      </c>
      <c r="J1304" s="11" t="s">
        <v>1856</v>
      </c>
      <c r="K1304" s="11" t="s">
        <v>1852</v>
      </c>
      <c r="L1304" s="11" t="s">
        <v>1853</v>
      </c>
      <c r="M1304" s="11" t="s">
        <v>4374</v>
      </c>
      <c r="N1304" s="12"/>
      <c r="O1304" s="11" t="s">
        <v>1860</v>
      </c>
      <c r="P1304" s="56"/>
    </row>
    <row r="1305" spans="1:16" ht="15.75" customHeight="1" x14ac:dyDescent="0.2">
      <c r="A1305" s="48">
        <v>1213</v>
      </c>
      <c r="B1305" s="11" t="s">
        <v>1857</v>
      </c>
      <c r="C1305" s="11" t="s">
        <v>1849</v>
      </c>
      <c r="D1305" s="6" t="s">
        <v>1850</v>
      </c>
      <c r="E1305" s="12" t="s">
        <v>4263</v>
      </c>
      <c r="F1305" s="12" t="s">
        <v>4263</v>
      </c>
      <c r="G1305" s="12" t="s">
        <v>4314</v>
      </c>
      <c r="H1305" s="12" t="s">
        <v>4340</v>
      </c>
      <c r="I1305" s="12" t="s">
        <v>4375</v>
      </c>
      <c r="J1305" s="11" t="s">
        <v>1856</v>
      </c>
      <c r="K1305" s="11" t="s">
        <v>1852</v>
      </c>
      <c r="L1305" s="11" t="s">
        <v>1853</v>
      </c>
      <c r="M1305" s="11" t="s">
        <v>4176</v>
      </c>
      <c r="N1305" s="12"/>
      <c r="O1305" s="11" t="s">
        <v>1859</v>
      </c>
      <c r="P1305" s="56"/>
    </row>
    <row r="1306" spans="1:16" ht="15.75" customHeight="1" x14ac:dyDescent="0.2">
      <c r="A1306" s="48">
        <v>1175</v>
      </c>
      <c r="B1306" s="11" t="s">
        <v>1857</v>
      </c>
      <c r="C1306" s="11" t="s">
        <v>1849</v>
      </c>
      <c r="D1306" s="6" t="s">
        <v>1850</v>
      </c>
      <c r="E1306" s="12" t="s">
        <v>4263</v>
      </c>
      <c r="F1306" s="12" t="s">
        <v>4263</v>
      </c>
      <c r="G1306" s="12" t="s">
        <v>4311</v>
      </c>
      <c r="H1306" s="12" t="s">
        <v>4376</v>
      </c>
      <c r="I1306" s="12" t="s">
        <v>4377</v>
      </c>
      <c r="J1306" s="11" t="s">
        <v>1856</v>
      </c>
      <c r="K1306" s="11" t="s">
        <v>1852</v>
      </c>
      <c r="L1306" s="11" t="s">
        <v>1853</v>
      </c>
      <c r="M1306" s="11" t="s">
        <v>1854</v>
      </c>
      <c r="N1306" s="12"/>
      <c r="O1306" s="11" t="s">
        <v>1859</v>
      </c>
      <c r="P1306" s="56"/>
    </row>
    <row r="1307" spans="1:16" ht="15.75" customHeight="1" x14ac:dyDescent="0.2">
      <c r="A1307" s="48">
        <v>1256</v>
      </c>
      <c r="B1307" s="11" t="s">
        <v>1857</v>
      </c>
      <c r="C1307" s="11" t="s">
        <v>1849</v>
      </c>
      <c r="D1307" s="6" t="s">
        <v>1850</v>
      </c>
      <c r="E1307" s="12" t="s">
        <v>4263</v>
      </c>
      <c r="F1307" s="12" t="s">
        <v>4263</v>
      </c>
      <c r="G1307" s="12" t="s">
        <v>4314</v>
      </c>
      <c r="H1307" s="12" t="s">
        <v>3617</v>
      </c>
      <c r="I1307" s="12" t="s">
        <v>4378</v>
      </c>
      <c r="J1307" s="11" t="s">
        <v>1856</v>
      </c>
      <c r="K1307" s="11" t="s">
        <v>1852</v>
      </c>
      <c r="L1307" s="11" t="s">
        <v>1853</v>
      </c>
      <c r="M1307" s="11" t="s">
        <v>3694</v>
      </c>
      <c r="N1307" s="12"/>
      <c r="O1307" s="11" t="s">
        <v>1859</v>
      </c>
      <c r="P1307" s="56"/>
    </row>
    <row r="1308" spans="1:16" ht="15.75" customHeight="1" x14ac:dyDescent="0.2">
      <c r="A1308" s="48">
        <v>1083</v>
      </c>
      <c r="B1308" s="11" t="s">
        <v>1857</v>
      </c>
      <c r="C1308" s="11" t="s">
        <v>1849</v>
      </c>
      <c r="D1308" s="6" t="s">
        <v>1850</v>
      </c>
      <c r="E1308" s="12" t="s">
        <v>4263</v>
      </c>
      <c r="F1308" s="12" t="s">
        <v>4263</v>
      </c>
      <c r="G1308" s="12" t="s">
        <v>4263</v>
      </c>
      <c r="H1308" s="12" t="s">
        <v>4356</v>
      </c>
      <c r="I1308" s="12" t="s">
        <v>4379</v>
      </c>
      <c r="J1308" s="11" t="s">
        <v>1856</v>
      </c>
      <c r="K1308" s="11" t="s">
        <v>1852</v>
      </c>
      <c r="L1308" s="11" t="s">
        <v>1853</v>
      </c>
      <c r="M1308" s="11" t="s">
        <v>4380</v>
      </c>
      <c r="N1308" s="12"/>
      <c r="O1308" s="11" t="s">
        <v>1859</v>
      </c>
      <c r="P1308" s="56"/>
    </row>
    <row r="1309" spans="1:16" ht="15.75" customHeight="1" x14ac:dyDescent="0.2">
      <c r="A1309" s="48">
        <v>1158</v>
      </c>
      <c r="B1309" s="11" t="s">
        <v>1857</v>
      </c>
      <c r="C1309" s="11" t="s">
        <v>1849</v>
      </c>
      <c r="D1309" s="6" t="s">
        <v>1850</v>
      </c>
      <c r="E1309" s="12" t="s">
        <v>4263</v>
      </c>
      <c r="F1309" s="12" t="s">
        <v>4263</v>
      </c>
      <c r="G1309" s="12" t="s">
        <v>4311</v>
      </c>
      <c r="H1309" s="12" t="s">
        <v>4322</v>
      </c>
      <c r="I1309" s="12" t="s">
        <v>4381</v>
      </c>
      <c r="J1309" s="11" t="s">
        <v>1856</v>
      </c>
      <c r="K1309" s="11" t="s">
        <v>1852</v>
      </c>
      <c r="L1309" s="11" t="s">
        <v>1853</v>
      </c>
      <c r="M1309" s="11" t="s">
        <v>4382</v>
      </c>
      <c r="N1309" s="12"/>
      <c r="O1309" s="11" t="s">
        <v>1859</v>
      </c>
      <c r="P1309" s="56"/>
    </row>
    <row r="1310" spans="1:16" ht="15.75" customHeight="1" x14ac:dyDescent="0.2">
      <c r="A1310" s="48">
        <v>1173</v>
      </c>
      <c r="B1310" s="11" t="s">
        <v>1857</v>
      </c>
      <c r="C1310" s="11" t="s">
        <v>1849</v>
      </c>
      <c r="D1310" s="6" t="s">
        <v>1850</v>
      </c>
      <c r="E1310" s="12" t="s">
        <v>4263</v>
      </c>
      <c r="F1310" s="12" t="s">
        <v>4263</v>
      </c>
      <c r="G1310" s="12" t="s">
        <v>4311</v>
      </c>
      <c r="H1310" s="12" t="s">
        <v>4376</v>
      </c>
      <c r="I1310" s="12" t="s">
        <v>4383</v>
      </c>
      <c r="J1310" s="11" t="s">
        <v>1856</v>
      </c>
      <c r="K1310" s="11" t="s">
        <v>1852</v>
      </c>
      <c r="L1310" s="11" t="s">
        <v>1853</v>
      </c>
      <c r="M1310" s="11" t="s">
        <v>3639</v>
      </c>
      <c r="N1310" s="12"/>
      <c r="O1310" s="11" t="s">
        <v>1859</v>
      </c>
      <c r="P1310" s="56"/>
    </row>
    <row r="1311" spans="1:16" ht="15.75" customHeight="1" x14ac:dyDescent="0.2">
      <c r="A1311" s="48">
        <v>1231</v>
      </c>
      <c r="B1311" s="11" t="s">
        <v>1857</v>
      </c>
      <c r="C1311" s="11" t="s">
        <v>1849</v>
      </c>
      <c r="D1311" s="6" t="s">
        <v>1850</v>
      </c>
      <c r="E1311" s="12" t="s">
        <v>4263</v>
      </c>
      <c r="F1311" s="12" t="s">
        <v>4263</v>
      </c>
      <c r="G1311" s="12" t="s">
        <v>4314</v>
      </c>
      <c r="H1311" s="12" t="s">
        <v>4315</v>
      </c>
      <c r="I1311" s="12" t="s">
        <v>2358</v>
      </c>
      <c r="J1311" s="11" t="s">
        <v>1856</v>
      </c>
      <c r="K1311" s="11" t="s">
        <v>1852</v>
      </c>
      <c r="L1311" s="11" t="s">
        <v>1853</v>
      </c>
      <c r="M1311" s="11" t="s">
        <v>3824</v>
      </c>
      <c r="N1311" s="12"/>
      <c r="O1311" s="11" t="s">
        <v>1858</v>
      </c>
      <c r="P1311" s="56"/>
    </row>
    <row r="1312" spans="1:16" ht="15.75" customHeight="1" x14ac:dyDescent="0.2">
      <c r="A1312" s="48">
        <v>1197</v>
      </c>
      <c r="B1312" s="11" t="s">
        <v>1857</v>
      </c>
      <c r="C1312" s="11" t="s">
        <v>1849</v>
      </c>
      <c r="D1312" s="6" t="s">
        <v>1850</v>
      </c>
      <c r="E1312" s="12" t="s">
        <v>4263</v>
      </c>
      <c r="F1312" s="12" t="s">
        <v>4263</v>
      </c>
      <c r="G1312" s="12" t="s">
        <v>4311</v>
      </c>
      <c r="H1312" s="12" t="s">
        <v>4322</v>
      </c>
      <c r="I1312" s="12" t="s">
        <v>4384</v>
      </c>
      <c r="J1312" s="11" t="s">
        <v>1856</v>
      </c>
      <c r="K1312" s="11" t="s">
        <v>1852</v>
      </c>
      <c r="L1312" s="11" t="s">
        <v>1853</v>
      </c>
      <c r="M1312" s="11" t="s">
        <v>4385</v>
      </c>
      <c r="N1312" s="12"/>
      <c r="O1312" s="11" t="s">
        <v>2755</v>
      </c>
      <c r="P1312" s="56"/>
    </row>
    <row r="1313" spans="1:16" ht="15.75" customHeight="1" x14ac:dyDescent="0.2">
      <c r="A1313" s="48">
        <v>1167</v>
      </c>
      <c r="B1313" s="11" t="s">
        <v>1857</v>
      </c>
      <c r="C1313" s="11" t="s">
        <v>1849</v>
      </c>
      <c r="D1313" s="6" t="s">
        <v>1850</v>
      </c>
      <c r="E1313" s="12" t="s">
        <v>4263</v>
      </c>
      <c r="F1313" s="12" t="s">
        <v>4263</v>
      </c>
      <c r="G1313" s="12" t="s">
        <v>4311</v>
      </c>
      <c r="H1313" s="12" t="s">
        <v>4386</v>
      </c>
      <c r="I1313" s="12" t="s">
        <v>4103</v>
      </c>
      <c r="J1313" s="11" t="s">
        <v>1856</v>
      </c>
      <c r="K1313" s="11" t="s">
        <v>1852</v>
      </c>
      <c r="L1313" s="11" t="s">
        <v>1853</v>
      </c>
      <c r="M1313" s="11" t="s">
        <v>4387</v>
      </c>
      <c r="N1313" s="12" t="s">
        <v>4388</v>
      </c>
      <c r="O1313" s="11" t="s">
        <v>1860</v>
      </c>
      <c r="P1313" s="56"/>
    </row>
    <row r="1314" spans="1:16" ht="15.75" customHeight="1" x14ac:dyDescent="0.2">
      <c r="A1314" s="48">
        <v>1206</v>
      </c>
      <c r="B1314" s="11" t="s">
        <v>1857</v>
      </c>
      <c r="C1314" s="11" t="s">
        <v>1849</v>
      </c>
      <c r="D1314" s="6" t="s">
        <v>1850</v>
      </c>
      <c r="E1314" s="12" t="s">
        <v>4263</v>
      </c>
      <c r="F1314" s="12" t="s">
        <v>4263</v>
      </c>
      <c r="G1314" s="12" t="s">
        <v>4349</v>
      </c>
      <c r="H1314" s="12" t="s">
        <v>4340</v>
      </c>
      <c r="I1314" s="12" t="s">
        <v>4389</v>
      </c>
      <c r="J1314" s="11" t="s">
        <v>1856</v>
      </c>
      <c r="K1314" s="11" t="s">
        <v>1852</v>
      </c>
      <c r="L1314" s="11" t="s">
        <v>1853</v>
      </c>
      <c r="M1314" s="11" t="s">
        <v>4390</v>
      </c>
      <c r="N1314" s="12"/>
      <c r="O1314" s="11" t="s">
        <v>1859</v>
      </c>
      <c r="P1314" s="56"/>
    </row>
    <row r="1315" spans="1:16" ht="15.75" customHeight="1" x14ac:dyDescent="0.2">
      <c r="A1315" s="48">
        <v>1072</v>
      </c>
      <c r="B1315" s="11" t="s">
        <v>1857</v>
      </c>
      <c r="C1315" s="11" t="s">
        <v>1849</v>
      </c>
      <c r="D1315" s="6" t="s">
        <v>1850</v>
      </c>
      <c r="E1315" s="12" t="s">
        <v>4263</v>
      </c>
      <c r="F1315" s="12" t="s">
        <v>4263</v>
      </c>
      <c r="G1315" s="12" t="s">
        <v>4263</v>
      </c>
      <c r="H1315" s="12" t="s">
        <v>4278</v>
      </c>
      <c r="I1315" s="12" t="s">
        <v>4391</v>
      </c>
      <c r="J1315" s="11" t="s">
        <v>1856</v>
      </c>
      <c r="K1315" s="11" t="s">
        <v>1852</v>
      </c>
      <c r="L1315" s="11" t="s">
        <v>1853</v>
      </c>
      <c r="M1315" s="11" t="s">
        <v>4374</v>
      </c>
      <c r="N1315" s="12"/>
      <c r="O1315" s="11" t="s">
        <v>1860</v>
      </c>
      <c r="P1315" s="56"/>
    </row>
    <row r="1316" spans="1:16" ht="15.75" customHeight="1" x14ac:dyDescent="0.2">
      <c r="A1316" s="48">
        <v>1214</v>
      </c>
      <c r="B1316" s="11" t="s">
        <v>1857</v>
      </c>
      <c r="C1316" s="11" t="s">
        <v>1849</v>
      </c>
      <c r="D1316" s="6" t="s">
        <v>1850</v>
      </c>
      <c r="E1316" s="12" t="s">
        <v>4263</v>
      </c>
      <c r="F1316" s="12" t="s">
        <v>4263</v>
      </c>
      <c r="G1316" s="12" t="s">
        <v>4314</v>
      </c>
      <c r="H1316" s="12" t="s">
        <v>4340</v>
      </c>
      <c r="I1316" s="12" t="s">
        <v>4392</v>
      </c>
      <c r="J1316" s="11" t="s">
        <v>1856</v>
      </c>
      <c r="K1316" s="11" t="s">
        <v>1852</v>
      </c>
      <c r="L1316" s="11" t="s">
        <v>1853</v>
      </c>
      <c r="M1316" s="11" t="s">
        <v>2276</v>
      </c>
      <c r="N1316" s="12"/>
      <c r="O1316" s="11" t="s">
        <v>1859</v>
      </c>
      <c r="P1316" s="56"/>
    </row>
    <row r="1317" spans="1:16" ht="15.75" customHeight="1" x14ac:dyDescent="0.2">
      <c r="A1317" s="48">
        <v>1178</v>
      </c>
      <c r="B1317" s="11" t="s">
        <v>1857</v>
      </c>
      <c r="C1317" s="11" t="s">
        <v>1849</v>
      </c>
      <c r="D1317" s="6" t="s">
        <v>1850</v>
      </c>
      <c r="E1317" s="12" t="s">
        <v>4263</v>
      </c>
      <c r="F1317" s="12" t="s">
        <v>4263</v>
      </c>
      <c r="G1317" s="12" t="s">
        <v>4311</v>
      </c>
      <c r="H1317" s="12" t="s">
        <v>4376</v>
      </c>
      <c r="I1317" s="12" t="s">
        <v>4393</v>
      </c>
      <c r="J1317" s="11" t="s">
        <v>1856</v>
      </c>
      <c r="K1317" s="11" t="s">
        <v>1852</v>
      </c>
      <c r="L1317" s="11" t="s">
        <v>1853</v>
      </c>
      <c r="M1317" s="11" t="s">
        <v>1854</v>
      </c>
      <c r="N1317" s="12"/>
      <c r="O1317" s="11" t="s">
        <v>1860</v>
      </c>
      <c r="P1317" s="56"/>
    </row>
    <row r="1318" spans="1:16" ht="15.75" customHeight="1" x14ac:dyDescent="0.2">
      <c r="A1318" s="48">
        <v>1261</v>
      </c>
      <c r="B1318" s="11" t="s">
        <v>1857</v>
      </c>
      <c r="C1318" s="11" t="s">
        <v>1849</v>
      </c>
      <c r="D1318" s="6" t="s">
        <v>1850</v>
      </c>
      <c r="E1318" s="12" t="s">
        <v>4263</v>
      </c>
      <c r="F1318" s="12" t="s">
        <v>4263</v>
      </c>
      <c r="G1318" s="12" t="s">
        <v>4314</v>
      </c>
      <c r="H1318" s="12" t="s">
        <v>3617</v>
      </c>
      <c r="I1318" s="12" t="s">
        <v>4394</v>
      </c>
      <c r="J1318" s="11" t="s">
        <v>1856</v>
      </c>
      <c r="K1318" s="11" t="s">
        <v>1852</v>
      </c>
      <c r="L1318" s="11" t="s">
        <v>1853</v>
      </c>
      <c r="M1318" s="11" t="s">
        <v>2276</v>
      </c>
      <c r="N1318" s="12"/>
      <c r="O1318" s="11" t="s">
        <v>1859</v>
      </c>
      <c r="P1318" s="56"/>
    </row>
    <row r="1319" spans="1:16" ht="15.75" customHeight="1" x14ac:dyDescent="0.2">
      <c r="A1319" s="48">
        <v>1168</v>
      </c>
      <c r="B1319" s="11" t="s">
        <v>1857</v>
      </c>
      <c r="C1319" s="11" t="s">
        <v>1849</v>
      </c>
      <c r="D1319" s="6" t="s">
        <v>1850</v>
      </c>
      <c r="E1319" s="12" t="s">
        <v>4263</v>
      </c>
      <c r="F1319" s="12" t="s">
        <v>4263</v>
      </c>
      <c r="G1319" s="12" t="s">
        <v>4311</v>
      </c>
      <c r="H1319" s="12" t="s">
        <v>4386</v>
      </c>
      <c r="I1319" s="12" t="s">
        <v>4395</v>
      </c>
      <c r="J1319" s="11" t="s">
        <v>1856</v>
      </c>
      <c r="K1319" s="11" t="s">
        <v>1852</v>
      </c>
      <c r="L1319" s="11" t="s">
        <v>1853</v>
      </c>
      <c r="M1319" s="11" t="s">
        <v>3614</v>
      </c>
      <c r="N1319" s="12"/>
      <c r="O1319" s="11" t="s">
        <v>1858</v>
      </c>
      <c r="P1319" s="56"/>
    </row>
    <row r="1320" spans="1:16" ht="15.75" customHeight="1" x14ac:dyDescent="0.2">
      <c r="A1320" s="48">
        <v>1088</v>
      </c>
      <c r="B1320" s="11" t="s">
        <v>1857</v>
      </c>
      <c r="C1320" s="11" t="s">
        <v>1849</v>
      </c>
      <c r="D1320" s="6" t="s">
        <v>1850</v>
      </c>
      <c r="E1320" s="12" t="s">
        <v>4263</v>
      </c>
      <c r="F1320" s="12" t="s">
        <v>4263</v>
      </c>
      <c r="G1320" s="12" t="s">
        <v>4263</v>
      </c>
      <c r="H1320" s="12" t="s">
        <v>4356</v>
      </c>
      <c r="I1320" s="12" t="s">
        <v>4396</v>
      </c>
      <c r="J1320" s="11" t="s">
        <v>1856</v>
      </c>
      <c r="K1320" s="11" t="s">
        <v>1852</v>
      </c>
      <c r="L1320" s="11" t="s">
        <v>1853</v>
      </c>
      <c r="M1320" s="11" t="s">
        <v>4397</v>
      </c>
      <c r="N1320" s="12"/>
      <c r="O1320" s="11" t="s">
        <v>1858</v>
      </c>
      <c r="P1320" s="56"/>
    </row>
    <row r="1321" spans="1:16" ht="15.75" customHeight="1" x14ac:dyDescent="0.2">
      <c r="A1321" s="48">
        <v>1297</v>
      </c>
      <c r="B1321" s="11" t="s">
        <v>1857</v>
      </c>
      <c r="C1321" s="11" t="s">
        <v>1849</v>
      </c>
      <c r="D1321" s="6" t="s">
        <v>1850</v>
      </c>
      <c r="E1321" s="12" t="s">
        <v>4263</v>
      </c>
      <c r="F1321" s="12" t="s">
        <v>4263</v>
      </c>
      <c r="G1321" s="12" t="s">
        <v>4398</v>
      </c>
      <c r="H1321" s="12" t="s">
        <v>2639</v>
      </c>
      <c r="I1321" s="12" t="s">
        <v>4399</v>
      </c>
      <c r="J1321" s="11" t="s">
        <v>1856</v>
      </c>
      <c r="K1321" s="11" t="s">
        <v>1852</v>
      </c>
      <c r="L1321" s="11" t="s">
        <v>1853</v>
      </c>
      <c r="M1321" s="11" t="s">
        <v>1854</v>
      </c>
      <c r="N1321" s="12"/>
      <c r="O1321" s="11" t="s">
        <v>1859</v>
      </c>
      <c r="P1321" s="56"/>
    </row>
    <row r="1322" spans="1:16" ht="15.75" customHeight="1" x14ac:dyDescent="0.2">
      <c r="A1322" s="48">
        <v>1235</v>
      </c>
      <c r="B1322" s="11" t="s">
        <v>1857</v>
      </c>
      <c r="C1322" s="11" t="s">
        <v>1849</v>
      </c>
      <c r="D1322" s="6" t="s">
        <v>1850</v>
      </c>
      <c r="E1322" s="12" t="s">
        <v>4263</v>
      </c>
      <c r="F1322" s="12" t="s">
        <v>4263</v>
      </c>
      <c r="G1322" s="12" t="s">
        <v>4314</v>
      </c>
      <c r="H1322" s="12" t="s">
        <v>4315</v>
      </c>
      <c r="I1322" s="12" t="s">
        <v>4400</v>
      </c>
      <c r="J1322" s="11" t="s">
        <v>1856</v>
      </c>
      <c r="K1322" s="11" t="s">
        <v>1852</v>
      </c>
      <c r="L1322" s="11" t="s">
        <v>1853</v>
      </c>
      <c r="M1322" s="11" t="s">
        <v>1854</v>
      </c>
      <c r="N1322" s="12"/>
      <c r="O1322" s="11" t="s">
        <v>1859</v>
      </c>
      <c r="P1322" s="56"/>
    </row>
    <row r="1323" spans="1:16" ht="15.75" customHeight="1" x14ac:dyDescent="0.2">
      <c r="A1323" s="48">
        <v>1202</v>
      </c>
      <c r="B1323" s="11" t="s">
        <v>1857</v>
      </c>
      <c r="C1323" s="11" t="s">
        <v>1849</v>
      </c>
      <c r="D1323" s="6" t="s">
        <v>1850</v>
      </c>
      <c r="E1323" s="12" t="s">
        <v>4263</v>
      </c>
      <c r="F1323" s="12" t="s">
        <v>4263</v>
      </c>
      <c r="G1323" s="12" t="s">
        <v>4314</v>
      </c>
      <c r="H1323" s="12" t="s">
        <v>4340</v>
      </c>
      <c r="I1323" s="12" t="s">
        <v>4401</v>
      </c>
      <c r="J1323" s="11" t="s">
        <v>1856</v>
      </c>
      <c r="K1323" s="11" t="s">
        <v>1852</v>
      </c>
      <c r="L1323" s="11" t="s">
        <v>1853</v>
      </c>
      <c r="M1323" s="11" t="s">
        <v>4390</v>
      </c>
      <c r="N1323" s="12"/>
      <c r="O1323" s="11" t="s">
        <v>2755</v>
      </c>
      <c r="P1323" s="56"/>
    </row>
    <row r="1324" spans="1:16" ht="15.75" customHeight="1" x14ac:dyDescent="0.2">
      <c r="A1324" s="48">
        <v>6808</v>
      </c>
      <c r="B1324" s="11" t="s">
        <v>1857</v>
      </c>
      <c r="C1324" s="11" t="s">
        <v>1849</v>
      </c>
      <c r="D1324" s="6" t="s">
        <v>1850</v>
      </c>
      <c r="E1324" s="12" t="s">
        <v>4263</v>
      </c>
      <c r="F1324" s="12" t="s">
        <v>4263</v>
      </c>
      <c r="G1324" s="12" t="s">
        <v>4263</v>
      </c>
      <c r="H1324" s="12" t="s">
        <v>4297</v>
      </c>
      <c r="I1324" s="12" t="s">
        <v>4402</v>
      </c>
      <c r="J1324" s="11" t="s">
        <v>2246</v>
      </c>
      <c r="K1324" s="11" t="s">
        <v>2247</v>
      </c>
      <c r="L1324" s="11" t="s">
        <v>1853</v>
      </c>
      <c r="M1324" s="11" t="s">
        <v>1854</v>
      </c>
      <c r="N1324" s="12"/>
      <c r="O1324" s="11" t="s">
        <v>1859</v>
      </c>
      <c r="P1324" s="56"/>
    </row>
    <row r="1325" spans="1:16" ht="15.75" customHeight="1" x14ac:dyDescent="0.2">
      <c r="A1325" s="48">
        <v>1025</v>
      </c>
      <c r="B1325" s="11" t="s">
        <v>1857</v>
      </c>
      <c r="C1325" s="11" t="s">
        <v>1849</v>
      </c>
      <c r="D1325" s="6" t="s">
        <v>1850</v>
      </c>
      <c r="E1325" s="12" t="s">
        <v>4263</v>
      </c>
      <c r="F1325" s="12" t="s">
        <v>4263</v>
      </c>
      <c r="G1325" s="12" t="s">
        <v>4263</v>
      </c>
      <c r="H1325" s="12" t="s">
        <v>4264</v>
      </c>
      <c r="I1325" s="12" t="s">
        <v>4403</v>
      </c>
      <c r="J1325" s="11" t="s">
        <v>1851</v>
      </c>
      <c r="K1325" s="11" t="s">
        <v>1852</v>
      </c>
      <c r="L1325" s="11" t="s">
        <v>1853</v>
      </c>
      <c r="M1325" s="11" t="s">
        <v>1854</v>
      </c>
      <c r="N1325" s="12"/>
      <c r="O1325" s="11" t="s">
        <v>1859</v>
      </c>
      <c r="P1325" s="56"/>
    </row>
    <row r="1326" spans="1:16" ht="15.75" customHeight="1" x14ac:dyDescent="0.2">
      <c r="A1326" s="48">
        <v>1293</v>
      </c>
      <c r="B1326" s="11" t="s">
        <v>1857</v>
      </c>
      <c r="C1326" s="11" t="s">
        <v>1849</v>
      </c>
      <c r="D1326" s="6" t="s">
        <v>1850</v>
      </c>
      <c r="E1326" s="12" t="s">
        <v>4263</v>
      </c>
      <c r="F1326" s="12" t="s">
        <v>4263</v>
      </c>
      <c r="G1326" s="12" t="s">
        <v>4398</v>
      </c>
      <c r="H1326" s="12" t="s">
        <v>2639</v>
      </c>
      <c r="I1326" s="12" t="s">
        <v>4404</v>
      </c>
      <c r="J1326" s="11" t="s">
        <v>1856</v>
      </c>
      <c r="K1326" s="11" t="s">
        <v>1852</v>
      </c>
      <c r="L1326" s="11" t="s">
        <v>1853</v>
      </c>
      <c r="M1326" s="11" t="s">
        <v>4405</v>
      </c>
      <c r="N1326" s="12" t="s">
        <v>4406</v>
      </c>
      <c r="O1326" s="11" t="s">
        <v>1860</v>
      </c>
      <c r="P1326" s="56"/>
    </row>
    <row r="1327" spans="1:16" ht="15.75" customHeight="1" x14ac:dyDescent="0.2">
      <c r="A1327" s="48">
        <v>1278</v>
      </c>
      <c r="B1327" s="11" t="s">
        <v>1857</v>
      </c>
      <c r="C1327" s="11" t="s">
        <v>1849</v>
      </c>
      <c r="D1327" s="6" t="s">
        <v>1850</v>
      </c>
      <c r="E1327" s="12" t="s">
        <v>4263</v>
      </c>
      <c r="F1327" s="12" t="s">
        <v>4263</v>
      </c>
      <c r="G1327" s="12" t="s">
        <v>4332</v>
      </c>
      <c r="H1327" s="12" t="s">
        <v>4332</v>
      </c>
      <c r="I1327" s="12" t="s">
        <v>4407</v>
      </c>
      <c r="J1327" s="11" t="s">
        <v>1856</v>
      </c>
      <c r="K1327" s="11" t="s">
        <v>1852</v>
      </c>
      <c r="L1327" s="11" t="s">
        <v>1853</v>
      </c>
      <c r="M1327" s="11" t="s">
        <v>1861</v>
      </c>
      <c r="N1327" s="12"/>
      <c r="O1327" s="11" t="s">
        <v>1858</v>
      </c>
      <c r="P1327" s="56"/>
    </row>
    <row r="1328" spans="1:16" ht="15.75" customHeight="1" x14ac:dyDescent="0.2">
      <c r="A1328" s="48">
        <v>1290</v>
      </c>
      <c r="B1328" s="11" t="s">
        <v>1857</v>
      </c>
      <c r="C1328" s="11" t="s">
        <v>1849</v>
      </c>
      <c r="D1328" s="6" t="s">
        <v>1850</v>
      </c>
      <c r="E1328" s="12" t="s">
        <v>4263</v>
      </c>
      <c r="F1328" s="12" t="s">
        <v>4263</v>
      </c>
      <c r="G1328" s="12" t="s">
        <v>4398</v>
      </c>
      <c r="H1328" s="12" t="s">
        <v>4408</v>
      </c>
      <c r="I1328" s="12" t="s">
        <v>4409</v>
      </c>
      <c r="J1328" s="11" t="s">
        <v>1856</v>
      </c>
      <c r="K1328" s="11" t="s">
        <v>1852</v>
      </c>
      <c r="L1328" s="11" t="s">
        <v>1853</v>
      </c>
      <c r="M1328" s="11" t="s">
        <v>4326</v>
      </c>
      <c r="N1328" s="12" t="s">
        <v>4410</v>
      </c>
      <c r="O1328" s="11" t="s">
        <v>1860</v>
      </c>
      <c r="P1328" s="56"/>
    </row>
    <row r="1329" spans="1:16" ht="15.75" customHeight="1" x14ac:dyDescent="0.2">
      <c r="A1329" s="48">
        <v>1046</v>
      </c>
      <c r="B1329" s="11" t="s">
        <v>1857</v>
      </c>
      <c r="C1329" s="11" t="s">
        <v>1849</v>
      </c>
      <c r="D1329" s="6" t="s">
        <v>1850</v>
      </c>
      <c r="E1329" s="12" t="s">
        <v>4263</v>
      </c>
      <c r="F1329" s="12" t="s">
        <v>4263</v>
      </c>
      <c r="G1329" s="12" t="s">
        <v>4263</v>
      </c>
      <c r="H1329" s="12" t="s">
        <v>4264</v>
      </c>
      <c r="I1329" s="12" t="s">
        <v>4411</v>
      </c>
      <c r="J1329" s="11" t="s">
        <v>1851</v>
      </c>
      <c r="K1329" s="11" t="s">
        <v>1852</v>
      </c>
      <c r="L1329" s="11" t="s">
        <v>1853</v>
      </c>
      <c r="M1329" s="11" t="s">
        <v>4412</v>
      </c>
      <c r="N1329" s="12"/>
      <c r="O1329" s="11" t="s">
        <v>1858</v>
      </c>
      <c r="P1329" s="56"/>
    </row>
    <row r="1330" spans="1:16" ht="15.75" customHeight="1" x14ac:dyDescent="0.2">
      <c r="A1330" s="48">
        <v>1128</v>
      </c>
      <c r="B1330" s="11" t="s">
        <v>1857</v>
      </c>
      <c r="C1330" s="11" t="s">
        <v>1849</v>
      </c>
      <c r="D1330" s="6" t="s">
        <v>1850</v>
      </c>
      <c r="E1330" s="12" t="s">
        <v>4263</v>
      </c>
      <c r="F1330" s="12" t="s">
        <v>4263</v>
      </c>
      <c r="G1330" s="12" t="s">
        <v>4263</v>
      </c>
      <c r="H1330" s="12" t="s">
        <v>4270</v>
      </c>
      <c r="I1330" s="12" t="s">
        <v>4413</v>
      </c>
      <c r="J1330" s="11" t="s">
        <v>1851</v>
      </c>
      <c r="K1330" s="11" t="s">
        <v>1852</v>
      </c>
      <c r="L1330" s="11" t="s">
        <v>1853</v>
      </c>
      <c r="M1330" s="11" t="s">
        <v>1958</v>
      </c>
      <c r="N1330" s="12" t="s">
        <v>4414</v>
      </c>
      <c r="O1330" s="11" t="s">
        <v>1860</v>
      </c>
      <c r="P1330" s="56"/>
    </row>
    <row r="1331" spans="1:16" ht="15.75" customHeight="1" x14ac:dyDescent="0.2">
      <c r="A1331" s="48">
        <v>1021</v>
      </c>
      <c r="B1331" s="11" t="s">
        <v>1857</v>
      </c>
      <c r="C1331" s="11" t="s">
        <v>1849</v>
      </c>
      <c r="D1331" s="6" t="s">
        <v>1850</v>
      </c>
      <c r="E1331" s="12" t="s">
        <v>4263</v>
      </c>
      <c r="F1331" s="12" t="s">
        <v>4263</v>
      </c>
      <c r="G1331" s="12" t="s">
        <v>4263</v>
      </c>
      <c r="H1331" s="12" t="s">
        <v>4267</v>
      </c>
      <c r="I1331" s="12" t="s">
        <v>4415</v>
      </c>
      <c r="J1331" s="11" t="s">
        <v>1851</v>
      </c>
      <c r="K1331" s="11" t="s">
        <v>1852</v>
      </c>
      <c r="L1331" s="11" t="s">
        <v>1853</v>
      </c>
      <c r="M1331" s="11" t="s">
        <v>4416</v>
      </c>
      <c r="N1331" s="12" t="s">
        <v>4417</v>
      </c>
      <c r="O1331" s="11" t="s">
        <v>1860</v>
      </c>
      <c r="P1331" s="56"/>
    </row>
    <row r="1332" spans="1:16" ht="15.75" customHeight="1" x14ac:dyDescent="0.2">
      <c r="A1332" s="48">
        <v>5500</v>
      </c>
      <c r="B1332" s="11" t="s">
        <v>1857</v>
      </c>
      <c r="C1332" s="11" t="s">
        <v>1849</v>
      </c>
      <c r="D1332" s="6" t="s">
        <v>1850</v>
      </c>
      <c r="E1332" s="12" t="s">
        <v>4263</v>
      </c>
      <c r="F1332" s="12" t="s">
        <v>4263</v>
      </c>
      <c r="G1332" s="12" t="s">
        <v>4263</v>
      </c>
      <c r="H1332" s="12" t="s">
        <v>2845</v>
      </c>
      <c r="I1332" s="12" t="s">
        <v>4418</v>
      </c>
      <c r="J1332" s="11" t="s">
        <v>1856</v>
      </c>
      <c r="K1332" s="11" t="s">
        <v>1852</v>
      </c>
      <c r="L1332" s="11" t="s">
        <v>1853</v>
      </c>
      <c r="M1332" s="11" t="s">
        <v>1861</v>
      </c>
      <c r="N1332" s="12"/>
      <c r="O1332" s="11" t="s">
        <v>1860</v>
      </c>
      <c r="P1332" s="56"/>
    </row>
    <row r="1333" spans="1:16" ht="15.75" customHeight="1" x14ac:dyDescent="0.2">
      <c r="A1333" s="48">
        <v>1060</v>
      </c>
      <c r="B1333" s="11" t="s">
        <v>1857</v>
      </c>
      <c r="C1333" s="11" t="s">
        <v>1849</v>
      </c>
      <c r="D1333" s="6" t="s">
        <v>1850</v>
      </c>
      <c r="E1333" s="12" t="s">
        <v>4263</v>
      </c>
      <c r="F1333" s="12" t="s">
        <v>4263</v>
      </c>
      <c r="G1333" s="12" t="s">
        <v>4263</v>
      </c>
      <c r="H1333" s="12" t="s">
        <v>4278</v>
      </c>
      <c r="I1333" s="12" t="s">
        <v>4419</v>
      </c>
      <c r="J1333" s="11" t="s">
        <v>1856</v>
      </c>
      <c r="K1333" s="11" t="s">
        <v>1852</v>
      </c>
      <c r="L1333" s="11" t="s">
        <v>1853</v>
      </c>
      <c r="M1333" s="11" t="s">
        <v>1861</v>
      </c>
      <c r="N1333" s="12"/>
      <c r="O1333" s="11" t="s">
        <v>1860</v>
      </c>
      <c r="P1333" s="56"/>
    </row>
    <row r="1334" spans="1:16" ht="15.75" customHeight="1" x14ac:dyDescent="0.2">
      <c r="A1334" s="48">
        <v>1022</v>
      </c>
      <c r="B1334" s="11" t="s">
        <v>1857</v>
      </c>
      <c r="C1334" s="11" t="s">
        <v>1849</v>
      </c>
      <c r="D1334" s="6" t="s">
        <v>1850</v>
      </c>
      <c r="E1334" s="12" t="s">
        <v>4263</v>
      </c>
      <c r="F1334" s="12" t="s">
        <v>4263</v>
      </c>
      <c r="G1334" s="12" t="s">
        <v>4263</v>
      </c>
      <c r="H1334" s="12" t="s">
        <v>4264</v>
      </c>
      <c r="I1334" s="12" t="s">
        <v>4420</v>
      </c>
      <c r="J1334" s="11" t="s">
        <v>1856</v>
      </c>
      <c r="K1334" s="11" t="s">
        <v>1852</v>
      </c>
      <c r="L1334" s="11" t="s">
        <v>1853</v>
      </c>
      <c r="M1334" s="11" t="s">
        <v>4421</v>
      </c>
      <c r="N1334" s="12" t="s">
        <v>4422</v>
      </c>
      <c r="O1334" s="11" t="s">
        <v>2755</v>
      </c>
      <c r="P1334" s="56"/>
    </row>
    <row r="1335" spans="1:16" ht="15.75" customHeight="1" x14ac:dyDescent="0.2">
      <c r="A1335" s="48">
        <v>1120</v>
      </c>
      <c r="B1335" s="11" t="s">
        <v>1857</v>
      </c>
      <c r="C1335" s="11" t="s">
        <v>1849</v>
      </c>
      <c r="D1335" s="6" t="s">
        <v>1850</v>
      </c>
      <c r="E1335" s="12" t="s">
        <v>4263</v>
      </c>
      <c r="F1335" s="12" t="s">
        <v>4263</v>
      </c>
      <c r="G1335" s="12" t="s">
        <v>4263</v>
      </c>
      <c r="H1335" s="12" t="s">
        <v>4274</v>
      </c>
      <c r="I1335" s="12" t="s">
        <v>4423</v>
      </c>
      <c r="J1335" s="11" t="s">
        <v>1856</v>
      </c>
      <c r="K1335" s="11" t="s">
        <v>1852</v>
      </c>
      <c r="L1335" s="11" t="s">
        <v>1853</v>
      </c>
      <c r="M1335" s="11" t="s">
        <v>1958</v>
      </c>
      <c r="N1335" s="12" t="s">
        <v>4424</v>
      </c>
      <c r="O1335" s="11" t="s">
        <v>1860</v>
      </c>
      <c r="P1335" s="56"/>
    </row>
    <row r="1336" spans="1:16" ht="15.75" customHeight="1" x14ac:dyDescent="0.2">
      <c r="A1336" s="48">
        <v>1047</v>
      </c>
      <c r="B1336" s="11" t="s">
        <v>1857</v>
      </c>
      <c r="C1336" s="11" t="s">
        <v>1849</v>
      </c>
      <c r="D1336" s="6" t="s">
        <v>1850</v>
      </c>
      <c r="E1336" s="12" t="s">
        <v>4263</v>
      </c>
      <c r="F1336" s="12" t="s">
        <v>4263</v>
      </c>
      <c r="G1336" s="12" t="s">
        <v>4263</v>
      </c>
      <c r="H1336" s="12" t="s">
        <v>4264</v>
      </c>
      <c r="I1336" s="12" t="s">
        <v>4425</v>
      </c>
      <c r="J1336" s="11" t="s">
        <v>1851</v>
      </c>
      <c r="K1336" s="11" t="s">
        <v>1852</v>
      </c>
      <c r="L1336" s="11" t="s">
        <v>1853</v>
      </c>
      <c r="M1336" s="11" t="s">
        <v>4426</v>
      </c>
      <c r="N1336" s="12" t="s">
        <v>2281</v>
      </c>
      <c r="O1336" s="11" t="s">
        <v>1860</v>
      </c>
      <c r="P1336" s="56"/>
    </row>
    <row r="1337" spans="1:16" ht="15.75" customHeight="1" x14ac:dyDescent="0.2">
      <c r="A1337" s="48">
        <v>1073</v>
      </c>
      <c r="B1337" s="11" t="s">
        <v>1857</v>
      </c>
      <c r="C1337" s="11" t="s">
        <v>1849</v>
      </c>
      <c r="D1337" s="6" t="s">
        <v>1850</v>
      </c>
      <c r="E1337" s="12" t="s">
        <v>4263</v>
      </c>
      <c r="F1337" s="12" t="s">
        <v>4263</v>
      </c>
      <c r="G1337" s="12" t="s">
        <v>4263</v>
      </c>
      <c r="H1337" s="12" t="s">
        <v>4282</v>
      </c>
      <c r="I1337" s="12" t="s">
        <v>4427</v>
      </c>
      <c r="J1337" s="11" t="s">
        <v>1851</v>
      </c>
      <c r="K1337" s="11" t="s">
        <v>1852</v>
      </c>
      <c r="L1337" s="11" t="s">
        <v>1853</v>
      </c>
      <c r="M1337" s="11" t="s">
        <v>2244</v>
      </c>
      <c r="N1337" s="12"/>
      <c r="O1337" s="11" t="s">
        <v>1858</v>
      </c>
      <c r="P1337" s="56"/>
    </row>
    <row r="1338" spans="1:16" ht="15.75" customHeight="1" x14ac:dyDescent="0.2">
      <c r="A1338" s="48">
        <v>1122</v>
      </c>
      <c r="B1338" s="11" t="s">
        <v>1857</v>
      </c>
      <c r="C1338" s="11" t="s">
        <v>1849</v>
      </c>
      <c r="D1338" s="6" t="s">
        <v>1850</v>
      </c>
      <c r="E1338" s="12" t="s">
        <v>4263</v>
      </c>
      <c r="F1338" s="12" t="s">
        <v>4263</v>
      </c>
      <c r="G1338" s="12" t="s">
        <v>4263</v>
      </c>
      <c r="H1338" s="12" t="s">
        <v>4270</v>
      </c>
      <c r="I1338" s="12" t="s">
        <v>4428</v>
      </c>
      <c r="J1338" s="11" t="s">
        <v>1851</v>
      </c>
      <c r="K1338" s="11" t="s">
        <v>1852</v>
      </c>
      <c r="L1338" s="11" t="s">
        <v>1853</v>
      </c>
      <c r="M1338" s="11" t="s">
        <v>1952</v>
      </c>
      <c r="N1338" s="12" t="s">
        <v>4429</v>
      </c>
      <c r="O1338" s="11" t="s">
        <v>1858</v>
      </c>
      <c r="P1338" s="56"/>
    </row>
    <row r="1339" spans="1:16" ht="15.75" customHeight="1" x14ac:dyDescent="0.2">
      <c r="A1339" s="48">
        <v>1020</v>
      </c>
      <c r="B1339" s="11" t="s">
        <v>1857</v>
      </c>
      <c r="C1339" s="11" t="s">
        <v>1849</v>
      </c>
      <c r="D1339" s="6" t="s">
        <v>1850</v>
      </c>
      <c r="E1339" s="12" t="s">
        <v>4263</v>
      </c>
      <c r="F1339" s="12" t="s">
        <v>4263</v>
      </c>
      <c r="G1339" s="12" t="s">
        <v>4263</v>
      </c>
      <c r="H1339" s="12" t="s">
        <v>4264</v>
      </c>
      <c r="I1339" s="12" t="s">
        <v>4430</v>
      </c>
      <c r="J1339" s="11" t="s">
        <v>1851</v>
      </c>
      <c r="K1339" s="11" t="s">
        <v>1852</v>
      </c>
      <c r="L1339" s="11" t="s">
        <v>1853</v>
      </c>
      <c r="M1339" s="11" t="s">
        <v>4431</v>
      </c>
      <c r="N1339" s="12" t="s">
        <v>4432</v>
      </c>
      <c r="O1339" s="11" t="s">
        <v>1858</v>
      </c>
      <c r="P1339" s="56"/>
    </row>
    <row r="1340" spans="1:16" ht="15.75" customHeight="1" x14ac:dyDescent="0.2">
      <c r="A1340" s="48">
        <v>1050</v>
      </c>
      <c r="B1340" s="11" t="s">
        <v>1857</v>
      </c>
      <c r="C1340" s="11" t="s">
        <v>1849</v>
      </c>
      <c r="D1340" s="6" t="s">
        <v>1850</v>
      </c>
      <c r="E1340" s="12" t="s">
        <v>4263</v>
      </c>
      <c r="F1340" s="12" t="s">
        <v>4263</v>
      </c>
      <c r="G1340" s="12" t="s">
        <v>4263</v>
      </c>
      <c r="H1340" s="12" t="s">
        <v>4294</v>
      </c>
      <c r="I1340" s="12" t="s">
        <v>4433</v>
      </c>
      <c r="J1340" s="11" t="s">
        <v>1851</v>
      </c>
      <c r="K1340" s="11" t="s">
        <v>1852</v>
      </c>
      <c r="L1340" s="11" t="s">
        <v>1853</v>
      </c>
      <c r="M1340" s="11" t="s">
        <v>4434</v>
      </c>
      <c r="N1340" s="12" t="s">
        <v>2281</v>
      </c>
      <c r="O1340" s="11" t="s">
        <v>1858</v>
      </c>
      <c r="P1340" s="56"/>
    </row>
    <row r="1341" spans="1:16" ht="15.75" customHeight="1" x14ac:dyDescent="0.2">
      <c r="A1341" s="48">
        <v>1019</v>
      </c>
      <c r="B1341" s="11" t="s">
        <v>1857</v>
      </c>
      <c r="C1341" s="11" t="s">
        <v>1849</v>
      </c>
      <c r="D1341" s="6" t="s">
        <v>1850</v>
      </c>
      <c r="E1341" s="12" t="s">
        <v>4263</v>
      </c>
      <c r="F1341" s="12" t="s">
        <v>4263</v>
      </c>
      <c r="G1341" s="12" t="s">
        <v>4263</v>
      </c>
      <c r="H1341" s="12" t="s">
        <v>4294</v>
      </c>
      <c r="I1341" s="12" t="s">
        <v>4435</v>
      </c>
      <c r="J1341" s="11" t="s">
        <v>1851</v>
      </c>
      <c r="K1341" s="11" t="s">
        <v>1852</v>
      </c>
      <c r="L1341" s="11" t="s">
        <v>1853</v>
      </c>
      <c r="M1341" s="11" t="s">
        <v>4436</v>
      </c>
      <c r="N1341" s="12" t="s">
        <v>4437</v>
      </c>
      <c r="O1341" s="11" t="s">
        <v>1858</v>
      </c>
      <c r="P1341" s="56"/>
    </row>
    <row r="1342" spans="1:16" ht="15.75" customHeight="1" x14ac:dyDescent="0.2">
      <c r="A1342" s="48">
        <v>1089</v>
      </c>
      <c r="B1342" s="11" t="s">
        <v>1857</v>
      </c>
      <c r="C1342" s="11" t="s">
        <v>1849</v>
      </c>
      <c r="D1342" s="6" t="s">
        <v>1850</v>
      </c>
      <c r="E1342" s="12" t="s">
        <v>4263</v>
      </c>
      <c r="F1342" s="12" t="s">
        <v>4263</v>
      </c>
      <c r="G1342" s="12" t="s">
        <v>4263</v>
      </c>
      <c r="H1342" s="12" t="s">
        <v>4267</v>
      </c>
      <c r="I1342" s="12" t="s">
        <v>4438</v>
      </c>
      <c r="J1342" s="11" t="s">
        <v>1856</v>
      </c>
      <c r="K1342" s="11" t="s">
        <v>1852</v>
      </c>
      <c r="L1342" s="11" t="s">
        <v>1853</v>
      </c>
      <c r="M1342" s="11" t="s">
        <v>4439</v>
      </c>
      <c r="N1342" s="12" t="s">
        <v>4440</v>
      </c>
      <c r="O1342" s="11" t="s">
        <v>1858</v>
      </c>
      <c r="P1342" s="56"/>
    </row>
    <row r="1343" spans="1:16" ht="15.75" customHeight="1" x14ac:dyDescent="0.2">
      <c r="A1343" s="48">
        <v>1049</v>
      </c>
      <c r="B1343" s="11" t="s">
        <v>1857</v>
      </c>
      <c r="C1343" s="11" t="s">
        <v>1849</v>
      </c>
      <c r="D1343" s="6" t="s">
        <v>1850</v>
      </c>
      <c r="E1343" s="12" t="s">
        <v>4263</v>
      </c>
      <c r="F1343" s="12" t="s">
        <v>4263</v>
      </c>
      <c r="G1343" s="12" t="s">
        <v>4263</v>
      </c>
      <c r="H1343" s="12" t="s">
        <v>4264</v>
      </c>
      <c r="I1343" s="12" t="s">
        <v>4441</v>
      </c>
      <c r="J1343" s="11" t="s">
        <v>1851</v>
      </c>
      <c r="K1343" s="11" t="s">
        <v>1852</v>
      </c>
      <c r="L1343" s="11" t="s">
        <v>1853</v>
      </c>
      <c r="M1343" s="11" t="s">
        <v>3761</v>
      </c>
      <c r="N1343" s="12" t="s">
        <v>4442</v>
      </c>
      <c r="O1343" s="11" t="s">
        <v>1858</v>
      </c>
      <c r="P1343" s="56"/>
    </row>
    <row r="1344" spans="1:16" ht="15.75" customHeight="1" x14ac:dyDescent="0.2">
      <c r="A1344" s="48">
        <v>1110</v>
      </c>
      <c r="B1344" s="11" t="s">
        <v>1857</v>
      </c>
      <c r="C1344" s="11" t="s">
        <v>1849</v>
      </c>
      <c r="D1344" s="6" t="s">
        <v>1850</v>
      </c>
      <c r="E1344" s="12" t="s">
        <v>4263</v>
      </c>
      <c r="F1344" s="12" t="s">
        <v>4263</v>
      </c>
      <c r="G1344" s="12" t="s">
        <v>4263</v>
      </c>
      <c r="H1344" s="12" t="s">
        <v>4276</v>
      </c>
      <c r="I1344" s="12" t="s">
        <v>4443</v>
      </c>
      <c r="J1344" s="11" t="s">
        <v>1856</v>
      </c>
      <c r="K1344" s="11" t="s">
        <v>1852</v>
      </c>
      <c r="L1344" s="11" t="s">
        <v>1853</v>
      </c>
      <c r="M1344" s="11" t="s">
        <v>1861</v>
      </c>
      <c r="N1344" s="12"/>
      <c r="O1344" s="11" t="s">
        <v>1860</v>
      </c>
      <c r="P1344" s="56"/>
    </row>
    <row r="1345" spans="1:16" ht="15.75" customHeight="1" x14ac:dyDescent="0.2">
      <c r="A1345" s="48">
        <v>1018</v>
      </c>
      <c r="B1345" s="11" t="s">
        <v>1857</v>
      </c>
      <c r="C1345" s="11" t="s">
        <v>1849</v>
      </c>
      <c r="D1345" s="6" t="s">
        <v>1850</v>
      </c>
      <c r="E1345" s="12" t="s">
        <v>4263</v>
      </c>
      <c r="F1345" s="12" t="s">
        <v>4263</v>
      </c>
      <c r="G1345" s="12" t="s">
        <v>4263</v>
      </c>
      <c r="H1345" s="12" t="s">
        <v>4264</v>
      </c>
      <c r="I1345" s="12" t="s">
        <v>4444</v>
      </c>
      <c r="J1345" s="11" t="s">
        <v>1851</v>
      </c>
      <c r="K1345" s="11" t="s">
        <v>1852</v>
      </c>
      <c r="L1345" s="11" t="s">
        <v>1853</v>
      </c>
      <c r="M1345" s="11" t="s">
        <v>1861</v>
      </c>
      <c r="N1345" s="12"/>
      <c r="O1345" s="11" t="s">
        <v>1860</v>
      </c>
      <c r="P1345" s="56"/>
    </row>
    <row r="1346" spans="1:16" ht="15.75" customHeight="1" x14ac:dyDescent="0.2">
      <c r="A1346" s="48">
        <v>1069</v>
      </c>
      <c r="B1346" s="11" t="s">
        <v>1857</v>
      </c>
      <c r="C1346" s="11" t="s">
        <v>1849</v>
      </c>
      <c r="D1346" s="6" t="s">
        <v>1850</v>
      </c>
      <c r="E1346" s="12" t="s">
        <v>4263</v>
      </c>
      <c r="F1346" s="12" t="s">
        <v>4263</v>
      </c>
      <c r="G1346" s="12" t="s">
        <v>4263</v>
      </c>
      <c r="H1346" s="12" t="s">
        <v>4278</v>
      </c>
      <c r="I1346" s="12" t="s">
        <v>4445</v>
      </c>
      <c r="J1346" s="11" t="s">
        <v>1856</v>
      </c>
      <c r="K1346" s="11" t="s">
        <v>1852</v>
      </c>
      <c r="L1346" s="11" t="s">
        <v>1853</v>
      </c>
      <c r="M1346" s="11" t="s">
        <v>3602</v>
      </c>
      <c r="N1346" s="12"/>
      <c r="O1346" s="11" t="s">
        <v>1859</v>
      </c>
      <c r="P1346" s="56"/>
    </row>
    <row r="1347" spans="1:16" ht="15.75" customHeight="1" x14ac:dyDescent="0.2">
      <c r="A1347" s="48">
        <v>1198</v>
      </c>
      <c r="B1347" s="11" t="s">
        <v>1857</v>
      </c>
      <c r="C1347" s="11" t="s">
        <v>1849</v>
      </c>
      <c r="D1347" s="6" t="s">
        <v>1850</v>
      </c>
      <c r="E1347" s="12" t="s">
        <v>4263</v>
      </c>
      <c r="F1347" s="12" t="s">
        <v>4263</v>
      </c>
      <c r="G1347" s="12" t="s">
        <v>4311</v>
      </c>
      <c r="H1347" s="12" t="s">
        <v>4322</v>
      </c>
      <c r="I1347" s="12" t="s">
        <v>4446</v>
      </c>
      <c r="J1347" s="11" t="s">
        <v>1856</v>
      </c>
      <c r="K1347" s="11" t="s">
        <v>1852</v>
      </c>
      <c r="L1347" s="11" t="s">
        <v>1853</v>
      </c>
      <c r="M1347" s="11" t="s">
        <v>3824</v>
      </c>
      <c r="N1347" s="12"/>
      <c r="O1347" s="11" t="s">
        <v>1858</v>
      </c>
      <c r="P1347" s="56"/>
    </row>
    <row r="1348" spans="1:16" ht="15.75" customHeight="1" x14ac:dyDescent="0.2">
      <c r="A1348" s="48">
        <v>1277</v>
      </c>
      <c r="B1348" s="11" t="s">
        <v>1857</v>
      </c>
      <c r="C1348" s="11" t="s">
        <v>1849</v>
      </c>
      <c r="D1348" s="6" t="s">
        <v>1850</v>
      </c>
      <c r="E1348" s="12" t="s">
        <v>4263</v>
      </c>
      <c r="F1348" s="12" t="s">
        <v>4263</v>
      </c>
      <c r="G1348" s="12" t="s">
        <v>4332</v>
      </c>
      <c r="H1348" s="12" t="s">
        <v>4447</v>
      </c>
      <c r="I1348" s="12" t="s">
        <v>4448</v>
      </c>
      <c r="J1348" s="11" t="s">
        <v>1856</v>
      </c>
      <c r="K1348" s="11" t="s">
        <v>1852</v>
      </c>
      <c r="L1348" s="11" t="s">
        <v>1853</v>
      </c>
      <c r="M1348" s="11" t="s">
        <v>1854</v>
      </c>
      <c r="N1348" s="12"/>
      <c r="O1348" s="11" t="s">
        <v>1860</v>
      </c>
      <c r="P1348" s="56"/>
    </row>
    <row r="1349" spans="1:16" ht="15.75" customHeight="1" x14ac:dyDescent="0.2">
      <c r="A1349" s="48">
        <v>1249</v>
      </c>
      <c r="B1349" s="11" t="s">
        <v>1857</v>
      </c>
      <c r="C1349" s="11" t="s">
        <v>1849</v>
      </c>
      <c r="D1349" s="6" t="s">
        <v>1850</v>
      </c>
      <c r="E1349" s="12" t="s">
        <v>4263</v>
      </c>
      <c r="F1349" s="12" t="s">
        <v>4263</v>
      </c>
      <c r="G1349" s="12" t="s">
        <v>4349</v>
      </c>
      <c r="H1349" s="12" t="s">
        <v>4345</v>
      </c>
      <c r="I1349" s="12" t="s">
        <v>4449</v>
      </c>
      <c r="J1349" s="11" t="s">
        <v>1856</v>
      </c>
      <c r="K1349" s="11" t="s">
        <v>1852</v>
      </c>
      <c r="L1349" s="11" t="s">
        <v>1853</v>
      </c>
      <c r="M1349" s="11" t="s">
        <v>1854</v>
      </c>
      <c r="N1349" s="12"/>
      <c r="O1349" s="11" t="s">
        <v>1858</v>
      </c>
      <c r="P1349" s="56"/>
    </row>
    <row r="1350" spans="1:16" ht="15.75" customHeight="1" x14ac:dyDescent="0.2">
      <c r="A1350" s="48">
        <v>1265</v>
      </c>
      <c r="B1350" s="11" t="s">
        <v>1857</v>
      </c>
      <c r="C1350" s="11" t="s">
        <v>1849</v>
      </c>
      <c r="D1350" s="6" t="s">
        <v>1850</v>
      </c>
      <c r="E1350" s="12" t="s">
        <v>4263</v>
      </c>
      <c r="F1350" s="12" t="s">
        <v>4263</v>
      </c>
      <c r="G1350" s="12" t="s">
        <v>4337</v>
      </c>
      <c r="H1350" s="12" t="s">
        <v>4338</v>
      </c>
      <c r="I1350" s="12" t="s">
        <v>4450</v>
      </c>
      <c r="J1350" s="11" t="s">
        <v>1856</v>
      </c>
      <c r="K1350" s="11" t="s">
        <v>1852</v>
      </c>
      <c r="L1350" s="11" t="s">
        <v>1853</v>
      </c>
      <c r="M1350" s="11" t="s">
        <v>2276</v>
      </c>
      <c r="N1350" s="12" t="s">
        <v>4451</v>
      </c>
      <c r="O1350" s="11" t="s">
        <v>2334</v>
      </c>
      <c r="P1350" s="56" t="s">
        <v>4452</v>
      </c>
    </row>
    <row r="1351" spans="1:16" ht="15.75" customHeight="1" x14ac:dyDescent="0.2">
      <c r="A1351" s="48">
        <v>5018</v>
      </c>
      <c r="B1351" s="11" t="s">
        <v>1857</v>
      </c>
      <c r="C1351" s="11" t="s">
        <v>1849</v>
      </c>
      <c r="D1351" s="6" t="s">
        <v>1850</v>
      </c>
      <c r="E1351" s="12" t="s">
        <v>4263</v>
      </c>
      <c r="F1351" s="12" t="s">
        <v>4263</v>
      </c>
      <c r="G1351" s="12" t="s">
        <v>4332</v>
      </c>
      <c r="H1351" s="12" t="s">
        <v>4332</v>
      </c>
      <c r="I1351" s="12" t="s">
        <v>4453</v>
      </c>
      <c r="J1351" s="11" t="s">
        <v>1856</v>
      </c>
      <c r="K1351" s="11" t="s">
        <v>1852</v>
      </c>
      <c r="L1351" s="11" t="s">
        <v>1853</v>
      </c>
      <c r="M1351" s="11" t="s">
        <v>4306</v>
      </c>
      <c r="N1351" s="12" t="s">
        <v>4454</v>
      </c>
      <c r="O1351" s="11" t="s">
        <v>1866</v>
      </c>
      <c r="P1351" s="56" t="s">
        <v>4455</v>
      </c>
    </row>
    <row r="1352" spans="1:16" ht="15.75" customHeight="1" x14ac:dyDescent="0.2">
      <c r="A1352" s="48">
        <v>1074</v>
      </c>
      <c r="B1352" s="11" t="s">
        <v>1857</v>
      </c>
      <c r="C1352" s="11" t="s">
        <v>1849</v>
      </c>
      <c r="D1352" s="6" t="s">
        <v>1850</v>
      </c>
      <c r="E1352" s="12" t="s">
        <v>4263</v>
      </c>
      <c r="F1352" s="12" t="s">
        <v>4263</v>
      </c>
      <c r="G1352" s="12" t="s">
        <v>4263</v>
      </c>
      <c r="H1352" s="12" t="s">
        <v>4282</v>
      </c>
      <c r="I1352" s="12" t="s">
        <v>4456</v>
      </c>
      <c r="J1352" s="11" t="s">
        <v>1851</v>
      </c>
      <c r="K1352" s="11" t="s">
        <v>1852</v>
      </c>
      <c r="L1352" s="11" t="s">
        <v>1853</v>
      </c>
      <c r="M1352" s="11" t="s">
        <v>4457</v>
      </c>
      <c r="N1352" s="12" t="s">
        <v>4458</v>
      </c>
      <c r="O1352" s="11" t="s">
        <v>2022</v>
      </c>
      <c r="P1352" s="56" t="s">
        <v>4459</v>
      </c>
    </row>
    <row r="1353" spans="1:16" ht="15.75" customHeight="1" x14ac:dyDescent="0.2">
      <c r="A1353" s="48">
        <v>1258</v>
      </c>
      <c r="B1353" s="11" t="s">
        <v>1857</v>
      </c>
      <c r="C1353" s="11" t="s">
        <v>1849</v>
      </c>
      <c r="D1353" s="6" t="s">
        <v>1850</v>
      </c>
      <c r="E1353" s="12" t="s">
        <v>4263</v>
      </c>
      <c r="F1353" s="12" t="s">
        <v>4263</v>
      </c>
      <c r="G1353" s="12" t="s">
        <v>4314</v>
      </c>
      <c r="H1353" s="12" t="s">
        <v>3617</v>
      </c>
      <c r="I1353" s="12" t="s">
        <v>4460</v>
      </c>
      <c r="J1353" s="11" t="s">
        <v>1856</v>
      </c>
      <c r="K1353" s="11" t="s">
        <v>1852</v>
      </c>
      <c r="L1353" s="11" t="s">
        <v>1853</v>
      </c>
      <c r="M1353" s="11" t="s">
        <v>1971</v>
      </c>
      <c r="N1353" s="12" t="s">
        <v>4461</v>
      </c>
      <c r="O1353" s="11" t="s">
        <v>2022</v>
      </c>
      <c r="P1353" s="56" t="s">
        <v>4462</v>
      </c>
    </row>
    <row r="1354" spans="1:16" ht="15.75" customHeight="1" x14ac:dyDescent="0.2">
      <c r="A1354" s="48">
        <v>6810</v>
      </c>
      <c r="B1354" s="11" t="s">
        <v>1857</v>
      </c>
      <c r="C1354" s="11" t="s">
        <v>1849</v>
      </c>
      <c r="D1354" s="6" t="s">
        <v>1850</v>
      </c>
      <c r="E1354" s="12" t="s">
        <v>4263</v>
      </c>
      <c r="F1354" s="12" t="s">
        <v>4263</v>
      </c>
      <c r="G1354" s="12" t="s">
        <v>4311</v>
      </c>
      <c r="H1354" s="12" t="s">
        <v>4322</v>
      </c>
      <c r="I1354" s="12" t="s">
        <v>4463</v>
      </c>
      <c r="J1354" s="11" t="s">
        <v>1856</v>
      </c>
      <c r="K1354" s="11" t="s">
        <v>1852</v>
      </c>
      <c r="L1354" s="11" t="s">
        <v>1853</v>
      </c>
      <c r="M1354" s="11" t="s">
        <v>1854</v>
      </c>
      <c r="N1354" s="12"/>
      <c r="O1354" s="11" t="s">
        <v>1859</v>
      </c>
      <c r="P1354" s="56"/>
    </row>
    <row r="1355" spans="1:16" ht="15.75" customHeight="1" x14ac:dyDescent="0.2">
      <c r="A1355" s="48">
        <v>1126</v>
      </c>
      <c r="B1355" s="11" t="s">
        <v>1857</v>
      </c>
      <c r="C1355" s="11" t="s">
        <v>1849</v>
      </c>
      <c r="D1355" s="6" t="s">
        <v>1850</v>
      </c>
      <c r="E1355" s="12" t="s">
        <v>4263</v>
      </c>
      <c r="F1355" s="12" t="s">
        <v>4263</v>
      </c>
      <c r="G1355" s="12" t="s">
        <v>4263</v>
      </c>
      <c r="H1355" s="12" t="s">
        <v>4270</v>
      </c>
      <c r="I1355" s="12" t="s">
        <v>4464</v>
      </c>
      <c r="J1355" s="11" t="s">
        <v>1851</v>
      </c>
      <c r="K1355" s="11" t="s">
        <v>1852</v>
      </c>
      <c r="L1355" s="11" t="s">
        <v>1853</v>
      </c>
      <c r="M1355" s="11" t="s">
        <v>4465</v>
      </c>
      <c r="N1355" s="12"/>
      <c r="O1355" s="11" t="s">
        <v>1866</v>
      </c>
      <c r="P1355" s="56" t="s">
        <v>4466</v>
      </c>
    </row>
    <row r="1356" spans="1:16" ht="15.75" customHeight="1" x14ac:dyDescent="0.2">
      <c r="A1356" s="48">
        <v>1039</v>
      </c>
      <c r="B1356" s="11" t="s">
        <v>1857</v>
      </c>
      <c r="C1356" s="11" t="s">
        <v>1849</v>
      </c>
      <c r="D1356" s="6" t="s">
        <v>1850</v>
      </c>
      <c r="E1356" s="12" t="s">
        <v>4263</v>
      </c>
      <c r="F1356" s="12" t="s">
        <v>4263</v>
      </c>
      <c r="G1356" s="12" t="s">
        <v>4263</v>
      </c>
      <c r="H1356" s="12" t="s">
        <v>4294</v>
      </c>
      <c r="I1356" s="12" t="s">
        <v>4467</v>
      </c>
      <c r="J1356" s="11" t="s">
        <v>1851</v>
      </c>
      <c r="K1356" s="11" t="s">
        <v>1852</v>
      </c>
      <c r="L1356" s="11" t="s">
        <v>1853</v>
      </c>
      <c r="M1356" s="11" t="s">
        <v>4468</v>
      </c>
      <c r="N1356" s="12"/>
      <c r="O1356" s="11" t="s">
        <v>1866</v>
      </c>
      <c r="P1356" s="56" t="s">
        <v>4469</v>
      </c>
    </row>
    <row r="1357" spans="1:16" ht="15.75" customHeight="1" x14ac:dyDescent="0.2">
      <c r="A1357" s="48">
        <v>1260</v>
      </c>
      <c r="B1357" s="11" t="s">
        <v>1857</v>
      </c>
      <c r="C1357" s="11" t="s">
        <v>1849</v>
      </c>
      <c r="D1357" s="6" t="s">
        <v>1850</v>
      </c>
      <c r="E1357" s="12" t="s">
        <v>4263</v>
      </c>
      <c r="F1357" s="12" t="s">
        <v>4263</v>
      </c>
      <c r="G1357" s="12" t="s">
        <v>4314</v>
      </c>
      <c r="H1357" s="12" t="s">
        <v>3617</v>
      </c>
      <c r="I1357" s="12" t="s">
        <v>4470</v>
      </c>
      <c r="J1357" s="11" t="s">
        <v>1856</v>
      </c>
      <c r="K1357" s="11" t="s">
        <v>1852</v>
      </c>
      <c r="L1357" s="11" t="s">
        <v>1853</v>
      </c>
      <c r="M1357" s="11" t="s">
        <v>4471</v>
      </c>
      <c r="N1357" s="12"/>
      <c r="O1357" s="11" t="s">
        <v>1860</v>
      </c>
      <c r="P1357" s="56"/>
    </row>
    <row r="1358" spans="1:16" ht="15.75" customHeight="1" x14ac:dyDescent="0.2">
      <c r="A1358" s="48">
        <v>1234</v>
      </c>
      <c r="B1358" s="11" t="s">
        <v>1857</v>
      </c>
      <c r="C1358" s="11" t="s">
        <v>1849</v>
      </c>
      <c r="D1358" s="6" t="s">
        <v>1850</v>
      </c>
      <c r="E1358" s="12" t="s">
        <v>4263</v>
      </c>
      <c r="F1358" s="12" t="s">
        <v>4263</v>
      </c>
      <c r="G1358" s="12" t="s">
        <v>4349</v>
      </c>
      <c r="H1358" s="12" t="s">
        <v>4315</v>
      </c>
      <c r="I1358" s="12" t="s">
        <v>4472</v>
      </c>
      <c r="J1358" s="11" t="s">
        <v>1856</v>
      </c>
      <c r="K1358" s="11" t="s">
        <v>1852</v>
      </c>
      <c r="L1358" s="11" t="s">
        <v>1853</v>
      </c>
      <c r="M1358" s="11" t="s">
        <v>1854</v>
      </c>
      <c r="N1358" s="12"/>
      <c r="O1358" s="11" t="s">
        <v>1859</v>
      </c>
      <c r="P1358" s="56"/>
    </row>
    <row r="1359" spans="1:16" ht="15.75" customHeight="1" x14ac:dyDescent="0.2">
      <c r="A1359" s="48">
        <v>1037</v>
      </c>
      <c r="B1359" s="11" t="s">
        <v>1857</v>
      </c>
      <c r="C1359" s="11" t="s">
        <v>1849</v>
      </c>
      <c r="D1359" s="6" t="s">
        <v>1850</v>
      </c>
      <c r="E1359" s="12" t="s">
        <v>4263</v>
      </c>
      <c r="F1359" s="12" t="s">
        <v>4263</v>
      </c>
      <c r="G1359" s="12" t="s">
        <v>4263</v>
      </c>
      <c r="H1359" s="12" t="s">
        <v>4264</v>
      </c>
      <c r="I1359" s="12" t="s">
        <v>4473</v>
      </c>
      <c r="J1359" s="11" t="s">
        <v>1851</v>
      </c>
      <c r="K1359" s="11" t="s">
        <v>1852</v>
      </c>
      <c r="L1359" s="11" t="s">
        <v>1853</v>
      </c>
      <c r="M1359" s="11" t="s">
        <v>4474</v>
      </c>
      <c r="N1359" s="12" t="s">
        <v>4475</v>
      </c>
      <c r="O1359" s="11" t="s">
        <v>3016</v>
      </c>
      <c r="P1359" s="56" t="s">
        <v>4476</v>
      </c>
    </row>
    <row r="1360" spans="1:16" ht="15.75" customHeight="1" x14ac:dyDescent="0.2">
      <c r="A1360" s="48">
        <v>1183</v>
      </c>
      <c r="B1360" s="11" t="s">
        <v>1857</v>
      </c>
      <c r="C1360" s="11" t="s">
        <v>1849</v>
      </c>
      <c r="D1360" s="6" t="s">
        <v>1850</v>
      </c>
      <c r="E1360" s="12" t="s">
        <v>4263</v>
      </c>
      <c r="F1360" s="12" t="s">
        <v>4263</v>
      </c>
      <c r="G1360" s="12" t="s">
        <v>4311</v>
      </c>
      <c r="H1360" s="12" t="s">
        <v>4312</v>
      </c>
      <c r="I1360" s="12" t="s">
        <v>4477</v>
      </c>
      <c r="J1360" s="11" t="s">
        <v>1856</v>
      </c>
      <c r="K1360" s="11" t="s">
        <v>1852</v>
      </c>
      <c r="L1360" s="11" t="s">
        <v>1853</v>
      </c>
      <c r="M1360" s="11" t="s">
        <v>4320</v>
      </c>
      <c r="N1360" s="12" t="s">
        <v>4478</v>
      </c>
      <c r="O1360" s="11" t="s">
        <v>1858</v>
      </c>
      <c r="P1360" s="56"/>
    </row>
    <row r="1361" spans="1:16" ht="15.75" customHeight="1" x14ac:dyDescent="0.2">
      <c r="A1361" s="48">
        <v>1280</v>
      </c>
      <c r="B1361" s="11" t="s">
        <v>1857</v>
      </c>
      <c r="C1361" s="11" t="s">
        <v>1849</v>
      </c>
      <c r="D1361" s="6" t="s">
        <v>1850</v>
      </c>
      <c r="E1361" s="12" t="s">
        <v>4263</v>
      </c>
      <c r="F1361" s="12" t="s">
        <v>4263</v>
      </c>
      <c r="G1361" s="12" t="s">
        <v>4332</v>
      </c>
      <c r="H1361" s="12" t="s">
        <v>4479</v>
      </c>
      <c r="I1361" s="12" t="s">
        <v>4480</v>
      </c>
      <c r="J1361" s="11" t="s">
        <v>1856</v>
      </c>
      <c r="K1361" s="11" t="s">
        <v>1852</v>
      </c>
      <c r="L1361" s="11" t="s">
        <v>1853</v>
      </c>
      <c r="M1361" s="11" t="s">
        <v>3602</v>
      </c>
      <c r="N1361" s="12"/>
      <c r="O1361" s="11" t="s">
        <v>1859</v>
      </c>
      <c r="P1361" s="56"/>
    </row>
    <row r="1362" spans="1:16" ht="15.75" customHeight="1" x14ac:dyDescent="0.2">
      <c r="A1362" s="48">
        <v>1080</v>
      </c>
      <c r="B1362" s="11" t="s">
        <v>1857</v>
      </c>
      <c r="C1362" s="11" t="s">
        <v>1849</v>
      </c>
      <c r="D1362" s="6" t="s">
        <v>1850</v>
      </c>
      <c r="E1362" s="12" t="s">
        <v>4263</v>
      </c>
      <c r="F1362" s="12" t="s">
        <v>4263</v>
      </c>
      <c r="G1362" s="12" t="s">
        <v>4263</v>
      </c>
      <c r="H1362" s="12" t="s">
        <v>4356</v>
      </c>
      <c r="I1362" s="12" t="s">
        <v>4481</v>
      </c>
      <c r="J1362" s="11" t="s">
        <v>1856</v>
      </c>
      <c r="K1362" s="11" t="s">
        <v>1852</v>
      </c>
      <c r="L1362" s="11" t="s">
        <v>1853</v>
      </c>
      <c r="M1362" s="11" t="s">
        <v>4482</v>
      </c>
      <c r="N1362" s="12" t="s">
        <v>4483</v>
      </c>
      <c r="O1362" s="11" t="s">
        <v>1858</v>
      </c>
      <c r="P1362" s="56"/>
    </row>
    <row r="1363" spans="1:16" ht="15.75" customHeight="1" x14ac:dyDescent="0.2">
      <c r="A1363" s="48">
        <v>1286</v>
      </c>
      <c r="B1363" s="11" t="s">
        <v>1857</v>
      </c>
      <c r="C1363" s="11" t="s">
        <v>1849</v>
      </c>
      <c r="D1363" s="6" t="s">
        <v>1850</v>
      </c>
      <c r="E1363" s="12" t="s">
        <v>4263</v>
      </c>
      <c r="F1363" s="12" t="s">
        <v>4263</v>
      </c>
      <c r="G1363" s="12" t="s">
        <v>4398</v>
      </c>
      <c r="H1363" s="12" t="s">
        <v>4484</v>
      </c>
      <c r="I1363" s="12" t="s">
        <v>4485</v>
      </c>
      <c r="J1363" s="11" t="s">
        <v>1856</v>
      </c>
      <c r="K1363" s="11" t="s">
        <v>1852</v>
      </c>
      <c r="L1363" s="11" t="s">
        <v>1853</v>
      </c>
      <c r="M1363" s="11" t="s">
        <v>1854</v>
      </c>
      <c r="N1363" s="12"/>
      <c r="O1363" s="11" t="s">
        <v>1858</v>
      </c>
      <c r="P1363" s="56"/>
    </row>
    <row r="1364" spans="1:16" ht="15.75" customHeight="1" x14ac:dyDescent="0.2">
      <c r="A1364" s="48">
        <v>1253</v>
      </c>
      <c r="B1364" s="11" t="s">
        <v>1857</v>
      </c>
      <c r="C1364" s="11" t="s">
        <v>1849</v>
      </c>
      <c r="D1364" s="6" t="s">
        <v>1850</v>
      </c>
      <c r="E1364" s="12" t="s">
        <v>4263</v>
      </c>
      <c r="F1364" s="12" t="s">
        <v>4263</v>
      </c>
      <c r="G1364" s="12" t="s">
        <v>4314</v>
      </c>
      <c r="H1364" s="12" t="s">
        <v>4345</v>
      </c>
      <c r="I1364" s="12" t="s">
        <v>4486</v>
      </c>
      <c r="J1364" s="11" t="s">
        <v>1856</v>
      </c>
      <c r="K1364" s="11" t="s">
        <v>1852</v>
      </c>
      <c r="L1364" s="11" t="s">
        <v>1853</v>
      </c>
      <c r="M1364" s="11" t="s">
        <v>4086</v>
      </c>
      <c r="N1364" s="12"/>
      <c r="O1364" s="11" t="s">
        <v>1858</v>
      </c>
      <c r="P1364" s="56"/>
    </row>
    <row r="1365" spans="1:16" ht="15.75" customHeight="1" x14ac:dyDescent="0.2">
      <c r="A1365" s="48">
        <v>1059</v>
      </c>
      <c r="B1365" s="11" t="s">
        <v>1857</v>
      </c>
      <c r="C1365" s="11" t="s">
        <v>1849</v>
      </c>
      <c r="D1365" s="6" t="s">
        <v>1850</v>
      </c>
      <c r="E1365" s="12" t="s">
        <v>4263</v>
      </c>
      <c r="F1365" s="12" t="s">
        <v>4263</v>
      </c>
      <c r="G1365" s="12" t="s">
        <v>4263</v>
      </c>
      <c r="H1365" s="12" t="s">
        <v>4278</v>
      </c>
      <c r="I1365" s="12" t="s">
        <v>4487</v>
      </c>
      <c r="J1365" s="11" t="s">
        <v>1856</v>
      </c>
      <c r="K1365" s="11" t="s">
        <v>1852</v>
      </c>
      <c r="L1365" s="11" t="s">
        <v>1853</v>
      </c>
      <c r="M1365" s="11" t="s">
        <v>3639</v>
      </c>
      <c r="N1365" s="12"/>
      <c r="O1365" s="11" t="s">
        <v>1859</v>
      </c>
      <c r="P1365" s="56"/>
    </row>
    <row r="1366" spans="1:16" ht="15.75" customHeight="1" x14ac:dyDescent="0.2">
      <c r="A1366" s="48">
        <v>1070</v>
      </c>
      <c r="B1366" s="11" t="s">
        <v>1857</v>
      </c>
      <c r="C1366" s="11" t="s">
        <v>1849</v>
      </c>
      <c r="D1366" s="6" t="s">
        <v>1850</v>
      </c>
      <c r="E1366" s="12" t="s">
        <v>4263</v>
      </c>
      <c r="F1366" s="12" t="s">
        <v>4263</v>
      </c>
      <c r="G1366" s="12" t="s">
        <v>4263</v>
      </c>
      <c r="H1366" s="12" t="s">
        <v>4278</v>
      </c>
      <c r="I1366" s="12" t="s">
        <v>4488</v>
      </c>
      <c r="J1366" s="11" t="s">
        <v>1856</v>
      </c>
      <c r="K1366" s="11" t="s">
        <v>1852</v>
      </c>
      <c r="L1366" s="11" t="s">
        <v>1853</v>
      </c>
      <c r="M1366" s="11" t="s">
        <v>4343</v>
      </c>
      <c r="N1366" s="12"/>
      <c r="O1366" s="11" t="s">
        <v>1859</v>
      </c>
      <c r="P1366" s="56"/>
    </row>
    <row r="1367" spans="1:16" ht="15.75" customHeight="1" x14ac:dyDescent="0.2">
      <c r="A1367" s="48">
        <v>1085</v>
      </c>
      <c r="B1367" s="11" t="s">
        <v>1857</v>
      </c>
      <c r="C1367" s="11" t="s">
        <v>1849</v>
      </c>
      <c r="D1367" s="6" t="s">
        <v>1850</v>
      </c>
      <c r="E1367" s="12" t="s">
        <v>4263</v>
      </c>
      <c r="F1367" s="12" t="s">
        <v>4263</v>
      </c>
      <c r="G1367" s="12" t="s">
        <v>4263</v>
      </c>
      <c r="H1367" s="12" t="s">
        <v>4356</v>
      </c>
      <c r="I1367" s="12" t="s">
        <v>4489</v>
      </c>
      <c r="J1367" s="11" t="s">
        <v>1856</v>
      </c>
      <c r="K1367" s="11" t="s">
        <v>1852</v>
      </c>
      <c r="L1367" s="11" t="s">
        <v>1853</v>
      </c>
      <c r="M1367" s="11" t="s">
        <v>3969</v>
      </c>
      <c r="N1367" s="12"/>
      <c r="O1367" s="11" t="s">
        <v>1859</v>
      </c>
      <c r="P1367" s="56"/>
    </row>
    <row r="1368" spans="1:16" ht="15.75" customHeight="1" x14ac:dyDescent="0.2">
      <c r="A1368" s="48">
        <v>1180</v>
      </c>
      <c r="B1368" s="11" t="s">
        <v>1857</v>
      </c>
      <c r="C1368" s="11" t="s">
        <v>1849</v>
      </c>
      <c r="D1368" s="6" t="s">
        <v>1850</v>
      </c>
      <c r="E1368" s="12" t="s">
        <v>4263</v>
      </c>
      <c r="F1368" s="12" t="s">
        <v>4263</v>
      </c>
      <c r="G1368" s="12" t="s">
        <v>4311</v>
      </c>
      <c r="H1368" s="12" t="s">
        <v>4376</v>
      </c>
      <c r="I1368" s="12" t="s">
        <v>4490</v>
      </c>
      <c r="J1368" s="11" t="s">
        <v>1856</v>
      </c>
      <c r="K1368" s="11" t="s">
        <v>1852</v>
      </c>
      <c r="L1368" s="11" t="s">
        <v>1853</v>
      </c>
      <c r="M1368" s="11" t="s">
        <v>3824</v>
      </c>
      <c r="N1368" s="12"/>
      <c r="O1368" s="11" t="s">
        <v>1859</v>
      </c>
      <c r="P1368" s="56"/>
    </row>
    <row r="1369" spans="1:16" ht="15.75" customHeight="1" x14ac:dyDescent="0.2">
      <c r="A1369" s="48">
        <v>1239</v>
      </c>
      <c r="B1369" s="11" t="s">
        <v>1857</v>
      </c>
      <c r="C1369" s="11" t="s">
        <v>1849</v>
      </c>
      <c r="D1369" s="6" t="s">
        <v>1850</v>
      </c>
      <c r="E1369" s="12" t="s">
        <v>4263</v>
      </c>
      <c r="F1369" s="12" t="s">
        <v>4263</v>
      </c>
      <c r="G1369" s="12" t="s">
        <v>4314</v>
      </c>
      <c r="H1369" s="12" t="s">
        <v>4315</v>
      </c>
      <c r="I1369" s="12" t="s">
        <v>4491</v>
      </c>
      <c r="J1369" s="11" t="s">
        <v>1856</v>
      </c>
      <c r="K1369" s="11" t="s">
        <v>1852</v>
      </c>
      <c r="L1369" s="11" t="s">
        <v>1853</v>
      </c>
      <c r="M1369" s="11" t="s">
        <v>1854</v>
      </c>
      <c r="N1369" s="12"/>
      <c r="O1369" s="11" t="s">
        <v>1860</v>
      </c>
      <c r="P1369" s="56"/>
    </row>
    <row r="1370" spans="1:16" ht="15.75" customHeight="1" x14ac:dyDescent="0.2">
      <c r="A1370" s="48">
        <v>1079</v>
      </c>
      <c r="B1370" s="11" t="s">
        <v>1857</v>
      </c>
      <c r="C1370" s="11" t="s">
        <v>1849</v>
      </c>
      <c r="D1370" s="6" t="s">
        <v>1850</v>
      </c>
      <c r="E1370" s="12" t="s">
        <v>4263</v>
      </c>
      <c r="F1370" s="12" t="s">
        <v>4263</v>
      </c>
      <c r="G1370" s="12" t="s">
        <v>4263</v>
      </c>
      <c r="H1370" s="12" t="s">
        <v>4267</v>
      </c>
      <c r="I1370" s="12" t="s">
        <v>4492</v>
      </c>
      <c r="J1370" s="11" t="s">
        <v>1856</v>
      </c>
      <c r="K1370" s="11" t="s">
        <v>1852</v>
      </c>
      <c r="L1370" s="11" t="s">
        <v>1853</v>
      </c>
      <c r="M1370" s="11" t="s">
        <v>4493</v>
      </c>
      <c r="N1370" s="12"/>
      <c r="O1370" s="11" t="s">
        <v>1858</v>
      </c>
      <c r="P1370" s="56"/>
    </row>
    <row r="1371" spans="1:16" ht="15.75" customHeight="1" x14ac:dyDescent="0.2">
      <c r="A1371" s="48">
        <v>1170</v>
      </c>
      <c r="B1371" s="11" t="s">
        <v>1857</v>
      </c>
      <c r="C1371" s="11" t="s">
        <v>1849</v>
      </c>
      <c r="D1371" s="6" t="s">
        <v>1850</v>
      </c>
      <c r="E1371" s="12" t="s">
        <v>4263</v>
      </c>
      <c r="F1371" s="12" t="s">
        <v>4263</v>
      </c>
      <c r="G1371" s="12" t="s">
        <v>4311</v>
      </c>
      <c r="H1371" s="12" t="s">
        <v>4376</v>
      </c>
      <c r="I1371" s="12" t="s">
        <v>4494</v>
      </c>
      <c r="J1371" s="11" t="s">
        <v>1856</v>
      </c>
      <c r="K1371" s="11" t="s">
        <v>1852</v>
      </c>
      <c r="L1371" s="11" t="s">
        <v>1853</v>
      </c>
      <c r="M1371" s="11" t="s">
        <v>1854</v>
      </c>
      <c r="N1371" s="12"/>
      <c r="O1371" s="11" t="s">
        <v>1860</v>
      </c>
      <c r="P1371" s="56"/>
    </row>
    <row r="1372" spans="1:16" ht="15.75" customHeight="1" x14ac:dyDescent="0.2">
      <c r="A1372" s="48">
        <v>1212</v>
      </c>
      <c r="B1372" s="11" t="s">
        <v>1857</v>
      </c>
      <c r="C1372" s="11" t="s">
        <v>1849</v>
      </c>
      <c r="D1372" s="6" t="s">
        <v>1850</v>
      </c>
      <c r="E1372" s="12" t="s">
        <v>4263</v>
      </c>
      <c r="F1372" s="12" t="s">
        <v>4263</v>
      </c>
      <c r="G1372" s="12" t="s">
        <v>4314</v>
      </c>
      <c r="H1372" s="12" t="s">
        <v>4315</v>
      </c>
      <c r="I1372" s="12" t="s">
        <v>4495</v>
      </c>
      <c r="J1372" s="11" t="s">
        <v>1856</v>
      </c>
      <c r="K1372" s="11" t="s">
        <v>1852</v>
      </c>
      <c r="L1372" s="11" t="s">
        <v>1853</v>
      </c>
      <c r="M1372" s="11" t="s">
        <v>1854</v>
      </c>
      <c r="N1372" s="12"/>
      <c r="O1372" s="11" t="s">
        <v>1859</v>
      </c>
      <c r="P1372" s="56"/>
    </row>
    <row r="1373" spans="1:16" ht="15.75" customHeight="1" x14ac:dyDescent="0.2">
      <c r="A1373" s="48">
        <v>1236</v>
      </c>
      <c r="B1373" s="11" t="s">
        <v>1857</v>
      </c>
      <c r="C1373" s="11" t="s">
        <v>1849</v>
      </c>
      <c r="D1373" s="6" t="s">
        <v>1850</v>
      </c>
      <c r="E1373" s="12" t="s">
        <v>4263</v>
      </c>
      <c r="F1373" s="12" t="s">
        <v>4263</v>
      </c>
      <c r="G1373" s="12" t="s">
        <v>4314</v>
      </c>
      <c r="H1373" s="12" t="s">
        <v>4315</v>
      </c>
      <c r="I1373" s="12" t="s">
        <v>4496</v>
      </c>
      <c r="J1373" s="11" t="s">
        <v>1856</v>
      </c>
      <c r="K1373" s="11" t="s">
        <v>1852</v>
      </c>
      <c r="L1373" s="11" t="s">
        <v>1853</v>
      </c>
      <c r="M1373" s="11" t="s">
        <v>1854</v>
      </c>
      <c r="N1373" s="12"/>
      <c r="O1373" s="11" t="s">
        <v>1859</v>
      </c>
      <c r="P1373" s="56"/>
    </row>
    <row r="1374" spans="1:16" ht="15.75" customHeight="1" x14ac:dyDescent="0.2">
      <c r="A1374" s="48">
        <v>1172</v>
      </c>
      <c r="B1374" s="11" t="s">
        <v>1857</v>
      </c>
      <c r="C1374" s="11" t="s">
        <v>1849</v>
      </c>
      <c r="D1374" s="6" t="s">
        <v>1850</v>
      </c>
      <c r="E1374" s="12" t="s">
        <v>4263</v>
      </c>
      <c r="F1374" s="12" t="s">
        <v>4263</v>
      </c>
      <c r="G1374" s="12" t="s">
        <v>4311</v>
      </c>
      <c r="H1374" s="12" t="s">
        <v>4376</v>
      </c>
      <c r="I1374" s="12" t="s">
        <v>4497</v>
      </c>
      <c r="J1374" s="11" t="s">
        <v>1856</v>
      </c>
      <c r="K1374" s="11" t="s">
        <v>1852</v>
      </c>
      <c r="L1374" s="11" t="s">
        <v>1853</v>
      </c>
      <c r="M1374" s="11" t="s">
        <v>3696</v>
      </c>
      <c r="N1374" s="12"/>
      <c r="O1374" s="11" t="s">
        <v>1859</v>
      </c>
      <c r="P1374" s="56"/>
    </row>
    <row r="1375" spans="1:16" ht="15.75" customHeight="1" x14ac:dyDescent="0.2">
      <c r="A1375" s="48">
        <v>1086</v>
      </c>
      <c r="B1375" s="11" t="s">
        <v>1857</v>
      </c>
      <c r="C1375" s="11" t="s">
        <v>1849</v>
      </c>
      <c r="D1375" s="6" t="s">
        <v>1850</v>
      </c>
      <c r="E1375" s="12" t="s">
        <v>4263</v>
      </c>
      <c r="F1375" s="12" t="s">
        <v>4263</v>
      </c>
      <c r="G1375" s="12" t="s">
        <v>4263</v>
      </c>
      <c r="H1375" s="12" t="s">
        <v>4356</v>
      </c>
      <c r="I1375" s="12" t="s">
        <v>4498</v>
      </c>
      <c r="J1375" s="11" t="s">
        <v>1856</v>
      </c>
      <c r="K1375" s="11" t="s">
        <v>1852</v>
      </c>
      <c r="L1375" s="11" t="s">
        <v>1853</v>
      </c>
      <c r="M1375" s="11" t="s">
        <v>4499</v>
      </c>
      <c r="N1375" s="12"/>
      <c r="O1375" s="11" t="s">
        <v>1859</v>
      </c>
      <c r="P1375" s="56"/>
    </row>
    <row r="1376" spans="1:16" ht="15.75" customHeight="1" x14ac:dyDescent="0.2">
      <c r="A1376" s="48">
        <v>15614</v>
      </c>
      <c r="B1376" s="11" t="s">
        <v>1857</v>
      </c>
      <c r="C1376" s="11" t="s">
        <v>1849</v>
      </c>
      <c r="D1376" s="6" t="s">
        <v>4242</v>
      </c>
      <c r="E1376" s="12" t="s">
        <v>4263</v>
      </c>
      <c r="F1376" s="12" t="s">
        <v>4263</v>
      </c>
      <c r="G1376" s="12" t="s">
        <v>4314</v>
      </c>
      <c r="H1376" s="12" t="s">
        <v>4315</v>
      </c>
      <c r="I1376" s="12" t="s">
        <v>4500</v>
      </c>
      <c r="J1376" s="11" t="s">
        <v>1856</v>
      </c>
      <c r="K1376" s="11" t="s">
        <v>1852</v>
      </c>
      <c r="L1376" s="11" t="s">
        <v>1853</v>
      </c>
      <c r="M1376" s="11" t="s">
        <v>1854</v>
      </c>
      <c r="N1376" s="12"/>
      <c r="O1376" s="11" t="s">
        <v>1858</v>
      </c>
      <c r="P1376" s="56"/>
    </row>
    <row r="1377" spans="1:16" ht="15.75" customHeight="1" x14ac:dyDescent="0.2">
      <c r="A1377" s="48">
        <v>1165</v>
      </c>
      <c r="B1377" s="11" t="s">
        <v>1857</v>
      </c>
      <c r="C1377" s="11" t="s">
        <v>1849</v>
      </c>
      <c r="D1377" s="6" t="s">
        <v>1850</v>
      </c>
      <c r="E1377" s="12" t="s">
        <v>4263</v>
      </c>
      <c r="F1377" s="12" t="s">
        <v>4263</v>
      </c>
      <c r="G1377" s="12" t="s">
        <v>4311</v>
      </c>
      <c r="H1377" s="12" t="s">
        <v>4386</v>
      </c>
      <c r="I1377" s="12" t="s">
        <v>4501</v>
      </c>
      <c r="J1377" s="11" t="s">
        <v>1856</v>
      </c>
      <c r="K1377" s="11" t="s">
        <v>1852</v>
      </c>
      <c r="L1377" s="11" t="s">
        <v>1853</v>
      </c>
      <c r="M1377" s="11" t="s">
        <v>3824</v>
      </c>
      <c r="N1377" s="12"/>
      <c r="O1377" s="11" t="s">
        <v>1859</v>
      </c>
      <c r="P1377" s="56"/>
    </row>
    <row r="1378" spans="1:16" ht="15.75" customHeight="1" x14ac:dyDescent="0.2">
      <c r="A1378" s="48">
        <v>1161</v>
      </c>
      <c r="B1378" s="11" t="s">
        <v>1857</v>
      </c>
      <c r="C1378" s="11" t="s">
        <v>1849</v>
      </c>
      <c r="D1378" s="6" t="s">
        <v>1850</v>
      </c>
      <c r="E1378" s="12" t="s">
        <v>4263</v>
      </c>
      <c r="F1378" s="12" t="s">
        <v>4263</v>
      </c>
      <c r="G1378" s="12" t="s">
        <v>4311</v>
      </c>
      <c r="H1378" s="12" t="s">
        <v>4376</v>
      </c>
      <c r="I1378" s="12" t="s">
        <v>4502</v>
      </c>
      <c r="J1378" s="11" t="s">
        <v>1856</v>
      </c>
      <c r="K1378" s="11" t="s">
        <v>1852</v>
      </c>
      <c r="L1378" s="11" t="s">
        <v>1853</v>
      </c>
      <c r="M1378" s="11" t="s">
        <v>1854</v>
      </c>
      <c r="N1378" s="12"/>
      <c r="O1378" s="11" t="s">
        <v>1859</v>
      </c>
      <c r="P1378" s="56"/>
    </row>
    <row r="1379" spans="1:16" ht="15.75" customHeight="1" x14ac:dyDescent="0.2">
      <c r="A1379" s="48">
        <v>1176</v>
      </c>
      <c r="B1379" s="11" t="s">
        <v>1857</v>
      </c>
      <c r="C1379" s="11" t="s">
        <v>1849</v>
      </c>
      <c r="D1379" s="6" t="s">
        <v>1850</v>
      </c>
      <c r="E1379" s="12" t="s">
        <v>4263</v>
      </c>
      <c r="F1379" s="12" t="s">
        <v>4263</v>
      </c>
      <c r="G1379" s="12" t="s">
        <v>4311</v>
      </c>
      <c r="H1379" s="12" t="s">
        <v>4376</v>
      </c>
      <c r="I1379" s="12" t="s">
        <v>4503</v>
      </c>
      <c r="J1379" s="11" t="s">
        <v>1856</v>
      </c>
      <c r="K1379" s="11" t="s">
        <v>1852</v>
      </c>
      <c r="L1379" s="11" t="s">
        <v>1853</v>
      </c>
      <c r="M1379" s="11" t="s">
        <v>1854</v>
      </c>
      <c r="N1379" s="12"/>
      <c r="O1379" s="11" t="s">
        <v>1858</v>
      </c>
      <c r="P1379" s="56"/>
    </row>
    <row r="1380" spans="1:16" ht="15.75" customHeight="1" x14ac:dyDescent="0.2">
      <c r="A1380" s="48">
        <v>1112</v>
      </c>
      <c r="B1380" s="11" t="s">
        <v>1857</v>
      </c>
      <c r="C1380" s="11" t="s">
        <v>1849</v>
      </c>
      <c r="D1380" s="6" t="s">
        <v>1850</v>
      </c>
      <c r="E1380" s="12" t="s">
        <v>4263</v>
      </c>
      <c r="F1380" s="12" t="s">
        <v>4263</v>
      </c>
      <c r="G1380" s="12" t="s">
        <v>4263</v>
      </c>
      <c r="H1380" s="12" t="s">
        <v>4274</v>
      </c>
      <c r="I1380" s="12" t="s">
        <v>4504</v>
      </c>
      <c r="J1380" s="11" t="s">
        <v>1856</v>
      </c>
      <c r="K1380" s="11" t="s">
        <v>1852</v>
      </c>
      <c r="L1380" s="11" t="s">
        <v>1853</v>
      </c>
      <c r="M1380" s="11" t="s">
        <v>4505</v>
      </c>
      <c r="N1380" s="12" t="s">
        <v>4506</v>
      </c>
      <c r="O1380" s="11" t="s">
        <v>1860</v>
      </c>
      <c r="P1380" s="56"/>
    </row>
    <row r="1381" spans="1:16" ht="15.75" customHeight="1" x14ac:dyDescent="0.2">
      <c r="A1381" s="48">
        <v>1279</v>
      </c>
      <c r="B1381" s="11" t="s">
        <v>1857</v>
      </c>
      <c r="C1381" s="11" t="s">
        <v>1849</v>
      </c>
      <c r="D1381" s="6" t="s">
        <v>1850</v>
      </c>
      <c r="E1381" s="12" t="s">
        <v>4263</v>
      </c>
      <c r="F1381" s="12" t="s">
        <v>4263</v>
      </c>
      <c r="G1381" s="12" t="s">
        <v>4332</v>
      </c>
      <c r="H1381" s="12" t="s">
        <v>4332</v>
      </c>
      <c r="I1381" s="12" t="s">
        <v>4507</v>
      </c>
      <c r="J1381" s="11" t="s">
        <v>1856</v>
      </c>
      <c r="K1381" s="11" t="s">
        <v>1852</v>
      </c>
      <c r="L1381" s="11" t="s">
        <v>1853</v>
      </c>
      <c r="M1381" s="11" t="s">
        <v>4508</v>
      </c>
      <c r="N1381" s="12" t="s">
        <v>4509</v>
      </c>
      <c r="O1381" s="11" t="s">
        <v>1859</v>
      </c>
      <c r="P1381" s="56"/>
    </row>
    <row r="1382" spans="1:16" ht="15.75" customHeight="1" x14ac:dyDescent="0.2">
      <c r="A1382" s="48">
        <v>1283</v>
      </c>
      <c r="B1382" s="11" t="s">
        <v>1857</v>
      </c>
      <c r="C1382" s="11" t="s">
        <v>1849</v>
      </c>
      <c r="D1382" s="6" t="s">
        <v>1850</v>
      </c>
      <c r="E1382" s="12" t="s">
        <v>4263</v>
      </c>
      <c r="F1382" s="12" t="s">
        <v>4263</v>
      </c>
      <c r="G1382" s="12" t="s">
        <v>4332</v>
      </c>
      <c r="H1382" s="12" t="s">
        <v>4510</v>
      </c>
      <c r="I1382" s="12" t="s">
        <v>4511</v>
      </c>
      <c r="J1382" s="11" t="s">
        <v>1856</v>
      </c>
      <c r="K1382" s="11" t="s">
        <v>1852</v>
      </c>
      <c r="L1382" s="11" t="s">
        <v>1853</v>
      </c>
      <c r="M1382" s="11" t="s">
        <v>1854</v>
      </c>
      <c r="N1382" s="12"/>
      <c r="O1382" s="11" t="s">
        <v>1858</v>
      </c>
      <c r="P1382" s="56"/>
    </row>
    <row r="1383" spans="1:16" ht="15.75" customHeight="1" x14ac:dyDescent="0.2">
      <c r="A1383" s="48">
        <v>1215</v>
      </c>
      <c r="B1383" s="11" t="s">
        <v>1857</v>
      </c>
      <c r="C1383" s="11" t="s">
        <v>1849</v>
      </c>
      <c r="D1383" s="6" t="s">
        <v>1850</v>
      </c>
      <c r="E1383" s="12" t="s">
        <v>4263</v>
      </c>
      <c r="F1383" s="12" t="s">
        <v>4263</v>
      </c>
      <c r="G1383" s="12" t="s">
        <v>4314</v>
      </c>
      <c r="H1383" s="12" t="s">
        <v>4340</v>
      </c>
      <c r="I1383" s="12" t="s">
        <v>1163</v>
      </c>
      <c r="J1383" s="11" t="s">
        <v>1856</v>
      </c>
      <c r="K1383" s="11" t="s">
        <v>1852</v>
      </c>
      <c r="L1383" s="11" t="s">
        <v>1853</v>
      </c>
      <c r="M1383" s="11" t="s">
        <v>1854</v>
      </c>
      <c r="N1383" s="12"/>
      <c r="O1383" s="11" t="s">
        <v>1860</v>
      </c>
      <c r="P1383" s="56"/>
    </row>
    <row r="1384" spans="1:16" ht="15.75" customHeight="1" x14ac:dyDescent="0.2">
      <c r="A1384" s="48">
        <v>1287</v>
      </c>
      <c r="B1384" s="11" t="s">
        <v>1857</v>
      </c>
      <c r="C1384" s="11" t="s">
        <v>1849</v>
      </c>
      <c r="D1384" s="6" t="s">
        <v>1850</v>
      </c>
      <c r="E1384" s="12" t="s">
        <v>4263</v>
      </c>
      <c r="F1384" s="12" t="s">
        <v>4263</v>
      </c>
      <c r="G1384" s="12" t="s">
        <v>4398</v>
      </c>
      <c r="H1384" s="12" t="s">
        <v>4512</v>
      </c>
      <c r="I1384" s="12" t="s">
        <v>2433</v>
      </c>
      <c r="J1384" s="11" t="s">
        <v>1856</v>
      </c>
      <c r="K1384" s="11" t="s">
        <v>1852</v>
      </c>
      <c r="L1384" s="11" t="s">
        <v>1853</v>
      </c>
      <c r="M1384" s="11" t="s">
        <v>4513</v>
      </c>
      <c r="N1384" s="12"/>
      <c r="O1384" s="11" t="s">
        <v>1859</v>
      </c>
      <c r="P1384" s="56"/>
    </row>
    <row r="1385" spans="1:16" ht="15.75" customHeight="1" x14ac:dyDescent="0.2">
      <c r="A1385" s="48">
        <v>1191</v>
      </c>
      <c r="B1385" s="11" t="s">
        <v>1857</v>
      </c>
      <c r="C1385" s="11" t="s">
        <v>1849</v>
      </c>
      <c r="D1385" s="6" t="s">
        <v>1850</v>
      </c>
      <c r="E1385" s="12" t="s">
        <v>4263</v>
      </c>
      <c r="F1385" s="12" t="s">
        <v>4263</v>
      </c>
      <c r="G1385" s="12" t="s">
        <v>4311</v>
      </c>
      <c r="H1385" s="12" t="s">
        <v>4312</v>
      </c>
      <c r="I1385" s="12" t="s">
        <v>4514</v>
      </c>
      <c r="J1385" s="11" t="s">
        <v>1856</v>
      </c>
      <c r="K1385" s="11" t="s">
        <v>1852</v>
      </c>
      <c r="L1385" s="11" t="s">
        <v>1853</v>
      </c>
      <c r="M1385" s="11" t="s">
        <v>3972</v>
      </c>
      <c r="N1385" s="12"/>
      <c r="O1385" s="11" t="s">
        <v>1858</v>
      </c>
      <c r="P1385" s="56"/>
    </row>
    <row r="1386" spans="1:16" ht="15.75" customHeight="1" x14ac:dyDescent="0.2">
      <c r="A1386" s="48">
        <v>6357</v>
      </c>
      <c r="B1386" s="11" t="s">
        <v>1857</v>
      </c>
      <c r="C1386" s="11" t="s">
        <v>1849</v>
      </c>
      <c r="D1386" s="6" t="s">
        <v>1850</v>
      </c>
      <c r="E1386" s="12" t="s">
        <v>4263</v>
      </c>
      <c r="F1386" s="12" t="s">
        <v>4263</v>
      </c>
      <c r="G1386" s="12" t="s">
        <v>4337</v>
      </c>
      <c r="H1386" s="12" t="s">
        <v>4338</v>
      </c>
      <c r="I1386" s="12" t="s">
        <v>4515</v>
      </c>
      <c r="J1386" s="11" t="s">
        <v>1856</v>
      </c>
      <c r="K1386" s="11" t="s">
        <v>1852</v>
      </c>
      <c r="L1386" s="11" t="s">
        <v>1853</v>
      </c>
      <c r="M1386" s="11" t="s">
        <v>1854</v>
      </c>
      <c r="N1386" s="12"/>
      <c r="O1386" s="11" t="s">
        <v>1859</v>
      </c>
      <c r="P1386" s="56"/>
    </row>
    <row r="1387" spans="1:16" ht="15.75" customHeight="1" x14ac:dyDescent="0.2">
      <c r="A1387" s="48">
        <v>1266</v>
      </c>
      <c r="B1387" s="11" t="s">
        <v>1857</v>
      </c>
      <c r="C1387" s="11" t="s">
        <v>1849</v>
      </c>
      <c r="D1387" s="6" t="s">
        <v>1850</v>
      </c>
      <c r="E1387" s="12" t="s">
        <v>4263</v>
      </c>
      <c r="F1387" s="12" t="s">
        <v>4263</v>
      </c>
      <c r="G1387" s="12" t="s">
        <v>4314</v>
      </c>
      <c r="H1387" s="12" t="s">
        <v>4345</v>
      </c>
      <c r="I1387" s="12" t="s">
        <v>4516</v>
      </c>
      <c r="J1387" s="11" t="s">
        <v>1856</v>
      </c>
      <c r="K1387" s="11" t="s">
        <v>1852</v>
      </c>
      <c r="L1387" s="11" t="s">
        <v>1853</v>
      </c>
      <c r="M1387" s="11" t="s">
        <v>1854</v>
      </c>
      <c r="N1387" s="12"/>
      <c r="O1387" s="11" t="s">
        <v>1859</v>
      </c>
      <c r="P1387" s="56"/>
    </row>
    <row r="1388" spans="1:16" ht="15.75" customHeight="1" x14ac:dyDescent="0.2">
      <c r="A1388" s="48">
        <v>1181</v>
      </c>
      <c r="B1388" s="11" t="s">
        <v>1857</v>
      </c>
      <c r="C1388" s="11" t="s">
        <v>1849</v>
      </c>
      <c r="D1388" s="6" t="s">
        <v>1850</v>
      </c>
      <c r="E1388" s="12" t="s">
        <v>4263</v>
      </c>
      <c r="F1388" s="12" t="s">
        <v>4263</v>
      </c>
      <c r="G1388" s="12" t="s">
        <v>4311</v>
      </c>
      <c r="H1388" s="12" t="s">
        <v>4376</v>
      </c>
      <c r="I1388" s="12" t="s">
        <v>4517</v>
      </c>
      <c r="J1388" s="11" t="s">
        <v>1856</v>
      </c>
      <c r="K1388" s="11" t="s">
        <v>1852</v>
      </c>
      <c r="L1388" s="11" t="s">
        <v>1853</v>
      </c>
      <c r="M1388" s="11" t="s">
        <v>3160</v>
      </c>
      <c r="N1388" s="12"/>
      <c r="O1388" s="11" t="s">
        <v>1859</v>
      </c>
      <c r="P1388" s="56"/>
    </row>
    <row r="1389" spans="1:16" ht="15.75" customHeight="1" x14ac:dyDescent="0.2">
      <c r="A1389" s="48">
        <v>1247</v>
      </c>
      <c r="B1389" s="11" t="s">
        <v>1857</v>
      </c>
      <c r="C1389" s="11" t="s">
        <v>1849</v>
      </c>
      <c r="D1389" s="6" t="s">
        <v>1850</v>
      </c>
      <c r="E1389" s="12" t="s">
        <v>4263</v>
      </c>
      <c r="F1389" s="12" t="s">
        <v>4263</v>
      </c>
      <c r="G1389" s="12" t="s">
        <v>4349</v>
      </c>
      <c r="H1389" s="12" t="s">
        <v>4315</v>
      </c>
      <c r="I1389" s="12" t="s">
        <v>4518</v>
      </c>
      <c r="J1389" s="11" t="s">
        <v>1856</v>
      </c>
      <c r="K1389" s="11" t="s">
        <v>1852</v>
      </c>
      <c r="L1389" s="11" t="s">
        <v>1853</v>
      </c>
      <c r="M1389" s="11" t="s">
        <v>4519</v>
      </c>
      <c r="N1389" s="12"/>
      <c r="O1389" s="11" t="s">
        <v>1858</v>
      </c>
      <c r="P1389" s="56"/>
    </row>
    <row r="1390" spans="1:16" ht="15.75" customHeight="1" x14ac:dyDescent="0.2">
      <c r="A1390" s="48">
        <v>6860</v>
      </c>
      <c r="B1390" s="11" t="s">
        <v>1857</v>
      </c>
      <c r="C1390" s="11" t="s">
        <v>1849</v>
      </c>
      <c r="D1390" s="6" t="s">
        <v>1850</v>
      </c>
      <c r="E1390" s="12" t="s">
        <v>4263</v>
      </c>
      <c r="F1390" s="12" t="s">
        <v>4263</v>
      </c>
      <c r="G1390" s="12" t="s">
        <v>4337</v>
      </c>
      <c r="H1390" s="12" t="s">
        <v>4520</v>
      </c>
      <c r="I1390" s="12" t="s">
        <v>4521</v>
      </c>
      <c r="J1390" s="11" t="s">
        <v>1856</v>
      </c>
      <c r="K1390" s="11" t="s">
        <v>1852</v>
      </c>
      <c r="L1390" s="11" t="s">
        <v>1853</v>
      </c>
      <c r="M1390" s="11" t="s">
        <v>1854</v>
      </c>
      <c r="N1390" s="12"/>
      <c r="O1390" s="11" t="s">
        <v>1858</v>
      </c>
      <c r="P1390" s="56"/>
    </row>
    <row r="1391" spans="1:16" ht="15.75" customHeight="1" x14ac:dyDescent="0.2">
      <c r="A1391" s="48">
        <v>6761</v>
      </c>
      <c r="B1391" s="11" t="s">
        <v>1857</v>
      </c>
      <c r="C1391" s="11" t="s">
        <v>1849</v>
      </c>
      <c r="D1391" s="6" t="s">
        <v>1850</v>
      </c>
      <c r="E1391" s="12" t="s">
        <v>4263</v>
      </c>
      <c r="F1391" s="12" t="s">
        <v>4263</v>
      </c>
      <c r="G1391" s="12" t="s">
        <v>4314</v>
      </c>
      <c r="H1391" s="12" t="s">
        <v>4334</v>
      </c>
      <c r="I1391" s="12" t="s">
        <v>4522</v>
      </c>
      <c r="J1391" s="11" t="s">
        <v>1856</v>
      </c>
      <c r="K1391" s="11" t="s">
        <v>1852</v>
      </c>
      <c r="L1391" s="11" t="s">
        <v>1853</v>
      </c>
      <c r="M1391" s="11" t="s">
        <v>2460</v>
      </c>
      <c r="N1391" s="12"/>
      <c r="O1391" s="11" t="s">
        <v>1860</v>
      </c>
      <c r="P1391" s="56"/>
    </row>
    <row r="1392" spans="1:16" ht="15.75" customHeight="1" x14ac:dyDescent="0.2">
      <c r="A1392" s="48">
        <v>1108</v>
      </c>
      <c r="B1392" s="11" t="s">
        <v>1857</v>
      </c>
      <c r="C1392" s="11" t="s">
        <v>1849</v>
      </c>
      <c r="D1392" s="6" t="s">
        <v>1850</v>
      </c>
      <c r="E1392" s="12" t="s">
        <v>4263</v>
      </c>
      <c r="F1392" s="12" t="s">
        <v>4263</v>
      </c>
      <c r="G1392" s="12" t="s">
        <v>4263</v>
      </c>
      <c r="H1392" s="12" t="s">
        <v>4276</v>
      </c>
      <c r="I1392" s="12" t="s">
        <v>4523</v>
      </c>
      <c r="J1392" s="11" t="s">
        <v>1856</v>
      </c>
      <c r="K1392" s="11" t="s">
        <v>1852</v>
      </c>
      <c r="L1392" s="11" t="s">
        <v>1853</v>
      </c>
      <c r="M1392" s="11" t="s">
        <v>1854</v>
      </c>
      <c r="N1392" s="12"/>
      <c r="O1392" s="11" t="s">
        <v>1859</v>
      </c>
      <c r="P1392" s="56"/>
    </row>
    <row r="1393" spans="1:16" ht="15.75" customHeight="1" x14ac:dyDescent="0.2">
      <c r="A1393" s="48">
        <v>1201</v>
      </c>
      <c r="B1393" s="11" t="s">
        <v>1857</v>
      </c>
      <c r="C1393" s="11" t="s">
        <v>1849</v>
      </c>
      <c r="D1393" s="6" t="s">
        <v>1850</v>
      </c>
      <c r="E1393" s="12" t="s">
        <v>4263</v>
      </c>
      <c r="F1393" s="12" t="s">
        <v>4263</v>
      </c>
      <c r="G1393" s="12" t="s">
        <v>4311</v>
      </c>
      <c r="H1393" s="12" t="s">
        <v>4322</v>
      </c>
      <c r="I1393" s="12" t="s">
        <v>4524</v>
      </c>
      <c r="J1393" s="11" t="s">
        <v>1856</v>
      </c>
      <c r="K1393" s="11" t="s">
        <v>1852</v>
      </c>
      <c r="L1393" s="11" t="s">
        <v>1853</v>
      </c>
      <c r="M1393" s="11" t="s">
        <v>4525</v>
      </c>
      <c r="N1393" s="12" t="s">
        <v>4526</v>
      </c>
      <c r="O1393" s="11" t="s">
        <v>1859</v>
      </c>
      <c r="P1393" s="56"/>
    </row>
    <row r="1394" spans="1:16" ht="15.75" customHeight="1" x14ac:dyDescent="0.2">
      <c r="A1394" s="48">
        <v>6859</v>
      </c>
      <c r="B1394" s="11" t="s">
        <v>1857</v>
      </c>
      <c r="C1394" s="11" t="s">
        <v>1849</v>
      </c>
      <c r="D1394" s="6" t="s">
        <v>1850</v>
      </c>
      <c r="E1394" s="12" t="s">
        <v>4263</v>
      </c>
      <c r="F1394" s="12" t="s">
        <v>4263</v>
      </c>
      <c r="G1394" s="12" t="s">
        <v>4337</v>
      </c>
      <c r="H1394" s="12" t="s">
        <v>4338</v>
      </c>
      <c r="I1394" s="12" t="s">
        <v>4527</v>
      </c>
      <c r="J1394" s="11" t="s">
        <v>1856</v>
      </c>
      <c r="K1394" s="11" t="s">
        <v>1852</v>
      </c>
      <c r="L1394" s="11" t="s">
        <v>1853</v>
      </c>
      <c r="M1394" s="11" t="s">
        <v>4528</v>
      </c>
      <c r="N1394" s="12"/>
      <c r="O1394" s="11" t="s">
        <v>1859</v>
      </c>
      <c r="P1394" s="56"/>
    </row>
    <row r="1395" spans="1:16" ht="15.75" customHeight="1" x14ac:dyDescent="0.2">
      <c r="A1395" s="48">
        <v>1138</v>
      </c>
      <c r="B1395" s="11" t="s">
        <v>1857</v>
      </c>
      <c r="C1395" s="11" t="s">
        <v>1849</v>
      </c>
      <c r="D1395" s="6" t="s">
        <v>1850</v>
      </c>
      <c r="E1395" s="12" t="s">
        <v>4263</v>
      </c>
      <c r="F1395" s="12" t="s">
        <v>4263</v>
      </c>
      <c r="G1395" s="12" t="s">
        <v>4263</v>
      </c>
      <c r="H1395" s="12" t="s">
        <v>4328</v>
      </c>
      <c r="I1395" s="12" t="s">
        <v>2440</v>
      </c>
      <c r="J1395" s="11" t="s">
        <v>1856</v>
      </c>
      <c r="K1395" s="11" t="s">
        <v>1852</v>
      </c>
      <c r="L1395" s="11" t="s">
        <v>1853</v>
      </c>
      <c r="M1395" s="11" t="s">
        <v>2549</v>
      </c>
      <c r="N1395" s="12"/>
      <c r="O1395" s="11" t="s">
        <v>1858</v>
      </c>
      <c r="P1395" s="56"/>
    </row>
    <row r="1396" spans="1:16" ht="15.75" customHeight="1" x14ac:dyDescent="0.2">
      <c r="A1396" s="48">
        <v>15004</v>
      </c>
      <c r="B1396" s="11" t="s">
        <v>1857</v>
      </c>
      <c r="C1396" s="11" t="s">
        <v>1849</v>
      </c>
      <c r="D1396" s="6" t="s">
        <v>1850</v>
      </c>
      <c r="E1396" s="12" t="s">
        <v>4263</v>
      </c>
      <c r="F1396" s="12" t="s">
        <v>4263</v>
      </c>
      <c r="G1396" s="12" t="s">
        <v>4314</v>
      </c>
      <c r="H1396" s="12" t="s">
        <v>4315</v>
      </c>
      <c r="I1396" s="12" t="s">
        <v>4529</v>
      </c>
      <c r="J1396" s="11" t="s">
        <v>1856</v>
      </c>
      <c r="K1396" s="11" t="s">
        <v>1852</v>
      </c>
      <c r="L1396" s="11" t="s">
        <v>1853</v>
      </c>
      <c r="M1396" s="11" t="s">
        <v>4471</v>
      </c>
      <c r="N1396" s="12" t="s">
        <v>4530</v>
      </c>
      <c r="O1396" s="11" t="s">
        <v>1858</v>
      </c>
      <c r="P1396" s="56"/>
    </row>
    <row r="1397" spans="1:16" ht="15.75" customHeight="1" x14ac:dyDescent="0.2">
      <c r="A1397" s="48">
        <v>1248</v>
      </c>
      <c r="B1397" s="11" t="s">
        <v>1857</v>
      </c>
      <c r="C1397" s="11" t="s">
        <v>1849</v>
      </c>
      <c r="D1397" s="6" t="s">
        <v>1850</v>
      </c>
      <c r="E1397" s="12" t="s">
        <v>4263</v>
      </c>
      <c r="F1397" s="12" t="s">
        <v>4263</v>
      </c>
      <c r="G1397" s="12" t="s">
        <v>4337</v>
      </c>
      <c r="H1397" s="12" t="s">
        <v>4338</v>
      </c>
      <c r="I1397" s="12" t="s">
        <v>4531</v>
      </c>
      <c r="J1397" s="11" t="s">
        <v>1856</v>
      </c>
      <c r="K1397" s="11" t="s">
        <v>1852</v>
      </c>
      <c r="L1397" s="11" t="s">
        <v>1853</v>
      </c>
      <c r="M1397" s="11" t="s">
        <v>3602</v>
      </c>
      <c r="N1397" s="12" t="s">
        <v>4532</v>
      </c>
      <c r="O1397" s="11" t="s">
        <v>1859</v>
      </c>
      <c r="P1397" s="56"/>
    </row>
    <row r="1398" spans="1:16" ht="15.75" customHeight="1" x14ac:dyDescent="0.2">
      <c r="A1398" s="48">
        <v>1152</v>
      </c>
      <c r="B1398" s="11" t="s">
        <v>1857</v>
      </c>
      <c r="C1398" s="11" t="s">
        <v>1849</v>
      </c>
      <c r="D1398" s="6" t="s">
        <v>1850</v>
      </c>
      <c r="E1398" s="12" t="s">
        <v>4263</v>
      </c>
      <c r="F1398" s="12" t="s">
        <v>4263</v>
      </c>
      <c r="G1398" s="12" t="s">
        <v>4263</v>
      </c>
      <c r="H1398" s="12" t="s">
        <v>2845</v>
      </c>
      <c r="I1398" s="12" t="s">
        <v>4533</v>
      </c>
      <c r="J1398" s="11" t="s">
        <v>1856</v>
      </c>
      <c r="K1398" s="11" t="s">
        <v>1852</v>
      </c>
      <c r="L1398" s="11" t="s">
        <v>1853</v>
      </c>
      <c r="M1398" s="11" t="s">
        <v>3709</v>
      </c>
      <c r="N1398" s="12" t="s">
        <v>4534</v>
      </c>
      <c r="O1398" s="11" t="s">
        <v>1858</v>
      </c>
      <c r="P1398" s="56"/>
    </row>
    <row r="1399" spans="1:16" ht="15.75" customHeight="1" x14ac:dyDescent="0.2">
      <c r="A1399" s="48">
        <v>5570</v>
      </c>
      <c r="B1399" s="11" t="s">
        <v>1857</v>
      </c>
      <c r="C1399" s="11" t="s">
        <v>1849</v>
      </c>
      <c r="D1399" s="6" t="s">
        <v>1850</v>
      </c>
      <c r="E1399" s="12" t="s">
        <v>4263</v>
      </c>
      <c r="F1399" s="12" t="s">
        <v>4263</v>
      </c>
      <c r="G1399" s="12" t="s">
        <v>4337</v>
      </c>
      <c r="H1399" s="12" t="s">
        <v>4338</v>
      </c>
      <c r="I1399" s="12" t="s">
        <v>4535</v>
      </c>
      <c r="J1399" s="11" t="s">
        <v>2246</v>
      </c>
      <c r="K1399" s="11" t="s">
        <v>2247</v>
      </c>
      <c r="L1399" s="11" t="s">
        <v>1853</v>
      </c>
      <c r="M1399" s="11" t="s">
        <v>4536</v>
      </c>
      <c r="N1399" s="12"/>
      <c r="O1399" s="11" t="s">
        <v>1860</v>
      </c>
      <c r="P1399" s="56"/>
    </row>
    <row r="1400" spans="1:16" ht="15.75" customHeight="1" x14ac:dyDescent="0.2">
      <c r="A1400" s="48">
        <v>1273</v>
      </c>
      <c r="B1400" s="11" t="s">
        <v>1857</v>
      </c>
      <c r="C1400" s="11" t="s">
        <v>1849</v>
      </c>
      <c r="D1400" s="6" t="s">
        <v>1850</v>
      </c>
      <c r="E1400" s="12" t="s">
        <v>4263</v>
      </c>
      <c r="F1400" s="12" t="s">
        <v>4263</v>
      </c>
      <c r="G1400" s="12" t="s">
        <v>4332</v>
      </c>
      <c r="H1400" s="12" t="s">
        <v>4332</v>
      </c>
      <c r="I1400" s="12" t="s">
        <v>4537</v>
      </c>
      <c r="J1400" s="11" t="s">
        <v>1856</v>
      </c>
      <c r="K1400" s="11" t="s">
        <v>1852</v>
      </c>
      <c r="L1400" s="11" t="s">
        <v>1853</v>
      </c>
      <c r="M1400" s="11" t="s">
        <v>3160</v>
      </c>
      <c r="N1400" s="12"/>
      <c r="O1400" s="11" t="s">
        <v>1858</v>
      </c>
      <c r="P1400" s="56"/>
    </row>
    <row r="1401" spans="1:16" ht="15.75" customHeight="1" x14ac:dyDescent="0.2">
      <c r="A1401" s="48">
        <v>1151</v>
      </c>
      <c r="B1401" s="11" t="s">
        <v>1857</v>
      </c>
      <c r="C1401" s="11" t="s">
        <v>1849</v>
      </c>
      <c r="D1401" s="6" t="s">
        <v>1850</v>
      </c>
      <c r="E1401" s="12" t="s">
        <v>4263</v>
      </c>
      <c r="F1401" s="12" t="s">
        <v>4263</v>
      </c>
      <c r="G1401" s="12" t="s">
        <v>4263</v>
      </c>
      <c r="H1401" s="12" t="s">
        <v>2845</v>
      </c>
      <c r="I1401" s="12" t="s">
        <v>4538</v>
      </c>
      <c r="J1401" s="11" t="s">
        <v>1856</v>
      </c>
      <c r="K1401" s="11" t="s">
        <v>1852</v>
      </c>
      <c r="L1401" s="11" t="s">
        <v>1853</v>
      </c>
      <c r="M1401" s="11" t="s">
        <v>1854</v>
      </c>
      <c r="N1401" s="12"/>
      <c r="O1401" s="11" t="s">
        <v>1858</v>
      </c>
      <c r="P1401" s="56"/>
    </row>
    <row r="1402" spans="1:16" ht="15.75" customHeight="1" x14ac:dyDescent="0.2">
      <c r="A1402" s="48">
        <v>1159</v>
      </c>
      <c r="B1402" s="11" t="s">
        <v>1857</v>
      </c>
      <c r="C1402" s="11" t="s">
        <v>1849</v>
      </c>
      <c r="D1402" s="6" t="s">
        <v>1850</v>
      </c>
      <c r="E1402" s="12" t="s">
        <v>4263</v>
      </c>
      <c r="F1402" s="12" t="s">
        <v>4263</v>
      </c>
      <c r="G1402" s="12" t="s">
        <v>4311</v>
      </c>
      <c r="H1402" s="12" t="s">
        <v>4386</v>
      </c>
      <c r="I1402" s="12" t="s">
        <v>4539</v>
      </c>
      <c r="J1402" s="11" t="s">
        <v>1856</v>
      </c>
      <c r="K1402" s="11" t="s">
        <v>1852</v>
      </c>
      <c r="L1402" s="11" t="s">
        <v>1853</v>
      </c>
      <c r="M1402" s="11" t="s">
        <v>4540</v>
      </c>
      <c r="N1402" s="12"/>
      <c r="O1402" s="11" t="s">
        <v>1859</v>
      </c>
      <c r="P1402" s="56"/>
    </row>
    <row r="1403" spans="1:16" ht="15.75" customHeight="1" x14ac:dyDescent="0.2">
      <c r="A1403" s="48">
        <v>1100</v>
      </c>
      <c r="B1403" s="11" t="s">
        <v>1857</v>
      </c>
      <c r="C1403" s="11" t="s">
        <v>1849</v>
      </c>
      <c r="D1403" s="6" t="s">
        <v>1850</v>
      </c>
      <c r="E1403" s="12" t="s">
        <v>4263</v>
      </c>
      <c r="F1403" s="12" t="s">
        <v>4263</v>
      </c>
      <c r="G1403" s="12" t="s">
        <v>4263</v>
      </c>
      <c r="H1403" s="12" t="s">
        <v>4304</v>
      </c>
      <c r="I1403" s="12" t="s">
        <v>4541</v>
      </c>
      <c r="J1403" s="11" t="s">
        <v>1856</v>
      </c>
      <c r="K1403" s="11" t="s">
        <v>1852</v>
      </c>
      <c r="L1403" s="11" t="s">
        <v>1853</v>
      </c>
      <c r="M1403" s="11" t="s">
        <v>1854</v>
      </c>
      <c r="N1403" s="12"/>
      <c r="O1403" s="11" t="s">
        <v>1859</v>
      </c>
      <c r="P1403" s="56"/>
    </row>
    <row r="1404" spans="1:16" ht="15.75" customHeight="1" x14ac:dyDescent="0.2">
      <c r="A1404" s="48">
        <v>1285</v>
      </c>
      <c r="B1404" s="11" t="s">
        <v>1857</v>
      </c>
      <c r="C1404" s="11" t="s">
        <v>1849</v>
      </c>
      <c r="D1404" s="6" t="s">
        <v>1850</v>
      </c>
      <c r="E1404" s="12" t="s">
        <v>4263</v>
      </c>
      <c r="F1404" s="12" t="s">
        <v>4263</v>
      </c>
      <c r="G1404" s="12" t="s">
        <v>4398</v>
      </c>
      <c r="H1404" s="12" t="s">
        <v>4542</v>
      </c>
      <c r="I1404" s="12" t="s">
        <v>4543</v>
      </c>
      <c r="J1404" s="11" t="s">
        <v>1856</v>
      </c>
      <c r="K1404" s="11" t="s">
        <v>1852</v>
      </c>
      <c r="L1404" s="11" t="s">
        <v>1853</v>
      </c>
      <c r="M1404" s="11" t="s">
        <v>1854</v>
      </c>
      <c r="N1404" s="12"/>
      <c r="O1404" s="11" t="s">
        <v>1858</v>
      </c>
      <c r="P1404" s="56"/>
    </row>
    <row r="1405" spans="1:16" ht="15.75" customHeight="1" x14ac:dyDescent="0.2">
      <c r="A1405" s="48">
        <v>1156</v>
      </c>
      <c r="B1405" s="11" t="s">
        <v>1857</v>
      </c>
      <c r="C1405" s="11" t="s">
        <v>1849</v>
      </c>
      <c r="D1405" s="6" t="s">
        <v>1850</v>
      </c>
      <c r="E1405" s="12" t="s">
        <v>4263</v>
      </c>
      <c r="F1405" s="12" t="s">
        <v>4263</v>
      </c>
      <c r="G1405" s="12" t="s">
        <v>4263</v>
      </c>
      <c r="H1405" s="12" t="s">
        <v>2728</v>
      </c>
      <c r="I1405" s="12" t="s">
        <v>4544</v>
      </c>
      <c r="J1405" s="11" t="s">
        <v>1856</v>
      </c>
      <c r="K1405" s="11" t="s">
        <v>1852</v>
      </c>
      <c r="L1405" s="11" t="s">
        <v>1853</v>
      </c>
      <c r="M1405" s="11" t="s">
        <v>3959</v>
      </c>
      <c r="N1405" s="12"/>
      <c r="O1405" s="11" t="s">
        <v>1858</v>
      </c>
      <c r="P1405" s="56"/>
    </row>
    <row r="1406" spans="1:16" ht="15.75" customHeight="1" x14ac:dyDescent="0.2">
      <c r="A1406" s="48">
        <v>1071</v>
      </c>
      <c r="B1406" s="11" t="s">
        <v>1857</v>
      </c>
      <c r="C1406" s="11" t="s">
        <v>1849</v>
      </c>
      <c r="D1406" s="6" t="s">
        <v>1850</v>
      </c>
      <c r="E1406" s="12" t="s">
        <v>4263</v>
      </c>
      <c r="F1406" s="12" t="s">
        <v>4263</v>
      </c>
      <c r="G1406" s="12" t="s">
        <v>4263</v>
      </c>
      <c r="H1406" s="12" t="s">
        <v>4278</v>
      </c>
      <c r="I1406" s="12" t="s">
        <v>4545</v>
      </c>
      <c r="J1406" s="11" t="s">
        <v>1856</v>
      </c>
      <c r="K1406" s="11" t="s">
        <v>1852</v>
      </c>
      <c r="L1406" s="11" t="s">
        <v>1853</v>
      </c>
      <c r="M1406" s="11" t="s">
        <v>3639</v>
      </c>
      <c r="N1406" s="12"/>
      <c r="O1406" s="11" t="s">
        <v>1859</v>
      </c>
      <c r="P1406" s="56"/>
    </row>
    <row r="1407" spans="1:16" ht="15.75" customHeight="1" x14ac:dyDescent="0.2">
      <c r="A1407" s="48">
        <v>1179</v>
      </c>
      <c r="B1407" s="11" t="s">
        <v>1857</v>
      </c>
      <c r="C1407" s="11" t="s">
        <v>1849</v>
      </c>
      <c r="D1407" s="6" t="s">
        <v>1850</v>
      </c>
      <c r="E1407" s="12" t="s">
        <v>4263</v>
      </c>
      <c r="F1407" s="12" t="s">
        <v>4263</v>
      </c>
      <c r="G1407" s="12" t="s">
        <v>4311</v>
      </c>
      <c r="H1407" s="12" t="s">
        <v>4376</v>
      </c>
      <c r="I1407" s="12" t="s">
        <v>4546</v>
      </c>
      <c r="J1407" s="11" t="s">
        <v>1856</v>
      </c>
      <c r="K1407" s="11" t="s">
        <v>1852</v>
      </c>
      <c r="L1407" s="11" t="s">
        <v>1853</v>
      </c>
      <c r="M1407" s="11" t="s">
        <v>3824</v>
      </c>
      <c r="N1407" s="12"/>
      <c r="O1407" s="11" t="s">
        <v>1859</v>
      </c>
      <c r="P1407" s="56"/>
    </row>
    <row r="1408" spans="1:16" ht="15.75" customHeight="1" x14ac:dyDescent="0.2">
      <c r="A1408" s="48">
        <v>1192</v>
      </c>
      <c r="B1408" s="11" t="s">
        <v>1857</v>
      </c>
      <c r="C1408" s="11" t="s">
        <v>1849</v>
      </c>
      <c r="D1408" s="6" t="s">
        <v>1850</v>
      </c>
      <c r="E1408" s="12" t="s">
        <v>4263</v>
      </c>
      <c r="F1408" s="12" t="s">
        <v>4263</v>
      </c>
      <c r="G1408" s="12" t="s">
        <v>4311</v>
      </c>
      <c r="H1408" s="12" t="s">
        <v>4547</v>
      </c>
      <c r="I1408" s="12" t="s">
        <v>4548</v>
      </c>
      <c r="J1408" s="11" t="s">
        <v>1856</v>
      </c>
      <c r="K1408" s="11" t="s">
        <v>1852</v>
      </c>
      <c r="L1408" s="11" t="s">
        <v>1853</v>
      </c>
      <c r="M1408" s="11" t="s">
        <v>1854</v>
      </c>
      <c r="N1408" s="12"/>
      <c r="O1408" s="11" t="s">
        <v>1858</v>
      </c>
      <c r="P1408" s="56"/>
    </row>
    <row r="1409" spans="1:16" ht="15.75" customHeight="1" x14ac:dyDescent="0.2">
      <c r="A1409" s="48">
        <v>1282</v>
      </c>
      <c r="B1409" s="11" t="s">
        <v>1857</v>
      </c>
      <c r="C1409" s="11" t="s">
        <v>1849</v>
      </c>
      <c r="D1409" s="6" t="s">
        <v>1850</v>
      </c>
      <c r="E1409" s="12" t="s">
        <v>4263</v>
      </c>
      <c r="F1409" s="12" t="s">
        <v>4263</v>
      </c>
      <c r="G1409" s="12" t="s">
        <v>4332</v>
      </c>
      <c r="H1409" s="12" t="s">
        <v>4549</v>
      </c>
      <c r="I1409" s="12" t="s">
        <v>4550</v>
      </c>
      <c r="J1409" s="11" t="s">
        <v>1856</v>
      </c>
      <c r="K1409" s="11" t="s">
        <v>1852</v>
      </c>
      <c r="L1409" s="11" t="s">
        <v>1853</v>
      </c>
      <c r="M1409" s="11" t="s">
        <v>4551</v>
      </c>
      <c r="N1409" s="12"/>
      <c r="O1409" s="11" t="s">
        <v>1858</v>
      </c>
      <c r="P1409" s="56"/>
    </row>
    <row r="1410" spans="1:16" ht="15.75" customHeight="1" x14ac:dyDescent="0.2">
      <c r="A1410" s="48">
        <v>1066</v>
      </c>
      <c r="B1410" s="11" t="s">
        <v>1857</v>
      </c>
      <c r="C1410" s="11" t="s">
        <v>1849</v>
      </c>
      <c r="D1410" s="6" t="s">
        <v>1850</v>
      </c>
      <c r="E1410" s="12" t="s">
        <v>4263</v>
      </c>
      <c r="F1410" s="12" t="s">
        <v>4263</v>
      </c>
      <c r="G1410" s="12" t="s">
        <v>4263</v>
      </c>
      <c r="H1410" s="12" t="s">
        <v>4278</v>
      </c>
      <c r="I1410" s="12" t="s">
        <v>4552</v>
      </c>
      <c r="J1410" s="11" t="s">
        <v>1856</v>
      </c>
      <c r="K1410" s="11" t="s">
        <v>1852</v>
      </c>
      <c r="L1410" s="11" t="s">
        <v>1853</v>
      </c>
      <c r="M1410" s="11" t="s">
        <v>4553</v>
      </c>
      <c r="N1410" s="12"/>
      <c r="O1410" s="11" t="s">
        <v>1858</v>
      </c>
      <c r="P1410" s="56"/>
    </row>
    <row r="1411" spans="1:16" ht="15.75" customHeight="1" x14ac:dyDescent="0.2">
      <c r="A1411" s="48">
        <v>1106</v>
      </c>
      <c r="B1411" s="11" t="s">
        <v>1857</v>
      </c>
      <c r="C1411" s="11" t="s">
        <v>1849</v>
      </c>
      <c r="D1411" s="6" t="s">
        <v>1850</v>
      </c>
      <c r="E1411" s="12" t="s">
        <v>4263</v>
      </c>
      <c r="F1411" s="12" t="s">
        <v>4263</v>
      </c>
      <c r="G1411" s="12" t="s">
        <v>4263</v>
      </c>
      <c r="H1411" s="12" t="s">
        <v>4297</v>
      </c>
      <c r="I1411" s="12" t="s">
        <v>4554</v>
      </c>
      <c r="J1411" s="11" t="s">
        <v>1856</v>
      </c>
      <c r="K1411" s="11" t="s">
        <v>1852</v>
      </c>
      <c r="L1411" s="11" t="s">
        <v>1853</v>
      </c>
      <c r="M1411" s="11" t="s">
        <v>4555</v>
      </c>
      <c r="N1411" s="12" t="s">
        <v>4556</v>
      </c>
      <c r="O1411" s="11" t="s">
        <v>1860</v>
      </c>
      <c r="P1411" s="56"/>
    </row>
    <row r="1412" spans="1:16" ht="15.75" customHeight="1" x14ac:dyDescent="0.2">
      <c r="A1412" s="48">
        <v>1067</v>
      </c>
      <c r="B1412" s="11" t="s">
        <v>1857</v>
      </c>
      <c r="C1412" s="11" t="s">
        <v>1849</v>
      </c>
      <c r="D1412" s="6" t="s">
        <v>1850</v>
      </c>
      <c r="E1412" s="12" t="s">
        <v>4263</v>
      </c>
      <c r="F1412" s="12" t="s">
        <v>4263</v>
      </c>
      <c r="G1412" s="12" t="s">
        <v>4263</v>
      </c>
      <c r="H1412" s="12" t="s">
        <v>4278</v>
      </c>
      <c r="I1412" s="12" t="s">
        <v>4557</v>
      </c>
      <c r="J1412" s="11" t="s">
        <v>1856</v>
      </c>
      <c r="K1412" s="11" t="s">
        <v>1852</v>
      </c>
      <c r="L1412" s="11" t="s">
        <v>1853</v>
      </c>
      <c r="M1412" s="11" t="s">
        <v>4558</v>
      </c>
      <c r="N1412" s="12" t="s">
        <v>4559</v>
      </c>
      <c r="O1412" s="11" t="s">
        <v>1858</v>
      </c>
      <c r="P1412" s="56"/>
    </row>
    <row r="1413" spans="1:16" ht="15.75" customHeight="1" x14ac:dyDescent="0.2">
      <c r="A1413" s="48">
        <v>1204</v>
      </c>
      <c r="B1413" s="11" t="s">
        <v>1857</v>
      </c>
      <c r="C1413" s="11" t="s">
        <v>1849</v>
      </c>
      <c r="D1413" s="6" t="s">
        <v>1850</v>
      </c>
      <c r="E1413" s="12" t="s">
        <v>4263</v>
      </c>
      <c r="F1413" s="12" t="s">
        <v>4263</v>
      </c>
      <c r="G1413" s="12" t="s">
        <v>4314</v>
      </c>
      <c r="H1413" s="12" t="s">
        <v>4340</v>
      </c>
      <c r="I1413" s="12" t="s">
        <v>3175</v>
      </c>
      <c r="J1413" s="11" t="s">
        <v>1856</v>
      </c>
      <c r="K1413" s="11" t="s">
        <v>1852</v>
      </c>
      <c r="L1413" s="11" t="s">
        <v>1853</v>
      </c>
      <c r="M1413" s="11" t="s">
        <v>2276</v>
      </c>
      <c r="N1413" s="12" t="s">
        <v>4560</v>
      </c>
      <c r="O1413" s="11" t="s">
        <v>1859</v>
      </c>
      <c r="P1413" s="56"/>
    </row>
    <row r="1414" spans="1:16" ht="15.75" customHeight="1" x14ac:dyDescent="0.2">
      <c r="A1414" s="48">
        <v>1195</v>
      </c>
      <c r="B1414" s="11" t="s">
        <v>1857</v>
      </c>
      <c r="C1414" s="11" t="s">
        <v>1849</v>
      </c>
      <c r="D1414" s="6" t="s">
        <v>1850</v>
      </c>
      <c r="E1414" s="12" t="s">
        <v>4263</v>
      </c>
      <c r="F1414" s="12" t="s">
        <v>4263</v>
      </c>
      <c r="G1414" s="12" t="s">
        <v>4561</v>
      </c>
      <c r="H1414" s="12" t="s">
        <v>4322</v>
      </c>
      <c r="I1414" s="12" t="s">
        <v>4562</v>
      </c>
      <c r="J1414" s="11" t="s">
        <v>1856</v>
      </c>
      <c r="K1414" s="11" t="s">
        <v>1852</v>
      </c>
      <c r="L1414" s="11" t="s">
        <v>1853</v>
      </c>
      <c r="M1414" s="11" t="s">
        <v>1854</v>
      </c>
      <c r="N1414" s="12"/>
      <c r="O1414" s="11" t="s">
        <v>1858</v>
      </c>
      <c r="P1414" s="56"/>
    </row>
    <row r="1415" spans="1:16" ht="15.75" customHeight="1" x14ac:dyDescent="0.2">
      <c r="A1415" s="48">
        <v>1099</v>
      </c>
      <c r="B1415" s="11" t="s">
        <v>1857</v>
      </c>
      <c r="C1415" s="11" t="s">
        <v>1849</v>
      </c>
      <c r="D1415" s="6" t="s">
        <v>1850</v>
      </c>
      <c r="E1415" s="12" t="s">
        <v>4263</v>
      </c>
      <c r="F1415" s="12" t="s">
        <v>4263</v>
      </c>
      <c r="G1415" s="12" t="s">
        <v>4263</v>
      </c>
      <c r="H1415" s="12" t="s">
        <v>4304</v>
      </c>
      <c r="I1415" s="12" t="s">
        <v>4563</v>
      </c>
      <c r="J1415" s="11" t="s">
        <v>1856</v>
      </c>
      <c r="K1415" s="11" t="s">
        <v>1852</v>
      </c>
      <c r="L1415" s="11" t="s">
        <v>1853</v>
      </c>
      <c r="M1415" s="11" t="s">
        <v>4564</v>
      </c>
      <c r="N1415" s="12"/>
      <c r="O1415" s="11" t="s">
        <v>1859</v>
      </c>
      <c r="P1415" s="56"/>
    </row>
    <row r="1416" spans="1:16" ht="15.75" customHeight="1" x14ac:dyDescent="0.2">
      <c r="A1416" s="48">
        <v>5637</v>
      </c>
      <c r="B1416" s="11" t="s">
        <v>1857</v>
      </c>
      <c r="C1416" s="11" t="s">
        <v>1849</v>
      </c>
      <c r="D1416" s="6" t="s">
        <v>1850</v>
      </c>
      <c r="E1416" s="12" t="s">
        <v>4263</v>
      </c>
      <c r="F1416" s="12" t="s">
        <v>4263</v>
      </c>
      <c r="G1416" s="12" t="s">
        <v>4263</v>
      </c>
      <c r="H1416" s="12" t="s">
        <v>4264</v>
      </c>
      <c r="I1416" s="12" t="s">
        <v>4565</v>
      </c>
      <c r="J1416" s="11" t="s">
        <v>1851</v>
      </c>
      <c r="K1416" s="11" t="s">
        <v>1852</v>
      </c>
      <c r="L1416" s="11" t="s">
        <v>1853</v>
      </c>
      <c r="M1416" s="11" t="s">
        <v>4566</v>
      </c>
      <c r="N1416" s="12" t="s">
        <v>4567</v>
      </c>
      <c r="O1416" s="11" t="s">
        <v>2755</v>
      </c>
      <c r="P1416" s="56"/>
    </row>
    <row r="1417" spans="1:16" ht="15.75" customHeight="1" x14ac:dyDescent="0.2">
      <c r="A1417" s="48">
        <v>1219</v>
      </c>
      <c r="B1417" s="11" t="s">
        <v>1857</v>
      </c>
      <c r="C1417" s="11" t="s">
        <v>1849</v>
      </c>
      <c r="D1417" s="6" t="s">
        <v>1850</v>
      </c>
      <c r="E1417" s="12" t="s">
        <v>4263</v>
      </c>
      <c r="F1417" s="12" t="s">
        <v>4263</v>
      </c>
      <c r="G1417" s="12" t="s">
        <v>4314</v>
      </c>
      <c r="H1417" s="12" t="s">
        <v>4334</v>
      </c>
      <c r="I1417" s="12" t="s">
        <v>4568</v>
      </c>
      <c r="J1417" s="11" t="s">
        <v>1856</v>
      </c>
      <c r="K1417" s="11" t="s">
        <v>1852</v>
      </c>
      <c r="L1417" s="11" t="s">
        <v>1853</v>
      </c>
      <c r="M1417" s="11" t="s">
        <v>4553</v>
      </c>
      <c r="N1417" s="12"/>
      <c r="O1417" s="11" t="s">
        <v>1858</v>
      </c>
      <c r="P1417" s="56"/>
    </row>
    <row r="1418" spans="1:16" ht="15.75" customHeight="1" x14ac:dyDescent="0.2">
      <c r="A1418" s="48">
        <v>1101</v>
      </c>
      <c r="B1418" s="11" t="s">
        <v>1857</v>
      </c>
      <c r="C1418" s="11" t="s">
        <v>1849</v>
      </c>
      <c r="D1418" s="6" t="s">
        <v>1850</v>
      </c>
      <c r="E1418" s="12" t="s">
        <v>4263</v>
      </c>
      <c r="F1418" s="12" t="s">
        <v>4263</v>
      </c>
      <c r="G1418" s="12" t="s">
        <v>4263</v>
      </c>
      <c r="H1418" s="12" t="s">
        <v>4297</v>
      </c>
      <c r="I1418" s="12" t="s">
        <v>4569</v>
      </c>
      <c r="J1418" s="11" t="s">
        <v>1856</v>
      </c>
      <c r="K1418" s="11" t="s">
        <v>1852</v>
      </c>
      <c r="L1418" s="11" t="s">
        <v>1853</v>
      </c>
      <c r="M1418" s="11" t="s">
        <v>4471</v>
      </c>
      <c r="N1418" s="12"/>
      <c r="O1418" s="11" t="s">
        <v>1859</v>
      </c>
      <c r="P1418" s="56"/>
    </row>
    <row r="1419" spans="1:16" ht="15.75" customHeight="1" x14ac:dyDescent="0.2">
      <c r="A1419" s="48">
        <v>1275</v>
      </c>
      <c r="B1419" s="11" t="s">
        <v>1857</v>
      </c>
      <c r="C1419" s="11" t="s">
        <v>1849</v>
      </c>
      <c r="D1419" s="6" t="s">
        <v>1850</v>
      </c>
      <c r="E1419" s="12" t="s">
        <v>4263</v>
      </c>
      <c r="F1419" s="12" t="s">
        <v>4263</v>
      </c>
      <c r="G1419" s="12" t="s">
        <v>4332</v>
      </c>
      <c r="H1419" s="12" t="s">
        <v>4332</v>
      </c>
      <c r="I1419" s="12" t="s">
        <v>4570</v>
      </c>
      <c r="J1419" s="11" t="s">
        <v>1856</v>
      </c>
      <c r="K1419" s="11" t="s">
        <v>1852</v>
      </c>
      <c r="L1419" s="11" t="s">
        <v>1853</v>
      </c>
      <c r="M1419" s="11" t="s">
        <v>1854</v>
      </c>
      <c r="N1419" s="12"/>
      <c r="O1419" s="11" t="s">
        <v>1858</v>
      </c>
      <c r="P1419" s="56"/>
    </row>
    <row r="1420" spans="1:16" ht="15.75" customHeight="1" x14ac:dyDescent="0.2">
      <c r="A1420" s="48">
        <v>1254</v>
      </c>
      <c r="B1420" s="11" t="s">
        <v>1857</v>
      </c>
      <c r="C1420" s="11" t="s">
        <v>1849</v>
      </c>
      <c r="D1420" s="6" t="s">
        <v>1850</v>
      </c>
      <c r="E1420" s="12" t="s">
        <v>4263</v>
      </c>
      <c r="F1420" s="12" t="s">
        <v>4263</v>
      </c>
      <c r="G1420" s="12" t="s">
        <v>4349</v>
      </c>
      <c r="H1420" s="12" t="s">
        <v>3617</v>
      </c>
      <c r="I1420" s="12" t="s">
        <v>4571</v>
      </c>
      <c r="J1420" s="11" t="s">
        <v>1856</v>
      </c>
      <c r="K1420" s="11" t="s">
        <v>1852</v>
      </c>
      <c r="L1420" s="11" t="s">
        <v>1853</v>
      </c>
      <c r="M1420" s="11" t="s">
        <v>3630</v>
      </c>
      <c r="N1420" s="12" t="s">
        <v>4572</v>
      </c>
      <c r="O1420" s="11" t="s">
        <v>1858</v>
      </c>
      <c r="P1420" s="56"/>
    </row>
    <row r="1421" spans="1:16" ht="15.75" customHeight="1" x14ac:dyDescent="0.2">
      <c r="A1421" s="48">
        <v>1274</v>
      </c>
      <c r="B1421" s="11" t="s">
        <v>1857</v>
      </c>
      <c r="C1421" s="11" t="s">
        <v>1849</v>
      </c>
      <c r="D1421" s="6" t="s">
        <v>1850</v>
      </c>
      <c r="E1421" s="12" t="s">
        <v>4263</v>
      </c>
      <c r="F1421" s="12" t="s">
        <v>4263</v>
      </c>
      <c r="G1421" s="12" t="s">
        <v>4332</v>
      </c>
      <c r="H1421" s="12" t="s">
        <v>4510</v>
      </c>
      <c r="I1421" s="12" t="s">
        <v>4573</v>
      </c>
      <c r="J1421" s="11" t="s">
        <v>1856</v>
      </c>
      <c r="K1421" s="11" t="s">
        <v>1852</v>
      </c>
      <c r="L1421" s="11" t="s">
        <v>1853</v>
      </c>
      <c r="M1421" s="11" t="s">
        <v>3824</v>
      </c>
      <c r="N1421" s="12"/>
      <c r="O1421" s="11" t="s">
        <v>1858</v>
      </c>
      <c r="P1421" s="56"/>
    </row>
    <row r="1422" spans="1:16" ht="15.75" customHeight="1" x14ac:dyDescent="0.2">
      <c r="A1422" s="48">
        <v>1133</v>
      </c>
      <c r="B1422" s="11" t="s">
        <v>1857</v>
      </c>
      <c r="C1422" s="11" t="s">
        <v>1849</v>
      </c>
      <c r="D1422" s="6" t="s">
        <v>1850</v>
      </c>
      <c r="E1422" s="12" t="s">
        <v>4263</v>
      </c>
      <c r="F1422" s="12" t="s">
        <v>4263</v>
      </c>
      <c r="G1422" s="12" t="s">
        <v>4263</v>
      </c>
      <c r="H1422" s="12" t="s">
        <v>4328</v>
      </c>
      <c r="I1422" s="12" t="s">
        <v>4574</v>
      </c>
      <c r="J1422" s="11" t="s">
        <v>1856</v>
      </c>
      <c r="K1422" s="11" t="s">
        <v>1852</v>
      </c>
      <c r="L1422" s="11" t="s">
        <v>1853</v>
      </c>
      <c r="M1422" s="11" t="s">
        <v>4553</v>
      </c>
      <c r="N1422" s="12"/>
      <c r="O1422" s="11" t="s">
        <v>1860</v>
      </c>
      <c r="P1422" s="56"/>
    </row>
    <row r="1423" spans="1:16" ht="15.75" customHeight="1" x14ac:dyDescent="0.2">
      <c r="A1423" s="48">
        <v>1194</v>
      </c>
      <c r="B1423" s="11" t="s">
        <v>1857</v>
      </c>
      <c r="C1423" s="11" t="s">
        <v>1849</v>
      </c>
      <c r="D1423" s="6" t="s">
        <v>1850</v>
      </c>
      <c r="E1423" s="12" t="s">
        <v>4263</v>
      </c>
      <c r="F1423" s="12" t="s">
        <v>4263</v>
      </c>
      <c r="G1423" s="12" t="s">
        <v>4311</v>
      </c>
      <c r="H1423" s="12" t="s">
        <v>4322</v>
      </c>
      <c r="I1423" s="12" t="s">
        <v>4575</v>
      </c>
      <c r="J1423" s="11" t="s">
        <v>1856</v>
      </c>
      <c r="K1423" s="11" t="s">
        <v>1852</v>
      </c>
      <c r="L1423" s="11" t="s">
        <v>1853</v>
      </c>
      <c r="M1423" s="11" t="s">
        <v>1854</v>
      </c>
      <c r="N1423" s="12"/>
      <c r="O1423" s="11" t="s">
        <v>1858</v>
      </c>
      <c r="P1423" s="56"/>
    </row>
    <row r="1424" spans="1:16" ht="15.75" customHeight="1" x14ac:dyDescent="0.2">
      <c r="A1424" s="48">
        <v>1276</v>
      </c>
      <c r="B1424" s="11" t="s">
        <v>1857</v>
      </c>
      <c r="C1424" s="11" t="s">
        <v>1849</v>
      </c>
      <c r="D1424" s="6" t="s">
        <v>1850</v>
      </c>
      <c r="E1424" s="12" t="s">
        <v>4263</v>
      </c>
      <c r="F1424" s="12" t="s">
        <v>4263</v>
      </c>
      <c r="G1424" s="12" t="s">
        <v>4332</v>
      </c>
      <c r="H1424" s="12" t="s">
        <v>4332</v>
      </c>
      <c r="I1424" s="12" t="s">
        <v>4576</v>
      </c>
      <c r="J1424" s="11" t="s">
        <v>1856</v>
      </c>
      <c r="K1424" s="11" t="s">
        <v>1852</v>
      </c>
      <c r="L1424" s="11" t="s">
        <v>1853</v>
      </c>
      <c r="M1424" s="11" t="s">
        <v>3824</v>
      </c>
      <c r="N1424" s="12"/>
      <c r="O1424" s="11" t="s">
        <v>1859</v>
      </c>
      <c r="P1424" s="56"/>
    </row>
    <row r="1425" spans="1:16" ht="15.75" customHeight="1" x14ac:dyDescent="0.2">
      <c r="A1425" s="48">
        <v>1211</v>
      </c>
      <c r="B1425" s="11" t="s">
        <v>1857</v>
      </c>
      <c r="C1425" s="11" t="s">
        <v>1849</v>
      </c>
      <c r="D1425" s="6" t="s">
        <v>1850</v>
      </c>
      <c r="E1425" s="12" t="s">
        <v>4263</v>
      </c>
      <c r="F1425" s="12" t="s">
        <v>4263</v>
      </c>
      <c r="G1425" s="12" t="s">
        <v>4337</v>
      </c>
      <c r="H1425" s="12" t="s">
        <v>4338</v>
      </c>
      <c r="I1425" s="12" t="s">
        <v>4577</v>
      </c>
      <c r="J1425" s="11" t="s">
        <v>1856</v>
      </c>
      <c r="K1425" s="11" t="s">
        <v>1852</v>
      </c>
      <c r="L1425" s="11" t="s">
        <v>1853</v>
      </c>
      <c r="M1425" s="11" t="s">
        <v>4471</v>
      </c>
      <c r="N1425" s="12" t="s">
        <v>4578</v>
      </c>
      <c r="O1425" s="11" t="s">
        <v>1859</v>
      </c>
      <c r="P1425" s="56"/>
    </row>
    <row r="1426" spans="1:16" ht="15.75" customHeight="1" x14ac:dyDescent="0.2">
      <c r="A1426" s="48">
        <v>7327</v>
      </c>
      <c r="B1426" s="11" t="s">
        <v>1857</v>
      </c>
      <c r="C1426" s="11" t="s">
        <v>1849</v>
      </c>
      <c r="D1426" s="6" t="s">
        <v>1850</v>
      </c>
      <c r="E1426" s="12" t="s">
        <v>4263</v>
      </c>
      <c r="F1426" s="12" t="s">
        <v>4263</v>
      </c>
      <c r="G1426" s="12" t="s">
        <v>4263</v>
      </c>
      <c r="H1426" s="12" t="s">
        <v>4267</v>
      </c>
      <c r="I1426" s="12" t="s">
        <v>4579</v>
      </c>
      <c r="J1426" s="11" t="s">
        <v>1851</v>
      </c>
      <c r="K1426" s="11" t="s">
        <v>1852</v>
      </c>
      <c r="L1426" s="11" t="s">
        <v>1853</v>
      </c>
      <c r="M1426" s="11" t="s">
        <v>1854</v>
      </c>
      <c r="N1426" s="12"/>
      <c r="O1426" s="11" t="s">
        <v>1858</v>
      </c>
      <c r="P1426" s="56"/>
    </row>
    <row r="1427" spans="1:16" ht="15.75" customHeight="1" x14ac:dyDescent="0.2">
      <c r="A1427" s="48">
        <v>1221</v>
      </c>
      <c r="B1427" s="11" t="s">
        <v>1857</v>
      </c>
      <c r="C1427" s="11" t="s">
        <v>1849</v>
      </c>
      <c r="D1427" s="6" t="s">
        <v>1850</v>
      </c>
      <c r="E1427" s="12" t="s">
        <v>4263</v>
      </c>
      <c r="F1427" s="12" t="s">
        <v>4263</v>
      </c>
      <c r="G1427" s="12" t="s">
        <v>4314</v>
      </c>
      <c r="H1427" s="12" t="s">
        <v>4334</v>
      </c>
      <c r="I1427" s="12" t="s">
        <v>4580</v>
      </c>
      <c r="J1427" s="11" t="s">
        <v>1856</v>
      </c>
      <c r="K1427" s="11" t="s">
        <v>1852</v>
      </c>
      <c r="L1427" s="11" t="s">
        <v>1853</v>
      </c>
      <c r="M1427" s="11" t="s">
        <v>4581</v>
      </c>
      <c r="N1427" s="12"/>
      <c r="O1427" s="11" t="s">
        <v>1869</v>
      </c>
      <c r="P1427" s="56"/>
    </row>
    <row r="1428" spans="1:16" ht="15.75" customHeight="1" x14ac:dyDescent="0.2">
      <c r="A1428" s="48">
        <v>674</v>
      </c>
      <c r="B1428" s="11" t="s">
        <v>1857</v>
      </c>
      <c r="C1428" s="11" t="s">
        <v>1849</v>
      </c>
      <c r="D1428" s="6" t="s">
        <v>1850</v>
      </c>
      <c r="E1428" s="12" t="s">
        <v>4263</v>
      </c>
      <c r="F1428" s="12" t="s">
        <v>4263</v>
      </c>
      <c r="G1428" s="12" t="s">
        <v>4337</v>
      </c>
      <c r="H1428" s="12" t="s">
        <v>4582</v>
      </c>
      <c r="I1428" s="12" t="s">
        <v>4583</v>
      </c>
      <c r="J1428" s="11" t="s">
        <v>1856</v>
      </c>
      <c r="K1428" s="11" t="s">
        <v>1852</v>
      </c>
      <c r="L1428" s="11" t="s">
        <v>1853</v>
      </c>
      <c r="M1428" s="11" t="s">
        <v>4471</v>
      </c>
      <c r="N1428" s="12"/>
      <c r="O1428" s="11" t="s">
        <v>1858</v>
      </c>
      <c r="P1428" s="56"/>
    </row>
    <row r="1429" spans="1:16" ht="15.75" customHeight="1" x14ac:dyDescent="0.2">
      <c r="A1429" s="48">
        <v>1218</v>
      </c>
      <c r="B1429" s="11" t="s">
        <v>1857</v>
      </c>
      <c r="C1429" s="11" t="s">
        <v>1849</v>
      </c>
      <c r="D1429" s="6" t="s">
        <v>1850</v>
      </c>
      <c r="E1429" s="12" t="s">
        <v>4263</v>
      </c>
      <c r="F1429" s="12" t="s">
        <v>4263</v>
      </c>
      <c r="G1429" s="12" t="s">
        <v>4314</v>
      </c>
      <c r="H1429" s="12" t="s">
        <v>4334</v>
      </c>
      <c r="I1429" s="12" t="s">
        <v>4584</v>
      </c>
      <c r="J1429" s="11" t="s">
        <v>1856</v>
      </c>
      <c r="K1429" s="11" t="s">
        <v>1852</v>
      </c>
      <c r="L1429" s="11" t="s">
        <v>1853</v>
      </c>
      <c r="M1429" s="11" t="s">
        <v>4553</v>
      </c>
      <c r="N1429" s="12"/>
      <c r="O1429" s="11" t="s">
        <v>1858</v>
      </c>
      <c r="P1429" s="56"/>
    </row>
    <row r="1430" spans="1:16" ht="15.75" customHeight="1" x14ac:dyDescent="0.2">
      <c r="A1430" s="48">
        <v>1130</v>
      </c>
      <c r="B1430" s="11" t="s">
        <v>1857</v>
      </c>
      <c r="C1430" s="11" t="s">
        <v>1849</v>
      </c>
      <c r="D1430" s="6" t="s">
        <v>1850</v>
      </c>
      <c r="E1430" s="12" t="s">
        <v>4263</v>
      </c>
      <c r="F1430" s="12" t="s">
        <v>4263</v>
      </c>
      <c r="G1430" s="12" t="s">
        <v>4263</v>
      </c>
      <c r="H1430" s="12" t="s">
        <v>4328</v>
      </c>
      <c r="I1430" s="12" t="s">
        <v>4585</v>
      </c>
      <c r="J1430" s="11" t="s">
        <v>1856</v>
      </c>
      <c r="K1430" s="11" t="s">
        <v>1852</v>
      </c>
      <c r="L1430" s="11" t="s">
        <v>1853</v>
      </c>
      <c r="M1430" s="11" t="s">
        <v>3824</v>
      </c>
      <c r="N1430" s="12"/>
      <c r="O1430" s="11" t="s">
        <v>1859</v>
      </c>
      <c r="P1430" s="56"/>
    </row>
    <row r="1431" spans="1:16" ht="15.75" customHeight="1" x14ac:dyDescent="0.2">
      <c r="A1431" s="48">
        <v>1242</v>
      </c>
      <c r="B1431" s="11" t="s">
        <v>1857</v>
      </c>
      <c r="C1431" s="11" t="s">
        <v>1849</v>
      </c>
      <c r="D1431" s="6" t="s">
        <v>1850</v>
      </c>
      <c r="E1431" s="12" t="s">
        <v>4263</v>
      </c>
      <c r="F1431" s="12" t="s">
        <v>4263</v>
      </c>
      <c r="G1431" s="12" t="s">
        <v>4314</v>
      </c>
      <c r="H1431" s="12" t="s">
        <v>4315</v>
      </c>
      <c r="I1431" s="12" t="s">
        <v>4586</v>
      </c>
      <c r="J1431" s="11" t="s">
        <v>1856</v>
      </c>
      <c r="K1431" s="11" t="s">
        <v>1852</v>
      </c>
      <c r="L1431" s="11" t="s">
        <v>1853</v>
      </c>
      <c r="M1431" s="11" t="s">
        <v>1854</v>
      </c>
      <c r="N1431" s="12"/>
      <c r="O1431" s="11" t="s">
        <v>1859</v>
      </c>
      <c r="P1431" s="56"/>
    </row>
    <row r="1432" spans="1:16" ht="15.75" customHeight="1" x14ac:dyDescent="0.2">
      <c r="A1432" s="48">
        <v>1230</v>
      </c>
      <c r="B1432" s="11" t="s">
        <v>1857</v>
      </c>
      <c r="C1432" s="11" t="s">
        <v>1849</v>
      </c>
      <c r="D1432" s="6" t="s">
        <v>1850</v>
      </c>
      <c r="E1432" s="12" t="s">
        <v>4263</v>
      </c>
      <c r="F1432" s="12" t="s">
        <v>4263</v>
      </c>
      <c r="G1432" s="12" t="s">
        <v>4314</v>
      </c>
      <c r="H1432" s="12" t="s">
        <v>4315</v>
      </c>
      <c r="I1432" s="12" t="s">
        <v>4587</v>
      </c>
      <c r="J1432" s="11" t="s">
        <v>1856</v>
      </c>
      <c r="K1432" s="11" t="s">
        <v>1852</v>
      </c>
      <c r="L1432" s="11" t="s">
        <v>1853</v>
      </c>
      <c r="M1432" s="11" t="s">
        <v>1854</v>
      </c>
      <c r="N1432" s="12"/>
      <c r="O1432" s="11" t="s">
        <v>1859</v>
      </c>
      <c r="P1432" s="56"/>
    </row>
    <row r="1433" spans="1:16" ht="15.75" customHeight="1" x14ac:dyDescent="0.2">
      <c r="A1433" s="48">
        <v>1123</v>
      </c>
      <c r="B1433" s="11" t="s">
        <v>1857</v>
      </c>
      <c r="C1433" s="11" t="s">
        <v>1849</v>
      </c>
      <c r="D1433" s="6" t="s">
        <v>1850</v>
      </c>
      <c r="E1433" s="12" t="s">
        <v>4263</v>
      </c>
      <c r="F1433" s="12" t="s">
        <v>4263</v>
      </c>
      <c r="G1433" s="12" t="s">
        <v>4263</v>
      </c>
      <c r="H1433" s="12" t="s">
        <v>4270</v>
      </c>
      <c r="I1433" s="12" t="s">
        <v>4588</v>
      </c>
      <c r="J1433" s="11" t="s">
        <v>1856</v>
      </c>
      <c r="K1433" s="11" t="s">
        <v>1852</v>
      </c>
      <c r="L1433" s="11" t="s">
        <v>1853</v>
      </c>
      <c r="M1433" s="11" t="s">
        <v>4589</v>
      </c>
      <c r="N1433" s="12" t="s">
        <v>4590</v>
      </c>
      <c r="O1433" s="11" t="s">
        <v>1858</v>
      </c>
      <c r="P1433" s="56"/>
    </row>
    <row r="1434" spans="1:16" ht="15.75" customHeight="1" x14ac:dyDescent="0.2">
      <c r="A1434" s="48">
        <v>1169</v>
      </c>
      <c r="B1434" s="11" t="s">
        <v>1857</v>
      </c>
      <c r="C1434" s="11" t="s">
        <v>1849</v>
      </c>
      <c r="D1434" s="6" t="s">
        <v>1850</v>
      </c>
      <c r="E1434" s="12" t="s">
        <v>4263</v>
      </c>
      <c r="F1434" s="12" t="s">
        <v>4263</v>
      </c>
      <c r="G1434" s="12" t="s">
        <v>4311</v>
      </c>
      <c r="H1434" s="12" t="s">
        <v>4376</v>
      </c>
      <c r="I1434" s="12" t="s">
        <v>4591</v>
      </c>
      <c r="J1434" s="11" t="s">
        <v>1856</v>
      </c>
      <c r="K1434" s="11" t="s">
        <v>1852</v>
      </c>
      <c r="L1434" s="11" t="s">
        <v>1853</v>
      </c>
      <c r="M1434" s="11" t="s">
        <v>4592</v>
      </c>
      <c r="N1434" s="12" t="s">
        <v>4593</v>
      </c>
      <c r="O1434" s="11" t="s">
        <v>1859</v>
      </c>
      <c r="P1434" s="56"/>
    </row>
    <row r="1435" spans="1:16" ht="15.75" customHeight="1" x14ac:dyDescent="0.2">
      <c r="A1435" s="48">
        <v>1141</v>
      </c>
      <c r="B1435" s="11" t="s">
        <v>1857</v>
      </c>
      <c r="C1435" s="11" t="s">
        <v>1849</v>
      </c>
      <c r="D1435" s="6" t="s">
        <v>1850</v>
      </c>
      <c r="E1435" s="12" t="s">
        <v>4263</v>
      </c>
      <c r="F1435" s="12" t="s">
        <v>4263</v>
      </c>
      <c r="G1435" s="12" t="s">
        <v>4263</v>
      </c>
      <c r="H1435" s="12" t="s">
        <v>4328</v>
      </c>
      <c r="I1435" s="12" t="s">
        <v>2678</v>
      </c>
      <c r="J1435" s="11" t="s">
        <v>1856</v>
      </c>
      <c r="K1435" s="11" t="s">
        <v>1852</v>
      </c>
      <c r="L1435" s="11" t="s">
        <v>1853</v>
      </c>
      <c r="M1435" s="11" t="s">
        <v>3717</v>
      </c>
      <c r="N1435" s="12"/>
      <c r="O1435" s="11" t="s">
        <v>1859</v>
      </c>
      <c r="P1435" s="56"/>
    </row>
    <row r="1436" spans="1:16" ht="15.75" customHeight="1" x14ac:dyDescent="0.2">
      <c r="A1436" s="48">
        <v>1294</v>
      </c>
      <c r="B1436" s="11" t="s">
        <v>1857</v>
      </c>
      <c r="C1436" s="11" t="s">
        <v>1849</v>
      </c>
      <c r="D1436" s="6" t="s">
        <v>1850</v>
      </c>
      <c r="E1436" s="12" t="s">
        <v>4263</v>
      </c>
      <c r="F1436" s="12" t="s">
        <v>4263</v>
      </c>
      <c r="G1436" s="12" t="s">
        <v>4398</v>
      </c>
      <c r="H1436" s="12" t="s">
        <v>4398</v>
      </c>
      <c r="I1436" s="12" t="s">
        <v>4594</v>
      </c>
      <c r="J1436" s="11" t="s">
        <v>1856</v>
      </c>
      <c r="K1436" s="11" t="s">
        <v>1852</v>
      </c>
      <c r="L1436" s="11" t="s">
        <v>1853</v>
      </c>
      <c r="M1436" s="11" t="s">
        <v>1854</v>
      </c>
      <c r="N1436" s="12"/>
      <c r="O1436" s="11" t="s">
        <v>1858</v>
      </c>
      <c r="P1436" s="56"/>
    </row>
    <row r="1437" spans="1:16" ht="15.75" customHeight="1" x14ac:dyDescent="0.2">
      <c r="A1437" s="48">
        <v>1092</v>
      </c>
      <c r="B1437" s="11" t="s">
        <v>1857</v>
      </c>
      <c r="C1437" s="11" t="s">
        <v>1849</v>
      </c>
      <c r="D1437" s="6" t="s">
        <v>1850</v>
      </c>
      <c r="E1437" s="12" t="s">
        <v>4263</v>
      </c>
      <c r="F1437" s="12" t="s">
        <v>4263</v>
      </c>
      <c r="G1437" s="12" t="s">
        <v>4263</v>
      </c>
      <c r="H1437" s="12" t="s">
        <v>4267</v>
      </c>
      <c r="I1437" s="12" t="s">
        <v>4595</v>
      </c>
      <c r="J1437" s="11" t="s">
        <v>1856</v>
      </c>
      <c r="K1437" s="11" t="s">
        <v>1852</v>
      </c>
      <c r="L1437" s="11" t="s">
        <v>1853</v>
      </c>
      <c r="M1437" s="11" t="s">
        <v>4596</v>
      </c>
      <c r="N1437" s="12" t="s">
        <v>4597</v>
      </c>
      <c r="O1437" s="11" t="s">
        <v>2022</v>
      </c>
      <c r="P1437" s="56" t="s">
        <v>4598</v>
      </c>
    </row>
    <row r="1438" spans="1:16" ht="15.75" customHeight="1" x14ac:dyDescent="0.2">
      <c r="A1438" s="48">
        <v>1241</v>
      </c>
      <c r="B1438" s="11" t="s">
        <v>1857</v>
      </c>
      <c r="C1438" s="11" t="s">
        <v>1849</v>
      </c>
      <c r="D1438" s="6" t="s">
        <v>1850</v>
      </c>
      <c r="E1438" s="12" t="s">
        <v>4263</v>
      </c>
      <c r="F1438" s="12" t="s">
        <v>4263</v>
      </c>
      <c r="G1438" s="12" t="s">
        <v>4314</v>
      </c>
      <c r="H1438" s="12" t="s">
        <v>4315</v>
      </c>
      <c r="I1438" s="12" t="s">
        <v>4599</v>
      </c>
      <c r="J1438" s="11" t="s">
        <v>1856</v>
      </c>
      <c r="K1438" s="11" t="s">
        <v>1852</v>
      </c>
      <c r="L1438" s="11" t="s">
        <v>1853</v>
      </c>
      <c r="M1438" s="11" t="s">
        <v>1854</v>
      </c>
      <c r="N1438" s="12"/>
      <c r="O1438" s="11" t="s">
        <v>1860</v>
      </c>
      <c r="P1438" s="56"/>
    </row>
    <row r="1439" spans="1:16" ht="15.75" customHeight="1" x14ac:dyDescent="0.2">
      <c r="A1439" s="48">
        <v>1193</v>
      </c>
      <c r="B1439" s="11" t="s">
        <v>1857</v>
      </c>
      <c r="C1439" s="11" t="s">
        <v>1849</v>
      </c>
      <c r="D1439" s="6" t="s">
        <v>1850</v>
      </c>
      <c r="E1439" s="12" t="s">
        <v>4263</v>
      </c>
      <c r="F1439" s="12" t="s">
        <v>4263</v>
      </c>
      <c r="G1439" s="12" t="s">
        <v>4311</v>
      </c>
      <c r="H1439" s="12" t="s">
        <v>4547</v>
      </c>
      <c r="I1439" s="12" t="s">
        <v>4600</v>
      </c>
      <c r="J1439" s="11" t="s">
        <v>1856</v>
      </c>
      <c r="K1439" s="11" t="s">
        <v>1852</v>
      </c>
      <c r="L1439" s="11" t="s">
        <v>1853</v>
      </c>
      <c r="M1439" s="11" t="s">
        <v>2276</v>
      </c>
      <c r="N1439" s="12"/>
      <c r="O1439" s="11" t="s">
        <v>1859</v>
      </c>
      <c r="P1439" s="56"/>
    </row>
    <row r="1440" spans="1:16" ht="15.75" customHeight="1" x14ac:dyDescent="0.2">
      <c r="A1440" s="48">
        <v>1119</v>
      </c>
      <c r="B1440" s="11" t="s">
        <v>1857</v>
      </c>
      <c r="C1440" s="11" t="s">
        <v>1849</v>
      </c>
      <c r="D1440" s="6" t="s">
        <v>1850</v>
      </c>
      <c r="E1440" s="12" t="s">
        <v>4263</v>
      </c>
      <c r="F1440" s="12" t="s">
        <v>4263</v>
      </c>
      <c r="G1440" s="12" t="s">
        <v>4263</v>
      </c>
      <c r="H1440" s="12" t="s">
        <v>4274</v>
      </c>
      <c r="I1440" s="12" t="s">
        <v>573</v>
      </c>
      <c r="J1440" s="11" t="s">
        <v>1856</v>
      </c>
      <c r="K1440" s="11" t="s">
        <v>1852</v>
      </c>
      <c r="L1440" s="11" t="s">
        <v>1853</v>
      </c>
      <c r="M1440" s="11" t="s">
        <v>3694</v>
      </c>
      <c r="N1440" s="12" t="s">
        <v>4601</v>
      </c>
      <c r="O1440" s="11" t="s">
        <v>1858</v>
      </c>
      <c r="P1440" s="56"/>
    </row>
    <row r="1441" spans="1:16" ht="15.75" customHeight="1" x14ac:dyDescent="0.2">
      <c r="A1441" s="48">
        <v>1243</v>
      </c>
      <c r="B1441" s="11" t="s">
        <v>1857</v>
      </c>
      <c r="C1441" s="11" t="s">
        <v>1849</v>
      </c>
      <c r="D1441" s="6" t="s">
        <v>1850</v>
      </c>
      <c r="E1441" s="12" t="s">
        <v>4263</v>
      </c>
      <c r="F1441" s="12" t="s">
        <v>4263</v>
      </c>
      <c r="G1441" s="12" t="s">
        <v>4314</v>
      </c>
      <c r="H1441" s="12" t="s">
        <v>4315</v>
      </c>
      <c r="I1441" s="12" t="s">
        <v>4051</v>
      </c>
      <c r="J1441" s="11" t="s">
        <v>1856</v>
      </c>
      <c r="K1441" s="11" t="s">
        <v>1852</v>
      </c>
      <c r="L1441" s="11" t="s">
        <v>1853</v>
      </c>
      <c r="M1441" s="11" t="s">
        <v>4086</v>
      </c>
      <c r="N1441" s="12"/>
      <c r="O1441" s="11" t="s">
        <v>1860</v>
      </c>
      <c r="P1441" s="56"/>
    </row>
    <row r="1442" spans="1:16" ht="15.75" customHeight="1" x14ac:dyDescent="0.2">
      <c r="A1442" s="48">
        <v>1223</v>
      </c>
      <c r="B1442" s="11" t="s">
        <v>1857</v>
      </c>
      <c r="C1442" s="11" t="s">
        <v>1849</v>
      </c>
      <c r="D1442" s="6" t="s">
        <v>1850</v>
      </c>
      <c r="E1442" s="12" t="s">
        <v>4263</v>
      </c>
      <c r="F1442" s="12" t="s">
        <v>4263</v>
      </c>
      <c r="G1442" s="12" t="s">
        <v>4314</v>
      </c>
      <c r="H1442" s="12" t="s">
        <v>4334</v>
      </c>
      <c r="I1442" s="12" t="s">
        <v>4602</v>
      </c>
      <c r="J1442" s="11" t="s">
        <v>1856</v>
      </c>
      <c r="K1442" s="11" t="s">
        <v>1852</v>
      </c>
      <c r="L1442" s="11" t="s">
        <v>1853</v>
      </c>
      <c r="M1442" s="11" t="s">
        <v>4603</v>
      </c>
      <c r="N1442" s="12"/>
      <c r="O1442" s="11" t="s">
        <v>1858</v>
      </c>
      <c r="P1442" s="56"/>
    </row>
    <row r="1443" spans="1:16" ht="15.75" customHeight="1" x14ac:dyDescent="0.2">
      <c r="A1443" s="48">
        <v>1217</v>
      </c>
      <c r="B1443" s="11" t="s">
        <v>1857</v>
      </c>
      <c r="C1443" s="11" t="s">
        <v>1849</v>
      </c>
      <c r="D1443" s="6" t="s">
        <v>1850</v>
      </c>
      <c r="E1443" s="12" t="s">
        <v>4263</v>
      </c>
      <c r="F1443" s="12" t="s">
        <v>4263</v>
      </c>
      <c r="G1443" s="12" t="s">
        <v>4349</v>
      </c>
      <c r="H1443" s="12" t="s">
        <v>4334</v>
      </c>
      <c r="I1443" s="12" t="s">
        <v>4604</v>
      </c>
      <c r="J1443" s="11" t="s">
        <v>1856</v>
      </c>
      <c r="K1443" s="11" t="s">
        <v>1852</v>
      </c>
      <c r="L1443" s="11" t="s">
        <v>1853</v>
      </c>
      <c r="M1443" s="11" t="s">
        <v>4605</v>
      </c>
      <c r="N1443" s="12" t="s">
        <v>4606</v>
      </c>
      <c r="O1443" s="11" t="s">
        <v>1859</v>
      </c>
      <c r="P1443" s="56"/>
    </row>
    <row r="1444" spans="1:16" ht="15.75" customHeight="1" x14ac:dyDescent="0.2">
      <c r="A1444" s="48">
        <v>730</v>
      </c>
      <c r="B1444" s="11" t="s">
        <v>1857</v>
      </c>
      <c r="C1444" s="11" t="s">
        <v>1849</v>
      </c>
      <c r="D1444" s="6" t="s">
        <v>1850</v>
      </c>
      <c r="E1444" s="12" t="s">
        <v>4263</v>
      </c>
      <c r="F1444" s="12" t="s">
        <v>4263</v>
      </c>
      <c r="G1444" s="12" t="s">
        <v>4314</v>
      </c>
      <c r="H1444" s="12" t="s">
        <v>4334</v>
      </c>
      <c r="I1444" s="12" t="s">
        <v>4607</v>
      </c>
      <c r="J1444" s="11" t="s">
        <v>1856</v>
      </c>
      <c r="K1444" s="11" t="s">
        <v>1852</v>
      </c>
      <c r="L1444" s="11" t="s">
        <v>1853</v>
      </c>
      <c r="M1444" s="11" t="s">
        <v>1854</v>
      </c>
      <c r="N1444" s="12"/>
      <c r="O1444" s="11" t="s">
        <v>1860</v>
      </c>
      <c r="P1444" s="56"/>
    </row>
    <row r="1445" spans="1:16" ht="15.75" customHeight="1" x14ac:dyDescent="0.2">
      <c r="A1445" s="48">
        <v>1245</v>
      </c>
      <c r="B1445" s="11" t="s">
        <v>1857</v>
      </c>
      <c r="C1445" s="11" t="s">
        <v>1849</v>
      </c>
      <c r="D1445" s="6" t="s">
        <v>1850</v>
      </c>
      <c r="E1445" s="12" t="s">
        <v>4263</v>
      </c>
      <c r="F1445" s="12" t="s">
        <v>4263</v>
      </c>
      <c r="G1445" s="12" t="s">
        <v>4349</v>
      </c>
      <c r="H1445" s="12" t="s">
        <v>4315</v>
      </c>
      <c r="I1445" s="12" t="s">
        <v>4608</v>
      </c>
      <c r="J1445" s="11" t="s">
        <v>1856</v>
      </c>
      <c r="K1445" s="11" t="s">
        <v>1852</v>
      </c>
      <c r="L1445" s="11" t="s">
        <v>1853</v>
      </c>
      <c r="M1445" s="11" t="s">
        <v>3569</v>
      </c>
      <c r="N1445" s="12" t="s">
        <v>4609</v>
      </c>
      <c r="O1445" s="11" t="s">
        <v>1860</v>
      </c>
      <c r="P1445" s="56"/>
    </row>
    <row r="1446" spans="1:16" ht="15.75" customHeight="1" x14ac:dyDescent="0.2">
      <c r="A1446" s="48">
        <v>1233</v>
      </c>
      <c r="B1446" s="11" t="s">
        <v>1857</v>
      </c>
      <c r="C1446" s="11" t="s">
        <v>1849</v>
      </c>
      <c r="D1446" s="6" t="s">
        <v>1850</v>
      </c>
      <c r="E1446" s="12" t="s">
        <v>4263</v>
      </c>
      <c r="F1446" s="12" t="s">
        <v>4263</v>
      </c>
      <c r="G1446" s="12" t="s">
        <v>4314</v>
      </c>
      <c r="H1446" s="12" t="s">
        <v>4315</v>
      </c>
      <c r="I1446" s="12" t="s">
        <v>4610</v>
      </c>
      <c r="J1446" s="11" t="s">
        <v>1856</v>
      </c>
      <c r="K1446" s="11" t="s">
        <v>1852</v>
      </c>
      <c r="L1446" s="11" t="s">
        <v>1853</v>
      </c>
      <c r="M1446" s="11" t="s">
        <v>3569</v>
      </c>
      <c r="N1446" s="12"/>
      <c r="O1446" s="11" t="s">
        <v>1860</v>
      </c>
      <c r="P1446" s="56"/>
    </row>
    <row r="1447" spans="1:16" ht="15.75" customHeight="1" x14ac:dyDescent="0.2">
      <c r="A1447" s="48">
        <v>1075</v>
      </c>
      <c r="B1447" s="11" t="s">
        <v>1857</v>
      </c>
      <c r="C1447" s="11" t="s">
        <v>1849</v>
      </c>
      <c r="D1447" s="6" t="s">
        <v>1850</v>
      </c>
      <c r="E1447" s="12" t="s">
        <v>4263</v>
      </c>
      <c r="F1447" s="12" t="s">
        <v>4263</v>
      </c>
      <c r="G1447" s="12" t="s">
        <v>4263</v>
      </c>
      <c r="H1447" s="12" t="s">
        <v>4282</v>
      </c>
      <c r="I1447" s="12" t="s">
        <v>4611</v>
      </c>
      <c r="J1447" s="11" t="s">
        <v>1856</v>
      </c>
      <c r="K1447" s="11" t="s">
        <v>1852</v>
      </c>
      <c r="L1447" s="11" t="s">
        <v>1853</v>
      </c>
      <c r="M1447" s="11" t="s">
        <v>1854</v>
      </c>
      <c r="N1447" s="12"/>
      <c r="O1447" s="11" t="s">
        <v>1858</v>
      </c>
      <c r="P1447" s="56"/>
    </row>
    <row r="1448" spans="1:16" ht="15.75" customHeight="1" x14ac:dyDescent="0.2">
      <c r="A1448" s="48">
        <v>1267</v>
      </c>
      <c r="B1448" s="11" t="s">
        <v>1857</v>
      </c>
      <c r="C1448" s="11" t="s">
        <v>1849</v>
      </c>
      <c r="D1448" s="6" t="s">
        <v>1850</v>
      </c>
      <c r="E1448" s="12" t="s">
        <v>4263</v>
      </c>
      <c r="F1448" s="12" t="s">
        <v>4263</v>
      </c>
      <c r="G1448" s="12" t="s">
        <v>4314</v>
      </c>
      <c r="H1448" s="12" t="s">
        <v>4340</v>
      </c>
      <c r="I1448" s="12" t="s">
        <v>3739</v>
      </c>
      <c r="J1448" s="11" t="s">
        <v>1856</v>
      </c>
      <c r="K1448" s="11" t="s">
        <v>1852</v>
      </c>
      <c r="L1448" s="11" t="s">
        <v>1853</v>
      </c>
      <c r="M1448" s="11" t="s">
        <v>3824</v>
      </c>
      <c r="N1448" s="12" t="s">
        <v>4612</v>
      </c>
      <c r="O1448" s="11" t="s">
        <v>1860</v>
      </c>
      <c r="P1448" s="56"/>
    </row>
    <row r="1449" spans="1:16" ht="15.75" customHeight="1" x14ac:dyDescent="0.2">
      <c r="A1449" s="48">
        <v>1081</v>
      </c>
      <c r="B1449" s="11" t="s">
        <v>1857</v>
      </c>
      <c r="C1449" s="11" t="s">
        <v>1849</v>
      </c>
      <c r="D1449" s="6" t="s">
        <v>1850</v>
      </c>
      <c r="E1449" s="12" t="s">
        <v>4263</v>
      </c>
      <c r="F1449" s="12" t="s">
        <v>4263</v>
      </c>
      <c r="G1449" s="12" t="s">
        <v>4263</v>
      </c>
      <c r="H1449" s="12" t="s">
        <v>4356</v>
      </c>
      <c r="I1449" s="12" t="s">
        <v>4613</v>
      </c>
      <c r="J1449" s="11" t="s">
        <v>1856</v>
      </c>
      <c r="K1449" s="11" t="s">
        <v>1852</v>
      </c>
      <c r="L1449" s="11" t="s">
        <v>1853</v>
      </c>
      <c r="M1449" s="11" t="s">
        <v>4614</v>
      </c>
      <c r="N1449" s="12" t="s">
        <v>4615</v>
      </c>
      <c r="O1449" s="11" t="s">
        <v>1860</v>
      </c>
      <c r="P1449" s="56"/>
    </row>
    <row r="1450" spans="1:16" ht="15.75" customHeight="1" x14ac:dyDescent="0.2">
      <c r="A1450" s="48">
        <v>1143</v>
      </c>
      <c r="B1450" s="11" t="s">
        <v>1857</v>
      </c>
      <c r="C1450" s="11" t="s">
        <v>1849</v>
      </c>
      <c r="D1450" s="6" t="s">
        <v>1850</v>
      </c>
      <c r="E1450" s="12" t="s">
        <v>4263</v>
      </c>
      <c r="F1450" s="12" t="s">
        <v>4263</v>
      </c>
      <c r="G1450" s="12" t="s">
        <v>4263</v>
      </c>
      <c r="H1450" s="12" t="s">
        <v>2845</v>
      </c>
      <c r="I1450" s="12" t="s">
        <v>4616</v>
      </c>
      <c r="J1450" s="11" t="s">
        <v>1856</v>
      </c>
      <c r="K1450" s="11" t="s">
        <v>1852</v>
      </c>
      <c r="L1450" s="11" t="s">
        <v>1853</v>
      </c>
      <c r="M1450" s="11" t="s">
        <v>4617</v>
      </c>
      <c r="N1450" s="12" t="s">
        <v>4618</v>
      </c>
      <c r="O1450" s="11" t="s">
        <v>1858</v>
      </c>
      <c r="P1450" s="56"/>
    </row>
    <row r="1451" spans="1:16" ht="15.75" customHeight="1" x14ac:dyDescent="0.2">
      <c r="A1451" s="48">
        <v>1295</v>
      </c>
      <c r="B1451" s="11" t="s">
        <v>1857</v>
      </c>
      <c r="C1451" s="11" t="s">
        <v>1849</v>
      </c>
      <c r="D1451" s="6" t="s">
        <v>1850</v>
      </c>
      <c r="E1451" s="12" t="s">
        <v>4263</v>
      </c>
      <c r="F1451" s="12" t="s">
        <v>4263</v>
      </c>
      <c r="G1451" s="12" t="s">
        <v>4398</v>
      </c>
      <c r="H1451" s="12" t="s">
        <v>4619</v>
      </c>
      <c r="I1451" s="12" t="s">
        <v>4620</v>
      </c>
      <c r="J1451" s="11" t="s">
        <v>1856</v>
      </c>
      <c r="K1451" s="11" t="s">
        <v>1852</v>
      </c>
      <c r="L1451" s="11" t="s">
        <v>1853</v>
      </c>
      <c r="M1451" s="11" t="s">
        <v>4621</v>
      </c>
      <c r="N1451" s="12" t="s">
        <v>4622</v>
      </c>
      <c r="O1451" s="11" t="s">
        <v>1858</v>
      </c>
      <c r="P1451" s="56"/>
    </row>
    <row r="1452" spans="1:16" ht="15.75" customHeight="1" x14ac:dyDescent="0.2">
      <c r="A1452" s="48">
        <v>1281</v>
      </c>
      <c r="B1452" s="11" t="s">
        <v>1857</v>
      </c>
      <c r="C1452" s="11" t="s">
        <v>1849</v>
      </c>
      <c r="D1452" s="6" t="s">
        <v>1850</v>
      </c>
      <c r="E1452" s="12" t="s">
        <v>4263</v>
      </c>
      <c r="F1452" s="12" t="s">
        <v>4263</v>
      </c>
      <c r="G1452" s="12" t="s">
        <v>4332</v>
      </c>
      <c r="H1452" s="12" t="s">
        <v>4549</v>
      </c>
      <c r="I1452" s="12" t="s">
        <v>4623</v>
      </c>
      <c r="J1452" s="11" t="s">
        <v>1856</v>
      </c>
      <c r="K1452" s="11" t="s">
        <v>1852</v>
      </c>
      <c r="L1452" s="11" t="s">
        <v>1853</v>
      </c>
      <c r="M1452" s="11" t="s">
        <v>1854</v>
      </c>
      <c r="N1452" s="12"/>
      <c r="O1452" s="11" t="s">
        <v>1859</v>
      </c>
      <c r="P1452" s="56"/>
    </row>
    <row r="1453" spans="1:16" ht="15.75" customHeight="1" x14ac:dyDescent="0.2">
      <c r="A1453" s="48">
        <v>1026</v>
      </c>
      <c r="B1453" s="11" t="s">
        <v>1857</v>
      </c>
      <c r="C1453" s="11" t="s">
        <v>1849</v>
      </c>
      <c r="D1453" s="6" t="s">
        <v>1850</v>
      </c>
      <c r="E1453" s="12" t="s">
        <v>4263</v>
      </c>
      <c r="F1453" s="12" t="s">
        <v>4263</v>
      </c>
      <c r="G1453" s="12" t="s">
        <v>4263</v>
      </c>
      <c r="H1453" s="12" t="s">
        <v>4356</v>
      </c>
      <c r="I1453" s="12" t="s">
        <v>4624</v>
      </c>
      <c r="J1453" s="11" t="s">
        <v>1856</v>
      </c>
      <c r="K1453" s="11" t="s">
        <v>1852</v>
      </c>
      <c r="L1453" s="11" t="s">
        <v>1853</v>
      </c>
      <c r="M1453" s="11" t="s">
        <v>1854</v>
      </c>
      <c r="N1453" s="12"/>
      <c r="O1453" s="11" t="s">
        <v>1858</v>
      </c>
      <c r="P1453" s="56"/>
    </row>
    <row r="1454" spans="1:16" ht="15.75" customHeight="1" x14ac:dyDescent="0.2">
      <c r="A1454" s="48">
        <v>1177</v>
      </c>
      <c r="B1454" s="11" t="s">
        <v>1857</v>
      </c>
      <c r="C1454" s="11" t="s">
        <v>1849</v>
      </c>
      <c r="D1454" s="6" t="s">
        <v>1850</v>
      </c>
      <c r="E1454" s="12" t="s">
        <v>4263</v>
      </c>
      <c r="F1454" s="12" t="s">
        <v>4263</v>
      </c>
      <c r="G1454" s="12" t="s">
        <v>4311</v>
      </c>
      <c r="H1454" s="12" t="s">
        <v>4376</v>
      </c>
      <c r="I1454" s="12" t="s">
        <v>4625</v>
      </c>
      <c r="J1454" s="11" t="s">
        <v>1856</v>
      </c>
      <c r="K1454" s="11" t="s">
        <v>1852</v>
      </c>
      <c r="L1454" s="11" t="s">
        <v>1853</v>
      </c>
      <c r="M1454" s="11" t="s">
        <v>4626</v>
      </c>
      <c r="N1454" s="12" t="s">
        <v>4627</v>
      </c>
      <c r="O1454" s="11" t="s">
        <v>1860</v>
      </c>
      <c r="P1454" s="56"/>
    </row>
    <row r="1455" spans="1:16" ht="15.75" customHeight="1" x14ac:dyDescent="0.2">
      <c r="A1455" s="48">
        <v>1171</v>
      </c>
      <c r="B1455" s="11" t="s">
        <v>1857</v>
      </c>
      <c r="C1455" s="11" t="s">
        <v>1849</v>
      </c>
      <c r="D1455" s="6" t="s">
        <v>1850</v>
      </c>
      <c r="E1455" s="12" t="s">
        <v>4263</v>
      </c>
      <c r="F1455" s="12" t="s">
        <v>4263</v>
      </c>
      <c r="G1455" s="12" t="s">
        <v>4311</v>
      </c>
      <c r="H1455" s="12" t="s">
        <v>4376</v>
      </c>
      <c r="I1455" s="12" t="s">
        <v>4628</v>
      </c>
      <c r="J1455" s="11" t="s">
        <v>1856</v>
      </c>
      <c r="K1455" s="11" t="s">
        <v>1852</v>
      </c>
      <c r="L1455" s="11" t="s">
        <v>1853</v>
      </c>
      <c r="M1455" s="11" t="s">
        <v>3879</v>
      </c>
      <c r="N1455" s="12" t="s">
        <v>4629</v>
      </c>
      <c r="O1455" s="11" t="s">
        <v>1860</v>
      </c>
      <c r="P1455" s="56"/>
    </row>
    <row r="1456" spans="1:16" ht="15.75" customHeight="1" x14ac:dyDescent="0.2">
      <c r="A1456" s="48">
        <v>1255</v>
      </c>
      <c r="B1456" s="11" t="s">
        <v>1857</v>
      </c>
      <c r="C1456" s="11" t="s">
        <v>1849</v>
      </c>
      <c r="D1456" s="6" t="s">
        <v>1850</v>
      </c>
      <c r="E1456" s="12" t="s">
        <v>4263</v>
      </c>
      <c r="F1456" s="12" t="s">
        <v>4263</v>
      </c>
      <c r="G1456" s="12" t="s">
        <v>4314</v>
      </c>
      <c r="H1456" s="12" t="s">
        <v>3617</v>
      </c>
      <c r="I1456" s="12" t="s">
        <v>4630</v>
      </c>
      <c r="J1456" s="11" t="s">
        <v>1856</v>
      </c>
      <c r="K1456" s="11" t="s">
        <v>1852</v>
      </c>
      <c r="L1456" s="11" t="s">
        <v>1853</v>
      </c>
      <c r="M1456" s="11" t="s">
        <v>4471</v>
      </c>
      <c r="N1456" s="12"/>
      <c r="O1456" s="11" t="s">
        <v>1860</v>
      </c>
      <c r="P1456" s="56"/>
    </row>
    <row r="1457" spans="1:16" ht="15.75" customHeight="1" x14ac:dyDescent="0.2">
      <c r="A1457" s="48">
        <v>1160</v>
      </c>
      <c r="B1457" s="11" t="s">
        <v>1857</v>
      </c>
      <c r="C1457" s="11" t="s">
        <v>1849</v>
      </c>
      <c r="D1457" s="6" t="s">
        <v>1850</v>
      </c>
      <c r="E1457" s="12" t="s">
        <v>4263</v>
      </c>
      <c r="F1457" s="12" t="s">
        <v>4263</v>
      </c>
      <c r="G1457" s="12" t="s">
        <v>4311</v>
      </c>
      <c r="H1457" s="12" t="s">
        <v>4347</v>
      </c>
      <c r="I1457" s="12" t="s">
        <v>4495</v>
      </c>
      <c r="J1457" s="11" t="s">
        <v>1856</v>
      </c>
      <c r="K1457" s="11" t="s">
        <v>1852</v>
      </c>
      <c r="L1457" s="11" t="s">
        <v>1853</v>
      </c>
      <c r="M1457" s="11" t="s">
        <v>4631</v>
      </c>
      <c r="N1457" s="12"/>
      <c r="O1457" s="11" t="s">
        <v>1858</v>
      </c>
      <c r="P1457" s="56"/>
    </row>
    <row r="1458" spans="1:16" ht="15.75" customHeight="1" x14ac:dyDescent="0.2">
      <c r="A1458" s="48">
        <v>1244</v>
      </c>
      <c r="B1458" s="11" t="s">
        <v>1857</v>
      </c>
      <c r="C1458" s="11" t="s">
        <v>1849</v>
      </c>
      <c r="D1458" s="6" t="s">
        <v>1850</v>
      </c>
      <c r="E1458" s="12" t="s">
        <v>4263</v>
      </c>
      <c r="F1458" s="12" t="s">
        <v>4263</v>
      </c>
      <c r="G1458" s="12" t="s">
        <v>4314</v>
      </c>
      <c r="H1458" s="12" t="s">
        <v>4315</v>
      </c>
      <c r="I1458" s="12" t="s">
        <v>4632</v>
      </c>
      <c r="J1458" s="11" t="s">
        <v>1856</v>
      </c>
      <c r="K1458" s="11" t="s">
        <v>1852</v>
      </c>
      <c r="L1458" s="11" t="s">
        <v>1853</v>
      </c>
      <c r="M1458" s="11" t="s">
        <v>1958</v>
      </c>
      <c r="N1458" s="12"/>
      <c r="O1458" s="11" t="s">
        <v>1859</v>
      </c>
      <c r="P1458" s="56"/>
    </row>
    <row r="1459" spans="1:16" ht="15.75" customHeight="1" x14ac:dyDescent="0.2">
      <c r="A1459" s="48">
        <v>1111</v>
      </c>
      <c r="B1459" s="11" t="s">
        <v>1857</v>
      </c>
      <c r="C1459" s="11" t="s">
        <v>1849</v>
      </c>
      <c r="D1459" s="6" t="s">
        <v>1850</v>
      </c>
      <c r="E1459" s="12" t="s">
        <v>4263</v>
      </c>
      <c r="F1459" s="12" t="s">
        <v>4263</v>
      </c>
      <c r="G1459" s="12" t="s">
        <v>4311</v>
      </c>
      <c r="H1459" s="12" t="s">
        <v>4376</v>
      </c>
      <c r="I1459" s="12" t="s">
        <v>4633</v>
      </c>
      <c r="J1459" s="11" t="s">
        <v>1856</v>
      </c>
      <c r="K1459" s="11" t="s">
        <v>1852</v>
      </c>
      <c r="L1459" s="11" t="s">
        <v>1853</v>
      </c>
      <c r="M1459" s="11" t="s">
        <v>4634</v>
      </c>
      <c r="N1459" s="12"/>
      <c r="O1459" s="11" t="s">
        <v>1858</v>
      </c>
      <c r="P1459" s="56"/>
    </row>
    <row r="1460" spans="1:16" ht="15.75" customHeight="1" x14ac:dyDescent="0.2">
      <c r="A1460" s="48">
        <v>5432</v>
      </c>
      <c r="B1460" s="11" t="s">
        <v>1857</v>
      </c>
      <c r="C1460" s="11" t="s">
        <v>1849</v>
      </c>
      <c r="D1460" s="6" t="s">
        <v>1850</v>
      </c>
      <c r="E1460" s="12" t="s">
        <v>4263</v>
      </c>
      <c r="F1460" s="12" t="s">
        <v>4263</v>
      </c>
      <c r="G1460" s="12" t="s">
        <v>4349</v>
      </c>
      <c r="H1460" s="12" t="s">
        <v>4315</v>
      </c>
      <c r="I1460" s="12" t="s">
        <v>4635</v>
      </c>
      <c r="J1460" s="11" t="s">
        <v>1856</v>
      </c>
      <c r="K1460" s="11" t="s">
        <v>1852</v>
      </c>
      <c r="L1460" s="11" t="s">
        <v>1853</v>
      </c>
      <c r="M1460" s="11" t="s">
        <v>4471</v>
      </c>
      <c r="N1460" s="12" t="s">
        <v>4530</v>
      </c>
      <c r="O1460" s="11" t="s">
        <v>1858</v>
      </c>
      <c r="P1460" s="56"/>
    </row>
    <row r="1461" spans="1:16" ht="15.75" customHeight="1" x14ac:dyDescent="0.2">
      <c r="A1461" s="48">
        <v>1203</v>
      </c>
      <c r="B1461" s="11" t="s">
        <v>1857</v>
      </c>
      <c r="C1461" s="11" t="s">
        <v>1849</v>
      </c>
      <c r="D1461" s="6" t="s">
        <v>1850</v>
      </c>
      <c r="E1461" s="12" t="s">
        <v>4263</v>
      </c>
      <c r="F1461" s="12" t="s">
        <v>4263</v>
      </c>
      <c r="G1461" s="12" t="s">
        <v>4349</v>
      </c>
      <c r="H1461" s="12" t="s">
        <v>4340</v>
      </c>
      <c r="I1461" s="12" t="s">
        <v>4636</v>
      </c>
      <c r="J1461" s="11" t="s">
        <v>1856</v>
      </c>
      <c r="K1461" s="11" t="s">
        <v>1852</v>
      </c>
      <c r="L1461" s="11" t="s">
        <v>1853</v>
      </c>
      <c r="M1461" s="11" t="s">
        <v>1854</v>
      </c>
      <c r="N1461" s="12"/>
      <c r="O1461" s="11" t="s">
        <v>1858</v>
      </c>
      <c r="P1461" s="56"/>
    </row>
    <row r="1462" spans="1:16" ht="15.75" customHeight="1" x14ac:dyDescent="0.2">
      <c r="A1462" s="48">
        <v>1292</v>
      </c>
      <c r="B1462" s="11" t="s">
        <v>1857</v>
      </c>
      <c r="C1462" s="11" t="s">
        <v>1849</v>
      </c>
      <c r="D1462" s="6" t="s">
        <v>1850</v>
      </c>
      <c r="E1462" s="12" t="s">
        <v>4263</v>
      </c>
      <c r="F1462" s="12" t="s">
        <v>4263</v>
      </c>
      <c r="G1462" s="12" t="s">
        <v>4398</v>
      </c>
      <c r="H1462" s="12" t="s">
        <v>4637</v>
      </c>
      <c r="I1462" s="12" t="s">
        <v>4638</v>
      </c>
      <c r="J1462" s="11" t="s">
        <v>1856</v>
      </c>
      <c r="K1462" s="11" t="s">
        <v>1852</v>
      </c>
      <c r="L1462" s="11" t="s">
        <v>1853</v>
      </c>
      <c r="M1462" s="11" t="s">
        <v>4639</v>
      </c>
      <c r="N1462" s="12" t="s">
        <v>4640</v>
      </c>
      <c r="O1462" s="11" t="s">
        <v>1858</v>
      </c>
      <c r="P1462" s="56"/>
    </row>
    <row r="1463" spans="1:16" ht="15.75" customHeight="1" x14ac:dyDescent="0.2">
      <c r="A1463" s="48">
        <v>1182</v>
      </c>
      <c r="B1463" s="11" t="s">
        <v>1857</v>
      </c>
      <c r="C1463" s="11" t="s">
        <v>1849</v>
      </c>
      <c r="D1463" s="6" t="s">
        <v>1850</v>
      </c>
      <c r="E1463" s="12" t="s">
        <v>4263</v>
      </c>
      <c r="F1463" s="12" t="s">
        <v>4263</v>
      </c>
      <c r="G1463" s="12" t="s">
        <v>4311</v>
      </c>
      <c r="H1463" s="12" t="s">
        <v>4376</v>
      </c>
      <c r="I1463" s="12" t="s">
        <v>4641</v>
      </c>
      <c r="J1463" s="11" t="s">
        <v>1856</v>
      </c>
      <c r="K1463" s="11" t="s">
        <v>1852</v>
      </c>
      <c r="L1463" s="11" t="s">
        <v>1853</v>
      </c>
      <c r="M1463" s="11" t="s">
        <v>3969</v>
      </c>
      <c r="N1463" s="12" t="s">
        <v>4642</v>
      </c>
      <c r="O1463" s="11" t="s">
        <v>1859</v>
      </c>
      <c r="P1463" s="56"/>
    </row>
    <row r="1464" spans="1:16" ht="15.75" customHeight="1" x14ac:dyDescent="0.2">
      <c r="A1464" s="48">
        <v>1205</v>
      </c>
      <c r="B1464" s="11" t="s">
        <v>1857</v>
      </c>
      <c r="C1464" s="11" t="s">
        <v>1849</v>
      </c>
      <c r="D1464" s="6" t="s">
        <v>1850</v>
      </c>
      <c r="E1464" s="12" t="s">
        <v>4263</v>
      </c>
      <c r="F1464" s="12" t="s">
        <v>4263</v>
      </c>
      <c r="G1464" s="12" t="s">
        <v>4314</v>
      </c>
      <c r="H1464" s="12" t="s">
        <v>4340</v>
      </c>
      <c r="I1464" s="12" t="s">
        <v>4643</v>
      </c>
      <c r="J1464" s="11" t="s">
        <v>1856</v>
      </c>
      <c r="K1464" s="11" t="s">
        <v>1852</v>
      </c>
      <c r="L1464" s="11" t="s">
        <v>1853</v>
      </c>
      <c r="M1464" s="11" t="s">
        <v>4644</v>
      </c>
      <c r="N1464" s="12"/>
      <c r="O1464" s="11" t="s">
        <v>1860</v>
      </c>
      <c r="P1464" s="56"/>
    </row>
    <row r="1465" spans="1:16" ht="15.75" customHeight="1" x14ac:dyDescent="0.2">
      <c r="A1465" s="48">
        <v>1222</v>
      </c>
      <c r="B1465" s="11" t="s">
        <v>1857</v>
      </c>
      <c r="C1465" s="11" t="s">
        <v>1849</v>
      </c>
      <c r="D1465" s="6" t="s">
        <v>1850</v>
      </c>
      <c r="E1465" s="12" t="s">
        <v>4263</v>
      </c>
      <c r="F1465" s="12" t="s">
        <v>4263</v>
      </c>
      <c r="G1465" s="12" t="s">
        <v>4314</v>
      </c>
      <c r="H1465" s="12" t="s">
        <v>4334</v>
      </c>
      <c r="I1465" s="12" t="s">
        <v>4645</v>
      </c>
      <c r="J1465" s="11" t="s">
        <v>1856</v>
      </c>
      <c r="K1465" s="11" t="s">
        <v>1852</v>
      </c>
      <c r="L1465" s="11" t="s">
        <v>1853</v>
      </c>
      <c r="M1465" s="11" t="s">
        <v>1854</v>
      </c>
      <c r="N1465" s="12"/>
      <c r="O1465" s="11" t="s">
        <v>1859</v>
      </c>
      <c r="P1465" s="56"/>
    </row>
    <row r="1466" spans="1:16" ht="15.75" customHeight="1" x14ac:dyDescent="0.2">
      <c r="A1466" s="48">
        <v>1227</v>
      </c>
      <c r="B1466" s="11" t="s">
        <v>1857</v>
      </c>
      <c r="C1466" s="11" t="s">
        <v>1849</v>
      </c>
      <c r="D1466" s="6" t="s">
        <v>1850</v>
      </c>
      <c r="E1466" s="12" t="s">
        <v>4263</v>
      </c>
      <c r="F1466" s="12" t="s">
        <v>4263</v>
      </c>
      <c r="G1466" s="12" t="s">
        <v>4314</v>
      </c>
      <c r="H1466" s="12" t="s">
        <v>4334</v>
      </c>
      <c r="I1466" s="12" t="s">
        <v>4646</v>
      </c>
      <c r="J1466" s="11" t="s">
        <v>1856</v>
      </c>
      <c r="K1466" s="11" t="s">
        <v>1852</v>
      </c>
      <c r="L1466" s="11" t="s">
        <v>1853</v>
      </c>
      <c r="M1466" s="11" t="s">
        <v>3602</v>
      </c>
      <c r="N1466" s="12"/>
      <c r="O1466" s="11" t="s">
        <v>1860</v>
      </c>
      <c r="P1466" s="56"/>
    </row>
    <row r="1467" spans="1:16" ht="15.75" customHeight="1" x14ac:dyDescent="0.2">
      <c r="A1467" s="48">
        <v>682</v>
      </c>
      <c r="B1467" s="11" t="s">
        <v>1857</v>
      </c>
      <c r="C1467" s="11" t="s">
        <v>1849</v>
      </c>
      <c r="D1467" s="6" t="s">
        <v>1850</v>
      </c>
      <c r="E1467" s="12" t="s">
        <v>4263</v>
      </c>
      <c r="F1467" s="12" t="s">
        <v>4263</v>
      </c>
      <c r="G1467" s="12" t="s">
        <v>4314</v>
      </c>
      <c r="H1467" s="12" t="s">
        <v>4334</v>
      </c>
      <c r="I1467" s="12" t="s">
        <v>4647</v>
      </c>
      <c r="J1467" s="11" t="s">
        <v>1856</v>
      </c>
      <c r="K1467" s="11" t="s">
        <v>1852</v>
      </c>
      <c r="L1467" s="11" t="s">
        <v>1853</v>
      </c>
      <c r="M1467" s="11" t="s">
        <v>3824</v>
      </c>
      <c r="N1467" s="12"/>
      <c r="O1467" s="11" t="s">
        <v>1858</v>
      </c>
      <c r="P1467" s="56"/>
    </row>
    <row r="1468" spans="1:16" ht="15.75" customHeight="1" x14ac:dyDescent="0.2">
      <c r="A1468" s="48">
        <v>1164</v>
      </c>
      <c r="B1468" s="11" t="s">
        <v>1857</v>
      </c>
      <c r="C1468" s="11" t="s">
        <v>1849</v>
      </c>
      <c r="D1468" s="6" t="s">
        <v>1850</v>
      </c>
      <c r="E1468" s="12" t="s">
        <v>4263</v>
      </c>
      <c r="F1468" s="12" t="s">
        <v>4263</v>
      </c>
      <c r="G1468" s="12" t="s">
        <v>4311</v>
      </c>
      <c r="H1468" s="12" t="s">
        <v>4386</v>
      </c>
      <c r="I1468" s="12" t="s">
        <v>4648</v>
      </c>
      <c r="J1468" s="11" t="s">
        <v>1856</v>
      </c>
      <c r="K1468" s="11" t="s">
        <v>1852</v>
      </c>
      <c r="L1468" s="11" t="s">
        <v>1853</v>
      </c>
      <c r="M1468" s="11" t="s">
        <v>2276</v>
      </c>
      <c r="N1468" s="12"/>
      <c r="O1468" s="11" t="s">
        <v>1858</v>
      </c>
      <c r="P1468" s="56"/>
    </row>
    <row r="1469" spans="1:16" ht="15.75" customHeight="1" x14ac:dyDescent="0.2">
      <c r="A1469" s="48">
        <v>1154</v>
      </c>
      <c r="B1469" s="11" t="s">
        <v>1857</v>
      </c>
      <c r="C1469" s="11" t="s">
        <v>1849</v>
      </c>
      <c r="D1469" s="6" t="s">
        <v>1850</v>
      </c>
      <c r="E1469" s="12" t="s">
        <v>4263</v>
      </c>
      <c r="F1469" s="12" t="s">
        <v>4263</v>
      </c>
      <c r="G1469" s="12" t="s">
        <v>4263</v>
      </c>
      <c r="H1469" s="12" t="s">
        <v>2728</v>
      </c>
      <c r="I1469" s="12" t="s">
        <v>4649</v>
      </c>
      <c r="J1469" s="11" t="s">
        <v>1856</v>
      </c>
      <c r="K1469" s="11" t="s">
        <v>1852</v>
      </c>
      <c r="L1469" s="11" t="s">
        <v>1853</v>
      </c>
      <c r="M1469" s="11" t="s">
        <v>1854</v>
      </c>
      <c r="N1469" s="12"/>
      <c r="O1469" s="11" t="s">
        <v>1858</v>
      </c>
      <c r="P1469" s="56"/>
    </row>
    <row r="1470" spans="1:16" ht="15.75" customHeight="1" x14ac:dyDescent="0.2">
      <c r="A1470" s="48">
        <v>1129</v>
      </c>
      <c r="B1470" s="11" t="s">
        <v>1857</v>
      </c>
      <c r="C1470" s="11" t="s">
        <v>1849</v>
      </c>
      <c r="D1470" s="6" t="s">
        <v>1850</v>
      </c>
      <c r="E1470" s="12" t="s">
        <v>4263</v>
      </c>
      <c r="F1470" s="12" t="s">
        <v>4263</v>
      </c>
      <c r="G1470" s="12" t="s">
        <v>4263</v>
      </c>
      <c r="H1470" s="12" t="s">
        <v>4328</v>
      </c>
      <c r="I1470" s="12" t="s">
        <v>4650</v>
      </c>
      <c r="J1470" s="11" t="s">
        <v>1856</v>
      </c>
      <c r="K1470" s="11" t="s">
        <v>1852</v>
      </c>
      <c r="L1470" s="11" t="s">
        <v>1853</v>
      </c>
      <c r="M1470" s="11" t="s">
        <v>4651</v>
      </c>
      <c r="N1470" s="12"/>
      <c r="O1470" s="11" t="s">
        <v>1858</v>
      </c>
      <c r="P1470" s="56"/>
    </row>
    <row r="1471" spans="1:16" ht="15.75" customHeight="1" x14ac:dyDescent="0.2">
      <c r="A1471" s="48">
        <v>16133</v>
      </c>
      <c r="B1471" s="11" t="s">
        <v>1871</v>
      </c>
      <c r="C1471" s="11" t="s">
        <v>1849</v>
      </c>
      <c r="D1471" s="6" t="s">
        <v>1850</v>
      </c>
      <c r="E1471" s="12" t="s">
        <v>4263</v>
      </c>
      <c r="F1471" s="12" t="s">
        <v>4263</v>
      </c>
      <c r="G1471" s="12" t="s">
        <v>4263</v>
      </c>
      <c r="H1471" s="12" t="s">
        <v>4304</v>
      </c>
      <c r="I1471" s="12" t="s">
        <v>4652</v>
      </c>
      <c r="J1471" s="11" t="s">
        <v>1856</v>
      </c>
      <c r="K1471" s="11" t="s">
        <v>1852</v>
      </c>
      <c r="L1471" s="11" t="s">
        <v>1853</v>
      </c>
      <c r="M1471" s="12" t="s">
        <v>1854</v>
      </c>
      <c r="N1471" s="12"/>
      <c r="O1471" s="11" t="s">
        <v>1866</v>
      </c>
      <c r="P1471" s="56"/>
    </row>
    <row r="1472" spans="1:16" ht="15.75" customHeight="1" x14ac:dyDescent="0.2">
      <c r="A1472" s="48">
        <v>6840</v>
      </c>
      <c r="B1472" s="11" t="s">
        <v>1871</v>
      </c>
      <c r="C1472" s="11" t="s">
        <v>1849</v>
      </c>
      <c r="D1472" s="6" t="s">
        <v>1850</v>
      </c>
      <c r="E1472" s="12" t="s">
        <v>4263</v>
      </c>
      <c r="F1472" s="12" t="s">
        <v>4263</v>
      </c>
      <c r="G1472" s="12" t="s">
        <v>4332</v>
      </c>
      <c r="H1472" s="12" t="s">
        <v>4510</v>
      </c>
      <c r="I1472" s="12" t="s">
        <v>4653</v>
      </c>
      <c r="J1472" s="11" t="s">
        <v>1856</v>
      </c>
      <c r="K1472" s="11" t="s">
        <v>1852</v>
      </c>
      <c r="L1472" s="11" t="s">
        <v>1853</v>
      </c>
      <c r="M1472" s="11" t="s">
        <v>1854</v>
      </c>
      <c r="N1472" s="12"/>
      <c r="O1472" s="11" t="s">
        <v>1854</v>
      </c>
      <c r="P1472" s="56"/>
    </row>
    <row r="1473" spans="1:16" ht="15.75" customHeight="1" x14ac:dyDescent="0.2">
      <c r="A1473" s="48">
        <v>1147</v>
      </c>
      <c r="B1473" s="11" t="s">
        <v>1871</v>
      </c>
      <c r="C1473" s="11" t="s">
        <v>1849</v>
      </c>
      <c r="D1473" s="6" t="s">
        <v>1850</v>
      </c>
      <c r="E1473" s="12" t="s">
        <v>4263</v>
      </c>
      <c r="F1473" s="12" t="s">
        <v>4263</v>
      </c>
      <c r="G1473" s="12" t="s">
        <v>4263</v>
      </c>
      <c r="H1473" s="12" t="s">
        <v>2845</v>
      </c>
      <c r="I1473" s="12" t="s">
        <v>4654</v>
      </c>
      <c r="J1473" s="11" t="s">
        <v>1856</v>
      </c>
      <c r="K1473" s="11" t="s">
        <v>1852</v>
      </c>
      <c r="L1473" s="11" t="s">
        <v>1853</v>
      </c>
      <c r="M1473" s="11" t="s">
        <v>1854</v>
      </c>
      <c r="N1473" s="12"/>
      <c r="O1473" s="11" t="s">
        <v>1866</v>
      </c>
      <c r="P1473" s="56" t="s">
        <v>3343</v>
      </c>
    </row>
    <row r="1474" spans="1:16" ht="15.75" customHeight="1" x14ac:dyDescent="0.2">
      <c r="A1474" s="48">
        <v>15929</v>
      </c>
      <c r="B1474" s="11" t="s">
        <v>1871</v>
      </c>
      <c r="C1474" s="11" t="s">
        <v>1849</v>
      </c>
      <c r="D1474" s="6" t="s">
        <v>1850</v>
      </c>
      <c r="E1474" s="12" t="s">
        <v>4263</v>
      </c>
      <c r="F1474" s="12" t="s">
        <v>4263</v>
      </c>
      <c r="G1474" s="12" t="s">
        <v>4337</v>
      </c>
      <c r="H1474" s="12" t="s">
        <v>4338</v>
      </c>
      <c r="I1474" s="12" t="s">
        <v>4655</v>
      </c>
      <c r="J1474" s="11" t="s">
        <v>1856</v>
      </c>
      <c r="K1474" s="11" t="s">
        <v>1852</v>
      </c>
      <c r="L1474" s="11" t="s">
        <v>1853</v>
      </c>
      <c r="M1474" s="11" t="s">
        <v>1854</v>
      </c>
      <c r="N1474" s="12"/>
      <c r="O1474" s="11" t="s">
        <v>3016</v>
      </c>
      <c r="P1474" s="56" t="s">
        <v>3364</v>
      </c>
    </row>
    <row r="1475" spans="1:16" ht="15.75" customHeight="1" x14ac:dyDescent="0.2">
      <c r="A1475" s="48">
        <v>15974</v>
      </c>
      <c r="B1475" s="11" t="s">
        <v>1871</v>
      </c>
      <c r="C1475" s="11" t="s">
        <v>1849</v>
      </c>
      <c r="D1475" s="6" t="s">
        <v>1850</v>
      </c>
      <c r="E1475" s="12" t="s">
        <v>4263</v>
      </c>
      <c r="F1475" s="12" t="s">
        <v>4263</v>
      </c>
      <c r="G1475" s="12" t="s">
        <v>4263</v>
      </c>
      <c r="H1475" s="12" t="s">
        <v>4267</v>
      </c>
      <c r="I1475" s="12" t="s">
        <v>4656</v>
      </c>
      <c r="J1475" s="11" t="s">
        <v>1851</v>
      </c>
      <c r="K1475" s="11" t="s">
        <v>1852</v>
      </c>
      <c r="L1475" s="11" t="s">
        <v>1853</v>
      </c>
      <c r="M1475" s="11" t="s">
        <v>1854</v>
      </c>
      <c r="N1475" s="12"/>
      <c r="O1475" s="11" t="s">
        <v>1859</v>
      </c>
      <c r="P1475" s="56"/>
    </row>
    <row r="1476" spans="1:16" ht="15.75" customHeight="1" x14ac:dyDescent="0.2">
      <c r="A1476" s="48">
        <v>15409</v>
      </c>
      <c r="B1476" s="11" t="s">
        <v>1871</v>
      </c>
      <c r="C1476" s="11" t="s">
        <v>1849</v>
      </c>
      <c r="D1476" s="6" t="s">
        <v>1850</v>
      </c>
      <c r="E1476" s="12" t="s">
        <v>4263</v>
      </c>
      <c r="F1476" s="12" t="s">
        <v>4263</v>
      </c>
      <c r="G1476" s="12" t="s">
        <v>4263</v>
      </c>
      <c r="H1476" s="12" t="s">
        <v>4267</v>
      </c>
      <c r="I1476" s="12" t="s">
        <v>4657</v>
      </c>
      <c r="J1476" s="11" t="s">
        <v>1851</v>
      </c>
      <c r="K1476" s="11" t="s">
        <v>1852</v>
      </c>
      <c r="L1476" s="11" t="s">
        <v>1853</v>
      </c>
      <c r="M1476" s="11" t="s">
        <v>1854</v>
      </c>
      <c r="N1476" s="12"/>
      <c r="O1476" s="11" t="s">
        <v>1859</v>
      </c>
      <c r="P1476" s="56"/>
    </row>
    <row r="1477" spans="1:16" ht="15.75" customHeight="1" x14ac:dyDescent="0.2">
      <c r="A1477" s="48">
        <v>1053</v>
      </c>
      <c r="B1477" s="11" t="s">
        <v>1871</v>
      </c>
      <c r="C1477" s="11" t="s">
        <v>1849</v>
      </c>
      <c r="D1477" s="6" t="s">
        <v>1850</v>
      </c>
      <c r="E1477" s="12" t="s">
        <v>4263</v>
      </c>
      <c r="F1477" s="12" t="s">
        <v>4263</v>
      </c>
      <c r="G1477" s="12" t="s">
        <v>4263</v>
      </c>
      <c r="H1477" s="12" t="s">
        <v>4264</v>
      </c>
      <c r="I1477" s="12" t="s">
        <v>4658</v>
      </c>
      <c r="J1477" s="11" t="s">
        <v>1851</v>
      </c>
      <c r="K1477" s="11" t="s">
        <v>1852</v>
      </c>
      <c r="L1477" s="11" t="s">
        <v>1853</v>
      </c>
      <c r="M1477" s="11" t="s">
        <v>1854</v>
      </c>
      <c r="N1477" s="12"/>
      <c r="O1477" s="11" t="s">
        <v>1866</v>
      </c>
      <c r="P1477" s="56" t="s">
        <v>4659</v>
      </c>
    </row>
    <row r="1478" spans="1:16" ht="15.75" customHeight="1" x14ac:dyDescent="0.2">
      <c r="A1478" s="48">
        <v>1054</v>
      </c>
      <c r="B1478" s="11" t="s">
        <v>1871</v>
      </c>
      <c r="C1478" s="11" t="s">
        <v>1849</v>
      </c>
      <c r="D1478" s="6" t="s">
        <v>1850</v>
      </c>
      <c r="E1478" s="12" t="s">
        <v>4263</v>
      </c>
      <c r="F1478" s="12" t="s">
        <v>4263</v>
      </c>
      <c r="G1478" s="12" t="s">
        <v>4263</v>
      </c>
      <c r="H1478" s="12" t="s">
        <v>4282</v>
      </c>
      <c r="I1478" s="12" t="s">
        <v>4660</v>
      </c>
      <c r="J1478" s="11" t="s">
        <v>1851</v>
      </c>
      <c r="K1478" s="11" t="s">
        <v>1852</v>
      </c>
      <c r="L1478" s="11" t="s">
        <v>1853</v>
      </c>
      <c r="M1478" s="11" t="s">
        <v>1854</v>
      </c>
      <c r="N1478" s="12"/>
      <c r="O1478" s="11" t="s">
        <v>2022</v>
      </c>
      <c r="P1478" s="56" t="s">
        <v>4661</v>
      </c>
    </row>
    <row r="1479" spans="1:16" ht="15.75" customHeight="1" x14ac:dyDescent="0.2">
      <c r="A1479" s="48">
        <v>15408</v>
      </c>
      <c r="B1479" s="11" t="s">
        <v>1871</v>
      </c>
      <c r="C1479" s="11" t="s">
        <v>1849</v>
      </c>
      <c r="D1479" s="6" t="s">
        <v>1850</v>
      </c>
      <c r="E1479" s="12" t="s">
        <v>4263</v>
      </c>
      <c r="F1479" s="12" t="s">
        <v>4263</v>
      </c>
      <c r="G1479" s="12" t="s">
        <v>4263</v>
      </c>
      <c r="H1479" s="12" t="s">
        <v>4282</v>
      </c>
      <c r="I1479" s="12" t="s">
        <v>4662</v>
      </c>
      <c r="J1479" s="11" t="s">
        <v>1856</v>
      </c>
      <c r="K1479" s="11" t="s">
        <v>1852</v>
      </c>
      <c r="L1479" s="11" t="s">
        <v>1853</v>
      </c>
      <c r="M1479" s="11" t="s">
        <v>4663</v>
      </c>
      <c r="N1479" s="12"/>
      <c r="O1479" s="11" t="s">
        <v>1859</v>
      </c>
      <c r="P1479" s="56"/>
    </row>
    <row r="1480" spans="1:16" ht="15.75" customHeight="1" x14ac:dyDescent="0.2">
      <c r="A1480" s="48">
        <v>15680</v>
      </c>
      <c r="B1480" s="11" t="s">
        <v>1871</v>
      </c>
      <c r="C1480" s="11" t="s">
        <v>1849</v>
      </c>
      <c r="D1480" s="6" t="s">
        <v>1850</v>
      </c>
      <c r="E1480" s="12" t="s">
        <v>4263</v>
      </c>
      <c r="F1480" s="12" t="s">
        <v>4263</v>
      </c>
      <c r="G1480" s="12" t="s">
        <v>4263</v>
      </c>
      <c r="H1480" s="12" t="s">
        <v>4267</v>
      </c>
      <c r="I1480" s="12" t="s">
        <v>4664</v>
      </c>
      <c r="J1480" s="11" t="s">
        <v>1856</v>
      </c>
      <c r="K1480" s="11" t="s">
        <v>1852</v>
      </c>
      <c r="L1480" s="11" t="s">
        <v>1853</v>
      </c>
      <c r="M1480" s="11" t="s">
        <v>1854</v>
      </c>
      <c r="N1480" s="12"/>
      <c r="O1480" s="11" t="s">
        <v>2350</v>
      </c>
      <c r="P1480" s="56" t="s">
        <v>4665</v>
      </c>
    </row>
    <row r="1481" spans="1:16" ht="15.75" customHeight="1" x14ac:dyDescent="0.2">
      <c r="A1481" s="48">
        <v>16097</v>
      </c>
      <c r="B1481" s="11" t="s">
        <v>1871</v>
      </c>
      <c r="C1481" s="11" t="s">
        <v>1849</v>
      </c>
      <c r="D1481" s="6" t="s">
        <v>1850</v>
      </c>
      <c r="E1481" s="12" t="s">
        <v>4263</v>
      </c>
      <c r="F1481" s="12" t="s">
        <v>4263</v>
      </c>
      <c r="G1481" s="12" t="s">
        <v>4263</v>
      </c>
      <c r="H1481" s="12" t="s">
        <v>4666</v>
      </c>
      <c r="I1481" s="12" t="s">
        <v>4667</v>
      </c>
      <c r="J1481" s="11" t="s">
        <v>1856</v>
      </c>
      <c r="K1481" s="11" t="s">
        <v>1852</v>
      </c>
      <c r="L1481" s="11" t="s">
        <v>1853</v>
      </c>
      <c r="M1481" s="11" t="s">
        <v>1854</v>
      </c>
      <c r="N1481" s="12"/>
      <c r="O1481" s="11" t="s">
        <v>2350</v>
      </c>
      <c r="P1481" s="56" t="s">
        <v>4668</v>
      </c>
    </row>
    <row r="1482" spans="1:16" ht="15.75" customHeight="1" x14ac:dyDescent="0.2">
      <c r="A1482" s="48">
        <v>15407</v>
      </c>
      <c r="B1482" s="11" t="s">
        <v>1871</v>
      </c>
      <c r="C1482" s="11" t="s">
        <v>1849</v>
      </c>
      <c r="D1482" s="6" t="s">
        <v>1850</v>
      </c>
      <c r="E1482" s="12" t="s">
        <v>4263</v>
      </c>
      <c r="F1482" s="12" t="s">
        <v>4263</v>
      </c>
      <c r="G1482" s="12" t="s">
        <v>4263</v>
      </c>
      <c r="H1482" s="12" t="s">
        <v>4294</v>
      </c>
      <c r="I1482" s="12" t="s">
        <v>4669</v>
      </c>
      <c r="J1482" s="11" t="s">
        <v>1856</v>
      </c>
      <c r="K1482" s="11" t="s">
        <v>1852</v>
      </c>
      <c r="L1482" s="11" t="s">
        <v>1853</v>
      </c>
      <c r="M1482" s="11" t="s">
        <v>2447</v>
      </c>
      <c r="N1482" s="12"/>
      <c r="O1482" s="11" t="s">
        <v>1859</v>
      </c>
      <c r="P1482" s="56"/>
    </row>
    <row r="1483" spans="1:16" ht="15.75" customHeight="1" x14ac:dyDescent="0.2">
      <c r="A1483" s="48">
        <v>15406</v>
      </c>
      <c r="B1483" s="11" t="s">
        <v>1871</v>
      </c>
      <c r="C1483" s="11" t="s">
        <v>1849</v>
      </c>
      <c r="D1483" s="6" t="s">
        <v>1850</v>
      </c>
      <c r="E1483" s="12" t="s">
        <v>4263</v>
      </c>
      <c r="F1483" s="12" t="s">
        <v>4263</v>
      </c>
      <c r="G1483" s="12" t="s">
        <v>4263</v>
      </c>
      <c r="H1483" s="12" t="s">
        <v>4278</v>
      </c>
      <c r="I1483" s="12" t="s">
        <v>4670</v>
      </c>
      <c r="J1483" s="11" t="s">
        <v>1856</v>
      </c>
      <c r="K1483" s="11" t="s">
        <v>1852</v>
      </c>
      <c r="L1483" s="11" t="s">
        <v>1853</v>
      </c>
      <c r="M1483" s="11" t="s">
        <v>1854</v>
      </c>
      <c r="N1483" s="12"/>
      <c r="O1483" s="11" t="s">
        <v>1859</v>
      </c>
      <c r="P1483" s="56"/>
    </row>
    <row r="1484" spans="1:16" ht="15.75" customHeight="1" x14ac:dyDescent="0.2">
      <c r="A1484" s="48">
        <v>15404</v>
      </c>
      <c r="B1484" s="11" t="s">
        <v>1871</v>
      </c>
      <c r="C1484" s="11" t="s">
        <v>1849</v>
      </c>
      <c r="D1484" s="6" t="s">
        <v>1850</v>
      </c>
      <c r="E1484" s="12" t="s">
        <v>4263</v>
      </c>
      <c r="F1484" s="12" t="s">
        <v>4263</v>
      </c>
      <c r="G1484" s="12" t="s">
        <v>4311</v>
      </c>
      <c r="H1484" s="12" t="s">
        <v>4354</v>
      </c>
      <c r="I1484" s="12" t="s">
        <v>4671</v>
      </c>
      <c r="J1484" s="11" t="s">
        <v>1856</v>
      </c>
      <c r="K1484" s="11" t="s">
        <v>1852</v>
      </c>
      <c r="L1484" s="11" t="s">
        <v>1853</v>
      </c>
      <c r="M1484" s="11" t="s">
        <v>1854</v>
      </c>
      <c r="N1484" s="12"/>
      <c r="O1484" s="11" t="s">
        <v>4672</v>
      </c>
      <c r="P1484" s="56"/>
    </row>
    <row r="1485" spans="1:16" ht="15.75" customHeight="1" x14ac:dyDescent="0.2">
      <c r="A1485" s="48">
        <v>15405</v>
      </c>
      <c r="B1485" s="11" t="s">
        <v>1871</v>
      </c>
      <c r="C1485" s="11" t="s">
        <v>1849</v>
      </c>
      <c r="D1485" s="6" t="s">
        <v>1850</v>
      </c>
      <c r="E1485" s="12" t="s">
        <v>4263</v>
      </c>
      <c r="F1485" s="12" t="s">
        <v>4263</v>
      </c>
      <c r="G1485" s="12" t="s">
        <v>4314</v>
      </c>
      <c r="H1485" s="12" t="s">
        <v>4315</v>
      </c>
      <c r="I1485" s="12" t="s">
        <v>4673</v>
      </c>
      <c r="J1485" s="11" t="s">
        <v>1856</v>
      </c>
      <c r="K1485" s="11" t="s">
        <v>1852</v>
      </c>
      <c r="L1485" s="11" t="s">
        <v>1853</v>
      </c>
      <c r="M1485" s="11" t="s">
        <v>1854</v>
      </c>
      <c r="N1485" s="12"/>
      <c r="O1485" s="11" t="s">
        <v>2022</v>
      </c>
      <c r="P1485" s="56" t="s">
        <v>2323</v>
      </c>
    </row>
    <row r="1486" spans="1:16" ht="15.75" customHeight="1" x14ac:dyDescent="0.2">
      <c r="A1486" s="48">
        <v>15334</v>
      </c>
      <c r="B1486" s="11" t="s">
        <v>1871</v>
      </c>
      <c r="C1486" s="11" t="s">
        <v>1849</v>
      </c>
      <c r="D1486" s="6" t="s">
        <v>1850</v>
      </c>
      <c r="E1486" s="12" t="s">
        <v>4263</v>
      </c>
      <c r="F1486" s="12" t="s">
        <v>4263</v>
      </c>
      <c r="G1486" s="12" t="s">
        <v>4263</v>
      </c>
      <c r="H1486" s="12" t="s">
        <v>4328</v>
      </c>
      <c r="I1486" s="12" t="s">
        <v>4674</v>
      </c>
      <c r="J1486" s="11" t="s">
        <v>1856</v>
      </c>
      <c r="K1486" s="11" t="s">
        <v>1852</v>
      </c>
      <c r="L1486" s="11" t="s">
        <v>1853</v>
      </c>
      <c r="M1486" s="11" t="s">
        <v>1854</v>
      </c>
      <c r="N1486" s="12"/>
      <c r="O1486" s="11" t="s">
        <v>2022</v>
      </c>
      <c r="P1486" s="56" t="s">
        <v>1863</v>
      </c>
    </row>
    <row r="1487" spans="1:16" ht="15.75" customHeight="1" x14ac:dyDescent="0.2">
      <c r="A1487" s="48">
        <v>15840</v>
      </c>
      <c r="B1487" s="11" t="s">
        <v>1871</v>
      </c>
      <c r="C1487" s="11" t="s">
        <v>1849</v>
      </c>
      <c r="D1487" s="6" t="s">
        <v>1850</v>
      </c>
      <c r="E1487" s="12" t="s">
        <v>4263</v>
      </c>
      <c r="F1487" s="12" t="s">
        <v>4263</v>
      </c>
      <c r="G1487" s="12" t="s">
        <v>4314</v>
      </c>
      <c r="H1487" s="12" t="s">
        <v>4315</v>
      </c>
      <c r="I1487" s="12" t="s">
        <v>4675</v>
      </c>
      <c r="J1487" s="11" t="s">
        <v>1856</v>
      </c>
      <c r="K1487" s="11" t="s">
        <v>1852</v>
      </c>
      <c r="L1487" s="11" t="s">
        <v>1853</v>
      </c>
      <c r="M1487" s="11" t="s">
        <v>1854</v>
      </c>
      <c r="N1487" s="12"/>
      <c r="O1487" s="11" t="s">
        <v>2022</v>
      </c>
      <c r="P1487" s="56" t="s">
        <v>2323</v>
      </c>
    </row>
    <row r="1488" spans="1:16" ht="15.75" customHeight="1" x14ac:dyDescent="0.2">
      <c r="A1488" s="48">
        <v>15333</v>
      </c>
      <c r="B1488" s="11" t="s">
        <v>1871</v>
      </c>
      <c r="C1488" s="11" t="s">
        <v>1849</v>
      </c>
      <c r="D1488" s="6" t="s">
        <v>1850</v>
      </c>
      <c r="E1488" s="12" t="s">
        <v>4263</v>
      </c>
      <c r="F1488" s="12" t="s">
        <v>4263</v>
      </c>
      <c r="G1488" s="12" t="s">
        <v>4332</v>
      </c>
      <c r="H1488" s="12" t="s">
        <v>4332</v>
      </c>
      <c r="I1488" s="12" t="s">
        <v>4676</v>
      </c>
      <c r="J1488" s="11" t="s">
        <v>1856</v>
      </c>
      <c r="K1488" s="11" t="s">
        <v>1852</v>
      </c>
      <c r="L1488" s="11" t="s">
        <v>1853</v>
      </c>
      <c r="M1488" s="11" t="s">
        <v>1854</v>
      </c>
      <c r="N1488" s="12"/>
      <c r="O1488" s="11" t="s">
        <v>3228</v>
      </c>
      <c r="P1488" s="56" t="s">
        <v>2323</v>
      </c>
    </row>
    <row r="1489" spans="1:16" ht="15.75" customHeight="1" x14ac:dyDescent="0.2">
      <c r="A1489" s="48">
        <v>15256</v>
      </c>
      <c r="B1489" s="11" t="s">
        <v>1871</v>
      </c>
      <c r="C1489" s="11" t="s">
        <v>1849</v>
      </c>
      <c r="D1489" s="6" t="s">
        <v>1850</v>
      </c>
      <c r="E1489" s="12" t="s">
        <v>4263</v>
      </c>
      <c r="F1489" s="12" t="s">
        <v>4263</v>
      </c>
      <c r="G1489" s="12" t="s">
        <v>4314</v>
      </c>
      <c r="H1489" s="12" t="s">
        <v>4340</v>
      </c>
      <c r="I1489" s="12" t="s">
        <v>4677</v>
      </c>
      <c r="J1489" s="11" t="s">
        <v>1856</v>
      </c>
      <c r="K1489" s="11" t="s">
        <v>1852</v>
      </c>
      <c r="L1489" s="11" t="s">
        <v>1853</v>
      </c>
      <c r="M1489" s="11" t="s">
        <v>1854</v>
      </c>
      <c r="N1489" s="12"/>
      <c r="O1489" s="11" t="s">
        <v>1866</v>
      </c>
      <c r="P1489" s="56" t="s">
        <v>2573</v>
      </c>
    </row>
    <row r="1490" spans="1:16" ht="15.75" customHeight="1" x14ac:dyDescent="0.2">
      <c r="A1490" s="48">
        <v>16092</v>
      </c>
      <c r="B1490" s="11" t="s">
        <v>1871</v>
      </c>
      <c r="C1490" s="11" t="s">
        <v>1849</v>
      </c>
      <c r="D1490" s="6" t="s">
        <v>1850</v>
      </c>
      <c r="E1490" s="12" t="s">
        <v>4263</v>
      </c>
      <c r="F1490" s="12" t="s">
        <v>4263</v>
      </c>
      <c r="G1490" s="12" t="s">
        <v>4314</v>
      </c>
      <c r="H1490" s="12" t="s">
        <v>4315</v>
      </c>
      <c r="I1490" s="12" t="s">
        <v>4678</v>
      </c>
      <c r="J1490" s="11" t="s">
        <v>1856</v>
      </c>
      <c r="K1490" s="11" t="s">
        <v>1852</v>
      </c>
      <c r="L1490" s="11" t="s">
        <v>1853</v>
      </c>
      <c r="M1490" s="12" t="s">
        <v>1854</v>
      </c>
      <c r="N1490" s="12"/>
      <c r="O1490" s="11" t="s">
        <v>1872</v>
      </c>
      <c r="P1490" s="56"/>
    </row>
    <row r="1491" spans="1:16" ht="15.75" customHeight="1" x14ac:dyDescent="0.2">
      <c r="A1491" s="48">
        <v>16132</v>
      </c>
      <c r="B1491" s="11" t="s">
        <v>1871</v>
      </c>
      <c r="C1491" s="11" t="s">
        <v>1849</v>
      </c>
      <c r="D1491" s="6" t="s">
        <v>1850</v>
      </c>
      <c r="E1491" s="12" t="s">
        <v>4263</v>
      </c>
      <c r="F1491" s="12" t="s">
        <v>4263</v>
      </c>
      <c r="G1491" s="12" t="s">
        <v>4263</v>
      </c>
      <c r="H1491" s="12" t="s">
        <v>4264</v>
      </c>
      <c r="I1491" s="12" t="s">
        <v>4679</v>
      </c>
      <c r="J1491" s="11" t="s">
        <v>1851</v>
      </c>
      <c r="K1491" s="11" t="s">
        <v>1852</v>
      </c>
      <c r="L1491" s="11" t="s">
        <v>1853</v>
      </c>
      <c r="M1491" s="12" t="s">
        <v>1854</v>
      </c>
      <c r="N1491" s="12"/>
      <c r="O1491" s="11" t="s">
        <v>1864</v>
      </c>
      <c r="P1491" s="56"/>
    </row>
    <row r="1492" spans="1:16" ht="15.75" customHeight="1" x14ac:dyDescent="0.2">
      <c r="A1492" s="48">
        <v>15115</v>
      </c>
      <c r="B1492" s="11" t="s">
        <v>1871</v>
      </c>
      <c r="C1492" s="11" t="s">
        <v>1849</v>
      </c>
      <c r="D1492" s="6" t="s">
        <v>4242</v>
      </c>
      <c r="E1492" s="12" t="s">
        <v>4263</v>
      </c>
      <c r="F1492" s="12" t="s">
        <v>4263</v>
      </c>
      <c r="G1492" s="12" t="s">
        <v>4263</v>
      </c>
      <c r="H1492" s="12" t="s">
        <v>4356</v>
      </c>
      <c r="I1492" s="12" t="s">
        <v>4680</v>
      </c>
      <c r="J1492" s="11" t="s">
        <v>1856</v>
      </c>
      <c r="K1492" s="11" t="s">
        <v>1852</v>
      </c>
      <c r="L1492" s="11" t="s">
        <v>1853</v>
      </c>
      <c r="M1492" s="11" t="s">
        <v>1854</v>
      </c>
      <c r="N1492" s="12"/>
      <c r="O1492" s="11" t="s">
        <v>2618</v>
      </c>
      <c r="P1492" s="56"/>
    </row>
    <row r="1493" spans="1:16" ht="15.75" customHeight="1" x14ac:dyDescent="0.2">
      <c r="A1493" s="48">
        <v>7569</v>
      </c>
      <c r="B1493" s="11" t="s">
        <v>1857</v>
      </c>
      <c r="C1493" s="11" t="s">
        <v>1849</v>
      </c>
      <c r="D1493" s="6" t="s">
        <v>1875</v>
      </c>
      <c r="E1493" s="12" t="s">
        <v>4263</v>
      </c>
      <c r="F1493" s="12" t="s">
        <v>4263</v>
      </c>
      <c r="G1493" s="12" t="s">
        <v>4263</v>
      </c>
      <c r="H1493" s="12" t="s">
        <v>4264</v>
      </c>
      <c r="I1493" s="12" t="s">
        <v>4681</v>
      </c>
      <c r="J1493" s="11" t="s">
        <v>1851</v>
      </c>
      <c r="K1493" s="11" t="s">
        <v>1852</v>
      </c>
      <c r="L1493" s="11" t="s">
        <v>1853</v>
      </c>
      <c r="M1493" s="11" t="s">
        <v>1854</v>
      </c>
      <c r="N1493" s="12"/>
      <c r="O1493" s="11" t="s">
        <v>1854</v>
      </c>
      <c r="P1493" s="56"/>
    </row>
    <row r="1494" spans="1:16" ht="15.75" customHeight="1" x14ac:dyDescent="0.2">
      <c r="A1494" s="48">
        <v>1045</v>
      </c>
      <c r="B1494" s="11" t="s">
        <v>1857</v>
      </c>
      <c r="C1494" s="11" t="s">
        <v>1849</v>
      </c>
      <c r="D1494" s="6" t="s">
        <v>2594</v>
      </c>
      <c r="E1494" s="12" t="s">
        <v>4263</v>
      </c>
      <c r="F1494" s="12" t="s">
        <v>4263</v>
      </c>
      <c r="G1494" s="12" t="s">
        <v>4263</v>
      </c>
      <c r="H1494" s="12" t="s">
        <v>4264</v>
      </c>
      <c r="I1494" s="12" t="s">
        <v>4682</v>
      </c>
      <c r="J1494" s="11" t="s">
        <v>1851</v>
      </c>
      <c r="K1494" s="11" t="s">
        <v>1852</v>
      </c>
      <c r="L1494" s="11" t="s">
        <v>1853</v>
      </c>
      <c r="M1494" s="11" t="s">
        <v>1854</v>
      </c>
      <c r="N1494" s="12"/>
      <c r="O1494" s="11" t="s">
        <v>1860</v>
      </c>
      <c r="P1494" s="56"/>
    </row>
    <row r="1495" spans="1:16" ht="15.75" customHeight="1" x14ac:dyDescent="0.2">
      <c r="A1495" s="48">
        <v>7249</v>
      </c>
      <c r="B1495" s="11" t="s">
        <v>1848</v>
      </c>
      <c r="C1495" s="11" t="s">
        <v>1876</v>
      </c>
      <c r="D1495" s="6" t="s">
        <v>1850</v>
      </c>
      <c r="E1495" s="12" t="s">
        <v>4263</v>
      </c>
      <c r="F1495" s="12" t="s">
        <v>4263</v>
      </c>
      <c r="G1495" s="12" t="s">
        <v>4263</v>
      </c>
      <c r="H1495" s="12" t="s">
        <v>4264</v>
      </c>
      <c r="I1495" s="12" t="s">
        <v>4683</v>
      </c>
      <c r="J1495" s="11" t="s">
        <v>1851</v>
      </c>
      <c r="K1495" s="11" t="s">
        <v>1852</v>
      </c>
      <c r="L1495" s="11" t="s">
        <v>1853</v>
      </c>
      <c r="M1495" s="12" t="s">
        <v>1854</v>
      </c>
      <c r="N1495" s="12"/>
      <c r="O1495" s="11" t="s">
        <v>1855</v>
      </c>
      <c r="P1495" s="56"/>
    </row>
    <row r="1496" spans="1:16" ht="15.75" customHeight="1" x14ac:dyDescent="0.2">
      <c r="A1496" s="48">
        <v>15843</v>
      </c>
      <c r="B1496" s="11" t="s">
        <v>1848</v>
      </c>
      <c r="C1496" s="11" t="s">
        <v>1876</v>
      </c>
      <c r="D1496" s="6" t="s">
        <v>1850</v>
      </c>
      <c r="E1496" s="12" t="s">
        <v>4263</v>
      </c>
      <c r="F1496" s="12" t="s">
        <v>4263</v>
      </c>
      <c r="G1496" s="12" t="s">
        <v>4263</v>
      </c>
      <c r="H1496" s="12" t="s">
        <v>4267</v>
      </c>
      <c r="I1496" s="12" t="s">
        <v>4684</v>
      </c>
      <c r="J1496" s="11" t="s">
        <v>1851</v>
      </c>
      <c r="K1496" s="11" t="s">
        <v>1852</v>
      </c>
      <c r="L1496" s="11" t="s">
        <v>1853</v>
      </c>
      <c r="M1496" s="11" t="s">
        <v>1854</v>
      </c>
      <c r="N1496" s="12"/>
      <c r="O1496" s="11" t="s">
        <v>1855</v>
      </c>
      <c r="P1496" s="56"/>
    </row>
    <row r="1497" spans="1:16" ht="15.75" customHeight="1" x14ac:dyDescent="0.2">
      <c r="A1497" s="48">
        <v>16002</v>
      </c>
      <c r="B1497" s="11" t="s">
        <v>1848</v>
      </c>
      <c r="C1497" s="11" t="s">
        <v>1876</v>
      </c>
      <c r="D1497" s="6" t="s">
        <v>1850</v>
      </c>
      <c r="E1497" s="12" t="s">
        <v>4263</v>
      </c>
      <c r="F1497" s="12" t="s">
        <v>4263</v>
      </c>
      <c r="G1497" s="12" t="s">
        <v>4263</v>
      </c>
      <c r="H1497" s="12" t="s">
        <v>2845</v>
      </c>
      <c r="I1497" s="12" t="s">
        <v>4685</v>
      </c>
      <c r="J1497" s="11" t="s">
        <v>1856</v>
      </c>
      <c r="K1497" s="11" t="s">
        <v>1852</v>
      </c>
      <c r="L1497" s="11" t="s">
        <v>1853</v>
      </c>
      <c r="M1497" s="12" t="s">
        <v>1854</v>
      </c>
      <c r="N1497" s="12"/>
      <c r="O1497" s="11" t="s">
        <v>1855</v>
      </c>
      <c r="P1497" s="56"/>
    </row>
    <row r="1498" spans="1:16" ht="15.75" customHeight="1" x14ac:dyDescent="0.2">
      <c r="A1498" s="48">
        <v>16003</v>
      </c>
      <c r="B1498" s="11" t="s">
        <v>1848</v>
      </c>
      <c r="C1498" s="11" t="s">
        <v>1876</v>
      </c>
      <c r="D1498" s="6" t="s">
        <v>1850</v>
      </c>
      <c r="E1498" s="12" t="s">
        <v>4263</v>
      </c>
      <c r="F1498" s="12" t="s">
        <v>4263</v>
      </c>
      <c r="G1498" s="12" t="s">
        <v>4263</v>
      </c>
      <c r="H1498" s="12" t="s">
        <v>4267</v>
      </c>
      <c r="I1498" s="12" t="s">
        <v>4686</v>
      </c>
      <c r="J1498" s="11" t="s">
        <v>1851</v>
      </c>
      <c r="K1498" s="11" t="s">
        <v>1852</v>
      </c>
      <c r="L1498" s="11" t="s">
        <v>1853</v>
      </c>
      <c r="M1498" s="12" t="s">
        <v>1854</v>
      </c>
      <c r="N1498" s="12"/>
      <c r="O1498" s="11" t="s">
        <v>1855</v>
      </c>
      <c r="P1498" s="56"/>
    </row>
    <row r="1499" spans="1:16" ht="15.75" customHeight="1" x14ac:dyDescent="0.2">
      <c r="A1499" s="48">
        <v>6004</v>
      </c>
      <c r="B1499" s="11" t="s">
        <v>1848</v>
      </c>
      <c r="C1499" s="11" t="s">
        <v>1876</v>
      </c>
      <c r="D1499" s="6" t="s">
        <v>1850</v>
      </c>
      <c r="E1499" s="12" t="s">
        <v>4263</v>
      </c>
      <c r="F1499" s="12" t="s">
        <v>4263</v>
      </c>
      <c r="G1499" s="12" t="s">
        <v>4263</v>
      </c>
      <c r="H1499" s="12" t="s">
        <v>4267</v>
      </c>
      <c r="I1499" s="12" t="s">
        <v>4687</v>
      </c>
      <c r="J1499" s="11" t="s">
        <v>1851</v>
      </c>
      <c r="K1499" s="11" t="s">
        <v>1852</v>
      </c>
      <c r="L1499" s="11" t="s">
        <v>1853</v>
      </c>
      <c r="M1499" s="12" t="s">
        <v>1854</v>
      </c>
      <c r="N1499" s="12"/>
      <c r="O1499" s="11" t="s">
        <v>1855</v>
      </c>
      <c r="P1499" s="56"/>
    </row>
    <row r="1500" spans="1:16" ht="15.75" customHeight="1" x14ac:dyDescent="0.2">
      <c r="A1500" s="48">
        <v>16004</v>
      </c>
      <c r="B1500" s="11" t="s">
        <v>1848</v>
      </c>
      <c r="C1500" s="11" t="s">
        <v>1876</v>
      </c>
      <c r="D1500" s="6" t="s">
        <v>1850</v>
      </c>
      <c r="E1500" s="12" t="s">
        <v>4263</v>
      </c>
      <c r="F1500" s="12" t="s">
        <v>4263</v>
      </c>
      <c r="G1500" s="12" t="s">
        <v>4263</v>
      </c>
      <c r="H1500" s="12" t="s">
        <v>4264</v>
      </c>
      <c r="I1500" s="12" t="s">
        <v>4688</v>
      </c>
      <c r="J1500" s="11" t="s">
        <v>1851</v>
      </c>
      <c r="K1500" s="11" t="s">
        <v>1852</v>
      </c>
      <c r="L1500" s="11" t="s">
        <v>1853</v>
      </c>
      <c r="M1500" s="12" t="s">
        <v>1854</v>
      </c>
      <c r="N1500" s="12"/>
      <c r="O1500" s="11" t="s">
        <v>1855</v>
      </c>
      <c r="P1500" s="56"/>
    </row>
    <row r="1501" spans="1:16" ht="15.75" customHeight="1" x14ac:dyDescent="0.2">
      <c r="A1501" s="48">
        <v>16005</v>
      </c>
      <c r="B1501" s="11" t="s">
        <v>1848</v>
      </c>
      <c r="C1501" s="11" t="s">
        <v>1876</v>
      </c>
      <c r="D1501" s="6" t="s">
        <v>1850</v>
      </c>
      <c r="E1501" s="12" t="s">
        <v>4263</v>
      </c>
      <c r="F1501" s="12" t="s">
        <v>4263</v>
      </c>
      <c r="G1501" s="12" t="s">
        <v>4263</v>
      </c>
      <c r="H1501" s="12" t="s">
        <v>4294</v>
      </c>
      <c r="I1501" s="12" t="s">
        <v>4689</v>
      </c>
      <c r="J1501" s="11" t="s">
        <v>1851</v>
      </c>
      <c r="K1501" s="11" t="s">
        <v>1852</v>
      </c>
      <c r="L1501" s="11" t="s">
        <v>1853</v>
      </c>
      <c r="M1501" s="12" t="s">
        <v>1854</v>
      </c>
      <c r="N1501" s="12"/>
      <c r="O1501" s="11" t="s">
        <v>1855</v>
      </c>
      <c r="P1501" s="56"/>
    </row>
    <row r="1502" spans="1:16" ht="15.75" customHeight="1" x14ac:dyDescent="0.2">
      <c r="A1502" s="48">
        <v>16006</v>
      </c>
      <c r="B1502" s="11" t="s">
        <v>1848</v>
      </c>
      <c r="C1502" s="11" t="s">
        <v>1876</v>
      </c>
      <c r="D1502" s="6" t="s">
        <v>1850</v>
      </c>
      <c r="E1502" s="12" t="s">
        <v>4263</v>
      </c>
      <c r="F1502" s="12" t="s">
        <v>4263</v>
      </c>
      <c r="G1502" s="12" t="s">
        <v>4263</v>
      </c>
      <c r="H1502" s="12" t="s">
        <v>4267</v>
      </c>
      <c r="I1502" s="12" t="s">
        <v>4690</v>
      </c>
      <c r="J1502" s="11" t="s">
        <v>1851</v>
      </c>
      <c r="K1502" s="11" t="s">
        <v>1852</v>
      </c>
      <c r="L1502" s="11" t="s">
        <v>1853</v>
      </c>
      <c r="M1502" s="12" t="s">
        <v>1854</v>
      </c>
      <c r="N1502" s="12"/>
      <c r="O1502" s="11" t="s">
        <v>1855</v>
      </c>
      <c r="P1502" s="56"/>
    </row>
    <row r="1503" spans="1:16" ht="15.75" customHeight="1" x14ac:dyDescent="0.2">
      <c r="A1503" s="48">
        <v>5991</v>
      </c>
      <c r="B1503" s="11" t="s">
        <v>1848</v>
      </c>
      <c r="C1503" s="11" t="s">
        <v>1876</v>
      </c>
      <c r="D1503" s="6" t="s">
        <v>1850</v>
      </c>
      <c r="E1503" s="12" t="s">
        <v>4263</v>
      </c>
      <c r="F1503" s="12" t="s">
        <v>4263</v>
      </c>
      <c r="G1503" s="12" t="s">
        <v>4263</v>
      </c>
      <c r="H1503" s="12" t="s">
        <v>4294</v>
      </c>
      <c r="I1503" s="12" t="s">
        <v>4691</v>
      </c>
      <c r="J1503" s="11" t="s">
        <v>1851</v>
      </c>
      <c r="K1503" s="11" t="s">
        <v>1852</v>
      </c>
      <c r="L1503" s="11" t="s">
        <v>1853</v>
      </c>
      <c r="M1503" s="12" t="s">
        <v>1854</v>
      </c>
      <c r="N1503" s="12"/>
      <c r="O1503" s="11" t="s">
        <v>1855</v>
      </c>
      <c r="P1503" s="56"/>
    </row>
    <row r="1504" spans="1:16" ht="15.75" customHeight="1" x14ac:dyDescent="0.2">
      <c r="A1504" s="48">
        <v>16007</v>
      </c>
      <c r="B1504" s="11" t="s">
        <v>1848</v>
      </c>
      <c r="C1504" s="11" t="s">
        <v>1876</v>
      </c>
      <c r="D1504" s="6" t="s">
        <v>1850</v>
      </c>
      <c r="E1504" s="12" t="s">
        <v>4263</v>
      </c>
      <c r="F1504" s="12" t="s">
        <v>4263</v>
      </c>
      <c r="G1504" s="12" t="s">
        <v>4263</v>
      </c>
      <c r="H1504" s="12" t="s">
        <v>4282</v>
      </c>
      <c r="I1504" s="12" t="s">
        <v>4692</v>
      </c>
      <c r="J1504" s="11" t="s">
        <v>1851</v>
      </c>
      <c r="K1504" s="11" t="s">
        <v>1852</v>
      </c>
      <c r="L1504" s="11" t="s">
        <v>1853</v>
      </c>
      <c r="M1504" s="12" t="s">
        <v>1854</v>
      </c>
      <c r="N1504" s="12"/>
      <c r="O1504" s="11" t="s">
        <v>1855</v>
      </c>
      <c r="P1504" s="56"/>
    </row>
    <row r="1505" spans="1:16" ht="15.75" customHeight="1" x14ac:dyDescent="0.2">
      <c r="A1505" s="48">
        <v>16008</v>
      </c>
      <c r="B1505" s="11" t="s">
        <v>1848</v>
      </c>
      <c r="C1505" s="11" t="s">
        <v>1876</v>
      </c>
      <c r="D1505" s="6" t="s">
        <v>1850</v>
      </c>
      <c r="E1505" s="12" t="s">
        <v>4263</v>
      </c>
      <c r="F1505" s="12" t="s">
        <v>4263</v>
      </c>
      <c r="G1505" s="12" t="s">
        <v>4263</v>
      </c>
      <c r="H1505" s="12" t="s">
        <v>4267</v>
      </c>
      <c r="I1505" s="12" t="s">
        <v>4693</v>
      </c>
      <c r="J1505" s="11" t="s">
        <v>1851</v>
      </c>
      <c r="K1505" s="11" t="s">
        <v>1852</v>
      </c>
      <c r="L1505" s="11" t="s">
        <v>1853</v>
      </c>
      <c r="M1505" s="12" t="s">
        <v>1854</v>
      </c>
      <c r="N1505" s="12"/>
      <c r="O1505" s="11" t="s">
        <v>1855</v>
      </c>
      <c r="P1505" s="56"/>
    </row>
    <row r="1506" spans="1:16" ht="15.75" customHeight="1" x14ac:dyDescent="0.2">
      <c r="A1506" s="48">
        <v>16009</v>
      </c>
      <c r="B1506" s="11" t="s">
        <v>1848</v>
      </c>
      <c r="C1506" s="11" t="s">
        <v>1876</v>
      </c>
      <c r="D1506" s="6" t="s">
        <v>1850</v>
      </c>
      <c r="E1506" s="12" t="s">
        <v>4263</v>
      </c>
      <c r="F1506" s="12" t="s">
        <v>4263</v>
      </c>
      <c r="G1506" s="12" t="s">
        <v>4263</v>
      </c>
      <c r="H1506" s="12" t="s">
        <v>4282</v>
      </c>
      <c r="I1506" s="12" t="s">
        <v>4694</v>
      </c>
      <c r="J1506" s="11" t="s">
        <v>1856</v>
      </c>
      <c r="K1506" s="11" t="s">
        <v>1852</v>
      </c>
      <c r="L1506" s="11" t="s">
        <v>1853</v>
      </c>
      <c r="M1506" s="12" t="s">
        <v>1854</v>
      </c>
      <c r="N1506" s="12"/>
      <c r="O1506" s="11" t="s">
        <v>1855</v>
      </c>
      <c r="P1506" s="56"/>
    </row>
    <row r="1507" spans="1:16" ht="15.75" customHeight="1" x14ac:dyDescent="0.2">
      <c r="A1507" s="48">
        <v>16000</v>
      </c>
      <c r="B1507" s="11" t="s">
        <v>1848</v>
      </c>
      <c r="C1507" s="11" t="s">
        <v>1876</v>
      </c>
      <c r="D1507" s="6" t="s">
        <v>1850</v>
      </c>
      <c r="E1507" s="12" t="s">
        <v>4263</v>
      </c>
      <c r="F1507" s="12" t="s">
        <v>4263</v>
      </c>
      <c r="G1507" s="12" t="s">
        <v>4263</v>
      </c>
      <c r="H1507" s="12" t="s">
        <v>4264</v>
      </c>
      <c r="I1507" s="12" t="s">
        <v>4695</v>
      </c>
      <c r="J1507" s="11" t="s">
        <v>1851</v>
      </c>
      <c r="K1507" s="11" t="s">
        <v>1852</v>
      </c>
      <c r="L1507" s="11" t="s">
        <v>1853</v>
      </c>
      <c r="M1507" s="12" t="s">
        <v>1854</v>
      </c>
      <c r="N1507" s="12"/>
      <c r="O1507" s="11" t="s">
        <v>1855</v>
      </c>
      <c r="P1507" s="56"/>
    </row>
    <row r="1508" spans="1:16" ht="15.75" customHeight="1" x14ac:dyDescent="0.2">
      <c r="A1508" s="49">
        <v>7605</v>
      </c>
      <c r="B1508" s="11" t="s">
        <v>1848</v>
      </c>
      <c r="C1508" s="11" t="s">
        <v>1876</v>
      </c>
      <c r="D1508" s="6" t="s">
        <v>1850</v>
      </c>
      <c r="E1508" s="12" t="s">
        <v>4263</v>
      </c>
      <c r="F1508" s="12" t="s">
        <v>4263</v>
      </c>
      <c r="G1508" s="12" t="s">
        <v>4263</v>
      </c>
      <c r="H1508" s="12" t="s">
        <v>4274</v>
      </c>
      <c r="I1508" s="12" t="s">
        <v>4696</v>
      </c>
      <c r="J1508" s="11" t="s">
        <v>1851</v>
      </c>
      <c r="K1508" s="11" t="s">
        <v>1852</v>
      </c>
      <c r="L1508" s="11" t="s">
        <v>1853</v>
      </c>
      <c r="M1508" s="12" t="s">
        <v>1854</v>
      </c>
      <c r="N1508" s="12"/>
      <c r="O1508" s="11" t="s">
        <v>1855</v>
      </c>
      <c r="P1508" s="56"/>
    </row>
    <row r="1509" spans="1:16" ht="15.75" customHeight="1" x14ac:dyDescent="0.2">
      <c r="A1509" s="48">
        <v>16169</v>
      </c>
      <c r="B1509" s="11" t="s">
        <v>1848</v>
      </c>
      <c r="C1509" s="11" t="s">
        <v>1876</v>
      </c>
      <c r="D1509" s="6" t="s">
        <v>1850</v>
      </c>
      <c r="E1509" s="12" t="s">
        <v>4263</v>
      </c>
      <c r="F1509" s="12" t="s">
        <v>4263</v>
      </c>
      <c r="G1509" s="12" t="s">
        <v>4263</v>
      </c>
      <c r="H1509" s="12" t="s">
        <v>4278</v>
      </c>
      <c r="I1509" s="12" t="s">
        <v>4697</v>
      </c>
      <c r="J1509" s="11" t="s">
        <v>1856</v>
      </c>
      <c r="K1509" s="11" t="s">
        <v>1852</v>
      </c>
      <c r="L1509" s="11" t="s">
        <v>1853</v>
      </c>
      <c r="M1509" s="11" t="s">
        <v>1854</v>
      </c>
      <c r="N1509" s="12"/>
      <c r="O1509" s="11" t="s">
        <v>1855</v>
      </c>
      <c r="P1509" s="56"/>
    </row>
    <row r="1510" spans="1:16" ht="15.75" customHeight="1" x14ac:dyDescent="0.2">
      <c r="A1510" s="48">
        <v>15379</v>
      </c>
      <c r="B1510" s="11" t="s">
        <v>1848</v>
      </c>
      <c r="C1510" s="11" t="s">
        <v>1876</v>
      </c>
      <c r="D1510" s="6" t="s">
        <v>1850</v>
      </c>
      <c r="E1510" s="12" t="s">
        <v>4263</v>
      </c>
      <c r="F1510" s="12" t="s">
        <v>4263</v>
      </c>
      <c r="G1510" s="12" t="s">
        <v>4263</v>
      </c>
      <c r="H1510" s="12" t="s">
        <v>4276</v>
      </c>
      <c r="I1510" s="12" t="s">
        <v>4698</v>
      </c>
      <c r="J1510" s="11" t="s">
        <v>1851</v>
      </c>
      <c r="K1510" s="11" t="s">
        <v>1852</v>
      </c>
      <c r="L1510" s="11" t="s">
        <v>1853</v>
      </c>
      <c r="M1510" s="11" t="s">
        <v>1854</v>
      </c>
      <c r="N1510" s="12"/>
      <c r="O1510" s="11" t="s">
        <v>1855</v>
      </c>
      <c r="P1510" s="56"/>
    </row>
    <row r="1511" spans="1:16" ht="15.75" customHeight="1" x14ac:dyDescent="0.2">
      <c r="A1511" s="48">
        <v>15377</v>
      </c>
      <c r="B1511" s="11" t="s">
        <v>1848</v>
      </c>
      <c r="C1511" s="11" t="s">
        <v>1876</v>
      </c>
      <c r="D1511" s="6" t="s">
        <v>1850</v>
      </c>
      <c r="E1511" s="12" t="s">
        <v>4263</v>
      </c>
      <c r="F1511" s="12" t="s">
        <v>4263</v>
      </c>
      <c r="G1511" s="12" t="s">
        <v>4263</v>
      </c>
      <c r="H1511" s="12" t="s">
        <v>2845</v>
      </c>
      <c r="I1511" s="12" t="s">
        <v>4699</v>
      </c>
      <c r="J1511" s="11" t="s">
        <v>1851</v>
      </c>
      <c r="K1511" s="11" t="s">
        <v>1852</v>
      </c>
      <c r="L1511" s="11" t="s">
        <v>1853</v>
      </c>
      <c r="M1511" s="11" t="s">
        <v>1854</v>
      </c>
      <c r="N1511" s="12"/>
      <c r="O1511" s="11" t="s">
        <v>1855</v>
      </c>
      <c r="P1511" s="56"/>
    </row>
    <row r="1512" spans="1:16" ht="15.75" customHeight="1" x14ac:dyDescent="0.2">
      <c r="A1512" s="48">
        <v>15373</v>
      </c>
      <c r="B1512" s="11" t="s">
        <v>1848</v>
      </c>
      <c r="C1512" s="11" t="s">
        <v>1876</v>
      </c>
      <c r="D1512" s="6" t="s">
        <v>1850</v>
      </c>
      <c r="E1512" s="12" t="s">
        <v>4263</v>
      </c>
      <c r="F1512" s="12" t="s">
        <v>4263</v>
      </c>
      <c r="G1512" s="12" t="s">
        <v>4263</v>
      </c>
      <c r="H1512" s="12" t="s">
        <v>4282</v>
      </c>
      <c r="I1512" s="12" t="s">
        <v>4700</v>
      </c>
      <c r="J1512" s="11" t="s">
        <v>1856</v>
      </c>
      <c r="K1512" s="11" t="s">
        <v>1852</v>
      </c>
      <c r="L1512" s="11" t="s">
        <v>1853</v>
      </c>
      <c r="M1512" s="11" t="s">
        <v>1854</v>
      </c>
      <c r="N1512" s="12"/>
      <c r="O1512" s="11" t="s">
        <v>1855</v>
      </c>
      <c r="P1512" s="56"/>
    </row>
    <row r="1513" spans="1:16" ht="15.75" customHeight="1" x14ac:dyDescent="0.2">
      <c r="A1513" s="48">
        <v>15374</v>
      </c>
      <c r="B1513" s="11" t="s">
        <v>1848</v>
      </c>
      <c r="C1513" s="11" t="s">
        <v>1876</v>
      </c>
      <c r="D1513" s="6" t="s">
        <v>1850</v>
      </c>
      <c r="E1513" s="12" t="s">
        <v>4263</v>
      </c>
      <c r="F1513" s="12" t="s">
        <v>4263</v>
      </c>
      <c r="G1513" s="12" t="s">
        <v>4263</v>
      </c>
      <c r="H1513" s="12" t="s">
        <v>4267</v>
      </c>
      <c r="I1513" s="12" t="s">
        <v>4701</v>
      </c>
      <c r="J1513" s="11" t="s">
        <v>1856</v>
      </c>
      <c r="K1513" s="11" t="s">
        <v>1852</v>
      </c>
      <c r="L1513" s="11" t="s">
        <v>1853</v>
      </c>
      <c r="M1513" s="11" t="s">
        <v>1854</v>
      </c>
      <c r="N1513" s="12"/>
      <c r="O1513" s="11" t="s">
        <v>1855</v>
      </c>
      <c r="P1513" s="56"/>
    </row>
    <row r="1514" spans="1:16" ht="15.75" customHeight="1" x14ac:dyDescent="0.2">
      <c r="A1514" s="48">
        <v>15831</v>
      </c>
      <c r="B1514" s="11" t="s">
        <v>1848</v>
      </c>
      <c r="C1514" s="11" t="s">
        <v>1876</v>
      </c>
      <c r="D1514" s="6" t="s">
        <v>1850</v>
      </c>
      <c r="E1514" s="12" t="s">
        <v>4263</v>
      </c>
      <c r="F1514" s="12" t="s">
        <v>4263</v>
      </c>
      <c r="G1514" s="12" t="s">
        <v>4263</v>
      </c>
      <c r="H1514" s="12" t="s">
        <v>4274</v>
      </c>
      <c r="I1514" s="12" t="s">
        <v>4702</v>
      </c>
      <c r="J1514" s="11" t="s">
        <v>1851</v>
      </c>
      <c r="K1514" s="11" t="s">
        <v>1852</v>
      </c>
      <c r="L1514" s="11" t="s">
        <v>1853</v>
      </c>
      <c r="M1514" s="11" t="s">
        <v>1854</v>
      </c>
      <c r="N1514" s="12"/>
      <c r="O1514" s="11" t="s">
        <v>1855</v>
      </c>
      <c r="P1514" s="56"/>
    </row>
    <row r="1515" spans="1:16" ht="15.75" customHeight="1" x14ac:dyDescent="0.2">
      <c r="A1515" s="48">
        <v>5793</v>
      </c>
      <c r="B1515" s="11" t="s">
        <v>1857</v>
      </c>
      <c r="C1515" s="11" t="s">
        <v>1876</v>
      </c>
      <c r="D1515" s="6" t="s">
        <v>1850</v>
      </c>
      <c r="E1515" s="12" t="s">
        <v>4263</v>
      </c>
      <c r="F1515" s="12" t="s">
        <v>4263</v>
      </c>
      <c r="G1515" s="12" t="s">
        <v>4263</v>
      </c>
      <c r="H1515" s="12" t="s">
        <v>4264</v>
      </c>
      <c r="I1515" s="12" t="s">
        <v>4703</v>
      </c>
      <c r="J1515" s="11" t="s">
        <v>1851</v>
      </c>
      <c r="K1515" s="11" t="s">
        <v>1852</v>
      </c>
      <c r="L1515" s="11" t="s">
        <v>1853</v>
      </c>
      <c r="M1515" s="11" t="s">
        <v>1854</v>
      </c>
      <c r="N1515" s="12"/>
      <c r="O1515" s="11" t="s">
        <v>2307</v>
      </c>
      <c r="P1515" s="56" t="s">
        <v>3343</v>
      </c>
    </row>
    <row r="1516" spans="1:16" ht="15.75" customHeight="1" x14ac:dyDescent="0.2">
      <c r="A1516" s="48">
        <v>7234</v>
      </c>
      <c r="B1516" s="11" t="s">
        <v>1857</v>
      </c>
      <c r="C1516" s="11" t="s">
        <v>1876</v>
      </c>
      <c r="D1516" s="6" t="s">
        <v>1850</v>
      </c>
      <c r="E1516" s="12" t="s">
        <v>4263</v>
      </c>
      <c r="F1516" s="12" t="s">
        <v>4263</v>
      </c>
      <c r="G1516" s="12" t="s">
        <v>4263</v>
      </c>
      <c r="H1516" s="12" t="s">
        <v>4267</v>
      </c>
      <c r="I1516" s="12" t="s">
        <v>4704</v>
      </c>
      <c r="J1516" s="11" t="s">
        <v>1851</v>
      </c>
      <c r="K1516" s="11" t="s">
        <v>1852</v>
      </c>
      <c r="L1516" s="11" t="s">
        <v>1853</v>
      </c>
      <c r="M1516" s="11" t="s">
        <v>4705</v>
      </c>
      <c r="N1516" s="12"/>
      <c r="O1516" s="11" t="s">
        <v>1860</v>
      </c>
      <c r="P1516" s="56"/>
    </row>
    <row r="1517" spans="1:16" ht="15.75" customHeight="1" x14ac:dyDescent="0.2">
      <c r="A1517" s="48">
        <v>7239</v>
      </c>
      <c r="B1517" s="11" t="s">
        <v>1857</v>
      </c>
      <c r="C1517" s="11" t="s">
        <v>1876</v>
      </c>
      <c r="D1517" s="6" t="s">
        <v>1850</v>
      </c>
      <c r="E1517" s="12" t="s">
        <v>4263</v>
      </c>
      <c r="F1517" s="12" t="s">
        <v>4263</v>
      </c>
      <c r="G1517" s="12" t="s">
        <v>4263</v>
      </c>
      <c r="H1517" s="12" t="s">
        <v>4264</v>
      </c>
      <c r="I1517" s="12" t="s">
        <v>4706</v>
      </c>
      <c r="J1517" s="11" t="s">
        <v>1851</v>
      </c>
      <c r="K1517" s="11" t="s">
        <v>1852</v>
      </c>
      <c r="L1517" s="11" t="s">
        <v>1853</v>
      </c>
      <c r="M1517" s="11" t="s">
        <v>4707</v>
      </c>
      <c r="N1517" s="12"/>
      <c r="O1517" s="11" t="s">
        <v>1859</v>
      </c>
      <c r="P1517" s="56"/>
    </row>
    <row r="1518" spans="1:16" ht="15.75" customHeight="1" x14ac:dyDescent="0.2">
      <c r="A1518" s="48">
        <v>5798</v>
      </c>
      <c r="B1518" s="11" t="s">
        <v>1857</v>
      </c>
      <c r="C1518" s="11" t="s">
        <v>1876</v>
      </c>
      <c r="D1518" s="6" t="s">
        <v>1850</v>
      </c>
      <c r="E1518" s="12" t="s">
        <v>4263</v>
      </c>
      <c r="F1518" s="12" t="s">
        <v>4263</v>
      </c>
      <c r="G1518" s="12" t="s">
        <v>4263</v>
      </c>
      <c r="H1518" s="12" t="s">
        <v>4264</v>
      </c>
      <c r="I1518" s="12" t="s">
        <v>4708</v>
      </c>
      <c r="J1518" s="11" t="s">
        <v>1851</v>
      </c>
      <c r="K1518" s="11" t="s">
        <v>1852</v>
      </c>
      <c r="L1518" s="11" t="s">
        <v>1853</v>
      </c>
      <c r="M1518" s="11" t="s">
        <v>1854</v>
      </c>
      <c r="N1518" s="12"/>
      <c r="O1518" s="11" t="s">
        <v>1867</v>
      </c>
      <c r="P1518" s="56" t="s">
        <v>1865</v>
      </c>
    </row>
    <row r="1519" spans="1:16" ht="15.75" customHeight="1" x14ac:dyDescent="0.2">
      <c r="A1519" s="48">
        <v>7341</v>
      </c>
      <c r="B1519" s="11" t="s">
        <v>1857</v>
      </c>
      <c r="C1519" s="11" t="s">
        <v>1876</v>
      </c>
      <c r="D1519" s="6" t="s">
        <v>1850</v>
      </c>
      <c r="E1519" s="12" t="s">
        <v>4263</v>
      </c>
      <c r="F1519" s="12" t="s">
        <v>4263</v>
      </c>
      <c r="G1519" s="12" t="s">
        <v>4263</v>
      </c>
      <c r="H1519" s="12" t="s">
        <v>4278</v>
      </c>
      <c r="I1519" s="12" t="s">
        <v>4709</v>
      </c>
      <c r="J1519" s="11" t="s">
        <v>1851</v>
      </c>
      <c r="K1519" s="11" t="s">
        <v>1852</v>
      </c>
      <c r="L1519" s="11" t="s">
        <v>1853</v>
      </c>
      <c r="M1519" s="11" t="s">
        <v>4710</v>
      </c>
      <c r="N1519" s="12"/>
      <c r="O1519" s="11" t="s">
        <v>1858</v>
      </c>
      <c r="P1519" s="56"/>
    </row>
    <row r="1520" spans="1:16" ht="15.75" customHeight="1" x14ac:dyDescent="0.2">
      <c r="A1520" s="48">
        <v>7233</v>
      </c>
      <c r="B1520" s="11" t="s">
        <v>1857</v>
      </c>
      <c r="C1520" s="11" t="s">
        <v>1876</v>
      </c>
      <c r="D1520" s="6" t="s">
        <v>1850</v>
      </c>
      <c r="E1520" s="12" t="s">
        <v>4263</v>
      </c>
      <c r="F1520" s="12" t="s">
        <v>4263</v>
      </c>
      <c r="G1520" s="12" t="s">
        <v>4263</v>
      </c>
      <c r="H1520" s="12" t="s">
        <v>4264</v>
      </c>
      <c r="I1520" s="12" t="s">
        <v>4711</v>
      </c>
      <c r="J1520" s="11" t="s">
        <v>1851</v>
      </c>
      <c r="K1520" s="11" t="s">
        <v>1852</v>
      </c>
      <c r="L1520" s="11" t="s">
        <v>1853</v>
      </c>
      <c r="M1520" s="11" t="s">
        <v>1854</v>
      </c>
      <c r="N1520" s="12"/>
      <c r="O1520" s="11" t="s">
        <v>1858</v>
      </c>
      <c r="P1520" s="56"/>
    </row>
    <row r="1521" spans="1:16" ht="15.75" customHeight="1" x14ac:dyDescent="0.2">
      <c r="A1521" s="48">
        <v>5805</v>
      </c>
      <c r="B1521" s="11" t="s">
        <v>1857</v>
      </c>
      <c r="C1521" s="11" t="s">
        <v>1876</v>
      </c>
      <c r="D1521" s="6" t="s">
        <v>1850</v>
      </c>
      <c r="E1521" s="12" t="s">
        <v>4263</v>
      </c>
      <c r="F1521" s="12" t="s">
        <v>4263</v>
      </c>
      <c r="G1521" s="12" t="s">
        <v>4263</v>
      </c>
      <c r="H1521" s="12" t="s">
        <v>4270</v>
      </c>
      <c r="I1521" s="12" t="s">
        <v>4712</v>
      </c>
      <c r="J1521" s="11" t="s">
        <v>1851</v>
      </c>
      <c r="K1521" s="11" t="s">
        <v>1852</v>
      </c>
      <c r="L1521" s="11" t="s">
        <v>1853</v>
      </c>
      <c r="M1521" s="11" t="s">
        <v>1854</v>
      </c>
      <c r="N1521" s="12"/>
      <c r="O1521" s="11" t="s">
        <v>2307</v>
      </c>
      <c r="P1521" s="56" t="s">
        <v>2184</v>
      </c>
    </row>
    <row r="1522" spans="1:16" ht="15.75" customHeight="1" x14ac:dyDescent="0.2">
      <c r="A1522" s="48">
        <v>7246</v>
      </c>
      <c r="B1522" s="11" t="s">
        <v>1857</v>
      </c>
      <c r="C1522" s="11" t="s">
        <v>1876</v>
      </c>
      <c r="D1522" s="6" t="s">
        <v>1850</v>
      </c>
      <c r="E1522" s="12" t="s">
        <v>4263</v>
      </c>
      <c r="F1522" s="12" t="s">
        <v>4263</v>
      </c>
      <c r="G1522" s="12" t="s">
        <v>4263</v>
      </c>
      <c r="H1522" s="12" t="s">
        <v>4270</v>
      </c>
      <c r="I1522" s="12" t="s">
        <v>4713</v>
      </c>
      <c r="J1522" s="11" t="s">
        <v>1851</v>
      </c>
      <c r="K1522" s="11" t="s">
        <v>1852</v>
      </c>
      <c r="L1522" s="11" t="s">
        <v>1853</v>
      </c>
      <c r="M1522" s="11" t="s">
        <v>1854</v>
      </c>
      <c r="N1522" s="12"/>
      <c r="O1522" s="11" t="s">
        <v>1858</v>
      </c>
      <c r="P1522" s="56"/>
    </row>
    <row r="1523" spans="1:16" ht="15.75" customHeight="1" x14ac:dyDescent="0.2">
      <c r="A1523" s="48">
        <v>6015</v>
      </c>
      <c r="B1523" s="11" t="s">
        <v>1857</v>
      </c>
      <c r="C1523" s="11" t="s">
        <v>1876</v>
      </c>
      <c r="D1523" s="6" t="s">
        <v>1850</v>
      </c>
      <c r="E1523" s="12" t="s">
        <v>4263</v>
      </c>
      <c r="F1523" s="12" t="s">
        <v>4263</v>
      </c>
      <c r="G1523" s="12" t="s">
        <v>4263</v>
      </c>
      <c r="H1523" s="12" t="s">
        <v>2845</v>
      </c>
      <c r="I1523" s="12" t="s">
        <v>4714</v>
      </c>
      <c r="J1523" s="11" t="s">
        <v>1851</v>
      </c>
      <c r="K1523" s="11" t="s">
        <v>1852</v>
      </c>
      <c r="L1523" s="11" t="s">
        <v>1853</v>
      </c>
      <c r="M1523" s="11" t="s">
        <v>1854</v>
      </c>
      <c r="N1523" s="12"/>
      <c r="O1523" s="11" t="s">
        <v>1858</v>
      </c>
      <c r="P1523" s="56"/>
    </row>
    <row r="1524" spans="1:16" ht="15.75" customHeight="1" x14ac:dyDescent="0.2">
      <c r="A1524" s="48">
        <v>5804</v>
      </c>
      <c r="B1524" s="11" t="s">
        <v>1857</v>
      </c>
      <c r="C1524" s="11" t="s">
        <v>1876</v>
      </c>
      <c r="D1524" s="6" t="s">
        <v>1850</v>
      </c>
      <c r="E1524" s="12" t="s">
        <v>4263</v>
      </c>
      <c r="F1524" s="12" t="s">
        <v>4263</v>
      </c>
      <c r="G1524" s="12" t="s">
        <v>4263</v>
      </c>
      <c r="H1524" s="12" t="s">
        <v>4267</v>
      </c>
      <c r="I1524" s="12" t="s">
        <v>4715</v>
      </c>
      <c r="J1524" s="11" t="s">
        <v>1851</v>
      </c>
      <c r="K1524" s="11" t="s">
        <v>1852</v>
      </c>
      <c r="L1524" s="11" t="s">
        <v>1853</v>
      </c>
      <c r="M1524" s="11" t="s">
        <v>1854</v>
      </c>
      <c r="N1524" s="12"/>
      <c r="O1524" s="11" t="s">
        <v>2334</v>
      </c>
      <c r="P1524" s="56" t="s">
        <v>1863</v>
      </c>
    </row>
    <row r="1525" spans="1:16" ht="15.75" customHeight="1" x14ac:dyDescent="0.2">
      <c r="A1525" s="48">
        <v>5794</v>
      </c>
      <c r="B1525" s="11" t="s">
        <v>1857</v>
      </c>
      <c r="C1525" s="11" t="s">
        <v>1876</v>
      </c>
      <c r="D1525" s="6" t="s">
        <v>1850</v>
      </c>
      <c r="E1525" s="12" t="s">
        <v>4263</v>
      </c>
      <c r="F1525" s="12" t="s">
        <v>4263</v>
      </c>
      <c r="G1525" s="12" t="s">
        <v>4263</v>
      </c>
      <c r="H1525" s="12" t="s">
        <v>4264</v>
      </c>
      <c r="I1525" s="12" t="s">
        <v>4716</v>
      </c>
      <c r="J1525" s="11" t="s">
        <v>1851</v>
      </c>
      <c r="K1525" s="11" t="s">
        <v>1852</v>
      </c>
      <c r="L1525" s="11" t="s">
        <v>1853</v>
      </c>
      <c r="M1525" s="11" t="s">
        <v>1854</v>
      </c>
      <c r="N1525" s="12"/>
      <c r="O1525" s="11" t="s">
        <v>2334</v>
      </c>
      <c r="P1525" s="56" t="s">
        <v>1863</v>
      </c>
    </row>
    <row r="1526" spans="1:16" ht="15.75" customHeight="1" x14ac:dyDescent="0.2">
      <c r="A1526" s="48">
        <v>7240</v>
      </c>
      <c r="B1526" s="11" t="s">
        <v>1857</v>
      </c>
      <c r="C1526" s="11" t="s">
        <v>1876</v>
      </c>
      <c r="D1526" s="6" t="s">
        <v>1850</v>
      </c>
      <c r="E1526" s="12" t="s">
        <v>4263</v>
      </c>
      <c r="F1526" s="12" t="s">
        <v>4263</v>
      </c>
      <c r="G1526" s="12" t="s">
        <v>4263</v>
      </c>
      <c r="H1526" s="12" t="s">
        <v>4264</v>
      </c>
      <c r="I1526" s="12" t="s">
        <v>4717</v>
      </c>
      <c r="J1526" s="11" t="s">
        <v>1851</v>
      </c>
      <c r="K1526" s="11" t="s">
        <v>1852</v>
      </c>
      <c r="L1526" s="11" t="s">
        <v>1853</v>
      </c>
      <c r="M1526" s="11" t="s">
        <v>1854</v>
      </c>
      <c r="N1526" s="12"/>
      <c r="O1526" s="11" t="s">
        <v>1860</v>
      </c>
      <c r="P1526" s="56"/>
    </row>
    <row r="1527" spans="1:16" ht="15.75" customHeight="1" x14ac:dyDescent="0.2">
      <c r="A1527" s="48">
        <v>5985</v>
      </c>
      <c r="B1527" s="11" t="s">
        <v>1857</v>
      </c>
      <c r="C1527" s="11" t="s">
        <v>1876</v>
      </c>
      <c r="D1527" s="6" t="s">
        <v>1850</v>
      </c>
      <c r="E1527" s="12" t="s">
        <v>4263</v>
      </c>
      <c r="F1527" s="12" t="s">
        <v>4263</v>
      </c>
      <c r="G1527" s="12" t="s">
        <v>4263</v>
      </c>
      <c r="H1527" s="12" t="s">
        <v>4264</v>
      </c>
      <c r="I1527" s="12" t="s">
        <v>4718</v>
      </c>
      <c r="J1527" s="11" t="s">
        <v>1851</v>
      </c>
      <c r="K1527" s="11" t="s">
        <v>1852</v>
      </c>
      <c r="L1527" s="11" t="s">
        <v>1853</v>
      </c>
      <c r="M1527" s="11" t="s">
        <v>1854</v>
      </c>
      <c r="N1527" s="12"/>
      <c r="O1527" s="11" t="s">
        <v>2307</v>
      </c>
      <c r="P1527" s="56" t="s">
        <v>2573</v>
      </c>
    </row>
    <row r="1528" spans="1:16" ht="15.75" customHeight="1" x14ac:dyDescent="0.2">
      <c r="A1528" s="48">
        <v>5802</v>
      </c>
      <c r="B1528" s="11" t="s">
        <v>1857</v>
      </c>
      <c r="C1528" s="11" t="s">
        <v>1876</v>
      </c>
      <c r="D1528" s="6" t="s">
        <v>1850</v>
      </c>
      <c r="E1528" s="12" t="s">
        <v>4263</v>
      </c>
      <c r="F1528" s="12" t="s">
        <v>4263</v>
      </c>
      <c r="G1528" s="12" t="s">
        <v>4263</v>
      </c>
      <c r="H1528" s="12" t="s">
        <v>4267</v>
      </c>
      <c r="I1528" s="12" t="s">
        <v>4719</v>
      </c>
      <c r="J1528" s="11" t="s">
        <v>1851</v>
      </c>
      <c r="K1528" s="11" t="s">
        <v>1852</v>
      </c>
      <c r="L1528" s="11" t="s">
        <v>1853</v>
      </c>
      <c r="M1528" s="11" t="s">
        <v>1854</v>
      </c>
      <c r="N1528" s="12"/>
      <c r="O1528" s="11" t="s">
        <v>4720</v>
      </c>
      <c r="P1528" s="56" t="s">
        <v>1865</v>
      </c>
    </row>
    <row r="1529" spans="1:16" ht="15.75" customHeight="1" x14ac:dyDescent="0.2">
      <c r="A1529" s="48">
        <v>5800</v>
      </c>
      <c r="B1529" s="11" t="s">
        <v>1857</v>
      </c>
      <c r="C1529" s="11" t="s">
        <v>1876</v>
      </c>
      <c r="D1529" s="6" t="s">
        <v>1850</v>
      </c>
      <c r="E1529" s="12" t="s">
        <v>4263</v>
      </c>
      <c r="F1529" s="12" t="s">
        <v>4263</v>
      </c>
      <c r="G1529" s="12" t="s">
        <v>4263</v>
      </c>
      <c r="H1529" s="12" t="s">
        <v>4264</v>
      </c>
      <c r="I1529" s="12" t="s">
        <v>4721</v>
      </c>
      <c r="J1529" s="11" t="s">
        <v>1851</v>
      </c>
      <c r="K1529" s="11" t="s">
        <v>1852</v>
      </c>
      <c r="L1529" s="11" t="s">
        <v>1853</v>
      </c>
      <c r="M1529" s="11" t="s">
        <v>1854</v>
      </c>
      <c r="N1529" s="12"/>
      <c r="O1529" s="11" t="s">
        <v>2307</v>
      </c>
      <c r="P1529" s="56" t="s">
        <v>3343</v>
      </c>
    </row>
    <row r="1530" spans="1:16" ht="15.75" customHeight="1" x14ac:dyDescent="0.2">
      <c r="A1530" s="48">
        <v>5796</v>
      </c>
      <c r="B1530" s="11" t="s">
        <v>1857</v>
      </c>
      <c r="C1530" s="11" t="s">
        <v>1876</v>
      </c>
      <c r="D1530" s="6" t="s">
        <v>1850</v>
      </c>
      <c r="E1530" s="12" t="s">
        <v>4263</v>
      </c>
      <c r="F1530" s="12" t="s">
        <v>4263</v>
      </c>
      <c r="G1530" s="12" t="s">
        <v>4263</v>
      </c>
      <c r="H1530" s="12" t="s">
        <v>4264</v>
      </c>
      <c r="I1530" s="12" t="s">
        <v>4722</v>
      </c>
      <c r="J1530" s="11" t="s">
        <v>1851</v>
      </c>
      <c r="K1530" s="11" t="s">
        <v>1852</v>
      </c>
      <c r="L1530" s="11" t="s">
        <v>1853</v>
      </c>
      <c r="M1530" s="11" t="s">
        <v>1854</v>
      </c>
      <c r="N1530" s="12"/>
      <c r="O1530" s="11" t="s">
        <v>1860</v>
      </c>
      <c r="P1530" s="56"/>
    </row>
    <row r="1531" spans="1:16" ht="15.75" customHeight="1" x14ac:dyDescent="0.2">
      <c r="A1531" s="48">
        <v>7241</v>
      </c>
      <c r="B1531" s="11" t="s">
        <v>1857</v>
      </c>
      <c r="C1531" s="11" t="s">
        <v>1876</v>
      </c>
      <c r="D1531" s="6" t="s">
        <v>1850</v>
      </c>
      <c r="E1531" s="12" t="s">
        <v>4263</v>
      </c>
      <c r="F1531" s="12" t="s">
        <v>4263</v>
      </c>
      <c r="G1531" s="12" t="s">
        <v>4263</v>
      </c>
      <c r="H1531" s="12" t="s">
        <v>4274</v>
      </c>
      <c r="I1531" s="12" t="s">
        <v>4723</v>
      </c>
      <c r="J1531" s="11" t="s">
        <v>1851</v>
      </c>
      <c r="K1531" s="11" t="s">
        <v>1852</v>
      </c>
      <c r="L1531" s="11" t="s">
        <v>1853</v>
      </c>
      <c r="M1531" s="11" t="s">
        <v>1854</v>
      </c>
      <c r="N1531" s="12"/>
      <c r="O1531" s="11" t="s">
        <v>1859</v>
      </c>
      <c r="P1531" s="56"/>
    </row>
    <row r="1532" spans="1:16" ht="15.75" customHeight="1" x14ac:dyDescent="0.2">
      <c r="A1532" s="48">
        <v>5806</v>
      </c>
      <c r="B1532" s="11" t="s">
        <v>1857</v>
      </c>
      <c r="C1532" s="11" t="s">
        <v>1876</v>
      </c>
      <c r="D1532" s="6" t="s">
        <v>1850</v>
      </c>
      <c r="E1532" s="12" t="s">
        <v>4263</v>
      </c>
      <c r="F1532" s="12" t="s">
        <v>4263</v>
      </c>
      <c r="G1532" s="12" t="s">
        <v>4263</v>
      </c>
      <c r="H1532" s="12" t="s">
        <v>4270</v>
      </c>
      <c r="I1532" s="12" t="s">
        <v>4724</v>
      </c>
      <c r="J1532" s="11" t="s">
        <v>1851</v>
      </c>
      <c r="K1532" s="11" t="s">
        <v>1852</v>
      </c>
      <c r="L1532" s="11" t="s">
        <v>1853</v>
      </c>
      <c r="M1532" s="11" t="s">
        <v>4725</v>
      </c>
      <c r="N1532" s="12"/>
      <c r="O1532" s="11" t="s">
        <v>1858</v>
      </c>
      <c r="P1532" s="56"/>
    </row>
    <row r="1533" spans="1:16" ht="15.75" customHeight="1" x14ac:dyDescent="0.2">
      <c r="A1533" s="48">
        <v>7236</v>
      </c>
      <c r="B1533" s="11" t="s">
        <v>1857</v>
      </c>
      <c r="C1533" s="11" t="s">
        <v>1876</v>
      </c>
      <c r="D1533" s="6" t="s">
        <v>1850</v>
      </c>
      <c r="E1533" s="12" t="s">
        <v>4263</v>
      </c>
      <c r="F1533" s="12" t="s">
        <v>4263</v>
      </c>
      <c r="G1533" s="12" t="s">
        <v>4263</v>
      </c>
      <c r="H1533" s="12" t="s">
        <v>4267</v>
      </c>
      <c r="I1533" s="12" t="s">
        <v>4726</v>
      </c>
      <c r="J1533" s="11" t="s">
        <v>1851</v>
      </c>
      <c r="K1533" s="11" t="s">
        <v>1852</v>
      </c>
      <c r="L1533" s="11" t="s">
        <v>1853</v>
      </c>
      <c r="M1533" s="11" t="s">
        <v>4727</v>
      </c>
      <c r="N1533" s="12"/>
      <c r="O1533" s="11" t="s">
        <v>1867</v>
      </c>
      <c r="P1533" s="56" t="s">
        <v>1865</v>
      </c>
    </row>
    <row r="1534" spans="1:16" ht="15.75" customHeight="1" x14ac:dyDescent="0.2">
      <c r="A1534" s="48">
        <v>6008</v>
      </c>
      <c r="B1534" s="11" t="s">
        <v>1857</v>
      </c>
      <c r="C1534" s="11" t="s">
        <v>1876</v>
      </c>
      <c r="D1534" s="6" t="s">
        <v>1850</v>
      </c>
      <c r="E1534" s="12" t="s">
        <v>4263</v>
      </c>
      <c r="F1534" s="12" t="s">
        <v>4263</v>
      </c>
      <c r="G1534" s="12" t="s">
        <v>4263</v>
      </c>
      <c r="H1534" s="12" t="s">
        <v>4267</v>
      </c>
      <c r="I1534" s="12" t="s">
        <v>4728</v>
      </c>
      <c r="J1534" s="11" t="s">
        <v>1851</v>
      </c>
      <c r="K1534" s="11" t="s">
        <v>1852</v>
      </c>
      <c r="L1534" s="11" t="s">
        <v>1853</v>
      </c>
      <c r="M1534" s="11" t="s">
        <v>1854</v>
      </c>
      <c r="N1534" s="12"/>
      <c r="O1534" s="11" t="s">
        <v>2350</v>
      </c>
      <c r="P1534" s="56" t="s">
        <v>1865</v>
      </c>
    </row>
    <row r="1535" spans="1:16" ht="15.75" customHeight="1" x14ac:dyDescent="0.2">
      <c r="A1535" s="48">
        <v>7243</v>
      </c>
      <c r="B1535" s="11" t="s">
        <v>1857</v>
      </c>
      <c r="C1535" s="11" t="s">
        <v>1876</v>
      </c>
      <c r="D1535" s="6" t="s">
        <v>1850</v>
      </c>
      <c r="E1535" s="12" t="s">
        <v>4263</v>
      </c>
      <c r="F1535" s="12" t="s">
        <v>4263</v>
      </c>
      <c r="G1535" s="12" t="s">
        <v>4263</v>
      </c>
      <c r="H1535" s="12" t="s">
        <v>4264</v>
      </c>
      <c r="I1535" s="12" t="s">
        <v>3378</v>
      </c>
      <c r="J1535" s="11" t="s">
        <v>1851</v>
      </c>
      <c r="K1535" s="11" t="s">
        <v>1852</v>
      </c>
      <c r="L1535" s="11" t="s">
        <v>1853</v>
      </c>
      <c r="M1535" s="11" t="s">
        <v>1854</v>
      </c>
      <c r="N1535" s="12"/>
      <c r="O1535" s="11" t="s">
        <v>1858</v>
      </c>
      <c r="P1535" s="56"/>
    </row>
    <row r="1536" spans="1:16" ht="15.75" customHeight="1" x14ac:dyDescent="0.2">
      <c r="A1536" s="48">
        <v>7250</v>
      </c>
      <c r="B1536" s="11" t="s">
        <v>1857</v>
      </c>
      <c r="C1536" s="11" t="s">
        <v>1876</v>
      </c>
      <c r="D1536" s="6" t="s">
        <v>1850</v>
      </c>
      <c r="E1536" s="12" t="s">
        <v>4263</v>
      </c>
      <c r="F1536" s="12" t="s">
        <v>4263</v>
      </c>
      <c r="G1536" s="12" t="s">
        <v>4263</v>
      </c>
      <c r="H1536" s="12" t="s">
        <v>4264</v>
      </c>
      <c r="I1536" s="12" t="s">
        <v>4729</v>
      </c>
      <c r="J1536" s="11" t="s">
        <v>1851</v>
      </c>
      <c r="K1536" s="11" t="s">
        <v>1852</v>
      </c>
      <c r="L1536" s="11" t="s">
        <v>1853</v>
      </c>
      <c r="M1536" s="11" t="s">
        <v>1854</v>
      </c>
      <c r="N1536" s="12"/>
      <c r="O1536" s="11" t="s">
        <v>1859</v>
      </c>
      <c r="P1536" s="56"/>
    </row>
    <row r="1537" spans="1:16" ht="15.75" customHeight="1" x14ac:dyDescent="0.2">
      <c r="A1537" s="48">
        <v>7238</v>
      </c>
      <c r="B1537" s="11" t="s">
        <v>1871</v>
      </c>
      <c r="C1537" s="11" t="s">
        <v>1876</v>
      </c>
      <c r="D1537" s="6" t="s">
        <v>1850</v>
      </c>
      <c r="E1537" s="12" t="s">
        <v>4263</v>
      </c>
      <c r="F1537" s="12" t="s">
        <v>4263</v>
      </c>
      <c r="G1537" s="12" t="s">
        <v>4263</v>
      </c>
      <c r="H1537" s="12" t="s">
        <v>4270</v>
      </c>
      <c r="I1537" s="12" t="s">
        <v>4730</v>
      </c>
      <c r="J1537" s="11" t="s">
        <v>1851</v>
      </c>
      <c r="K1537" s="11" t="s">
        <v>1852</v>
      </c>
      <c r="L1537" s="11" t="s">
        <v>1853</v>
      </c>
      <c r="M1537" s="11" t="s">
        <v>1854</v>
      </c>
      <c r="N1537" s="12"/>
      <c r="O1537" s="11" t="s">
        <v>1854</v>
      </c>
      <c r="P1537" s="56"/>
    </row>
    <row r="1538" spans="1:16" ht="15.75" customHeight="1" x14ac:dyDescent="0.2">
      <c r="A1538" s="48">
        <v>7248</v>
      </c>
      <c r="B1538" s="11" t="s">
        <v>1871</v>
      </c>
      <c r="C1538" s="11" t="s">
        <v>1876</v>
      </c>
      <c r="D1538" s="6" t="s">
        <v>1850</v>
      </c>
      <c r="E1538" s="12" t="s">
        <v>4263</v>
      </c>
      <c r="F1538" s="12" t="s">
        <v>4263</v>
      </c>
      <c r="G1538" s="12" t="s">
        <v>4263</v>
      </c>
      <c r="H1538" s="12" t="s">
        <v>4264</v>
      </c>
      <c r="I1538" s="12" t="s">
        <v>4731</v>
      </c>
      <c r="J1538" s="11" t="s">
        <v>1851</v>
      </c>
      <c r="K1538" s="11" t="s">
        <v>1852</v>
      </c>
      <c r="L1538" s="11" t="s">
        <v>1853</v>
      </c>
      <c r="M1538" s="11" t="s">
        <v>4732</v>
      </c>
      <c r="N1538" s="12"/>
      <c r="O1538" s="11" t="s">
        <v>4733</v>
      </c>
      <c r="P1538" s="56"/>
    </row>
    <row r="1539" spans="1:16" ht="15.75" customHeight="1" x14ac:dyDescent="0.2">
      <c r="A1539" s="49">
        <v>7339</v>
      </c>
      <c r="B1539" s="11" t="s">
        <v>1871</v>
      </c>
      <c r="C1539" s="11" t="s">
        <v>1876</v>
      </c>
      <c r="D1539" s="6" t="s">
        <v>1850</v>
      </c>
      <c r="E1539" s="12" t="s">
        <v>4263</v>
      </c>
      <c r="F1539" s="12" t="s">
        <v>4263</v>
      </c>
      <c r="G1539" s="12" t="s">
        <v>4263</v>
      </c>
      <c r="H1539" s="12" t="s">
        <v>4276</v>
      </c>
      <c r="I1539" s="12" t="s">
        <v>4734</v>
      </c>
      <c r="J1539" s="11" t="s">
        <v>1851</v>
      </c>
      <c r="K1539" s="11" t="s">
        <v>1852</v>
      </c>
      <c r="L1539" s="11" t="s">
        <v>1853</v>
      </c>
      <c r="M1539" s="11" t="s">
        <v>1854</v>
      </c>
      <c r="N1539" s="12"/>
      <c r="O1539" s="11" t="s">
        <v>2618</v>
      </c>
      <c r="P1539" s="56"/>
    </row>
    <row r="1540" spans="1:16" ht="15.75" customHeight="1" x14ac:dyDescent="0.2">
      <c r="A1540" s="48">
        <v>5990</v>
      </c>
      <c r="B1540" s="11" t="s">
        <v>1871</v>
      </c>
      <c r="C1540" s="11" t="s">
        <v>1876</v>
      </c>
      <c r="D1540" s="6" t="s">
        <v>1850</v>
      </c>
      <c r="E1540" s="12" t="s">
        <v>4263</v>
      </c>
      <c r="F1540" s="12" t="s">
        <v>4263</v>
      </c>
      <c r="G1540" s="12" t="s">
        <v>4263</v>
      </c>
      <c r="H1540" s="12" t="s">
        <v>4264</v>
      </c>
      <c r="I1540" s="12" t="s">
        <v>4735</v>
      </c>
      <c r="J1540" s="11" t="s">
        <v>1851</v>
      </c>
      <c r="K1540" s="11" t="s">
        <v>1852</v>
      </c>
      <c r="L1540" s="11" t="s">
        <v>1853</v>
      </c>
      <c r="M1540" s="11" t="s">
        <v>1854</v>
      </c>
      <c r="N1540" s="12"/>
      <c r="O1540" s="11" t="s">
        <v>1854</v>
      </c>
      <c r="P1540" s="56" t="s">
        <v>4736</v>
      </c>
    </row>
    <row r="1541" spans="1:16" ht="15.75" customHeight="1" x14ac:dyDescent="0.2">
      <c r="A1541" s="48">
        <v>5801</v>
      </c>
      <c r="B1541" s="11" t="s">
        <v>1857</v>
      </c>
      <c r="C1541" s="11" t="s">
        <v>1876</v>
      </c>
      <c r="D1541" s="6" t="s">
        <v>4261</v>
      </c>
      <c r="E1541" s="12" t="s">
        <v>4263</v>
      </c>
      <c r="F1541" s="12" t="s">
        <v>4263</v>
      </c>
      <c r="G1541" s="12" t="s">
        <v>4263</v>
      </c>
      <c r="H1541" s="12" t="s">
        <v>4267</v>
      </c>
      <c r="I1541" s="12" t="s">
        <v>4737</v>
      </c>
      <c r="J1541" s="11" t="s">
        <v>1851</v>
      </c>
      <c r="K1541" s="11" t="s">
        <v>1852</v>
      </c>
      <c r="L1541" s="11" t="s">
        <v>1853</v>
      </c>
      <c r="M1541" s="11" t="s">
        <v>1854</v>
      </c>
      <c r="N1541" s="12"/>
      <c r="O1541" s="11" t="s">
        <v>1867</v>
      </c>
      <c r="P1541" s="56" t="s">
        <v>1865</v>
      </c>
    </row>
    <row r="1542" spans="1:16" ht="15.75" customHeight="1" x14ac:dyDescent="0.2">
      <c r="A1542" s="48">
        <v>5803</v>
      </c>
      <c r="B1542" s="11" t="s">
        <v>1857</v>
      </c>
      <c r="C1542" s="11" t="s">
        <v>1876</v>
      </c>
      <c r="D1542" s="6" t="s">
        <v>4261</v>
      </c>
      <c r="E1542" s="12" t="s">
        <v>4263</v>
      </c>
      <c r="F1542" s="12" t="s">
        <v>4263</v>
      </c>
      <c r="G1542" s="12" t="s">
        <v>4263</v>
      </c>
      <c r="H1542" s="12" t="s">
        <v>4267</v>
      </c>
      <c r="I1542" s="12" t="s">
        <v>4738</v>
      </c>
      <c r="J1542" s="11" t="s">
        <v>1851</v>
      </c>
      <c r="K1542" s="11" t="s">
        <v>1852</v>
      </c>
      <c r="L1542" s="11" t="s">
        <v>1853</v>
      </c>
      <c r="M1542" s="11" t="s">
        <v>1854</v>
      </c>
      <c r="N1542" s="12"/>
      <c r="O1542" s="11" t="s">
        <v>1867</v>
      </c>
      <c r="P1542" s="56" t="s">
        <v>4739</v>
      </c>
    </row>
    <row r="1543" spans="1:16" ht="15.75" customHeight="1" x14ac:dyDescent="0.2">
      <c r="A1543" s="49">
        <v>6777</v>
      </c>
      <c r="B1543" s="11" t="s">
        <v>1857</v>
      </c>
      <c r="C1543" s="11" t="s">
        <v>1849</v>
      </c>
      <c r="D1543" s="6" t="s">
        <v>1850</v>
      </c>
      <c r="E1543" s="12" t="s">
        <v>4740</v>
      </c>
      <c r="F1543" s="12" t="s">
        <v>4740</v>
      </c>
      <c r="G1543" s="12" t="s">
        <v>4741</v>
      </c>
      <c r="H1543" s="12" t="s">
        <v>4742</v>
      </c>
      <c r="I1543" s="12" t="s">
        <v>4743</v>
      </c>
      <c r="J1543" s="11" t="s">
        <v>2246</v>
      </c>
      <c r="K1543" s="11" t="s">
        <v>1852</v>
      </c>
      <c r="L1543" s="11" t="s">
        <v>4744</v>
      </c>
      <c r="M1543" s="11" t="s">
        <v>1854</v>
      </c>
      <c r="N1543" s="12"/>
      <c r="O1543" s="11" t="s">
        <v>1859</v>
      </c>
      <c r="P1543" s="56"/>
    </row>
    <row r="1544" spans="1:16" ht="15.75" customHeight="1" x14ac:dyDescent="0.2">
      <c r="A1544" s="49">
        <v>6776</v>
      </c>
      <c r="B1544" s="11" t="s">
        <v>1857</v>
      </c>
      <c r="C1544" s="11" t="s">
        <v>1849</v>
      </c>
      <c r="D1544" s="6" t="s">
        <v>1850</v>
      </c>
      <c r="E1544" s="12" t="s">
        <v>4740</v>
      </c>
      <c r="F1544" s="12" t="s">
        <v>4740</v>
      </c>
      <c r="G1544" s="12" t="s">
        <v>4745</v>
      </c>
      <c r="H1544" s="12" t="s">
        <v>4746</v>
      </c>
      <c r="I1544" s="12" t="s">
        <v>4747</v>
      </c>
      <c r="J1544" s="11" t="s">
        <v>1856</v>
      </c>
      <c r="K1544" s="11" t="s">
        <v>1852</v>
      </c>
      <c r="L1544" s="11" t="s">
        <v>1853</v>
      </c>
      <c r="M1544" s="11" t="s">
        <v>4748</v>
      </c>
      <c r="N1544" s="12"/>
      <c r="O1544" s="11" t="s">
        <v>1859</v>
      </c>
      <c r="P1544" s="56"/>
    </row>
    <row r="1545" spans="1:16" ht="15.75" customHeight="1" x14ac:dyDescent="0.2">
      <c r="A1545" s="49">
        <v>2365</v>
      </c>
      <c r="B1545" s="11" t="s">
        <v>1857</v>
      </c>
      <c r="C1545" s="11" t="s">
        <v>1849</v>
      </c>
      <c r="D1545" s="6" t="s">
        <v>1850</v>
      </c>
      <c r="E1545" s="12" t="s">
        <v>4740</v>
      </c>
      <c r="F1545" s="12" t="s">
        <v>4740</v>
      </c>
      <c r="G1545" s="12" t="s">
        <v>4741</v>
      </c>
      <c r="H1545" s="12" t="s">
        <v>4741</v>
      </c>
      <c r="I1545" s="12" t="s">
        <v>4749</v>
      </c>
      <c r="J1545" s="11" t="s">
        <v>1856</v>
      </c>
      <c r="K1545" s="11" t="s">
        <v>1852</v>
      </c>
      <c r="L1545" s="11" t="s">
        <v>1853</v>
      </c>
      <c r="M1545" s="11" t="s">
        <v>1854</v>
      </c>
      <c r="N1545" s="12"/>
      <c r="O1545" s="11" t="s">
        <v>1859</v>
      </c>
      <c r="P1545" s="56"/>
    </row>
    <row r="1546" spans="1:16" ht="15.75" customHeight="1" x14ac:dyDescent="0.2">
      <c r="A1546" s="49">
        <v>2433</v>
      </c>
      <c r="B1546" s="11" t="s">
        <v>1857</v>
      </c>
      <c r="C1546" s="11" t="s">
        <v>1849</v>
      </c>
      <c r="D1546" s="6" t="s">
        <v>1850</v>
      </c>
      <c r="E1546" s="12" t="s">
        <v>4740</v>
      </c>
      <c r="F1546" s="12" t="s">
        <v>4740</v>
      </c>
      <c r="G1546" s="12" t="s">
        <v>4741</v>
      </c>
      <c r="H1546" s="12" t="s">
        <v>4741</v>
      </c>
      <c r="I1546" s="12" t="s">
        <v>4750</v>
      </c>
      <c r="J1546" s="11" t="s">
        <v>1856</v>
      </c>
      <c r="K1546" s="11" t="s">
        <v>1852</v>
      </c>
      <c r="L1546" s="11" t="s">
        <v>1853</v>
      </c>
      <c r="M1546" s="11" t="s">
        <v>1854</v>
      </c>
      <c r="N1546" s="12"/>
      <c r="O1546" s="11" t="s">
        <v>1859</v>
      </c>
      <c r="P1546" s="56"/>
    </row>
    <row r="1547" spans="1:16" ht="15.75" customHeight="1" x14ac:dyDescent="0.2">
      <c r="A1547" s="49">
        <v>2430</v>
      </c>
      <c r="B1547" s="11" t="s">
        <v>1857</v>
      </c>
      <c r="C1547" s="11" t="s">
        <v>1849</v>
      </c>
      <c r="D1547" s="6" t="s">
        <v>1850</v>
      </c>
      <c r="E1547" s="12" t="s">
        <v>4740</v>
      </c>
      <c r="F1547" s="12" t="s">
        <v>4740</v>
      </c>
      <c r="G1547" s="12" t="s">
        <v>4741</v>
      </c>
      <c r="H1547" s="12" t="s">
        <v>4751</v>
      </c>
      <c r="I1547" s="12" t="s">
        <v>4752</v>
      </c>
      <c r="J1547" s="11" t="s">
        <v>1856</v>
      </c>
      <c r="K1547" s="11" t="s">
        <v>1852</v>
      </c>
      <c r="L1547" s="11" t="s">
        <v>1853</v>
      </c>
      <c r="M1547" s="11" t="s">
        <v>4753</v>
      </c>
      <c r="N1547" s="12"/>
      <c r="O1547" s="11" t="s">
        <v>1859</v>
      </c>
      <c r="P1547" s="56"/>
    </row>
    <row r="1548" spans="1:16" ht="15.75" customHeight="1" x14ac:dyDescent="0.2">
      <c r="A1548" s="49">
        <v>2236</v>
      </c>
      <c r="B1548" s="11" t="s">
        <v>1857</v>
      </c>
      <c r="C1548" s="11" t="s">
        <v>1849</v>
      </c>
      <c r="D1548" s="6" t="s">
        <v>1850</v>
      </c>
      <c r="E1548" s="12" t="s">
        <v>4740</v>
      </c>
      <c r="F1548" s="12" t="s">
        <v>4740</v>
      </c>
      <c r="G1548" s="12" t="s">
        <v>4754</v>
      </c>
      <c r="H1548" s="12" t="s">
        <v>4754</v>
      </c>
      <c r="I1548" s="12" t="s">
        <v>4755</v>
      </c>
      <c r="J1548" s="11" t="s">
        <v>2246</v>
      </c>
      <c r="K1548" s="11" t="s">
        <v>2247</v>
      </c>
      <c r="L1548" s="11" t="s">
        <v>4744</v>
      </c>
      <c r="M1548" s="11" t="s">
        <v>1854</v>
      </c>
      <c r="N1548" s="12"/>
      <c r="O1548" s="11" t="s">
        <v>1858</v>
      </c>
      <c r="P1548" s="56"/>
    </row>
    <row r="1549" spans="1:16" ht="15.75" customHeight="1" x14ac:dyDescent="0.2">
      <c r="A1549" s="49">
        <v>2375</v>
      </c>
      <c r="B1549" s="11" t="s">
        <v>1857</v>
      </c>
      <c r="C1549" s="11" t="s">
        <v>1849</v>
      </c>
      <c r="D1549" s="6" t="s">
        <v>1850</v>
      </c>
      <c r="E1549" s="12" t="s">
        <v>4740</v>
      </c>
      <c r="F1549" s="12" t="s">
        <v>4740</v>
      </c>
      <c r="G1549" s="12" t="s">
        <v>4741</v>
      </c>
      <c r="H1549" s="12" t="s">
        <v>4741</v>
      </c>
      <c r="I1549" s="12" t="s">
        <v>4756</v>
      </c>
      <c r="J1549" s="11" t="s">
        <v>1856</v>
      </c>
      <c r="K1549" s="11" t="s">
        <v>1852</v>
      </c>
      <c r="L1549" s="11" t="s">
        <v>1853</v>
      </c>
      <c r="M1549" s="11" t="s">
        <v>4757</v>
      </c>
      <c r="N1549" s="12"/>
      <c r="O1549" s="11" t="s">
        <v>1858</v>
      </c>
      <c r="P1549" s="56"/>
    </row>
    <row r="1550" spans="1:16" ht="15.75" customHeight="1" x14ac:dyDescent="0.2">
      <c r="A1550" s="49">
        <v>2392</v>
      </c>
      <c r="B1550" s="11" t="s">
        <v>1857</v>
      </c>
      <c r="C1550" s="11" t="s">
        <v>1849</v>
      </c>
      <c r="D1550" s="6" t="s">
        <v>1850</v>
      </c>
      <c r="E1550" s="12" t="s">
        <v>4740</v>
      </c>
      <c r="F1550" s="12" t="s">
        <v>4740</v>
      </c>
      <c r="G1550" s="12" t="s">
        <v>4754</v>
      </c>
      <c r="H1550" s="12" t="s">
        <v>4758</v>
      </c>
      <c r="I1550" s="12" t="s">
        <v>4759</v>
      </c>
      <c r="J1550" s="11" t="s">
        <v>1856</v>
      </c>
      <c r="K1550" s="11" t="s">
        <v>1852</v>
      </c>
      <c r="L1550" s="11" t="s">
        <v>1853</v>
      </c>
      <c r="M1550" s="11" t="s">
        <v>1854</v>
      </c>
      <c r="N1550" s="12"/>
      <c r="O1550" s="11" t="s">
        <v>1859</v>
      </c>
      <c r="P1550" s="56"/>
    </row>
    <row r="1551" spans="1:16" ht="15.75" customHeight="1" x14ac:dyDescent="0.2">
      <c r="A1551" s="49">
        <v>2229</v>
      </c>
      <c r="B1551" s="11" t="s">
        <v>1857</v>
      </c>
      <c r="C1551" s="11" t="s">
        <v>1849</v>
      </c>
      <c r="D1551" s="6" t="s">
        <v>1850</v>
      </c>
      <c r="E1551" s="12" t="s">
        <v>4740</v>
      </c>
      <c r="F1551" s="12" t="s">
        <v>4740</v>
      </c>
      <c r="G1551" s="12" t="s">
        <v>4745</v>
      </c>
      <c r="H1551" s="12" t="s">
        <v>4746</v>
      </c>
      <c r="I1551" s="12" t="s">
        <v>4760</v>
      </c>
      <c r="J1551" s="11" t="s">
        <v>1856</v>
      </c>
      <c r="K1551" s="11" t="s">
        <v>1852</v>
      </c>
      <c r="L1551" s="11" t="s">
        <v>1853</v>
      </c>
      <c r="M1551" s="11" t="s">
        <v>4761</v>
      </c>
      <c r="N1551" s="12"/>
      <c r="O1551" s="11" t="s">
        <v>1858</v>
      </c>
      <c r="P1551" s="56"/>
    </row>
    <row r="1552" spans="1:16" ht="15.75" customHeight="1" x14ac:dyDescent="0.2">
      <c r="A1552" s="49">
        <v>2414</v>
      </c>
      <c r="B1552" s="11" t="s">
        <v>1857</v>
      </c>
      <c r="C1552" s="11" t="s">
        <v>1849</v>
      </c>
      <c r="D1552" s="6" t="s">
        <v>1850</v>
      </c>
      <c r="E1552" s="12" t="s">
        <v>4740</v>
      </c>
      <c r="F1552" s="12" t="s">
        <v>4740</v>
      </c>
      <c r="G1552" s="12" t="s">
        <v>4741</v>
      </c>
      <c r="H1552" s="12" t="s">
        <v>4762</v>
      </c>
      <c r="I1552" s="12" t="s">
        <v>4763</v>
      </c>
      <c r="J1552" s="11" t="s">
        <v>1856</v>
      </c>
      <c r="K1552" s="11" t="s">
        <v>1852</v>
      </c>
      <c r="L1552" s="11" t="s">
        <v>1853</v>
      </c>
      <c r="M1552" s="11" t="s">
        <v>4764</v>
      </c>
      <c r="N1552" s="12"/>
      <c r="O1552" s="11" t="s">
        <v>1859</v>
      </c>
      <c r="P1552" s="56"/>
    </row>
    <row r="1553" spans="1:16" ht="15.75" customHeight="1" x14ac:dyDescent="0.2">
      <c r="A1553" s="49">
        <v>6798</v>
      </c>
      <c r="B1553" s="11" t="s">
        <v>1857</v>
      </c>
      <c r="C1553" s="11" t="s">
        <v>1849</v>
      </c>
      <c r="D1553" s="6" t="s">
        <v>1850</v>
      </c>
      <c r="E1553" s="12" t="s">
        <v>4740</v>
      </c>
      <c r="F1553" s="12" t="s">
        <v>4740</v>
      </c>
      <c r="G1553" s="12" t="s">
        <v>4745</v>
      </c>
      <c r="H1553" s="12" t="s">
        <v>4765</v>
      </c>
      <c r="I1553" s="12" t="s">
        <v>4766</v>
      </c>
      <c r="J1553" s="11" t="s">
        <v>2246</v>
      </c>
      <c r="K1553" s="11" t="s">
        <v>2247</v>
      </c>
      <c r="L1553" s="11" t="s">
        <v>4744</v>
      </c>
      <c r="M1553" s="11" t="s">
        <v>4493</v>
      </c>
      <c r="N1553" s="12"/>
      <c r="O1553" s="11" t="s">
        <v>1859</v>
      </c>
      <c r="P1553" s="56"/>
    </row>
    <row r="1554" spans="1:16" ht="15.75" customHeight="1" x14ac:dyDescent="0.2">
      <c r="A1554" s="49">
        <v>2380</v>
      </c>
      <c r="B1554" s="11" t="s">
        <v>1857</v>
      </c>
      <c r="C1554" s="11" t="s">
        <v>1849</v>
      </c>
      <c r="D1554" s="6" t="s">
        <v>1850</v>
      </c>
      <c r="E1554" s="12" t="s">
        <v>4740</v>
      </c>
      <c r="F1554" s="12" t="s">
        <v>4740</v>
      </c>
      <c r="G1554" s="12" t="s">
        <v>4754</v>
      </c>
      <c r="H1554" s="12" t="s">
        <v>4767</v>
      </c>
      <c r="I1554" s="12" t="s">
        <v>4768</v>
      </c>
      <c r="J1554" s="11" t="s">
        <v>2246</v>
      </c>
      <c r="K1554" s="11" t="s">
        <v>2247</v>
      </c>
      <c r="L1554" s="11" t="s">
        <v>4744</v>
      </c>
      <c r="M1554" s="11" t="s">
        <v>1854</v>
      </c>
      <c r="N1554" s="12"/>
      <c r="O1554" s="11" t="s">
        <v>1859</v>
      </c>
      <c r="P1554" s="56"/>
    </row>
    <row r="1555" spans="1:16" ht="15.75" customHeight="1" x14ac:dyDescent="0.2">
      <c r="A1555" s="49">
        <v>2424</v>
      </c>
      <c r="B1555" s="11" t="s">
        <v>1857</v>
      </c>
      <c r="C1555" s="11" t="s">
        <v>1849</v>
      </c>
      <c r="D1555" s="6" t="s">
        <v>1850</v>
      </c>
      <c r="E1555" s="12" t="s">
        <v>4740</v>
      </c>
      <c r="F1555" s="12" t="s">
        <v>4740</v>
      </c>
      <c r="G1555" s="12" t="s">
        <v>4741</v>
      </c>
      <c r="H1555" s="12" t="s">
        <v>4742</v>
      </c>
      <c r="I1555" s="12" t="s">
        <v>4323</v>
      </c>
      <c r="J1555" s="11" t="s">
        <v>1856</v>
      </c>
      <c r="K1555" s="11" t="s">
        <v>1852</v>
      </c>
      <c r="L1555" s="11" t="s">
        <v>1853</v>
      </c>
      <c r="M1555" s="11" t="s">
        <v>1854</v>
      </c>
      <c r="N1555" s="12"/>
      <c r="O1555" s="11" t="s">
        <v>1859</v>
      </c>
      <c r="P1555" s="56"/>
    </row>
    <row r="1556" spans="1:16" ht="15.75" customHeight="1" x14ac:dyDescent="0.2">
      <c r="A1556" s="49">
        <v>2224</v>
      </c>
      <c r="B1556" s="11" t="s">
        <v>1857</v>
      </c>
      <c r="C1556" s="11" t="s">
        <v>1849</v>
      </c>
      <c r="D1556" s="6" t="s">
        <v>1850</v>
      </c>
      <c r="E1556" s="12" t="s">
        <v>4740</v>
      </c>
      <c r="F1556" s="12" t="s">
        <v>4740</v>
      </c>
      <c r="G1556" s="12" t="s">
        <v>4745</v>
      </c>
      <c r="H1556" s="12" t="s">
        <v>4769</v>
      </c>
      <c r="I1556" s="12" t="s">
        <v>4770</v>
      </c>
      <c r="J1556" s="11" t="s">
        <v>2246</v>
      </c>
      <c r="K1556" s="11" t="s">
        <v>2247</v>
      </c>
      <c r="L1556" s="11" t="s">
        <v>4744</v>
      </c>
      <c r="M1556" s="11" t="s">
        <v>1854</v>
      </c>
      <c r="N1556" s="12"/>
      <c r="O1556" s="11" t="s">
        <v>1859</v>
      </c>
      <c r="P1556" s="56"/>
    </row>
    <row r="1557" spans="1:16" ht="15.75" customHeight="1" x14ac:dyDescent="0.2">
      <c r="A1557" s="49">
        <v>2399</v>
      </c>
      <c r="B1557" s="11" t="s">
        <v>1857</v>
      </c>
      <c r="C1557" s="11" t="s">
        <v>1849</v>
      </c>
      <c r="D1557" s="6" t="s">
        <v>1850</v>
      </c>
      <c r="E1557" s="12" t="s">
        <v>4740</v>
      </c>
      <c r="F1557" s="12" t="s">
        <v>4740</v>
      </c>
      <c r="G1557" s="12" t="s">
        <v>4754</v>
      </c>
      <c r="H1557" s="12" t="s">
        <v>4771</v>
      </c>
      <c r="I1557" s="12" t="s">
        <v>4772</v>
      </c>
      <c r="J1557" s="11" t="s">
        <v>2246</v>
      </c>
      <c r="K1557" s="11" t="s">
        <v>2247</v>
      </c>
      <c r="L1557" s="11" t="s">
        <v>4744</v>
      </c>
      <c r="M1557" s="11" t="s">
        <v>4773</v>
      </c>
      <c r="N1557" s="12"/>
      <c r="O1557" s="11" t="s">
        <v>1859</v>
      </c>
      <c r="P1557" s="56"/>
    </row>
    <row r="1558" spans="1:16" ht="15.75" customHeight="1" x14ac:dyDescent="0.2">
      <c r="A1558" s="49">
        <v>2376</v>
      </c>
      <c r="B1558" s="11" t="s">
        <v>1857</v>
      </c>
      <c r="C1558" s="11" t="s">
        <v>1849</v>
      </c>
      <c r="D1558" s="6" t="s">
        <v>1850</v>
      </c>
      <c r="E1558" s="12" t="s">
        <v>4740</v>
      </c>
      <c r="F1558" s="12" t="s">
        <v>4740</v>
      </c>
      <c r="G1558" s="12" t="s">
        <v>4741</v>
      </c>
      <c r="H1558" s="12" t="s">
        <v>4741</v>
      </c>
      <c r="I1558" s="12" t="s">
        <v>4774</v>
      </c>
      <c r="J1558" s="11" t="s">
        <v>2246</v>
      </c>
      <c r="K1558" s="11" t="s">
        <v>2247</v>
      </c>
      <c r="L1558" s="11" t="s">
        <v>4744</v>
      </c>
      <c r="M1558" s="11" t="s">
        <v>4775</v>
      </c>
      <c r="N1558" s="12"/>
      <c r="O1558" s="11" t="s">
        <v>1860</v>
      </c>
      <c r="P1558" s="56"/>
    </row>
    <row r="1559" spans="1:16" ht="15.75" customHeight="1" x14ac:dyDescent="0.2">
      <c r="A1559" s="49">
        <v>2210</v>
      </c>
      <c r="B1559" s="11" t="s">
        <v>1857</v>
      </c>
      <c r="C1559" s="11" t="s">
        <v>1849</v>
      </c>
      <c r="D1559" s="6" t="s">
        <v>1850</v>
      </c>
      <c r="E1559" s="12" t="s">
        <v>4740</v>
      </c>
      <c r="F1559" s="12" t="s">
        <v>4740</v>
      </c>
      <c r="G1559" s="12" t="s">
        <v>4745</v>
      </c>
      <c r="H1559" s="12" t="s">
        <v>4765</v>
      </c>
      <c r="I1559" s="12" t="s">
        <v>4776</v>
      </c>
      <c r="J1559" s="11" t="s">
        <v>1856</v>
      </c>
      <c r="K1559" s="11" t="s">
        <v>1852</v>
      </c>
      <c r="L1559" s="11" t="s">
        <v>1853</v>
      </c>
      <c r="M1559" s="11" t="s">
        <v>4777</v>
      </c>
      <c r="N1559" s="12"/>
      <c r="O1559" s="11" t="s">
        <v>1858</v>
      </c>
      <c r="P1559" s="56"/>
    </row>
    <row r="1560" spans="1:16" ht="15.75" customHeight="1" x14ac:dyDescent="0.2">
      <c r="A1560" s="49">
        <v>2387</v>
      </c>
      <c r="B1560" s="11" t="s">
        <v>1857</v>
      </c>
      <c r="C1560" s="11" t="s">
        <v>1849</v>
      </c>
      <c r="D1560" s="6" t="s">
        <v>1850</v>
      </c>
      <c r="E1560" s="12" t="s">
        <v>4740</v>
      </c>
      <c r="F1560" s="12" t="s">
        <v>4740</v>
      </c>
      <c r="G1560" s="12" t="s">
        <v>4741</v>
      </c>
      <c r="H1560" s="12" t="s">
        <v>4762</v>
      </c>
      <c r="I1560" s="12" t="s">
        <v>3624</v>
      </c>
      <c r="J1560" s="11" t="s">
        <v>1856</v>
      </c>
      <c r="K1560" s="11" t="s">
        <v>1852</v>
      </c>
      <c r="L1560" s="11" t="s">
        <v>1853</v>
      </c>
      <c r="M1560" s="11" t="s">
        <v>1854</v>
      </c>
      <c r="N1560" s="12"/>
      <c r="O1560" s="11" t="s">
        <v>1859</v>
      </c>
      <c r="P1560" s="56"/>
    </row>
    <row r="1561" spans="1:16" ht="15.75" customHeight="1" x14ac:dyDescent="0.2">
      <c r="A1561" s="49">
        <v>2453</v>
      </c>
      <c r="B1561" s="11" t="s">
        <v>1857</v>
      </c>
      <c r="C1561" s="11" t="s">
        <v>1849</v>
      </c>
      <c r="D1561" s="6" t="s">
        <v>1850</v>
      </c>
      <c r="E1561" s="12" t="s">
        <v>4740</v>
      </c>
      <c r="F1561" s="12" t="s">
        <v>4740</v>
      </c>
      <c r="G1561" s="12" t="s">
        <v>4754</v>
      </c>
      <c r="H1561" s="12" t="s">
        <v>4778</v>
      </c>
      <c r="I1561" s="12" t="s">
        <v>4779</v>
      </c>
      <c r="J1561" s="11" t="s">
        <v>2246</v>
      </c>
      <c r="K1561" s="11" t="s">
        <v>2247</v>
      </c>
      <c r="L1561" s="11" t="s">
        <v>4744</v>
      </c>
      <c r="M1561" s="11" t="s">
        <v>4773</v>
      </c>
      <c r="N1561" s="12"/>
      <c r="O1561" s="11" t="s">
        <v>1859</v>
      </c>
      <c r="P1561" s="56"/>
    </row>
    <row r="1562" spans="1:16" ht="15.75" customHeight="1" x14ac:dyDescent="0.2">
      <c r="A1562" s="49">
        <v>2327</v>
      </c>
      <c r="B1562" s="11" t="s">
        <v>1857</v>
      </c>
      <c r="C1562" s="11" t="s">
        <v>1849</v>
      </c>
      <c r="D1562" s="6" t="s">
        <v>1850</v>
      </c>
      <c r="E1562" s="12" t="s">
        <v>4740</v>
      </c>
      <c r="F1562" s="12" t="s">
        <v>4740</v>
      </c>
      <c r="G1562" s="12" t="s">
        <v>4741</v>
      </c>
      <c r="H1562" s="12" t="s">
        <v>4780</v>
      </c>
      <c r="I1562" s="12" t="s">
        <v>4781</v>
      </c>
      <c r="J1562" s="11" t="s">
        <v>1856</v>
      </c>
      <c r="K1562" s="11" t="s">
        <v>1852</v>
      </c>
      <c r="L1562" s="11" t="s">
        <v>1853</v>
      </c>
      <c r="M1562" s="11" t="s">
        <v>4493</v>
      </c>
      <c r="N1562" s="12" t="s">
        <v>2281</v>
      </c>
      <c r="O1562" s="11" t="s">
        <v>1860</v>
      </c>
      <c r="P1562" s="56"/>
    </row>
    <row r="1563" spans="1:16" ht="15.75" customHeight="1" x14ac:dyDescent="0.2">
      <c r="A1563" s="49">
        <v>2256</v>
      </c>
      <c r="B1563" s="11" t="s">
        <v>1857</v>
      </c>
      <c r="C1563" s="11" t="s">
        <v>1849</v>
      </c>
      <c r="D1563" s="6" t="s">
        <v>1850</v>
      </c>
      <c r="E1563" s="12" t="s">
        <v>4740</v>
      </c>
      <c r="F1563" s="12" t="s">
        <v>4740</v>
      </c>
      <c r="G1563" s="12" t="s">
        <v>4745</v>
      </c>
      <c r="H1563" s="12" t="s">
        <v>4746</v>
      </c>
      <c r="I1563" s="12" t="s">
        <v>4782</v>
      </c>
      <c r="J1563" s="11" t="s">
        <v>1856</v>
      </c>
      <c r="K1563" s="11" t="s">
        <v>1852</v>
      </c>
      <c r="L1563" s="11" t="s">
        <v>1853</v>
      </c>
      <c r="M1563" s="11" t="s">
        <v>4783</v>
      </c>
      <c r="N1563" s="12" t="s">
        <v>2281</v>
      </c>
      <c r="O1563" s="11" t="s">
        <v>1860</v>
      </c>
      <c r="P1563" s="56"/>
    </row>
    <row r="1564" spans="1:16" ht="15.75" customHeight="1" x14ac:dyDescent="0.2">
      <c r="A1564" s="49">
        <v>2396</v>
      </c>
      <c r="B1564" s="11" t="s">
        <v>1857</v>
      </c>
      <c r="C1564" s="11" t="s">
        <v>1849</v>
      </c>
      <c r="D1564" s="6" t="s">
        <v>1850</v>
      </c>
      <c r="E1564" s="12" t="s">
        <v>4740</v>
      </c>
      <c r="F1564" s="12" t="s">
        <v>4740</v>
      </c>
      <c r="G1564" s="12" t="s">
        <v>4754</v>
      </c>
      <c r="H1564" s="12" t="s">
        <v>4758</v>
      </c>
      <c r="I1564" s="12" t="s">
        <v>4335</v>
      </c>
      <c r="J1564" s="11" t="s">
        <v>1856</v>
      </c>
      <c r="K1564" s="11" t="s">
        <v>1852</v>
      </c>
      <c r="L1564" s="11" t="s">
        <v>1853</v>
      </c>
      <c r="M1564" s="11" t="s">
        <v>4783</v>
      </c>
      <c r="N1564" s="12"/>
      <c r="O1564" s="11" t="s">
        <v>1859</v>
      </c>
      <c r="P1564" s="56"/>
    </row>
    <row r="1565" spans="1:16" ht="15.75" customHeight="1" x14ac:dyDescent="0.2">
      <c r="A1565" s="49">
        <v>2379</v>
      </c>
      <c r="B1565" s="11" t="s">
        <v>1857</v>
      </c>
      <c r="C1565" s="11" t="s">
        <v>1849</v>
      </c>
      <c r="D1565" s="6" t="s">
        <v>1850</v>
      </c>
      <c r="E1565" s="12" t="s">
        <v>4740</v>
      </c>
      <c r="F1565" s="12" t="s">
        <v>4740</v>
      </c>
      <c r="G1565" s="12" t="s">
        <v>4754</v>
      </c>
      <c r="H1565" s="12" t="s">
        <v>4767</v>
      </c>
      <c r="I1565" s="12" t="s">
        <v>4784</v>
      </c>
      <c r="J1565" s="11" t="s">
        <v>1856</v>
      </c>
      <c r="K1565" s="11" t="s">
        <v>1852</v>
      </c>
      <c r="L1565" s="11" t="s">
        <v>1853</v>
      </c>
      <c r="M1565" s="11" t="s">
        <v>1854</v>
      </c>
      <c r="N1565" s="12"/>
      <c r="O1565" s="11" t="s">
        <v>1860</v>
      </c>
      <c r="P1565" s="56"/>
    </row>
    <row r="1566" spans="1:16" ht="15.75" customHeight="1" x14ac:dyDescent="0.2">
      <c r="A1566" s="49">
        <v>2343</v>
      </c>
      <c r="B1566" s="11" t="s">
        <v>1857</v>
      </c>
      <c r="C1566" s="11" t="s">
        <v>1849</v>
      </c>
      <c r="D1566" s="6" t="s">
        <v>1850</v>
      </c>
      <c r="E1566" s="12" t="s">
        <v>4740</v>
      </c>
      <c r="F1566" s="12" t="s">
        <v>4740</v>
      </c>
      <c r="G1566" s="12" t="s">
        <v>4741</v>
      </c>
      <c r="H1566" s="12" t="s">
        <v>4780</v>
      </c>
      <c r="I1566" s="12" t="s">
        <v>4785</v>
      </c>
      <c r="J1566" s="11" t="s">
        <v>1856</v>
      </c>
      <c r="K1566" s="11" t="s">
        <v>1852</v>
      </c>
      <c r="L1566" s="11" t="s">
        <v>1853</v>
      </c>
      <c r="M1566" s="11" t="s">
        <v>1854</v>
      </c>
      <c r="N1566" s="12"/>
      <c r="O1566" s="11" t="s">
        <v>1859</v>
      </c>
      <c r="P1566" s="56"/>
    </row>
    <row r="1567" spans="1:16" ht="15.75" customHeight="1" x14ac:dyDescent="0.2">
      <c r="A1567" s="49">
        <v>2429</v>
      </c>
      <c r="B1567" s="11" t="s">
        <v>1857</v>
      </c>
      <c r="C1567" s="11" t="s">
        <v>1849</v>
      </c>
      <c r="D1567" s="6" t="s">
        <v>1850</v>
      </c>
      <c r="E1567" s="12" t="s">
        <v>4740</v>
      </c>
      <c r="F1567" s="12" t="s">
        <v>4740</v>
      </c>
      <c r="G1567" s="12" t="s">
        <v>4741</v>
      </c>
      <c r="H1567" s="12" t="s">
        <v>4742</v>
      </c>
      <c r="I1567" s="12" t="s">
        <v>1951</v>
      </c>
      <c r="J1567" s="11" t="s">
        <v>2246</v>
      </c>
      <c r="K1567" s="11" t="s">
        <v>2247</v>
      </c>
      <c r="L1567" s="11" t="s">
        <v>4744</v>
      </c>
      <c r="M1567" s="11" t="s">
        <v>4786</v>
      </c>
      <c r="N1567" s="12"/>
      <c r="O1567" s="11" t="s">
        <v>1859</v>
      </c>
      <c r="P1567" s="56"/>
    </row>
    <row r="1568" spans="1:16" ht="15.75" customHeight="1" x14ac:dyDescent="0.2">
      <c r="A1568" s="49">
        <v>2449</v>
      </c>
      <c r="B1568" s="11" t="s">
        <v>1857</v>
      </c>
      <c r="C1568" s="11" t="s">
        <v>1849</v>
      </c>
      <c r="D1568" s="6" t="s">
        <v>1850</v>
      </c>
      <c r="E1568" s="12" t="s">
        <v>4740</v>
      </c>
      <c r="F1568" s="12" t="s">
        <v>4740</v>
      </c>
      <c r="G1568" s="12" t="s">
        <v>4754</v>
      </c>
      <c r="H1568" s="12" t="s">
        <v>4787</v>
      </c>
      <c r="I1568" s="12" t="s">
        <v>4788</v>
      </c>
      <c r="J1568" s="11" t="s">
        <v>2246</v>
      </c>
      <c r="K1568" s="11" t="s">
        <v>2247</v>
      </c>
      <c r="L1568" s="11" t="s">
        <v>4744</v>
      </c>
      <c r="M1568" s="11" t="s">
        <v>1854</v>
      </c>
      <c r="N1568" s="12"/>
      <c r="O1568" s="11" t="s">
        <v>1860</v>
      </c>
      <c r="P1568" s="56"/>
    </row>
    <row r="1569" spans="1:16" ht="15.75" customHeight="1" x14ac:dyDescent="0.2">
      <c r="A1569" s="49">
        <v>2397</v>
      </c>
      <c r="B1569" s="11" t="s">
        <v>1857</v>
      </c>
      <c r="C1569" s="11" t="s">
        <v>1849</v>
      </c>
      <c r="D1569" s="6" t="s">
        <v>1850</v>
      </c>
      <c r="E1569" s="12" t="s">
        <v>4740</v>
      </c>
      <c r="F1569" s="12" t="s">
        <v>4740</v>
      </c>
      <c r="G1569" s="12" t="s">
        <v>4754</v>
      </c>
      <c r="H1569" s="12" t="s">
        <v>4758</v>
      </c>
      <c r="I1569" s="12" t="s">
        <v>4789</v>
      </c>
      <c r="J1569" s="11" t="s">
        <v>2246</v>
      </c>
      <c r="K1569" s="11" t="s">
        <v>2247</v>
      </c>
      <c r="L1569" s="11" t="s">
        <v>4744</v>
      </c>
      <c r="M1569" s="11" t="s">
        <v>1854</v>
      </c>
      <c r="N1569" s="12"/>
      <c r="O1569" s="11" t="s">
        <v>1858</v>
      </c>
      <c r="P1569" s="56"/>
    </row>
    <row r="1570" spans="1:16" ht="15.75" customHeight="1" x14ac:dyDescent="0.2">
      <c r="A1570" s="49">
        <v>2259</v>
      </c>
      <c r="B1570" s="11" t="s">
        <v>1857</v>
      </c>
      <c r="C1570" s="11" t="s">
        <v>1849</v>
      </c>
      <c r="D1570" s="6" t="s">
        <v>1850</v>
      </c>
      <c r="E1570" s="12" t="s">
        <v>4740</v>
      </c>
      <c r="F1570" s="12" t="s">
        <v>4740</v>
      </c>
      <c r="G1570" s="12" t="s">
        <v>4745</v>
      </c>
      <c r="H1570" s="12" t="s">
        <v>4746</v>
      </c>
      <c r="I1570" s="12" t="s">
        <v>4790</v>
      </c>
      <c r="J1570" s="11" t="s">
        <v>2246</v>
      </c>
      <c r="K1570" s="11" t="s">
        <v>1852</v>
      </c>
      <c r="L1570" s="11" t="s">
        <v>4744</v>
      </c>
      <c r="M1570" s="11" t="s">
        <v>4791</v>
      </c>
      <c r="N1570" s="12"/>
      <c r="O1570" s="11" t="s">
        <v>1859</v>
      </c>
      <c r="P1570" s="56"/>
    </row>
    <row r="1571" spans="1:16" ht="15.75" customHeight="1" x14ac:dyDescent="0.2">
      <c r="A1571" s="49">
        <v>6799</v>
      </c>
      <c r="B1571" s="11" t="s">
        <v>1857</v>
      </c>
      <c r="C1571" s="11" t="s">
        <v>1849</v>
      </c>
      <c r="D1571" s="6" t="s">
        <v>1850</v>
      </c>
      <c r="E1571" s="12" t="s">
        <v>4740</v>
      </c>
      <c r="F1571" s="12" t="s">
        <v>4740</v>
      </c>
      <c r="G1571" s="12" t="s">
        <v>4745</v>
      </c>
      <c r="H1571" s="12" t="s">
        <v>4746</v>
      </c>
      <c r="I1571" s="12" t="s">
        <v>4792</v>
      </c>
      <c r="J1571" s="11" t="s">
        <v>1856</v>
      </c>
      <c r="K1571" s="11" t="s">
        <v>1852</v>
      </c>
      <c r="L1571" s="11" t="s">
        <v>1853</v>
      </c>
      <c r="M1571" s="11" t="s">
        <v>1854</v>
      </c>
      <c r="N1571" s="12"/>
      <c r="O1571" s="11" t="s">
        <v>1859</v>
      </c>
      <c r="P1571" s="56"/>
    </row>
    <row r="1572" spans="1:16" ht="15.75" customHeight="1" x14ac:dyDescent="0.2">
      <c r="A1572" s="49">
        <v>2460</v>
      </c>
      <c r="B1572" s="11" t="s">
        <v>1857</v>
      </c>
      <c r="C1572" s="11" t="s">
        <v>1849</v>
      </c>
      <c r="D1572" s="6" t="s">
        <v>1850</v>
      </c>
      <c r="E1572" s="12" t="s">
        <v>4740</v>
      </c>
      <c r="F1572" s="12" t="s">
        <v>4740</v>
      </c>
      <c r="G1572" s="12" t="s">
        <v>4754</v>
      </c>
      <c r="H1572" s="12" t="s">
        <v>4778</v>
      </c>
      <c r="I1572" s="12" t="s">
        <v>4793</v>
      </c>
      <c r="J1572" s="11" t="s">
        <v>2246</v>
      </c>
      <c r="K1572" s="11" t="s">
        <v>2247</v>
      </c>
      <c r="L1572" s="11" t="s">
        <v>4744</v>
      </c>
      <c r="M1572" s="11" t="s">
        <v>4794</v>
      </c>
      <c r="N1572" s="12"/>
      <c r="O1572" s="11" t="s">
        <v>1859</v>
      </c>
      <c r="P1572" s="56"/>
    </row>
    <row r="1573" spans="1:16" ht="15.75" customHeight="1" x14ac:dyDescent="0.2">
      <c r="A1573" s="49">
        <v>2405</v>
      </c>
      <c r="B1573" s="11" t="s">
        <v>1857</v>
      </c>
      <c r="C1573" s="11" t="s">
        <v>1849</v>
      </c>
      <c r="D1573" s="6" t="s">
        <v>1850</v>
      </c>
      <c r="E1573" s="12" t="s">
        <v>4740</v>
      </c>
      <c r="F1573" s="12" t="s">
        <v>4740</v>
      </c>
      <c r="G1573" s="12" t="s">
        <v>4754</v>
      </c>
      <c r="H1573" s="12" t="s">
        <v>4771</v>
      </c>
      <c r="I1573" s="12" t="s">
        <v>4795</v>
      </c>
      <c r="J1573" s="11" t="s">
        <v>2246</v>
      </c>
      <c r="K1573" s="11" t="s">
        <v>2247</v>
      </c>
      <c r="L1573" s="11" t="s">
        <v>4744</v>
      </c>
      <c r="M1573" s="11" t="s">
        <v>1854</v>
      </c>
      <c r="N1573" s="12"/>
      <c r="O1573" s="11" t="s">
        <v>1859</v>
      </c>
      <c r="P1573" s="56"/>
    </row>
    <row r="1574" spans="1:16" ht="15.75" customHeight="1" x14ac:dyDescent="0.2">
      <c r="A1574" s="49">
        <v>5555</v>
      </c>
      <c r="B1574" s="11" t="s">
        <v>1857</v>
      </c>
      <c r="C1574" s="11" t="s">
        <v>1849</v>
      </c>
      <c r="D1574" s="6" t="s">
        <v>1850</v>
      </c>
      <c r="E1574" s="12" t="s">
        <v>4740</v>
      </c>
      <c r="F1574" s="12" t="s">
        <v>4740</v>
      </c>
      <c r="G1574" s="12" t="s">
        <v>4754</v>
      </c>
      <c r="H1574" s="12" t="s">
        <v>4796</v>
      </c>
      <c r="I1574" s="12" t="s">
        <v>4797</v>
      </c>
      <c r="J1574" s="11" t="s">
        <v>1856</v>
      </c>
      <c r="K1574" s="11" t="s">
        <v>1852</v>
      </c>
      <c r="L1574" s="11" t="s">
        <v>1853</v>
      </c>
      <c r="M1574" s="11" t="s">
        <v>1854</v>
      </c>
      <c r="N1574" s="12"/>
      <c r="O1574" s="11" t="s">
        <v>1859</v>
      </c>
      <c r="P1574" s="56"/>
    </row>
    <row r="1575" spans="1:16" ht="15.75" customHeight="1" x14ac:dyDescent="0.2">
      <c r="A1575" s="49">
        <v>2339</v>
      </c>
      <c r="B1575" s="11" t="s">
        <v>1857</v>
      </c>
      <c r="C1575" s="11" t="s">
        <v>1849</v>
      </c>
      <c r="D1575" s="6" t="s">
        <v>1850</v>
      </c>
      <c r="E1575" s="12" t="s">
        <v>4740</v>
      </c>
      <c r="F1575" s="12" t="s">
        <v>4740</v>
      </c>
      <c r="G1575" s="12" t="s">
        <v>4741</v>
      </c>
      <c r="H1575" s="12" t="s">
        <v>4741</v>
      </c>
      <c r="I1575" s="12" t="s">
        <v>4798</v>
      </c>
      <c r="J1575" s="11" t="s">
        <v>1856</v>
      </c>
      <c r="K1575" s="11" t="s">
        <v>1852</v>
      </c>
      <c r="L1575" s="11" t="s">
        <v>1853</v>
      </c>
      <c r="M1575" s="11" t="s">
        <v>1854</v>
      </c>
      <c r="N1575" s="12"/>
      <c r="O1575" s="11" t="s">
        <v>1859</v>
      </c>
      <c r="P1575" s="56"/>
    </row>
    <row r="1576" spans="1:16" ht="15.75" customHeight="1" x14ac:dyDescent="0.2">
      <c r="A1576" s="49">
        <v>2450</v>
      </c>
      <c r="B1576" s="11" t="s">
        <v>1857</v>
      </c>
      <c r="C1576" s="11" t="s">
        <v>1849</v>
      </c>
      <c r="D1576" s="6" t="s">
        <v>1850</v>
      </c>
      <c r="E1576" s="12" t="s">
        <v>4740</v>
      </c>
      <c r="F1576" s="12" t="s">
        <v>4740</v>
      </c>
      <c r="G1576" s="12" t="s">
        <v>4754</v>
      </c>
      <c r="H1576" s="12" t="s">
        <v>4787</v>
      </c>
      <c r="I1576" s="12" t="s">
        <v>4799</v>
      </c>
      <c r="J1576" s="11" t="s">
        <v>1856</v>
      </c>
      <c r="K1576" s="11" t="s">
        <v>1852</v>
      </c>
      <c r="L1576" s="11" t="s">
        <v>1853</v>
      </c>
      <c r="M1576" s="11" t="s">
        <v>4800</v>
      </c>
      <c r="N1576" s="12" t="s">
        <v>4801</v>
      </c>
      <c r="O1576" s="11" t="s">
        <v>1860</v>
      </c>
      <c r="P1576" s="56"/>
    </row>
    <row r="1577" spans="1:16" ht="15.75" customHeight="1" x14ac:dyDescent="0.2">
      <c r="A1577" s="49">
        <v>2214</v>
      </c>
      <c r="B1577" s="11" t="s">
        <v>1857</v>
      </c>
      <c r="C1577" s="11" t="s">
        <v>1849</v>
      </c>
      <c r="D1577" s="6" t="s">
        <v>1850</v>
      </c>
      <c r="E1577" s="12" t="s">
        <v>4740</v>
      </c>
      <c r="F1577" s="12" t="s">
        <v>4740</v>
      </c>
      <c r="G1577" s="12" t="s">
        <v>4745</v>
      </c>
      <c r="H1577" s="12" t="s">
        <v>4769</v>
      </c>
      <c r="I1577" s="12" t="s">
        <v>4802</v>
      </c>
      <c r="J1577" s="11" t="s">
        <v>2246</v>
      </c>
      <c r="K1577" s="11" t="s">
        <v>2247</v>
      </c>
      <c r="L1577" s="11" t="s">
        <v>4744</v>
      </c>
      <c r="M1577" s="11" t="s">
        <v>3678</v>
      </c>
      <c r="N1577" s="12"/>
      <c r="O1577" s="11" t="s">
        <v>1859</v>
      </c>
      <c r="P1577" s="56"/>
    </row>
    <row r="1578" spans="1:16" ht="15.75" customHeight="1" x14ac:dyDescent="0.2">
      <c r="A1578" s="49">
        <v>2428</v>
      </c>
      <c r="B1578" s="11" t="s">
        <v>1857</v>
      </c>
      <c r="C1578" s="11" t="s">
        <v>1849</v>
      </c>
      <c r="D1578" s="6" t="s">
        <v>1850</v>
      </c>
      <c r="E1578" s="12" t="s">
        <v>4740</v>
      </c>
      <c r="F1578" s="12" t="s">
        <v>4740</v>
      </c>
      <c r="G1578" s="12" t="s">
        <v>4741</v>
      </c>
      <c r="H1578" s="12" t="s">
        <v>4742</v>
      </c>
      <c r="I1578" s="12" t="s">
        <v>4803</v>
      </c>
      <c r="J1578" s="11" t="s">
        <v>1856</v>
      </c>
      <c r="K1578" s="11" t="s">
        <v>1852</v>
      </c>
      <c r="L1578" s="11" t="s">
        <v>1853</v>
      </c>
      <c r="M1578" s="11" t="s">
        <v>4804</v>
      </c>
      <c r="N1578" s="12" t="s">
        <v>4805</v>
      </c>
      <c r="O1578" s="11" t="s">
        <v>1860</v>
      </c>
      <c r="P1578" s="56"/>
    </row>
    <row r="1579" spans="1:16" ht="15.75" customHeight="1" x14ac:dyDescent="0.2">
      <c r="A1579" s="49">
        <v>2374</v>
      </c>
      <c r="B1579" s="11" t="s">
        <v>1857</v>
      </c>
      <c r="C1579" s="11" t="s">
        <v>1849</v>
      </c>
      <c r="D1579" s="6" t="s">
        <v>1850</v>
      </c>
      <c r="E1579" s="12" t="s">
        <v>4740</v>
      </c>
      <c r="F1579" s="12" t="s">
        <v>4740</v>
      </c>
      <c r="G1579" s="12" t="s">
        <v>4741</v>
      </c>
      <c r="H1579" s="12" t="s">
        <v>4742</v>
      </c>
      <c r="I1579" s="12" t="s">
        <v>4806</v>
      </c>
      <c r="J1579" s="11" t="s">
        <v>2246</v>
      </c>
      <c r="K1579" s="11" t="s">
        <v>1852</v>
      </c>
      <c r="L1579" s="11" t="s">
        <v>4744</v>
      </c>
      <c r="M1579" s="11" t="s">
        <v>4786</v>
      </c>
      <c r="N1579" s="12"/>
      <c r="O1579" s="11" t="s">
        <v>1859</v>
      </c>
      <c r="P1579" s="56"/>
    </row>
    <row r="1580" spans="1:16" ht="15.75" customHeight="1" x14ac:dyDescent="0.2">
      <c r="A1580" s="49">
        <v>2407</v>
      </c>
      <c r="B1580" s="11" t="s">
        <v>1857</v>
      </c>
      <c r="C1580" s="11" t="s">
        <v>1849</v>
      </c>
      <c r="D1580" s="6" t="s">
        <v>1850</v>
      </c>
      <c r="E1580" s="12" t="s">
        <v>4740</v>
      </c>
      <c r="F1580" s="12" t="s">
        <v>4740</v>
      </c>
      <c r="G1580" s="12" t="s">
        <v>4754</v>
      </c>
      <c r="H1580" s="12" t="s">
        <v>4771</v>
      </c>
      <c r="I1580" s="12" t="s">
        <v>4807</v>
      </c>
      <c r="J1580" s="11" t="s">
        <v>2246</v>
      </c>
      <c r="K1580" s="11" t="s">
        <v>2247</v>
      </c>
      <c r="L1580" s="11" t="s">
        <v>4744</v>
      </c>
      <c r="M1580" s="11" t="s">
        <v>1854</v>
      </c>
      <c r="N1580" s="12"/>
      <c r="O1580" s="11" t="s">
        <v>1859</v>
      </c>
      <c r="P1580" s="56"/>
    </row>
    <row r="1581" spans="1:16" ht="15.75" customHeight="1" x14ac:dyDescent="0.2">
      <c r="A1581" s="49">
        <v>2361</v>
      </c>
      <c r="B1581" s="11" t="s">
        <v>1857</v>
      </c>
      <c r="C1581" s="11" t="s">
        <v>1849</v>
      </c>
      <c r="D1581" s="6" t="s">
        <v>1850</v>
      </c>
      <c r="E1581" s="12" t="s">
        <v>4740</v>
      </c>
      <c r="F1581" s="12" t="s">
        <v>4740</v>
      </c>
      <c r="G1581" s="12" t="s">
        <v>4754</v>
      </c>
      <c r="H1581" s="12" t="s">
        <v>4771</v>
      </c>
      <c r="I1581" s="12" t="s">
        <v>4808</v>
      </c>
      <c r="J1581" s="11" t="s">
        <v>2246</v>
      </c>
      <c r="K1581" s="11" t="s">
        <v>2247</v>
      </c>
      <c r="L1581" s="11" t="s">
        <v>4744</v>
      </c>
      <c r="M1581" s="11" t="s">
        <v>3969</v>
      </c>
      <c r="N1581" s="12" t="s">
        <v>4809</v>
      </c>
      <c r="O1581" s="11" t="s">
        <v>1859</v>
      </c>
      <c r="P1581" s="56"/>
    </row>
    <row r="1582" spans="1:16" ht="15.75" customHeight="1" x14ac:dyDescent="0.2">
      <c r="A1582" s="49">
        <v>2317</v>
      </c>
      <c r="B1582" s="11" t="s">
        <v>1857</v>
      </c>
      <c r="C1582" s="11" t="s">
        <v>1849</v>
      </c>
      <c r="D1582" s="6" t="s">
        <v>1850</v>
      </c>
      <c r="E1582" s="12" t="s">
        <v>4740</v>
      </c>
      <c r="F1582" s="12" t="s">
        <v>4740</v>
      </c>
      <c r="G1582" s="12" t="s">
        <v>4741</v>
      </c>
      <c r="H1582" s="12" t="s">
        <v>4741</v>
      </c>
      <c r="I1582" s="12" t="s">
        <v>4393</v>
      </c>
      <c r="J1582" s="11" t="s">
        <v>1856</v>
      </c>
      <c r="K1582" s="11" t="s">
        <v>1852</v>
      </c>
      <c r="L1582" s="11" t="s">
        <v>1853</v>
      </c>
      <c r="M1582" s="11" t="s">
        <v>1854</v>
      </c>
      <c r="N1582" s="12"/>
      <c r="O1582" s="11" t="s">
        <v>1859</v>
      </c>
      <c r="P1582" s="56"/>
    </row>
    <row r="1583" spans="1:16" ht="15.75" customHeight="1" x14ac:dyDescent="0.2">
      <c r="A1583" s="49">
        <v>2360</v>
      </c>
      <c r="B1583" s="11" t="s">
        <v>1857</v>
      </c>
      <c r="C1583" s="11" t="s">
        <v>1849</v>
      </c>
      <c r="D1583" s="6" t="s">
        <v>1850</v>
      </c>
      <c r="E1583" s="12" t="s">
        <v>4740</v>
      </c>
      <c r="F1583" s="12" t="s">
        <v>4740</v>
      </c>
      <c r="G1583" s="12" t="s">
        <v>4741</v>
      </c>
      <c r="H1583" s="12" t="s">
        <v>4780</v>
      </c>
      <c r="I1583" s="12" t="s">
        <v>4810</v>
      </c>
      <c r="J1583" s="11" t="s">
        <v>1856</v>
      </c>
      <c r="K1583" s="11" t="s">
        <v>1852</v>
      </c>
      <c r="L1583" s="11" t="s">
        <v>1853</v>
      </c>
      <c r="M1583" s="11" t="s">
        <v>4773</v>
      </c>
      <c r="N1583" s="12"/>
      <c r="O1583" s="11" t="s">
        <v>1859</v>
      </c>
      <c r="P1583" s="56"/>
    </row>
    <row r="1584" spans="1:16" ht="15.75" customHeight="1" x14ac:dyDescent="0.2">
      <c r="A1584" s="49">
        <v>6793</v>
      </c>
      <c r="B1584" s="11" t="s">
        <v>1857</v>
      </c>
      <c r="C1584" s="11" t="s">
        <v>1849</v>
      </c>
      <c r="D1584" s="6" t="s">
        <v>1850</v>
      </c>
      <c r="E1584" s="12" t="s">
        <v>4740</v>
      </c>
      <c r="F1584" s="12" t="s">
        <v>4740</v>
      </c>
      <c r="G1584" s="12" t="s">
        <v>4745</v>
      </c>
      <c r="H1584" s="12" t="s">
        <v>4811</v>
      </c>
      <c r="I1584" s="12" t="s">
        <v>4812</v>
      </c>
      <c r="J1584" s="11" t="s">
        <v>1856</v>
      </c>
      <c r="K1584" s="11" t="s">
        <v>1852</v>
      </c>
      <c r="L1584" s="11" t="s">
        <v>1853</v>
      </c>
      <c r="M1584" s="11" t="s">
        <v>1854</v>
      </c>
      <c r="N1584" s="12"/>
      <c r="O1584" s="11" t="s">
        <v>1858</v>
      </c>
      <c r="P1584" s="56"/>
    </row>
    <row r="1585" spans="1:16" ht="15.75" customHeight="1" x14ac:dyDescent="0.2">
      <c r="A1585" s="49">
        <v>7589</v>
      </c>
      <c r="B1585" s="11" t="s">
        <v>1857</v>
      </c>
      <c r="C1585" s="11" t="s">
        <v>1849</v>
      </c>
      <c r="D1585" s="6" t="s">
        <v>1850</v>
      </c>
      <c r="E1585" s="12" t="s">
        <v>4740</v>
      </c>
      <c r="F1585" s="12" t="s">
        <v>4740</v>
      </c>
      <c r="G1585" s="12" t="s">
        <v>4741</v>
      </c>
      <c r="H1585" s="12" t="s">
        <v>4742</v>
      </c>
      <c r="I1585" s="12" t="s">
        <v>2645</v>
      </c>
      <c r="J1585" s="11" t="s">
        <v>2246</v>
      </c>
      <c r="K1585" s="11" t="s">
        <v>1852</v>
      </c>
      <c r="L1585" s="11" t="s">
        <v>4744</v>
      </c>
      <c r="M1585" s="11" t="s">
        <v>1854</v>
      </c>
      <c r="N1585" s="12"/>
      <c r="O1585" s="11" t="s">
        <v>1859</v>
      </c>
      <c r="P1585" s="56"/>
    </row>
    <row r="1586" spans="1:16" ht="15.75" customHeight="1" x14ac:dyDescent="0.2">
      <c r="A1586" s="49">
        <v>2239</v>
      </c>
      <c r="B1586" s="11" t="s">
        <v>1857</v>
      </c>
      <c r="C1586" s="11" t="s">
        <v>1849</v>
      </c>
      <c r="D1586" s="6" t="s">
        <v>1850</v>
      </c>
      <c r="E1586" s="12" t="s">
        <v>4740</v>
      </c>
      <c r="F1586" s="12" t="s">
        <v>4740</v>
      </c>
      <c r="G1586" s="12" t="s">
        <v>4745</v>
      </c>
      <c r="H1586" s="12" t="s">
        <v>4811</v>
      </c>
      <c r="I1586" s="12" t="s">
        <v>4813</v>
      </c>
      <c r="J1586" s="11" t="s">
        <v>1856</v>
      </c>
      <c r="K1586" s="11" t="s">
        <v>1852</v>
      </c>
      <c r="L1586" s="11" t="s">
        <v>1853</v>
      </c>
      <c r="M1586" s="11" t="s">
        <v>4814</v>
      </c>
      <c r="N1586" s="12"/>
      <c r="O1586" s="11" t="s">
        <v>1859</v>
      </c>
      <c r="P1586" s="56"/>
    </row>
    <row r="1587" spans="1:16" ht="15.75" customHeight="1" x14ac:dyDescent="0.2">
      <c r="A1587" s="49">
        <v>2366</v>
      </c>
      <c r="B1587" s="11" t="s">
        <v>1857</v>
      </c>
      <c r="C1587" s="11" t="s">
        <v>1849</v>
      </c>
      <c r="D1587" s="6" t="s">
        <v>1850</v>
      </c>
      <c r="E1587" s="12" t="s">
        <v>4740</v>
      </c>
      <c r="F1587" s="12" t="s">
        <v>4740</v>
      </c>
      <c r="G1587" s="12" t="s">
        <v>4741</v>
      </c>
      <c r="H1587" s="12" t="s">
        <v>4815</v>
      </c>
      <c r="I1587" s="12" t="s">
        <v>4816</v>
      </c>
      <c r="J1587" s="11" t="s">
        <v>1856</v>
      </c>
      <c r="K1587" s="11" t="s">
        <v>1852</v>
      </c>
      <c r="L1587" s="11" t="s">
        <v>1853</v>
      </c>
      <c r="M1587" s="11" t="s">
        <v>4817</v>
      </c>
      <c r="N1587" s="12" t="s">
        <v>4818</v>
      </c>
      <c r="O1587" s="11" t="s">
        <v>1859</v>
      </c>
      <c r="P1587" s="56"/>
    </row>
    <row r="1588" spans="1:16" ht="15.75" customHeight="1" x14ac:dyDescent="0.2">
      <c r="A1588" s="49">
        <v>4879</v>
      </c>
      <c r="B1588" s="11" t="s">
        <v>1857</v>
      </c>
      <c r="C1588" s="11" t="s">
        <v>1849</v>
      </c>
      <c r="D1588" s="6" t="s">
        <v>1850</v>
      </c>
      <c r="E1588" s="12" t="s">
        <v>4740</v>
      </c>
      <c r="F1588" s="12" t="s">
        <v>4740</v>
      </c>
      <c r="G1588" s="12" t="s">
        <v>4741</v>
      </c>
      <c r="H1588" s="12" t="s">
        <v>4819</v>
      </c>
      <c r="I1588" s="12" t="s">
        <v>4820</v>
      </c>
      <c r="J1588" s="11" t="s">
        <v>2246</v>
      </c>
      <c r="K1588" s="11" t="s">
        <v>2247</v>
      </c>
      <c r="L1588" s="11" t="s">
        <v>4744</v>
      </c>
      <c r="M1588" s="11" t="s">
        <v>1854</v>
      </c>
      <c r="N1588" s="12"/>
      <c r="O1588" s="11" t="s">
        <v>1858</v>
      </c>
      <c r="P1588" s="56"/>
    </row>
    <row r="1589" spans="1:16" ht="15.75" customHeight="1" x14ac:dyDescent="0.2">
      <c r="A1589" s="49">
        <v>2378</v>
      </c>
      <c r="B1589" s="11" t="s">
        <v>1857</v>
      </c>
      <c r="C1589" s="11" t="s">
        <v>1849</v>
      </c>
      <c r="D1589" s="6" t="s">
        <v>1850</v>
      </c>
      <c r="E1589" s="12" t="s">
        <v>4740</v>
      </c>
      <c r="F1589" s="12" t="s">
        <v>4740</v>
      </c>
      <c r="G1589" s="12" t="s">
        <v>4741</v>
      </c>
      <c r="H1589" s="12" t="s">
        <v>4819</v>
      </c>
      <c r="I1589" s="12" t="s">
        <v>4821</v>
      </c>
      <c r="J1589" s="11" t="s">
        <v>1856</v>
      </c>
      <c r="K1589" s="11" t="s">
        <v>1852</v>
      </c>
      <c r="L1589" s="11" t="s">
        <v>1853</v>
      </c>
      <c r="M1589" s="11" t="s">
        <v>4822</v>
      </c>
      <c r="N1589" s="12" t="s">
        <v>2281</v>
      </c>
      <c r="O1589" s="11" t="s">
        <v>1860</v>
      </c>
      <c r="P1589" s="56" t="s">
        <v>2796</v>
      </c>
    </row>
    <row r="1590" spans="1:16" ht="15.75" customHeight="1" x14ac:dyDescent="0.2">
      <c r="A1590" s="49">
        <v>2305</v>
      </c>
      <c r="B1590" s="11" t="s">
        <v>1857</v>
      </c>
      <c r="C1590" s="11" t="s">
        <v>1849</v>
      </c>
      <c r="D1590" s="6" t="s">
        <v>1850</v>
      </c>
      <c r="E1590" s="12" t="s">
        <v>4740</v>
      </c>
      <c r="F1590" s="12" t="s">
        <v>4740</v>
      </c>
      <c r="G1590" s="12" t="s">
        <v>4741</v>
      </c>
      <c r="H1590" s="12" t="s">
        <v>4819</v>
      </c>
      <c r="I1590" s="12" t="s">
        <v>4823</v>
      </c>
      <c r="J1590" s="11" t="s">
        <v>1856</v>
      </c>
      <c r="K1590" s="11" t="s">
        <v>1852</v>
      </c>
      <c r="L1590" s="11" t="s">
        <v>1853</v>
      </c>
      <c r="M1590" s="11" t="s">
        <v>4824</v>
      </c>
      <c r="N1590" s="12" t="s">
        <v>4825</v>
      </c>
      <c r="O1590" s="11" t="s">
        <v>1858</v>
      </c>
      <c r="P1590" s="56"/>
    </row>
    <row r="1591" spans="1:16" ht="15.75" customHeight="1" x14ac:dyDescent="0.2">
      <c r="A1591" s="49">
        <v>2218</v>
      </c>
      <c r="B1591" s="11" t="s">
        <v>1857</v>
      </c>
      <c r="C1591" s="11" t="s">
        <v>1849</v>
      </c>
      <c r="D1591" s="6" t="s">
        <v>1850</v>
      </c>
      <c r="E1591" s="12" t="s">
        <v>4740</v>
      </c>
      <c r="F1591" s="12" t="s">
        <v>4740</v>
      </c>
      <c r="G1591" s="12" t="s">
        <v>4745</v>
      </c>
      <c r="H1591" s="12" t="s">
        <v>4769</v>
      </c>
      <c r="I1591" s="12" t="s">
        <v>4826</v>
      </c>
      <c r="J1591" s="11" t="s">
        <v>1856</v>
      </c>
      <c r="K1591" s="11" t="s">
        <v>1852</v>
      </c>
      <c r="L1591" s="11" t="s">
        <v>1853</v>
      </c>
      <c r="M1591" s="11" t="s">
        <v>2244</v>
      </c>
      <c r="N1591" s="12"/>
      <c r="O1591" s="11" t="s">
        <v>1860</v>
      </c>
      <c r="P1591" s="56"/>
    </row>
    <row r="1592" spans="1:16" ht="15.75" customHeight="1" x14ac:dyDescent="0.2">
      <c r="A1592" s="49">
        <v>2367</v>
      </c>
      <c r="B1592" s="11" t="s">
        <v>1857</v>
      </c>
      <c r="C1592" s="11" t="s">
        <v>1849</v>
      </c>
      <c r="D1592" s="6" t="s">
        <v>1850</v>
      </c>
      <c r="E1592" s="12" t="s">
        <v>4740</v>
      </c>
      <c r="F1592" s="12" t="s">
        <v>4740</v>
      </c>
      <c r="G1592" s="12" t="s">
        <v>4741</v>
      </c>
      <c r="H1592" s="12" t="s">
        <v>4819</v>
      </c>
      <c r="I1592" s="12" t="s">
        <v>4827</v>
      </c>
      <c r="J1592" s="11" t="s">
        <v>1856</v>
      </c>
      <c r="K1592" s="11" t="s">
        <v>1852</v>
      </c>
      <c r="L1592" s="11" t="s">
        <v>1853</v>
      </c>
      <c r="M1592" s="11" t="s">
        <v>4773</v>
      </c>
      <c r="N1592" s="12" t="s">
        <v>2281</v>
      </c>
      <c r="O1592" s="11" t="s">
        <v>1858</v>
      </c>
      <c r="P1592" s="56"/>
    </row>
    <row r="1593" spans="1:16" ht="15.75" customHeight="1" x14ac:dyDescent="0.2">
      <c r="A1593" s="49">
        <v>2197</v>
      </c>
      <c r="B1593" s="11" t="s">
        <v>1857</v>
      </c>
      <c r="C1593" s="11" t="s">
        <v>1849</v>
      </c>
      <c r="D1593" s="6" t="s">
        <v>1850</v>
      </c>
      <c r="E1593" s="12" t="s">
        <v>4740</v>
      </c>
      <c r="F1593" s="12" t="s">
        <v>4740</v>
      </c>
      <c r="G1593" s="12" t="s">
        <v>4745</v>
      </c>
      <c r="H1593" s="12" t="s">
        <v>4828</v>
      </c>
      <c r="I1593" s="12" t="s">
        <v>4829</v>
      </c>
      <c r="J1593" s="11" t="s">
        <v>1856</v>
      </c>
      <c r="K1593" s="11" t="s">
        <v>1852</v>
      </c>
      <c r="L1593" s="11" t="s">
        <v>1853</v>
      </c>
      <c r="M1593" s="11" t="s">
        <v>4830</v>
      </c>
      <c r="N1593" s="12" t="s">
        <v>4831</v>
      </c>
      <c r="O1593" s="11" t="s">
        <v>1860</v>
      </c>
      <c r="P1593" s="56"/>
    </row>
    <row r="1594" spans="1:16" ht="15.75" customHeight="1" x14ac:dyDescent="0.2">
      <c r="A1594" s="49">
        <v>2307</v>
      </c>
      <c r="B1594" s="11" t="s">
        <v>1857</v>
      </c>
      <c r="C1594" s="11" t="s">
        <v>1849</v>
      </c>
      <c r="D1594" s="6" t="s">
        <v>1850</v>
      </c>
      <c r="E1594" s="12" t="s">
        <v>4740</v>
      </c>
      <c r="F1594" s="12" t="s">
        <v>4740</v>
      </c>
      <c r="G1594" s="12" t="s">
        <v>4754</v>
      </c>
      <c r="H1594" s="12" t="s">
        <v>4832</v>
      </c>
      <c r="I1594" s="12" t="s">
        <v>4833</v>
      </c>
      <c r="J1594" s="11" t="s">
        <v>1856</v>
      </c>
      <c r="K1594" s="11" t="s">
        <v>1852</v>
      </c>
      <c r="L1594" s="11" t="s">
        <v>1853</v>
      </c>
      <c r="M1594" s="11" t="s">
        <v>4834</v>
      </c>
      <c r="N1594" s="12" t="s">
        <v>4835</v>
      </c>
      <c r="O1594" s="11" t="s">
        <v>4836</v>
      </c>
      <c r="P1594" s="56"/>
    </row>
    <row r="1595" spans="1:16" ht="15.75" customHeight="1" x14ac:dyDescent="0.2">
      <c r="A1595" s="49">
        <v>2455</v>
      </c>
      <c r="B1595" s="11" t="s">
        <v>1857</v>
      </c>
      <c r="C1595" s="11" t="s">
        <v>1849</v>
      </c>
      <c r="D1595" s="6" t="s">
        <v>1850</v>
      </c>
      <c r="E1595" s="12" t="s">
        <v>4740</v>
      </c>
      <c r="F1595" s="12" t="s">
        <v>4740</v>
      </c>
      <c r="G1595" s="12" t="s">
        <v>4754</v>
      </c>
      <c r="H1595" s="12" t="s">
        <v>4778</v>
      </c>
      <c r="I1595" s="12" t="s">
        <v>4837</v>
      </c>
      <c r="J1595" s="11" t="s">
        <v>1856</v>
      </c>
      <c r="K1595" s="11" t="s">
        <v>1852</v>
      </c>
      <c r="L1595" s="11" t="s">
        <v>1853</v>
      </c>
      <c r="M1595" s="11" t="s">
        <v>4838</v>
      </c>
      <c r="N1595" s="12" t="s">
        <v>4839</v>
      </c>
      <c r="O1595" s="11" t="s">
        <v>2334</v>
      </c>
      <c r="P1595" s="56" t="s">
        <v>1863</v>
      </c>
    </row>
    <row r="1596" spans="1:16" ht="15.75" customHeight="1" x14ac:dyDescent="0.2">
      <c r="A1596" s="49">
        <v>2250</v>
      </c>
      <c r="B1596" s="11" t="s">
        <v>1857</v>
      </c>
      <c r="C1596" s="11" t="s">
        <v>1849</v>
      </c>
      <c r="D1596" s="6" t="s">
        <v>1850</v>
      </c>
      <c r="E1596" s="12" t="s">
        <v>4740</v>
      </c>
      <c r="F1596" s="12" t="s">
        <v>4740</v>
      </c>
      <c r="G1596" s="12" t="s">
        <v>4745</v>
      </c>
      <c r="H1596" s="12" t="s">
        <v>4811</v>
      </c>
      <c r="I1596" s="12" t="s">
        <v>4840</v>
      </c>
      <c r="J1596" s="11" t="s">
        <v>1856</v>
      </c>
      <c r="K1596" s="11" t="s">
        <v>1852</v>
      </c>
      <c r="L1596" s="11" t="s">
        <v>1853</v>
      </c>
      <c r="M1596" s="11" t="s">
        <v>4841</v>
      </c>
      <c r="N1596" s="12" t="s">
        <v>4842</v>
      </c>
      <c r="O1596" s="11" t="s">
        <v>2334</v>
      </c>
      <c r="P1596" s="56" t="s">
        <v>1863</v>
      </c>
    </row>
    <row r="1597" spans="1:16" ht="15.75" customHeight="1" x14ac:dyDescent="0.2">
      <c r="A1597" s="49">
        <v>2377</v>
      </c>
      <c r="B1597" s="11" t="s">
        <v>1857</v>
      </c>
      <c r="C1597" s="11" t="s">
        <v>1849</v>
      </c>
      <c r="D1597" s="6" t="s">
        <v>1850</v>
      </c>
      <c r="E1597" s="12" t="s">
        <v>4740</v>
      </c>
      <c r="F1597" s="12" t="s">
        <v>4740</v>
      </c>
      <c r="G1597" s="12" t="s">
        <v>4741</v>
      </c>
      <c r="H1597" s="12" t="s">
        <v>4741</v>
      </c>
      <c r="I1597" s="12" t="s">
        <v>4843</v>
      </c>
      <c r="J1597" s="11" t="s">
        <v>1856</v>
      </c>
      <c r="K1597" s="11" t="s">
        <v>1852</v>
      </c>
      <c r="L1597" s="11" t="s">
        <v>1853</v>
      </c>
      <c r="M1597" s="11" t="s">
        <v>4844</v>
      </c>
      <c r="N1597" s="12" t="s">
        <v>2281</v>
      </c>
      <c r="O1597" s="11" t="s">
        <v>1858</v>
      </c>
      <c r="P1597" s="56"/>
    </row>
    <row r="1598" spans="1:16" ht="15.75" customHeight="1" x14ac:dyDescent="0.2">
      <c r="A1598" s="49">
        <v>2261</v>
      </c>
      <c r="B1598" s="11" t="s">
        <v>1857</v>
      </c>
      <c r="C1598" s="11" t="s">
        <v>1849</v>
      </c>
      <c r="D1598" s="6" t="s">
        <v>1850</v>
      </c>
      <c r="E1598" s="12" t="s">
        <v>4740</v>
      </c>
      <c r="F1598" s="12" t="s">
        <v>4740</v>
      </c>
      <c r="G1598" s="12" t="s">
        <v>4745</v>
      </c>
      <c r="H1598" s="12" t="s">
        <v>4811</v>
      </c>
      <c r="I1598" s="12" t="s">
        <v>4845</v>
      </c>
      <c r="J1598" s="11" t="s">
        <v>1856</v>
      </c>
      <c r="K1598" s="11" t="s">
        <v>1852</v>
      </c>
      <c r="L1598" s="11" t="s">
        <v>1853</v>
      </c>
      <c r="M1598" s="11" t="s">
        <v>3678</v>
      </c>
      <c r="N1598" s="12" t="s">
        <v>2281</v>
      </c>
      <c r="O1598" s="11" t="s">
        <v>1858</v>
      </c>
      <c r="P1598" s="56"/>
    </row>
    <row r="1599" spans="1:16" ht="15.75" customHeight="1" x14ac:dyDescent="0.2">
      <c r="A1599" s="49">
        <v>2255</v>
      </c>
      <c r="B1599" s="11" t="s">
        <v>1857</v>
      </c>
      <c r="C1599" s="11" t="s">
        <v>1849</v>
      </c>
      <c r="D1599" s="6" t="s">
        <v>1850</v>
      </c>
      <c r="E1599" s="12" t="s">
        <v>4740</v>
      </c>
      <c r="F1599" s="12" t="s">
        <v>4740</v>
      </c>
      <c r="G1599" s="12" t="s">
        <v>4745</v>
      </c>
      <c r="H1599" s="12" t="s">
        <v>4746</v>
      </c>
      <c r="I1599" s="12" t="s">
        <v>4846</v>
      </c>
      <c r="J1599" s="11" t="s">
        <v>1856</v>
      </c>
      <c r="K1599" s="11" t="s">
        <v>1852</v>
      </c>
      <c r="L1599" s="11" t="s">
        <v>1853</v>
      </c>
      <c r="M1599" s="11" t="s">
        <v>4775</v>
      </c>
      <c r="N1599" s="12" t="s">
        <v>2281</v>
      </c>
      <c r="O1599" s="11" t="s">
        <v>1858</v>
      </c>
      <c r="P1599" s="56"/>
    </row>
    <row r="1600" spans="1:16" ht="15.75" customHeight="1" x14ac:dyDescent="0.2">
      <c r="A1600" s="49">
        <v>2370</v>
      </c>
      <c r="B1600" s="11" t="s">
        <v>1857</v>
      </c>
      <c r="C1600" s="11" t="s">
        <v>1849</v>
      </c>
      <c r="D1600" s="6" t="s">
        <v>1850</v>
      </c>
      <c r="E1600" s="12" t="s">
        <v>4740</v>
      </c>
      <c r="F1600" s="12" t="s">
        <v>4740</v>
      </c>
      <c r="G1600" s="12" t="s">
        <v>4741</v>
      </c>
      <c r="H1600" s="12" t="s">
        <v>4741</v>
      </c>
      <c r="I1600" s="12" t="s">
        <v>4847</v>
      </c>
      <c r="J1600" s="11" t="s">
        <v>1856</v>
      </c>
      <c r="K1600" s="11" t="s">
        <v>1852</v>
      </c>
      <c r="L1600" s="11" t="s">
        <v>1853</v>
      </c>
      <c r="M1600" s="11" t="s">
        <v>4848</v>
      </c>
      <c r="N1600" s="12" t="s">
        <v>4849</v>
      </c>
      <c r="O1600" s="11" t="s">
        <v>1860</v>
      </c>
      <c r="P1600" s="56"/>
    </row>
    <row r="1601" spans="1:16" ht="15.75" customHeight="1" x14ac:dyDescent="0.2">
      <c r="A1601" s="49">
        <v>2230</v>
      </c>
      <c r="B1601" s="11" t="s">
        <v>1857</v>
      </c>
      <c r="C1601" s="11" t="s">
        <v>1849</v>
      </c>
      <c r="D1601" s="6" t="s">
        <v>1850</v>
      </c>
      <c r="E1601" s="12" t="s">
        <v>4740</v>
      </c>
      <c r="F1601" s="12" t="s">
        <v>4740</v>
      </c>
      <c r="G1601" s="12" t="s">
        <v>4745</v>
      </c>
      <c r="H1601" s="12" t="s">
        <v>4811</v>
      </c>
      <c r="I1601" s="12" t="s">
        <v>4850</v>
      </c>
      <c r="J1601" s="11" t="s">
        <v>1856</v>
      </c>
      <c r="K1601" s="11" t="s">
        <v>1852</v>
      </c>
      <c r="L1601" s="11" t="s">
        <v>1853</v>
      </c>
      <c r="M1601" s="11" t="s">
        <v>2244</v>
      </c>
      <c r="N1601" s="12"/>
      <c r="O1601" s="11" t="s">
        <v>1860</v>
      </c>
      <c r="P1601" s="56"/>
    </row>
    <row r="1602" spans="1:16" ht="15.75" customHeight="1" x14ac:dyDescent="0.2">
      <c r="A1602" s="49">
        <v>2330</v>
      </c>
      <c r="B1602" s="11" t="s">
        <v>1857</v>
      </c>
      <c r="C1602" s="11" t="s">
        <v>1849</v>
      </c>
      <c r="D1602" s="6" t="s">
        <v>1850</v>
      </c>
      <c r="E1602" s="12" t="s">
        <v>4740</v>
      </c>
      <c r="F1602" s="12" t="s">
        <v>4740</v>
      </c>
      <c r="G1602" s="12" t="s">
        <v>4741</v>
      </c>
      <c r="H1602" s="12" t="s">
        <v>4815</v>
      </c>
      <c r="I1602" s="12" t="s">
        <v>4851</v>
      </c>
      <c r="J1602" s="11" t="s">
        <v>1856</v>
      </c>
      <c r="K1602" s="11" t="s">
        <v>1852</v>
      </c>
      <c r="L1602" s="11" t="s">
        <v>1853</v>
      </c>
      <c r="M1602" s="11" t="s">
        <v>4786</v>
      </c>
      <c r="N1602" s="12" t="s">
        <v>2281</v>
      </c>
      <c r="O1602" s="11" t="s">
        <v>1866</v>
      </c>
      <c r="P1602" s="56" t="s">
        <v>2582</v>
      </c>
    </row>
    <row r="1603" spans="1:16" ht="15.75" customHeight="1" x14ac:dyDescent="0.2">
      <c r="A1603" s="49">
        <v>2349</v>
      </c>
      <c r="B1603" s="11" t="s">
        <v>1857</v>
      </c>
      <c r="C1603" s="11" t="s">
        <v>1849</v>
      </c>
      <c r="D1603" s="6" t="s">
        <v>1850</v>
      </c>
      <c r="E1603" s="12" t="s">
        <v>4740</v>
      </c>
      <c r="F1603" s="12" t="s">
        <v>4740</v>
      </c>
      <c r="G1603" s="12" t="s">
        <v>4741</v>
      </c>
      <c r="H1603" s="12" t="s">
        <v>4741</v>
      </c>
      <c r="I1603" s="12" t="s">
        <v>4852</v>
      </c>
      <c r="J1603" s="11" t="s">
        <v>2246</v>
      </c>
      <c r="K1603" s="11" t="s">
        <v>2247</v>
      </c>
      <c r="L1603" s="11" t="s">
        <v>4744</v>
      </c>
      <c r="M1603" s="11" t="s">
        <v>4853</v>
      </c>
      <c r="N1603" s="12" t="s">
        <v>4854</v>
      </c>
      <c r="O1603" s="11" t="s">
        <v>1858</v>
      </c>
      <c r="P1603" s="56"/>
    </row>
    <row r="1604" spans="1:16" ht="15.75" customHeight="1" x14ac:dyDescent="0.2">
      <c r="A1604" s="49">
        <v>2406</v>
      </c>
      <c r="B1604" s="11" t="s">
        <v>1857</v>
      </c>
      <c r="C1604" s="11" t="s">
        <v>1849</v>
      </c>
      <c r="D1604" s="6" t="s">
        <v>1850</v>
      </c>
      <c r="E1604" s="12" t="s">
        <v>4740</v>
      </c>
      <c r="F1604" s="12" t="s">
        <v>4740</v>
      </c>
      <c r="G1604" s="12" t="s">
        <v>4741</v>
      </c>
      <c r="H1604" s="12" t="s">
        <v>4741</v>
      </c>
      <c r="I1604" s="12" t="s">
        <v>4855</v>
      </c>
      <c r="J1604" s="11" t="s">
        <v>1856</v>
      </c>
      <c r="K1604" s="11" t="s">
        <v>1852</v>
      </c>
      <c r="L1604" s="11" t="s">
        <v>1853</v>
      </c>
      <c r="M1604" s="11" t="s">
        <v>1854</v>
      </c>
      <c r="N1604" s="12"/>
      <c r="O1604" s="11" t="s">
        <v>1859</v>
      </c>
      <c r="P1604" s="56"/>
    </row>
    <row r="1605" spans="1:16" ht="15.75" customHeight="1" x14ac:dyDescent="0.2">
      <c r="A1605" s="49">
        <v>2400</v>
      </c>
      <c r="B1605" s="11" t="s">
        <v>1857</v>
      </c>
      <c r="C1605" s="11" t="s">
        <v>1849</v>
      </c>
      <c r="D1605" s="6" t="s">
        <v>1850</v>
      </c>
      <c r="E1605" s="12" t="s">
        <v>4740</v>
      </c>
      <c r="F1605" s="12" t="s">
        <v>4740</v>
      </c>
      <c r="G1605" s="12" t="s">
        <v>4754</v>
      </c>
      <c r="H1605" s="12" t="s">
        <v>4771</v>
      </c>
      <c r="I1605" s="12" t="s">
        <v>4856</v>
      </c>
      <c r="J1605" s="11" t="s">
        <v>2246</v>
      </c>
      <c r="K1605" s="11" t="s">
        <v>2247</v>
      </c>
      <c r="L1605" s="11" t="s">
        <v>4744</v>
      </c>
      <c r="M1605" s="11" t="s">
        <v>1854</v>
      </c>
      <c r="N1605" s="12"/>
      <c r="O1605" s="11" t="s">
        <v>1859</v>
      </c>
      <c r="P1605" s="56"/>
    </row>
    <row r="1606" spans="1:16" ht="15.75" customHeight="1" x14ac:dyDescent="0.2">
      <c r="A1606" s="49">
        <v>2204</v>
      </c>
      <c r="B1606" s="11" t="s">
        <v>1857</v>
      </c>
      <c r="C1606" s="11" t="s">
        <v>1849</v>
      </c>
      <c r="D1606" s="6" t="s">
        <v>1850</v>
      </c>
      <c r="E1606" s="12" t="s">
        <v>4740</v>
      </c>
      <c r="F1606" s="12" t="s">
        <v>4740</v>
      </c>
      <c r="G1606" s="12" t="s">
        <v>4745</v>
      </c>
      <c r="H1606" s="12" t="s">
        <v>4746</v>
      </c>
      <c r="I1606" s="12" t="s">
        <v>4857</v>
      </c>
      <c r="J1606" s="11" t="s">
        <v>1856</v>
      </c>
      <c r="K1606" s="11" t="s">
        <v>1852</v>
      </c>
      <c r="L1606" s="11" t="s">
        <v>1853</v>
      </c>
      <c r="M1606" s="11" t="s">
        <v>4858</v>
      </c>
      <c r="N1606" s="12" t="s">
        <v>4859</v>
      </c>
      <c r="O1606" s="11" t="s">
        <v>2307</v>
      </c>
      <c r="P1606" s="56" t="s">
        <v>4860</v>
      </c>
    </row>
    <row r="1607" spans="1:16" ht="15.75" customHeight="1" x14ac:dyDescent="0.2">
      <c r="A1607" s="49">
        <v>2328</v>
      </c>
      <c r="B1607" s="11" t="s">
        <v>1857</v>
      </c>
      <c r="C1607" s="11" t="s">
        <v>1849</v>
      </c>
      <c r="D1607" s="6" t="s">
        <v>1850</v>
      </c>
      <c r="E1607" s="12" t="s">
        <v>4740</v>
      </c>
      <c r="F1607" s="12" t="s">
        <v>4740</v>
      </c>
      <c r="G1607" s="12" t="s">
        <v>4754</v>
      </c>
      <c r="H1607" s="12" t="s">
        <v>4832</v>
      </c>
      <c r="I1607" s="12" t="s">
        <v>4861</v>
      </c>
      <c r="J1607" s="11" t="s">
        <v>1856</v>
      </c>
      <c r="K1607" s="11" t="s">
        <v>1852</v>
      </c>
      <c r="L1607" s="11" t="s">
        <v>1853</v>
      </c>
      <c r="M1607" s="11" t="s">
        <v>4862</v>
      </c>
      <c r="N1607" s="12" t="s">
        <v>4863</v>
      </c>
      <c r="O1607" s="11" t="s">
        <v>2408</v>
      </c>
      <c r="P1607" s="56" t="s">
        <v>4864</v>
      </c>
    </row>
    <row r="1608" spans="1:16" ht="15.75" customHeight="1" x14ac:dyDescent="0.2">
      <c r="A1608" s="49">
        <v>2393</v>
      </c>
      <c r="B1608" s="11" t="s">
        <v>1857</v>
      </c>
      <c r="C1608" s="11" t="s">
        <v>1849</v>
      </c>
      <c r="D1608" s="6" t="s">
        <v>1850</v>
      </c>
      <c r="E1608" s="12" t="s">
        <v>4740</v>
      </c>
      <c r="F1608" s="12" t="s">
        <v>4740</v>
      </c>
      <c r="G1608" s="12" t="s">
        <v>4754</v>
      </c>
      <c r="H1608" s="12" t="s">
        <v>4758</v>
      </c>
      <c r="I1608" s="12" t="s">
        <v>4865</v>
      </c>
      <c r="J1608" s="11" t="s">
        <v>1856</v>
      </c>
      <c r="K1608" s="11" t="s">
        <v>1852</v>
      </c>
      <c r="L1608" s="11" t="s">
        <v>1853</v>
      </c>
      <c r="M1608" s="11" t="s">
        <v>4866</v>
      </c>
      <c r="N1608" s="12"/>
      <c r="O1608" s="11" t="s">
        <v>2334</v>
      </c>
      <c r="P1608" s="56" t="s">
        <v>4867</v>
      </c>
    </row>
    <row r="1609" spans="1:16" ht="15.75" customHeight="1" x14ac:dyDescent="0.2">
      <c r="A1609" s="49">
        <v>2445</v>
      </c>
      <c r="B1609" s="11" t="s">
        <v>1857</v>
      </c>
      <c r="C1609" s="11" t="s">
        <v>1849</v>
      </c>
      <c r="D1609" s="6" t="s">
        <v>1850</v>
      </c>
      <c r="E1609" s="12" t="s">
        <v>4740</v>
      </c>
      <c r="F1609" s="12" t="s">
        <v>4740</v>
      </c>
      <c r="G1609" s="12" t="s">
        <v>4754</v>
      </c>
      <c r="H1609" s="12" t="s">
        <v>4832</v>
      </c>
      <c r="I1609" s="12" t="s">
        <v>4868</v>
      </c>
      <c r="J1609" s="11" t="s">
        <v>1856</v>
      </c>
      <c r="K1609" s="11" t="s">
        <v>1852</v>
      </c>
      <c r="L1609" s="11" t="s">
        <v>1853</v>
      </c>
      <c r="M1609" s="11" t="s">
        <v>4651</v>
      </c>
      <c r="N1609" s="12"/>
      <c r="O1609" s="11" t="s">
        <v>1858</v>
      </c>
      <c r="P1609" s="56"/>
    </row>
    <row r="1610" spans="1:16" ht="15.75" customHeight="1" x14ac:dyDescent="0.2">
      <c r="A1610" s="49">
        <v>2315</v>
      </c>
      <c r="B1610" s="11" t="s">
        <v>1857</v>
      </c>
      <c r="C1610" s="11" t="s">
        <v>1849</v>
      </c>
      <c r="D1610" s="6" t="s">
        <v>1850</v>
      </c>
      <c r="E1610" s="12" t="s">
        <v>4740</v>
      </c>
      <c r="F1610" s="12" t="s">
        <v>4740</v>
      </c>
      <c r="G1610" s="12" t="s">
        <v>4754</v>
      </c>
      <c r="H1610" s="12" t="s">
        <v>4832</v>
      </c>
      <c r="I1610" s="12" t="s">
        <v>4869</v>
      </c>
      <c r="J1610" s="11" t="s">
        <v>2246</v>
      </c>
      <c r="K1610" s="11" t="s">
        <v>2247</v>
      </c>
      <c r="L1610" s="11" t="s">
        <v>4744</v>
      </c>
      <c r="M1610" s="11" t="s">
        <v>4870</v>
      </c>
      <c r="N1610" s="12"/>
      <c r="O1610" s="11" t="s">
        <v>1859</v>
      </c>
      <c r="P1610" s="56"/>
    </row>
    <row r="1611" spans="1:16" ht="15.75" customHeight="1" x14ac:dyDescent="0.2">
      <c r="A1611" s="49">
        <v>2432</v>
      </c>
      <c r="B1611" s="11" t="s">
        <v>1857</v>
      </c>
      <c r="C1611" s="11" t="s">
        <v>1849</v>
      </c>
      <c r="D1611" s="6" t="s">
        <v>1850</v>
      </c>
      <c r="E1611" s="12" t="s">
        <v>4740</v>
      </c>
      <c r="F1611" s="12" t="s">
        <v>4740</v>
      </c>
      <c r="G1611" s="12" t="s">
        <v>4741</v>
      </c>
      <c r="H1611" s="12" t="s">
        <v>4751</v>
      </c>
      <c r="I1611" s="12" t="s">
        <v>4871</v>
      </c>
      <c r="J1611" s="11" t="s">
        <v>1856</v>
      </c>
      <c r="K1611" s="11" t="s">
        <v>1852</v>
      </c>
      <c r="L1611" s="11" t="s">
        <v>1853</v>
      </c>
      <c r="M1611" s="11" t="s">
        <v>4786</v>
      </c>
      <c r="N1611" s="12"/>
      <c r="O1611" s="11" t="s">
        <v>1858</v>
      </c>
      <c r="P1611" s="56"/>
    </row>
    <row r="1612" spans="1:16" ht="15.75" customHeight="1" x14ac:dyDescent="0.2">
      <c r="A1612" s="49">
        <v>2350</v>
      </c>
      <c r="B1612" s="11" t="s">
        <v>1857</v>
      </c>
      <c r="C1612" s="11" t="s">
        <v>1849</v>
      </c>
      <c r="D1612" s="6" t="s">
        <v>1850</v>
      </c>
      <c r="E1612" s="12" t="s">
        <v>4740</v>
      </c>
      <c r="F1612" s="12" t="s">
        <v>4740</v>
      </c>
      <c r="G1612" s="12" t="s">
        <v>4754</v>
      </c>
      <c r="H1612" s="12" t="s">
        <v>4832</v>
      </c>
      <c r="I1612" s="12" t="s">
        <v>4872</v>
      </c>
      <c r="J1612" s="11" t="s">
        <v>1856</v>
      </c>
      <c r="K1612" s="11" t="s">
        <v>1852</v>
      </c>
      <c r="L1612" s="11" t="s">
        <v>1853</v>
      </c>
      <c r="M1612" s="11" t="s">
        <v>4848</v>
      </c>
      <c r="N1612" s="12"/>
      <c r="O1612" s="11" t="s">
        <v>1859</v>
      </c>
      <c r="P1612" s="56"/>
    </row>
    <row r="1613" spans="1:16" ht="15.75" customHeight="1" x14ac:dyDescent="0.2">
      <c r="A1613" s="49">
        <v>2465</v>
      </c>
      <c r="B1613" s="11" t="s">
        <v>1857</v>
      </c>
      <c r="C1613" s="11" t="s">
        <v>1849</v>
      </c>
      <c r="D1613" s="6" t="s">
        <v>1850</v>
      </c>
      <c r="E1613" s="12" t="s">
        <v>4740</v>
      </c>
      <c r="F1613" s="12" t="s">
        <v>4740</v>
      </c>
      <c r="G1613" s="12" t="s">
        <v>4741</v>
      </c>
      <c r="H1613" s="12" t="s">
        <v>4741</v>
      </c>
      <c r="I1613" s="12" t="s">
        <v>4873</v>
      </c>
      <c r="J1613" s="11" t="s">
        <v>1856</v>
      </c>
      <c r="K1613" s="11" t="s">
        <v>1852</v>
      </c>
      <c r="L1613" s="11" t="s">
        <v>1853</v>
      </c>
      <c r="M1613" s="11" t="s">
        <v>1854</v>
      </c>
      <c r="N1613" s="12"/>
      <c r="O1613" s="11" t="s">
        <v>1859</v>
      </c>
      <c r="P1613" s="56"/>
    </row>
    <row r="1614" spans="1:16" ht="15.75" customHeight="1" x14ac:dyDescent="0.2">
      <c r="A1614" s="49">
        <v>2426</v>
      </c>
      <c r="B1614" s="11" t="s">
        <v>1857</v>
      </c>
      <c r="C1614" s="11" t="s">
        <v>1849</v>
      </c>
      <c r="D1614" s="6" t="s">
        <v>1850</v>
      </c>
      <c r="E1614" s="12" t="s">
        <v>4740</v>
      </c>
      <c r="F1614" s="12" t="s">
        <v>4740</v>
      </c>
      <c r="G1614" s="12" t="s">
        <v>4741</v>
      </c>
      <c r="H1614" s="12" t="s">
        <v>4742</v>
      </c>
      <c r="I1614" s="12" t="s">
        <v>4874</v>
      </c>
      <c r="J1614" s="11" t="s">
        <v>2246</v>
      </c>
      <c r="K1614" s="11" t="s">
        <v>2247</v>
      </c>
      <c r="L1614" s="11" t="s">
        <v>4744</v>
      </c>
      <c r="M1614" s="11" t="s">
        <v>4848</v>
      </c>
      <c r="N1614" s="12"/>
      <c r="O1614" s="11" t="s">
        <v>1859</v>
      </c>
      <c r="P1614" s="56"/>
    </row>
    <row r="1615" spans="1:16" ht="15.75" customHeight="1" x14ac:dyDescent="0.2">
      <c r="A1615" s="49">
        <v>6778</v>
      </c>
      <c r="B1615" s="11" t="s">
        <v>1857</v>
      </c>
      <c r="C1615" s="11" t="s">
        <v>1849</v>
      </c>
      <c r="D1615" s="6" t="s">
        <v>1850</v>
      </c>
      <c r="E1615" s="12" t="s">
        <v>4740</v>
      </c>
      <c r="F1615" s="12" t="s">
        <v>4740</v>
      </c>
      <c r="G1615" s="12" t="s">
        <v>4754</v>
      </c>
      <c r="H1615" s="12" t="s">
        <v>4771</v>
      </c>
      <c r="I1615" s="12" t="s">
        <v>4875</v>
      </c>
      <c r="J1615" s="11" t="s">
        <v>2246</v>
      </c>
      <c r="K1615" s="11" t="s">
        <v>2247</v>
      </c>
      <c r="L1615" s="11" t="s">
        <v>4744</v>
      </c>
      <c r="M1615" s="11" t="s">
        <v>2460</v>
      </c>
      <c r="N1615" s="12"/>
      <c r="O1615" s="11" t="s">
        <v>1859</v>
      </c>
      <c r="P1615" s="56"/>
    </row>
    <row r="1616" spans="1:16" ht="15.75" customHeight="1" x14ac:dyDescent="0.2">
      <c r="A1616" s="49">
        <v>7315</v>
      </c>
      <c r="B1616" s="11" t="s">
        <v>1857</v>
      </c>
      <c r="C1616" s="11" t="s">
        <v>1849</v>
      </c>
      <c r="D1616" s="6" t="s">
        <v>1850</v>
      </c>
      <c r="E1616" s="12" t="s">
        <v>4740</v>
      </c>
      <c r="F1616" s="12" t="s">
        <v>4740</v>
      </c>
      <c r="G1616" s="12" t="s">
        <v>4754</v>
      </c>
      <c r="H1616" s="12" t="s">
        <v>4771</v>
      </c>
      <c r="I1616" s="12" t="s">
        <v>4876</v>
      </c>
      <c r="J1616" s="11" t="s">
        <v>2246</v>
      </c>
      <c r="K1616" s="11" t="s">
        <v>2247</v>
      </c>
      <c r="L1616" s="11" t="s">
        <v>4744</v>
      </c>
      <c r="M1616" s="11" t="s">
        <v>4877</v>
      </c>
      <c r="N1616" s="12"/>
      <c r="O1616" s="11" t="s">
        <v>1859</v>
      </c>
      <c r="P1616" s="56"/>
    </row>
    <row r="1617" spans="1:16" ht="15.75" customHeight="1" x14ac:dyDescent="0.2">
      <c r="A1617" s="49">
        <v>2346</v>
      </c>
      <c r="B1617" s="11" t="s">
        <v>1857</v>
      </c>
      <c r="C1617" s="11" t="s">
        <v>1849</v>
      </c>
      <c r="D1617" s="6" t="s">
        <v>1850</v>
      </c>
      <c r="E1617" s="12" t="s">
        <v>4740</v>
      </c>
      <c r="F1617" s="12" t="s">
        <v>4740</v>
      </c>
      <c r="G1617" s="12" t="s">
        <v>4754</v>
      </c>
      <c r="H1617" s="12" t="s">
        <v>4832</v>
      </c>
      <c r="I1617" s="12" t="s">
        <v>4878</v>
      </c>
      <c r="J1617" s="11" t="s">
        <v>2246</v>
      </c>
      <c r="K1617" s="11" t="s">
        <v>2247</v>
      </c>
      <c r="L1617" s="11" t="s">
        <v>4744</v>
      </c>
      <c r="M1617" s="11" t="s">
        <v>1854</v>
      </c>
      <c r="N1617" s="12"/>
      <c r="O1617" s="11" t="s">
        <v>1859</v>
      </c>
      <c r="P1617" s="56"/>
    </row>
    <row r="1618" spans="1:16" ht="15.75" customHeight="1" x14ac:dyDescent="0.2">
      <c r="A1618" s="49">
        <v>2402</v>
      </c>
      <c r="B1618" s="11" t="s">
        <v>1857</v>
      </c>
      <c r="C1618" s="11" t="s">
        <v>1849</v>
      </c>
      <c r="D1618" s="6" t="s">
        <v>1850</v>
      </c>
      <c r="E1618" s="12" t="s">
        <v>4740</v>
      </c>
      <c r="F1618" s="12" t="s">
        <v>4740</v>
      </c>
      <c r="G1618" s="12" t="s">
        <v>4754</v>
      </c>
      <c r="H1618" s="12" t="s">
        <v>4771</v>
      </c>
      <c r="I1618" s="12" t="s">
        <v>4879</v>
      </c>
      <c r="J1618" s="11" t="s">
        <v>1856</v>
      </c>
      <c r="K1618" s="11" t="s">
        <v>1852</v>
      </c>
      <c r="L1618" s="11" t="s">
        <v>1853</v>
      </c>
      <c r="M1618" s="11" t="s">
        <v>4880</v>
      </c>
      <c r="N1618" s="12" t="s">
        <v>4881</v>
      </c>
      <c r="O1618" s="11" t="s">
        <v>2378</v>
      </c>
      <c r="P1618" s="56" t="s">
        <v>1865</v>
      </c>
    </row>
    <row r="1619" spans="1:16" ht="15.75" customHeight="1" x14ac:dyDescent="0.2">
      <c r="A1619" s="49">
        <v>6765</v>
      </c>
      <c r="B1619" s="11" t="s">
        <v>1857</v>
      </c>
      <c r="C1619" s="11" t="s">
        <v>1849</v>
      </c>
      <c r="D1619" s="6" t="s">
        <v>1850</v>
      </c>
      <c r="E1619" s="12" t="s">
        <v>4740</v>
      </c>
      <c r="F1619" s="12" t="s">
        <v>4740</v>
      </c>
      <c r="G1619" s="12" t="s">
        <v>4745</v>
      </c>
      <c r="H1619" s="12" t="s">
        <v>4769</v>
      </c>
      <c r="I1619" s="12" t="s">
        <v>4882</v>
      </c>
      <c r="J1619" s="11" t="s">
        <v>2246</v>
      </c>
      <c r="K1619" s="11" t="s">
        <v>2247</v>
      </c>
      <c r="L1619" s="11" t="s">
        <v>4744</v>
      </c>
      <c r="M1619" s="11" t="s">
        <v>1854</v>
      </c>
      <c r="N1619" s="12"/>
      <c r="O1619" s="11" t="s">
        <v>1859</v>
      </c>
      <c r="P1619" s="56"/>
    </row>
    <row r="1620" spans="1:16" ht="15.75" customHeight="1" x14ac:dyDescent="0.2">
      <c r="A1620" s="49">
        <v>2309</v>
      </c>
      <c r="B1620" s="11" t="s">
        <v>1857</v>
      </c>
      <c r="C1620" s="11" t="s">
        <v>1849</v>
      </c>
      <c r="D1620" s="6" t="s">
        <v>1850</v>
      </c>
      <c r="E1620" s="12" t="s">
        <v>4740</v>
      </c>
      <c r="F1620" s="12" t="s">
        <v>4740</v>
      </c>
      <c r="G1620" s="12" t="s">
        <v>4754</v>
      </c>
      <c r="H1620" s="12" t="s">
        <v>4832</v>
      </c>
      <c r="I1620" s="12" t="s">
        <v>4883</v>
      </c>
      <c r="J1620" s="11" t="s">
        <v>1856</v>
      </c>
      <c r="K1620" s="11" t="s">
        <v>1852</v>
      </c>
      <c r="L1620" s="11" t="s">
        <v>1853</v>
      </c>
      <c r="M1620" s="11" t="s">
        <v>4884</v>
      </c>
      <c r="N1620" s="12"/>
      <c r="O1620" s="11" t="s">
        <v>1859</v>
      </c>
      <c r="P1620" s="56"/>
    </row>
    <row r="1621" spans="1:16" ht="15.75" customHeight="1" x14ac:dyDescent="0.2">
      <c r="A1621" s="49">
        <v>2423</v>
      </c>
      <c r="B1621" s="11" t="s">
        <v>1857</v>
      </c>
      <c r="C1621" s="11" t="s">
        <v>1849</v>
      </c>
      <c r="D1621" s="6" t="s">
        <v>1850</v>
      </c>
      <c r="E1621" s="12" t="s">
        <v>4740</v>
      </c>
      <c r="F1621" s="12" t="s">
        <v>4740</v>
      </c>
      <c r="G1621" s="12" t="s">
        <v>4741</v>
      </c>
      <c r="H1621" s="12" t="s">
        <v>4762</v>
      </c>
      <c r="I1621" s="12" t="s">
        <v>4885</v>
      </c>
      <c r="J1621" s="11" t="s">
        <v>2246</v>
      </c>
      <c r="K1621" s="11" t="s">
        <v>2247</v>
      </c>
      <c r="L1621" s="11" t="s">
        <v>4744</v>
      </c>
      <c r="M1621" s="11" t="s">
        <v>1854</v>
      </c>
      <c r="N1621" s="12"/>
      <c r="O1621" s="11" t="s">
        <v>1859</v>
      </c>
      <c r="P1621" s="56"/>
    </row>
    <row r="1622" spans="1:16" ht="15.75" customHeight="1" x14ac:dyDescent="0.2">
      <c r="A1622" s="49">
        <v>2235</v>
      </c>
      <c r="B1622" s="11" t="s">
        <v>1857</v>
      </c>
      <c r="C1622" s="11" t="s">
        <v>1849</v>
      </c>
      <c r="D1622" s="6" t="s">
        <v>1850</v>
      </c>
      <c r="E1622" s="12" t="s">
        <v>4740</v>
      </c>
      <c r="F1622" s="12" t="s">
        <v>4740</v>
      </c>
      <c r="G1622" s="12" t="s">
        <v>4745</v>
      </c>
      <c r="H1622" s="12" t="s">
        <v>4886</v>
      </c>
      <c r="I1622" s="12" t="s">
        <v>4887</v>
      </c>
      <c r="J1622" s="11" t="s">
        <v>2246</v>
      </c>
      <c r="K1622" s="11" t="s">
        <v>2247</v>
      </c>
      <c r="L1622" s="11" t="s">
        <v>4888</v>
      </c>
      <c r="M1622" s="11" t="s">
        <v>4794</v>
      </c>
      <c r="N1622" s="12"/>
      <c r="O1622" s="11" t="s">
        <v>1860</v>
      </c>
      <c r="P1622" s="56"/>
    </row>
    <row r="1623" spans="1:16" ht="15.75" customHeight="1" x14ac:dyDescent="0.2">
      <c r="A1623" s="49">
        <v>2234</v>
      </c>
      <c r="B1623" s="11" t="s">
        <v>1857</v>
      </c>
      <c r="C1623" s="11" t="s">
        <v>1849</v>
      </c>
      <c r="D1623" s="6" t="s">
        <v>1850</v>
      </c>
      <c r="E1623" s="12" t="s">
        <v>4740</v>
      </c>
      <c r="F1623" s="12" t="s">
        <v>4740</v>
      </c>
      <c r="G1623" s="12" t="s">
        <v>4745</v>
      </c>
      <c r="H1623" s="12" t="s">
        <v>4746</v>
      </c>
      <c r="I1623" s="12" t="s">
        <v>4889</v>
      </c>
      <c r="J1623" s="11" t="s">
        <v>1856</v>
      </c>
      <c r="K1623" s="11" t="s">
        <v>1852</v>
      </c>
      <c r="L1623" s="11" t="s">
        <v>1853</v>
      </c>
      <c r="M1623" s="11" t="s">
        <v>4176</v>
      </c>
      <c r="N1623" s="12"/>
      <c r="O1623" s="11" t="s">
        <v>1858</v>
      </c>
      <c r="P1623" s="56"/>
    </row>
    <row r="1624" spans="1:16" ht="15.75" customHeight="1" x14ac:dyDescent="0.2">
      <c r="A1624" s="49">
        <v>2411</v>
      </c>
      <c r="B1624" s="11" t="s">
        <v>1857</v>
      </c>
      <c r="C1624" s="11" t="s">
        <v>1849</v>
      </c>
      <c r="D1624" s="6" t="s">
        <v>1850</v>
      </c>
      <c r="E1624" s="12" t="s">
        <v>4740</v>
      </c>
      <c r="F1624" s="12" t="s">
        <v>4740</v>
      </c>
      <c r="G1624" s="12" t="s">
        <v>4754</v>
      </c>
      <c r="H1624" s="12" t="s">
        <v>4890</v>
      </c>
      <c r="I1624" s="12" t="s">
        <v>4891</v>
      </c>
      <c r="J1624" s="11" t="s">
        <v>2246</v>
      </c>
      <c r="K1624" s="11" t="s">
        <v>2247</v>
      </c>
      <c r="L1624" s="11" t="s">
        <v>1853</v>
      </c>
      <c r="M1624" s="11" t="s">
        <v>4892</v>
      </c>
      <c r="N1624" s="12"/>
      <c r="O1624" s="11" t="s">
        <v>1860</v>
      </c>
      <c r="P1624" s="56"/>
    </row>
    <row r="1625" spans="1:16" ht="15.75" customHeight="1" x14ac:dyDescent="0.2">
      <c r="A1625" s="49">
        <v>7538</v>
      </c>
      <c r="B1625" s="11" t="s">
        <v>1857</v>
      </c>
      <c r="C1625" s="11" t="s">
        <v>1849</v>
      </c>
      <c r="D1625" s="6" t="s">
        <v>1850</v>
      </c>
      <c r="E1625" s="12" t="s">
        <v>4740</v>
      </c>
      <c r="F1625" s="12" t="s">
        <v>4740</v>
      </c>
      <c r="G1625" s="12" t="s">
        <v>4745</v>
      </c>
      <c r="H1625" s="12" t="s">
        <v>4811</v>
      </c>
      <c r="I1625" s="12" t="s">
        <v>4893</v>
      </c>
      <c r="J1625" s="11" t="s">
        <v>1856</v>
      </c>
      <c r="K1625" s="11" t="s">
        <v>1852</v>
      </c>
      <c r="L1625" s="11" t="s">
        <v>1853</v>
      </c>
      <c r="M1625" s="11" t="s">
        <v>2460</v>
      </c>
      <c r="N1625" s="12"/>
      <c r="O1625" s="11" t="s">
        <v>1858</v>
      </c>
      <c r="P1625" s="56"/>
    </row>
    <row r="1626" spans="1:16" ht="15.75" customHeight="1" x14ac:dyDescent="0.2">
      <c r="A1626" s="49">
        <v>2427</v>
      </c>
      <c r="B1626" s="11" t="s">
        <v>1857</v>
      </c>
      <c r="C1626" s="11" t="s">
        <v>1849</v>
      </c>
      <c r="D1626" s="6" t="s">
        <v>1850</v>
      </c>
      <c r="E1626" s="12" t="s">
        <v>4740</v>
      </c>
      <c r="F1626" s="12" t="s">
        <v>4740</v>
      </c>
      <c r="G1626" s="12" t="s">
        <v>4741</v>
      </c>
      <c r="H1626" s="12" t="s">
        <v>4762</v>
      </c>
      <c r="I1626" s="12" t="s">
        <v>2440</v>
      </c>
      <c r="J1626" s="11" t="s">
        <v>1856</v>
      </c>
      <c r="K1626" s="11" t="s">
        <v>1852</v>
      </c>
      <c r="L1626" s="11" t="s">
        <v>1853</v>
      </c>
      <c r="M1626" s="11" t="s">
        <v>2683</v>
      </c>
      <c r="N1626" s="12" t="s">
        <v>4894</v>
      </c>
      <c r="O1626" s="11" t="s">
        <v>1859</v>
      </c>
      <c r="P1626" s="56"/>
    </row>
    <row r="1627" spans="1:16" ht="15.75" customHeight="1" x14ac:dyDescent="0.2">
      <c r="A1627" s="49">
        <v>2338</v>
      </c>
      <c r="B1627" s="11" t="s">
        <v>1857</v>
      </c>
      <c r="C1627" s="11" t="s">
        <v>1849</v>
      </c>
      <c r="D1627" s="6" t="s">
        <v>1850</v>
      </c>
      <c r="E1627" s="12" t="s">
        <v>4740</v>
      </c>
      <c r="F1627" s="12" t="s">
        <v>4740</v>
      </c>
      <c r="G1627" s="12" t="s">
        <v>4745</v>
      </c>
      <c r="H1627" s="12" t="s">
        <v>4886</v>
      </c>
      <c r="I1627" s="12" t="s">
        <v>4895</v>
      </c>
      <c r="J1627" s="11" t="s">
        <v>2246</v>
      </c>
      <c r="K1627" s="11" t="s">
        <v>2247</v>
      </c>
      <c r="L1627" s="11" t="s">
        <v>4888</v>
      </c>
      <c r="M1627" s="11" t="s">
        <v>1854</v>
      </c>
      <c r="N1627" s="12"/>
      <c r="O1627" s="11" t="s">
        <v>1860</v>
      </c>
      <c r="P1627" s="56"/>
    </row>
    <row r="1628" spans="1:16" ht="15.75" customHeight="1" x14ac:dyDescent="0.2">
      <c r="A1628" s="49">
        <v>2409</v>
      </c>
      <c r="B1628" s="11" t="s">
        <v>1857</v>
      </c>
      <c r="C1628" s="11" t="s">
        <v>1849</v>
      </c>
      <c r="D1628" s="6" t="s">
        <v>1850</v>
      </c>
      <c r="E1628" s="12" t="s">
        <v>4740</v>
      </c>
      <c r="F1628" s="12" t="s">
        <v>4740</v>
      </c>
      <c r="G1628" s="12" t="s">
        <v>4754</v>
      </c>
      <c r="H1628" s="12" t="s">
        <v>4771</v>
      </c>
      <c r="I1628" s="12" t="s">
        <v>4896</v>
      </c>
      <c r="J1628" s="11" t="s">
        <v>2246</v>
      </c>
      <c r="K1628" s="11" t="s">
        <v>2247</v>
      </c>
      <c r="L1628" s="11" t="s">
        <v>4744</v>
      </c>
      <c r="M1628" s="11" t="s">
        <v>4794</v>
      </c>
      <c r="N1628" s="12"/>
      <c r="O1628" s="11" t="s">
        <v>1859</v>
      </c>
      <c r="P1628" s="56"/>
    </row>
    <row r="1629" spans="1:16" ht="15.75" customHeight="1" x14ac:dyDescent="0.2">
      <c r="A1629" s="49">
        <v>2215</v>
      </c>
      <c r="B1629" s="11" t="s">
        <v>1857</v>
      </c>
      <c r="C1629" s="11" t="s">
        <v>1849</v>
      </c>
      <c r="D1629" s="6" t="s">
        <v>1850</v>
      </c>
      <c r="E1629" s="12" t="s">
        <v>4740</v>
      </c>
      <c r="F1629" s="12" t="s">
        <v>4740</v>
      </c>
      <c r="G1629" s="12" t="s">
        <v>4745</v>
      </c>
      <c r="H1629" s="12" t="s">
        <v>4769</v>
      </c>
      <c r="I1629" s="12" t="s">
        <v>4897</v>
      </c>
      <c r="J1629" s="11" t="s">
        <v>2246</v>
      </c>
      <c r="K1629" s="11" t="s">
        <v>2247</v>
      </c>
      <c r="L1629" s="11" t="s">
        <v>4744</v>
      </c>
      <c r="M1629" s="11" t="s">
        <v>1854</v>
      </c>
      <c r="N1629" s="12"/>
      <c r="O1629" s="11" t="s">
        <v>1858</v>
      </c>
      <c r="P1629" s="56"/>
    </row>
    <row r="1630" spans="1:16" ht="15.75" customHeight="1" x14ac:dyDescent="0.2">
      <c r="A1630" s="49">
        <v>2196</v>
      </c>
      <c r="B1630" s="11" t="s">
        <v>1857</v>
      </c>
      <c r="C1630" s="11" t="s">
        <v>1849</v>
      </c>
      <c r="D1630" s="6" t="s">
        <v>1850</v>
      </c>
      <c r="E1630" s="12" t="s">
        <v>4740</v>
      </c>
      <c r="F1630" s="12" t="s">
        <v>4740</v>
      </c>
      <c r="G1630" s="12" t="s">
        <v>4745</v>
      </c>
      <c r="H1630" s="12" t="s">
        <v>4828</v>
      </c>
      <c r="I1630" s="12" t="s">
        <v>4898</v>
      </c>
      <c r="J1630" s="11" t="s">
        <v>2246</v>
      </c>
      <c r="K1630" s="11" t="s">
        <v>2247</v>
      </c>
      <c r="L1630" s="11" t="s">
        <v>4744</v>
      </c>
      <c r="M1630" s="11" t="s">
        <v>4892</v>
      </c>
      <c r="N1630" s="12"/>
      <c r="O1630" s="11" t="s">
        <v>4010</v>
      </c>
      <c r="P1630" s="56"/>
    </row>
    <row r="1631" spans="1:16" ht="15.75" customHeight="1" x14ac:dyDescent="0.2">
      <c r="A1631" s="49">
        <v>2222</v>
      </c>
      <c r="B1631" s="11" t="s">
        <v>1857</v>
      </c>
      <c r="C1631" s="11" t="s">
        <v>1849</v>
      </c>
      <c r="D1631" s="6" t="s">
        <v>1850</v>
      </c>
      <c r="E1631" s="12" t="s">
        <v>4740</v>
      </c>
      <c r="F1631" s="12" t="s">
        <v>4740</v>
      </c>
      <c r="G1631" s="12" t="s">
        <v>4745</v>
      </c>
      <c r="H1631" s="12" t="s">
        <v>4745</v>
      </c>
      <c r="I1631" s="12" t="s">
        <v>4899</v>
      </c>
      <c r="J1631" s="11" t="s">
        <v>1856</v>
      </c>
      <c r="K1631" s="11" t="s">
        <v>1852</v>
      </c>
      <c r="L1631" s="11" t="s">
        <v>1853</v>
      </c>
      <c r="M1631" s="11" t="s">
        <v>1854</v>
      </c>
      <c r="N1631" s="12"/>
      <c r="O1631" s="11" t="s">
        <v>1858</v>
      </c>
      <c r="P1631" s="56"/>
    </row>
    <row r="1632" spans="1:16" ht="15.75" customHeight="1" x14ac:dyDescent="0.2">
      <c r="A1632" s="49">
        <v>2212</v>
      </c>
      <c r="B1632" s="11" t="s">
        <v>1857</v>
      </c>
      <c r="C1632" s="11" t="s">
        <v>1849</v>
      </c>
      <c r="D1632" s="6" t="s">
        <v>1850</v>
      </c>
      <c r="E1632" s="12" t="s">
        <v>4740</v>
      </c>
      <c r="F1632" s="12" t="s">
        <v>4740</v>
      </c>
      <c r="G1632" s="12" t="s">
        <v>4745</v>
      </c>
      <c r="H1632" s="12" t="s">
        <v>4828</v>
      </c>
      <c r="I1632" s="12" t="s">
        <v>4900</v>
      </c>
      <c r="J1632" s="11" t="s">
        <v>1856</v>
      </c>
      <c r="K1632" s="11" t="s">
        <v>1852</v>
      </c>
      <c r="L1632" s="11" t="s">
        <v>1853</v>
      </c>
      <c r="M1632" s="11" t="s">
        <v>4176</v>
      </c>
      <c r="N1632" s="12" t="s">
        <v>4901</v>
      </c>
      <c r="O1632" s="11" t="s">
        <v>4010</v>
      </c>
      <c r="P1632" s="56"/>
    </row>
    <row r="1633" spans="1:16" ht="15.75" customHeight="1" x14ac:dyDescent="0.2">
      <c r="A1633" s="49">
        <v>2416</v>
      </c>
      <c r="B1633" s="11" t="s">
        <v>1857</v>
      </c>
      <c r="C1633" s="11" t="s">
        <v>1849</v>
      </c>
      <c r="D1633" s="6" t="s">
        <v>1850</v>
      </c>
      <c r="E1633" s="12" t="s">
        <v>4740</v>
      </c>
      <c r="F1633" s="12" t="s">
        <v>4740</v>
      </c>
      <c r="G1633" s="12" t="s">
        <v>4741</v>
      </c>
      <c r="H1633" s="12" t="s">
        <v>4762</v>
      </c>
      <c r="I1633" s="12" t="s">
        <v>4902</v>
      </c>
      <c r="J1633" s="11" t="s">
        <v>1856</v>
      </c>
      <c r="K1633" s="11" t="s">
        <v>1852</v>
      </c>
      <c r="L1633" s="11" t="s">
        <v>1853</v>
      </c>
      <c r="M1633" s="11" t="s">
        <v>4764</v>
      </c>
      <c r="N1633" s="12" t="s">
        <v>2767</v>
      </c>
      <c r="O1633" s="11" t="s">
        <v>1869</v>
      </c>
      <c r="P1633" s="56" t="s">
        <v>1863</v>
      </c>
    </row>
    <row r="1634" spans="1:16" ht="15.75" customHeight="1" x14ac:dyDescent="0.2">
      <c r="A1634" s="49">
        <v>2225</v>
      </c>
      <c r="B1634" s="11" t="s">
        <v>1857</v>
      </c>
      <c r="C1634" s="11" t="s">
        <v>1849</v>
      </c>
      <c r="D1634" s="6" t="s">
        <v>1850</v>
      </c>
      <c r="E1634" s="12" t="s">
        <v>4740</v>
      </c>
      <c r="F1634" s="12" t="s">
        <v>4740</v>
      </c>
      <c r="G1634" s="12" t="s">
        <v>4745</v>
      </c>
      <c r="H1634" s="12" t="s">
        <v>4903</v>
      </c>
      <c r="I1634" s="12" t="s">
        <v>4904</v>
      </c>
      <c r="J1634" s="11" t="s">
        <v>2246</v>
      </c>
      <c r="K1634" s="11" t="s">
        <v>2247</v>
      </c>
      <c r="L1634" s="11" t="s">
        <v>4744</v>
      </c>
      <c r="M1634" s="11" t="s">
        <v>1854</v>
      </c>
      <c r="N1634" s="12"/>
      <c r="O1634" s="11" t="s">
        <v>1869</v>
      </c>
      <c r="P1634" s="56"/>
    </row>
    <row r="1635" spans="1:16" ht="15.75" customHeight="1" x14ac:dyDescent="0.2">
      <c r="A1635" s="49">
        <v>2462</v>
      </c>
      <c r="B1635" s="11" t="s">
        <v>1857</v>
      </c>
      <c r="C1635" s="11" t="s">
        <v>1849</v>
      </c>
      <c r="D1635" s="6" t="s">
        <v>1850</v>
      </c>
      <c r="E1635" s="12" t="s">
        <v>4740</v>
      </c>
      <c r="F1635" s="12" t="s">
        <v>4740</v>
      </c>
      <c r="G1635" s="12" t="s">
        <v>4741</v>
      </c>
      <c r="H1635" s="12" t="s">
        <v>4741</v>
      </c>
      <c r="I1635" s="12" t="s">
        <v>3173</v>
      </c>
      <c r="J1635" s="11" t="s">
        <v>2246</v>
      </c>
      <c r="K1635" s="11" t="s">
        <v>2247</v>
      </c>
      <c r="L1635" s="11" t="s">
        <v>4744</v>
      </c>
      <c r="M1635" s="11" t="s">
        <v>1854</v>
      </c>
      <c r="N1635" s="12"/>
      <c r="O1635" s="11" t="s">
        <v>1858</v>
      </c>
      <c r="P1635" s="56"/>
    </row>
    <row r="1636" spans="1:16" ht="15.75" customHeight="1" x14ac:dyDescent="0.2">
      <c r="A1636" s="49">
        <v>2458</v>
      </c>
      <c r="B1636" s="11" t="s">
        <v>1857</v>
      </c>
      <c r="C1636" s="11" t="s">
        <v>1849</v>
      </c>
      <c r="D1636" s="6" t="s">
        <v>1850</v>
      </c>
      <c r="E1636" s="12" t="s">
        <v>4740</v>
      </c>
      <c r="F1636" s="12" t="s">
        <v>4740</v>
      </c>
      <c r="G1636" s="12" t="s">
        <v>4754</v>
      </c>
      <c r="H1636" s="12" t="s">
        <v>4778</v>
      </c>
      <c r="I1636" s="12" t="s">
        <v>4905</v>
      </c>
      <c r="J1636" s="11" t="s">
        <v>2246</v>
      </c>
      <c r="K1636" s="11" t="s">
        <v>2247</v>
      </c>
      <c r="L1636" s="11" t="s">
        <v>4744</v>
      </c>
      <c r="M1636" s="11" t="s">
        <v>1854</v>
      </c>
      <c r="N1636" s="12"/>
      <c r="O1636" s="11" t="s">
        <v>4010</v>
      </c>
      <c r="P1636" s="56"/>
    </row>
    <row r="1637" spans="1:16" ht="15.75" customHeight="1" x14ac:dyDescent="0.2">
      <c r="A1637" s="49">
        <v>2413</v>
      </c>
      <c r="B1637" s="11" t="s">
        <v>1857</v>
      </c>
      <c r="C1637" s="11" t="s">
        <v>1849</v>
      </c>
      <c r="D1637" s="6" t="s">
        <v>1850</v>
      </c>
      <c r="E1637" s="12" t="s">
        <v>4740</v>
      </c>
      <c r="F1637" s="12" t="s">
        <v>4740</v>
      </c>
      <c r="G1637" s="12" t="s">
        <v>4754</v>
      </c>
      <c r="H1637" s="12" t="s">
        <v>4890</v>
      </c>
      <c r="I1637" s="12" t="s">
        <v>4906</v>
      </c>
      <c r="J1637" s="11" t="s">
        <v>1856</v>
      </c>
      <c r="K1637" s="11" t="s">
        <v>1852</v>
      </c>
      <c r="L1637" s="11" t="s">
        <v>1853</v>
      </c>
      <c r="M1637" s="11" t="s">
        <v>1854</v>
      </c>
      <c r="N1637" s="12"/>
      <c r="O1637" s="11" t="s">
        <v>1860</v>
      </c>
      <c r="P1637" s="56"/>
    </row>
    <row r="1638" spans="1:16" ht="15.75" customHeight="1" x14ac:dyDescent="0.2">
      <c r="A1638" s="49">
        <v>2351</v>
      </c>
      <c r="B1638" s="11" t="s">
        <v>1857</v>
      </c>
      <c r="C1638" s="11" t="s">
        <v>1849</v>
      </c>
      <c r="D1638" s="6" t="s">
        <v>1850</v>
      </c>
      <c r="E1638" s="12" t="s">
        <v>4740</v>
      </c>
      <c r="F1638" s="12" t="s">
        <v>4740</v>
      </c>
      <c r="G1638" s="12" t="s">
        <v>4754</v>
      </c>
      <c r="H1638" s="12" t="s">
        <v>4832</v>
      </c>
      <c r="I1638" s="12" t="s">
        <v>4907</v>
      </c>
      <c r="J1638" s="11" t="s">
        <v>1856</v>
      </c>
      <c r="K1638" s="11" t="s">
        <v>1852</v>
      </c>
      <c r="L1638" s="11" t="s">
        <v>1853</v>
      </c>
      <c r="M1638" s="11" t="s">
        <v>1854</v>
      </c>
      <c r="N1638" s="12"/>
      <c r="O1638" s="11" t="s">
        <v>1860</v>
      </c>
      <c r="P1638" s="56"/>
    </row>
    <row r="1639" spans="1:16" ht="15.75" customHeight="1" x14ac:dyDescent="0.2">
      <c r="A1639" s="49">
        <v>2342</v>
      </c>
      <c r="B1639" s="11" t="s">
        <v>1857</v>
      </c>
      <c r="C1639" s="11" t="s">
        <v>1849</v>
      </c>
      <c r="D1639" s="6" t="s">
        <v>1850</v>
      </c>
      <c r="E1639" s="12" t="s">
        <v>4740</v>
      </c>
      <c r="F1639" s="12" t="s">
        <v>4740</v>
      </c>
      <c r="G1639" s="12" t="s">
        <v>4741</v>
      </c>
      <c r="H1639" s="12" t="s">
        <v>4780</v>
      </c>
      <c r="I1639" s="12" t="s">
        <v>4908</v>
      </c>
      <c r="J1639" s="11" t="s">
        <v>1856</v>
      </c>
      <c r="K1639" s="11" t="s">
        <v>1852</v>
      </c>
      <c r="L1639" s="11" t="s">
        <v>1853</v>
      </c>
      <c r="M1639" s="11" t="s">
        <v>1854</v>
      </c>
      <c r="N1639" s="12"/>
      <c r="O1639" s="11" t="s">
        <v>4010</v>
      </c>
      <c r="P1639" s="56"/>
    </row>
    <row r="1640" spans="1:16" ht="15.75" customHeight="1" x14ac:dyDescent="0.2">
      <c r="A1640" s="49">
        <v>2254</v>
      </c>
      <c r="B1640" s="11" t="s">
        <v>1857</v>
      </c>
      <c r="C1640" s="11" t="s">
        <v>1849</v>
      </c>
      <c r="D1640" s="6" t="s">
        <v>1850</v>
      </c>
      <c r="E1640" s="12" t="s">
        <v>4740</v>
      </c>
      <c r="F1640" s="12" t="s">
        <v>4740</v>
      </c>
      <c r="G1640" s="12" t="s">
        <v>4745</v>
      </c>
      <c r="H1640" s="12" t="s">
        <v>4746</v>
      </c>
      <c r="I1640" s="12" t="s">
        <v>4909</v>
      </c>
      <c r="J1640" s="11" t="s">
        <v>1856</v>
      </c>
      <c r="K1640" s="11" t="s">
        <v>1852</v>
      </c>
      <c r="L1640" s="11" t="s">
        <v>1853</v>
      </c>
      <c r="M1640" s="11" t="s">
        <v>4761</v>
      </c>
      <c r="N1640" s="12"/>
      <c r="O1640" s="11" t="s">
        <v>1858</v>
      </c>
      <c r="P1640" s="56"/>
    </row>
    <row r="1641" spans="1:16" ht="15.75" customHeight="1" x14ac:dyDescent="0.2">
      <c r="A1641" s="49">
        <v>2312</v>
      </c>
      <c r="B1641" s="11" t="s">
        <v>1857</v>
      </c>
      <c r="C1641" s="11" t="s">
        <v>1849</v>
      </c>
      <c r="D1641" s="6" t="s">
        <v>1850</v>
      </c>
      <c r="E1641" s="12" t="s">
        <v>4740</v>
      </c>
      <c r="F1641" s="12" t="s">
        <v>4740</v>
      </c>
      <c r="G1641" s="12" t="s">
        <v>4741</v>
      </c>
      <c r="H1641" s="12" t="s">
        <v>4741</v>
      </c>
      <c r="I1641" s="12" t="s">
        <v>4910</v>
      </c>
      <c r="J1641" s="11" t="s">
        <v>1856</v>
      </c>
      <c r="K1641" s="11" t="s">
        <v>1852</v>
      </c>
      <c r="L1641" s="11" t="s">
        <v>1853</v>
      </c>
      <c r="M1641" s="11" t="s">
        <v>4911</v>
      </c>
      <c r="N1641" s="12"/>
      <c r="O1641" s="11" t="s">
        <v>4010</v>
      </c>
      <c r="P1641" s="56"/>
    </row>
    <row r="1642" spans="1:16" ht="15.75" customHeight="1" x14ac:dyDescent="0.2">
      <c r="A1642" s="49">
        <v>2464</v>
      </c>
      <c r="B1642" s="11" t="s">
        <v>1857</v>
      </c>
      <c r="C1642" s="11" t="s">
        <v>1849</v>
      </c>
      <c r="D1642" s="6" t="s">
        <v>1850</v>
      </c>
      <c r="E1642" s="12" t="s">
        <v>4740</v>
      </c>
      <c r="F1642" s="12" t="s">
        <v>4740</v>
      </c>
      <c r="G1642" s="12" t="s">
        <v>4741</v>
      </c>
      <c r="H1642" s="12" t="s">
        <v>4741</v>
      </c>
      <c r="I1642" s="12" t="s">
        <v>4912</v>
      </c>
      <c r="J1642" s="11" t="s">
        <v>1856</v>
      </c>
      <c r="K1642" s="11" t="s">
        <v>1852</v>
      </c>
      <c r="L1642" s="11" t="s">
        <v>1853</v>
      </c>
      <c r="M1642" s="11" t="s">
        <v>1854</v>
      </c>
      <c r="N1642" s="12"/>
      <c r="O1642" s="11" t="s">
        <v>4010</v>
      </c>
      <c r="P1642" s="56"/>
    </row>
    <row r="1643" spans="1:16" ht="15.75" customHeight="1" x14ac:dyDescent="0.2">
      <c r="A1643" s="49">
        <v>2311</v>
      </c>
      <c r="B1643" s="11" t="s">
        <v>1857</v>
      </c>
      <c r="C1643" s="11" t="s">
        <v>1849</v>
      </c>
      <c r="D1643" s="6" t="s">
        <v>1850</v>
      </c>
      <c r="E1643" s="12" t="s">
        <v>4740</v>
      </c>
      <c r="F1643" s="12" t="s">
        <v>4740</v>
      </c>
      <c r="G1643" s="12" t="s">
        <v>4741</v>
      </c>
      <c r="H1643" s="12" t="s">
        <v>4762</v>
      </c>
      <c r="I1643" s="12" t="s">
        <v>2547</v>
      </c>
      <c r="J1643" s="11" t="s">
        <v>1856</v>
      </c>
      <c r="K1643" s="11" t="s">
        <v>1852</v>
      </c>
      <c r="L1643" s="11" t="s">
        <v>1853</v>
      </c>
      <c r="M1643" s="11" t="s">
        <v>4564</v>
      </c>
      <c r="N1643" s="12" t="s">
        <v>4913</v>
      </c>
      <c r="O1643" s="11" t="s">
        <v>4010</v>
      </c>
      <c r="P1643" s="56"/>
    </row>
    <row r="1644" spans="1:16" ht="15.75" customHeight="1" x14ac:dyDescent="0.2">
      <c r="A1644" s="49">
        <v>2371</v>
      </c>
      <c r="B1644" s="11" t="s">
        <v>1857</v>
      </c>
      <c r="C1644" s="11" t="s">
        <v>1849</v>
      </c>
      <c r="D1644" s="6" t="s">
        <v>1850</v>
      </c>
      <c r="E1644" s="12" t="s">
        <v>4740</v>
      </c>
      <c r="F1644" s="12" t="s">
        <v>4740</v>
      </c>
      <c r="G1644" s="12" t="s">
        <v>4741</v>
      </c>
      <c r="H1644" s="12" t="s">
        <v>4741</v>
      </c>
      <c r="I1644" s="12" t="s">
        <v>4914</v>
      </c>
      <c r="J1644" s="11" t="s">
        <v>1856</v>
      </c>
      <c r="K1644" s="11" t="s">
        <v>1852</v>
      </c>
      <c r="L1644" s="11" t="s">
        <v>1853</v>
      </c>
      <c r="M1644" s="11" t="s">
        <v>4794</v>
      </c>
      <c r="N1644" s="12"/>
      <c r="O1644" s="11" t="s">
        <v>1858</v>
      </c>
      <c r="P1644" s="56"/>
    </row>
    <row r="1645" spans="1:16" ht="15.75" customHeight="1" x14ac:dyDescent="0.2">
      <c r="A1645" s="49">
        <v>2461</v>
      </c>
      <c r="B1645" s="11" t="s">
        <v>1857</v>
      </c>
      <c r="C1645" s="11" t="s">
        <v>1849</v>
      </c>
      <c r="D1645" s="6" t="s">
        <v>1850</v>
      </c>
      <c r="E1645" s="12" t="s">
        <v>4740</v>
      </c>
      <c r="F1645" s="12" t="s">
        <v>4740</v>
      </c>
      <c r="G1645" s="12" t="s">
        <v>4741</v>
      </c>
      <c r="H1645" s="12" t="s">
        <v>4741</v>
      </c>
      <c r="I1645" s="12" t="s">
        <v>4915</v>
      </c>
      <c r="J1645" s="11" t="s">
        <v>1856</v>
      </c>
      <c r="K1645" s="11" t="s">
        <v>1852</v>
      </c>
      <c r="L1645" s="11" t="s">
        <v>1853</v>
      </c>
      <c r="M1645" s="11" t="s">
        <v>1854</v>
      </c>
      <c r="N1645" s="12"/>
      <c r="O1645" s="11" t="s">
        <v>1859</v>
      </c>
      <c r="P1645" s="56"/>
    </row>
    <row r="1646" spans="1:16" ht="15.75" customHeight="1" x14ac:dyDescent="0.2">
      <c r="A1646" s="49">
        <v>2418</v>
      </c>
      <c r="B1646" s="11" t="s">
        <v>1857</v>
      </c>
      <c r="C1646" s="11" t="s">
        <v>1849</v>
      </c>
      <c r="D1646" s="6" t="s">
        <v>1850</v>
      </c>
      <c r="E1646" s="12" t="s">
        <v>4740</v>
      </c>
      <c r="F1646" s="12" t="s">
        <v>4740</v>
      </c>
      <c r="G1646" s="12" t="s">
        <v>4741</v>
      </c>
      <c r="H1646" s="12" t="s">
        <v>4742</v>
      </c>
      <c r="I1646" s="12" t="s">
        <v>4916</v>
      </c>
      <c r="J1646" s="11" t="s">
        <v>1856</v>
      </c>
      <c r="K1646" s="11" t="s">
        <v>1852</v>
      </c>
      <c r="L1646" s="11" t="s">
        <v>1853</v>
      </c>
      <c r="M1646" s="11" t="s">
        <v>1854</v>
      </c>
      <c r="N1646" s="12"/>
      <c r="O1646" s="11" t="s">
        <v>4010</v>
      </c>
      <c r="P1646" s="56"/>
    </row>
    <row r="1647" spans="1:16" ht="15.75" customHeight="1" x14ac:dyDescent="0.2">
      <c r="A1647" s="49">
        <v>2417</v>
      </c>
      <c r="B1647" s="11" t="s">
        <v>1857</v>
      </c>
      <c r="C1647" s="11" t="s">
        <v>1849</v>
      </c>
      <c r="D1647" s="6" t="s">
        <v>1850</v>
      </c>
      <c r="E1647" s="12" t="s">
        <v>4740</v>
      </c>
      <c r="F1647" s="12" t="s">
        <v>4740</v>
      </c>
      <c r="G1647" s="12" t="s">
        <v>4741</v>
      </c>
      <c r="H1647" s="12" t="s">
        <v>4742</v>
      </c>
      <c r="I1647" s="12" t="s">
        <v>4917</v>
      </c>
      <c r="J1647" s="11" t="s">
        <v>1856</v>
      </c>
      <c r="K1647" s="11" t="s">
        <v>1852</v>
      </c>
      <c r="L1647" s="11" t="s">
        <v>1853</v>
      </c>
      <c r="M1647" s="11" t="s">
        <v>1854</v>
      </c>
      <c r="N1647" s="12"/>
      <c r="O1647" s="11" t="s">
        <v>4010</v>
      </c>
      <c r="P1647" s="56"/>
    </row>
    <row r="1648" spans="1:16" ht="15.75" customHeight="1" x14ac:dyDescent="0.2">
      <c r="A1648" s="49">
        <v>2297</v>
      </c>
      <c r="B1648" s="11" t="s">
        <v>1857</v>
      </c>
      <c r="C1648" s="11" t="s">
        <v>1849</v>
      </c>
      <c r="D1648" s="6" t="s">
        <v>1850</v>
      </c>
      <c r="E1648" s="12" t="s">
        <v>4740</v>
      </c>
      <c r="F1648" s="12" t="s">
        <v>4740</v>
      </c>
      <c r="G1648" s="12" t="s">
        <v>4754</v>
      </c>
      <c r="H1648" s="12" t="s">
        <v>4758</v>
      </c>
      <c r="I1648" s="12" t="s">
        <v>4918</v>
      </c>
      <c r="J1648" s="11" t="s">
        <v>1856</v>
      </c>
      <c r="K1648" s="11" t="s">
        <v>1852</v>
      </c>
      <c r="L1648" s="11" t="s">
        <v>1853</v>
      </c>
      <c r="M1648" s="11" t="s">
        <v>2316</v>
      </c>
      <c r="N1648" s="12"/>
      <c r="O1648" s="11" t="s">
        <v>4836</v>
      </c>
      <c r="P1648" s="56"/>
    </row>
    <row r="1649" spans="1:16" ht="15.75" customHeight="1" x14ac:dyDescent="0.2">
      <c r="A1649" s="49">
        <v>2434</v>
      </c>
      <c r="B1649" s="11" t="s">
        <v>1857</v>
      </c>
      <c r="C1649" s="11" t="s">
        <v>1849</v>
      </c>
      <c r="D1649" s="6" t="s">
        <v>1850</v>
      </c>
      <c r="E1649" s="12" t="s">
        <v>4740</v>
      </c>
      <c r="F1649" s="12" t="s">
        <v>4740</v>
      </c>
      <c r="G1649" s="12" t="s">
        <v>4741</v>
      </c>
      <c r="H1649" s="12" t="s">
        <v>4751</v>
      </c>
      <c r="I1649" s="12" t="s">
        <v>4919</v>
      </c>
      <c r="J1649" s="11" t="s">
        <v>1856</v>
      </c>
      <c r="K1649" s="11" t="s">
        <v>1852</v>
      </c>
      <c r="L1649" s="11" t="s">
        <v>1853</v>
      </c>
      <c r="M1649" s="11" t="s">
        <v>2316</v>
      </c>
      <c r="N1649" s="12"/>
      <c r="O1649" s="11" t="s">
        <v>1858</v>
      </c>
      <c r="P1649" s="56"/>
    </row>
    <row r="1650" spans="1:16" ht="15.75" customHeight="1" x14ac:dyDescent="0.2">
      <c r="A1650" s="49">
        <v>2308</v>
      </c>
      <c r="B1650" s="11" t="s">
        <v>1857</v>
      </c>
      <c r="C1650" s="11" t="s">
        <v>1849</v>
      </c>
      <c r="D1650" s="6" t="s">
        <v>1850</v>
      </c>
      <c r="E1650" s="12" t="s">
        <v>4740</v>
      </c>
      <c r="F1650" s="12" t="s">
        <v>4740</v>
      </c>
      <c r="G1650" s="12" t="s">
        <v>4754</v>
      </c>
      <c r="H1650" s="12" t="s">
        <v>4832</v>
      </c>
      <c r="I1650" s="12" t="s">
        <v>4920</v>
      </c>
      <c r="J1650" s="11" t="s">
        <v>2246</v>
      </c>
      <c r="K1650" s="11" t="s">
        <v>2247</v>
      </c>
      <c r="L1650" s="11" t="s">
        <v>4744</v>
      </c>
      <c r="M1650" s="11" t="s">
        <v>4921</v>
      </c>
      <c r="N1650" s="12"/>
      <c r="O1650" s="11" t="s">
        <v>1860</v>
      </c>
      <c r="P1650" s="56"/>
    </row>
    <row r="1651" spans="1:16" ht="15.75" customHeight="1" x14ac:dyDescent="0.2">
      <c r="A1651" s="49">
        <v>2466</v>
      </c>
      <c r="B1651" s="11" t="s">
        <v>1857</v>
      </c>
      <c r="C1651" s="11" t="s">
        <v>1849</v>
      </c>
      <c r="D1651" s="6" t="s">
        <v>1850</v>
      </c>
      <c r="E1651" s="12" t="s">
        <v>4740</v>
      </c>
      <c r="F1651" s="12" t="s">
        <v>4740</v>
      </c>
      <c r="G1651" s="12" t="s">
        <v>4741</v>
      </c>
      <c r="H1651" s="12" t="s">
        <v>4762</v>
      </c>
      <c r="I1651" s="12" t="s">
        <v>4922</v>
      </c>
      <c r="J1651" s="11" t="s">
        <v>1856</v>
      </c>
      <c r="K1651" s="11" t="s">
        <v>1852</v>
      </c>
      <c r="L1651" s="11" t="s">
        <v>1853</v>
      </c>
      <c r="M1651" s="11" t="s">
        <v>1854</v>
      </c>
      <c r="N1651" s="12"/>
      <c r="O1651" s="11" t="s">
        <v>1858</v>
      </c>
      <c r="P1651" s="56"/>
    </row>
    <row r="1652" spans="1:16" ht="15.75" customHeight="1" x14ac:dyDescent="0.2">
      <c r="A1652" s="49">
        <v>2347</v>
      </c>
      <c r="B1652" s="11" t="s">
        <v>1857</v>
      </c>
      <c r="C1652" s="11" t="s">
        <v>1849</v>
      </c>
      <c r="D1652" s="6" t="s">
        <v>1850</v>
      </c>
      <c r="E1652" s="12" t="s">
        <v>4740</v>
      </c>
      <c r="F1652" s="12" t="s">
        <v>4740</v>
      </c>
      <c r="G1652" s="12" t="s">
        <v>4741</v>
      </c>
      <c r="H1652" s="12" t="s">
        <v>4741</v>
      </c>
      <c r="I1652" s="12" t="s">
        <v>4923</v>
      </c>
      <c r="J1652" s="11" t="s">
        <v>1856</v>
      </c>
      <c r="K1652" s="11" t="s">
        <v>1852</v>
      </c>
      <c r="L1652" s="11" t="s">
        <v>1853</v>
      </c>
      <c r="M1652" s="11" t="s">
        <v>1854</v>
      </c>
      <c r="N1652" s="12"/>
      <c r="O1652" s="11" t="s">
        <v>1859</v>
      </c>
      <c r="P1652" s="56"/>
    </row>
    <row r="1653" spans="1:16" ht="15.75" customHeight="1" x14ac:dyDescent="0.2">
      <c r="A1653" s="49">
        <v>3202</v>
      </c>
      <c r="B1653" s="11" t="s">
        <v>1857</v>
      </c>
      <c r="C1653" s="11" t="s">
        <v>1849</v>
      </c>
      <c r="D1653" s="6" t="s">
        <v>1850</v>
      </c>
      <c r="E1653" s="12" t="s">
        <v>4740</v>
      </c>
      <c r="F1653" s="12" t="s">
        <v>4740</v>
      </c>
      <c r="G1653" s="12" t="s">
        <v>4741</v>
      </c>
      <c r="H1653" s="12" t="s">
        <v>4819</v>
      </c>
      <c r="I1653" s="12" t="s">
        <v>4924</v>
      </c>
      <c r="J1653" s="11" t="s">
        <v>1856</v>
      </c>
      <c r="K1653" s="11" t="s">
        <v>1852</v>
      </c>
      <c r="L1653" s="11" t="s">
        <v>1853</v>
      </c>
      <c r="M1653" s="11" t="s">
        <v>1854</v>
      </c>
      <c r="N1653" s="12"/>
      <c r="O1653" s="11" t="s">
        <v>2772</v>
      </c>
      <c r="P1653" s="56"/>
    </row>
    <row r="1654" spans="1:16" ht="15.75" customHeight="1" x14ac:dyDescent="0.2">
      <c r="A1654" s="49">
        <v>6373</v>
      </c>
      <c r="B1654" s="11" t="s">
        <v>1857</v>
      </c>
      <c r="C1654" s="11" t="s">
        <v>1849</v>
      </c>
      <c r="D1654" s="6" t="s">
        <v>1850</v>
      </c>
      <c r="E1654" s="12" t="s">
        <v>4740</v>
      </c>
      <c r="F1654" s="12" t="s">
        <v>4740</v>
      </c>
      <c r="G1654" s="12" t="s">
        <v>4741</v>
      </c>
      <c r="H1654" s="12" t="s">
        <v>4762</v>
      </c>
      <c r="I1654" s="12" t="s">
        <v>4925</v>
      </c>
      <c r="J1654" s="11" t="s">
        <v>2246</v>
      </c>
      <c r="K1654" s="11" t="s">
        <v>2247</v>
      </c>
      <c r="L1654" s="11" t="s">
        <v>4744</v>
      </c>
      <c r="M1654" s="11" t="s">
        <v>1854</v>
      </c>
      <c r="N1654" s="12"/>
      <c r="O1654" s="11" t="s">
        <v>1859</v>
      </c>
      <c r="P1654" s="56"/>
    </row>
    <row r="1655" spans="1:16" ht="15.75" customHeight="1" x14ac:dyDescent="0.2">
      <c r="A1655" s="49">
        <v>2442</v>
      </c>
      <c r="B1655" s="11" t="s">
        <v>1857</v>
      </c>
      <c r="C1655" s="11" t="s">
        <v>1849</v>
      </c>
      <c r="D1655" s="6" t="s">
        <v>1850</v>
      </c>
      <c r="E1655" s="12" t="s">
        <v>4740</v>
      </c>
      <c r="F1655" s="12" t="s">
        <v>4740</v>
      </c>
      <c r="G1655" s="12" t="s">
        <v>4754</v>
      </c>
      <c r="H1655" s="12" t="s">
        <v>4926</v>
      </c>
      <c r="I1655" s="12" t="s">
        <v>4927</v>
      </c>
      <c r="J1655" s="11" t="s">
        <v>1856</v>
      </c>
      <c r="K1655" s="11" t="s">
        <v>1852</v>
      </c>
      <c r="L1655" s="11" t="s">
        <v>1853</v>
      </c>
      <c r="M1655" s="11" t="s">
        <v>1854</v>
      </c>
      <c r="N1655" s="12"/>
      <c r="O1655" s="11" t="s">
        <v>1860</v>
      </c>
      <c r="P1655" s="56"/>
    </row>
    <row r="1656" spans="1:16" ht="15.75" customHeight="1" x14ac:dyDescent="0.2">
      <c r="A1656" s="49">
        <v>2340</v>
      </c>
      <c r="B1656" s="11" t="s">
        <v>1857</v>
      </c>
      <c r="C1656" s="11" t="s">
        <v>1849</v>
      </c>
      <c r="D1656" s="6" t="s">
        <v>1850</v>
      </c>
      <c r="E1656" s="12" t="s">
        <v>4740</v>
      </c>
      <c r="F1656" s="12" t="s">
        <v>4740</v>
      </c>
      <c r="G1656" s="12" t="s">
        <v>4741</v>
      </c>
      <c r="H1656" s="12" t="s">
        <v>4741</v>
      </c>
      <c r="I1656" s="12" t="s">
        <v>4928</v>
      </c>
      <c r="J1656" s="11" t="s">
        <v>1856</v>
      </c>
      <c r="K1656" s="11" t="s">
        <v>1852</v>
      </c>
      <c r="L1656" s="11" t="s">
        <v>1853</v>
      </c>
      <c r="M1656" s="11" t="s">
        <v>1854</v>
      </c>
      <c r="N1656" s="12"/>
      <c r="O1656" s="11" t="s">
        <v>1859</v>
      </c>
      <c r="P1656" s="56"/>
    </row>
    <row r="1657" spans="1:16" ht="15.75" customHeight="1" x14ac:dyDescent="0.2">
      <c r="A1657" s="49">
        <v>2243</v>
      </c>
      <c r="B1657" s="11" t="s">
        <v>1857</v>
      </c>
      <c r="C1657" s="11" t="s">
        <v>1849</v>
      </c>
      <c r="D1657" s="6" t="s">
        <v>1850</v>
      </c>
      <c r="E1657" s="12" t="s">
        <v>4740</v>
      </c>
      <c r="F1657" s="12" t="s">
        <v>4740</v>
      </c>
      <c r="G1657" s="12" t="s">
        <v>4745</v>
      </c>
      <c r="H1657" s="12" t="s">
        <v>4746</v>
      </c>
      <c r="I1657" s="12" t="s">
        <v>4929</v>
      </c>
      <c r="J1657" s="11" t="s">
        <v>1856</v>
      </c>
      <c r="K1657" s="11" t="s">
        <v>1852</v>
      </c>
      <c r="L1657" s="11" t="s">
        <v>1853</v>
      </c>
      <c r="M1657" s="11" t="s">
        <v>4757</v>
      </c>
      <c r="N1657" s="12"/>
      <c r="O1657" s="11" t="s">
        <v>1858</v>
      </c>
      <c r="P1657" s="56"/>
    </row>
    <row r="1658" spans="1:16" ht="15.75" customHeight="1" x14ac:dyDescent="0.2">
      <c r="A1658" s="49">
        <v>2241</v>
      </c>
      <c r="B1658" s="11" t="s">
        <v>1857</v>
      </c>
      <c r="C1658" s="11" t="s">
        <v>1849</v>
      </c>
      <c r="D1658" s="6" t="s">
        <v>1850</v>
      </c>
      <c r="E1658" s="12" t="s">
        <v>4740</v>
      </c>
      <c r="F1658" s="12" t="s">
        <v>4740</v>
      </c>
      <c r="G1658" s="12" t="s">
        <v>4745</v>
      </c>
      <c r="H1658" s="12" t="s">
        <v>4746</v>
      </c>
      <c r="I1658" s="12" t="s">
        <v>4930</v>
      </c>
      <c r="J1658" s="11" t="s">
        <v>1856</v>
      </c>
      <c r="K1658" s="11" t="s">
        <v>1852</v>
      </c>
      <c r="L1658" s="11" t="s">
        <v>1853</v>
      </c>
      <c r="M1658" s="11" t="s">
        <v>4931</v>
      </c>
      <c r="N1658" s="12"/>
      <c r="O1658" s="11" t="s">
        <v>1858</v>
      </c>
      <c r="P1658" s="56"/>
    </row>
    <row r="1659" spans="1:16" ht="15.75" customHeight="1" x14ac:dyDescent="0.2">
      <c r="A1659" s="49">
        <v>2240</v>
      </c>
      <c r="B1659" s="11" t="s">
        <v>1857</v>
      </c>
      <c r="C1659" s="11" t="s">
        <v>1849</v>
      </c>
      <c r="D1659" s="6" t="s">
        <v>1850</v>
      </c>
      <c r="E1659" s="12" t="s">
        <v>4740</v>
      </c>
      <c r="F1659" s="12" t="s">
        <v>4740</v>
      </c>
      <c r="G1659" s="12" t="s">
        <v>4745</v>
      </c>
      <c r="H1659" s="12" t="s">
        <v>4746</v>
      </c>
      <c r="I1659" s="12" t="s">
        <v>4932</v>
      </c>
      <c r="J1659" s="11" t="s">
        <v>1856</v>
      </c>
      <c r="K1659" s="11" t="s">
        <v>1852</v>
      </c>
      <c r="L1659" s="11" t="s">
        <v>1853</v>
      </c>
      <c r="M1659" s="11" t="s">
        <v>4931</v>
      </c>
      <c r="N1659" s="12"/>
      <c r="O1659" s="11" t="s">
        <v>1859</v>
      </c>
      <c r="P1659" s="56"/>
    </row>
    <row r="1660" spans="1:16" ht="15.75" customHeight="1" x14ac:dyDescent="0.2">
      <c r="A1660" s="49">
        <v>2242</v>
      </c>
      <c r="B1660" s="11" t="s">
        <v>1857</v>
      </c>
      <c r="C1660" s="11" t="s">
        <v>1849</v>
      </c>
      <c r="D1660" s="6" t="s">
        <v>1850</v>
      </c>
      <c r="E1660" s="12" t="s">
        <v>4740</v>
      </c>
      <c r="F1660" s="12" t="s">
        <v>4740</v>
      </c>
      <c r="G1660" s="12" t="s">
        <v>4745</v>
      </c>
      <c r="H1660" s="12" t="s">
        <v>4746</v>
      </c>
      <c r="I1660" s="12" t="s">
        <v>4933</v>
      </c>
      <c r="J1660" s="11" t="s">
        <v>1856</v>
      </c>
      <c r="K1660" s="11" t="s">
        <v>1852</v>
      </c>
      <c r="L1660" s="11" t="s">
        <v>1853</v>
      </c>
      <c r="M1660" s="11" t="s">
        <v>4757</v>
      </c>
      <c r="N1660" s="12"/>
      <c r="O1660" s="11" t="s">
        <v>1858</v>
      </c>
      <c r="P1660" s="56"/>
    </row>
    <row r="1661" spans="1:16" ht="15.75" customHeight="1" x14ac:dyDescent="0.2">
      <c r="A1661" s="49">
        <v>2357</v>
      </c>
      <c r="B1661" s="11" t="s">
        <v>1857</v>
      </c>
      <c r="C1661" s="11" t="s">
        <v>1849</v>
      </c>
      <c r="D1661" s="6" t="s">
        <v>1850</v>
      </c>
      <c r="E1661" s="12" t="s">
        <v>4740</v>
      </c>
      <c r="F1661" s="12" t="s">
        <v>4740</v>
      </c>
      <c r="G1661" s="12" t="s">
        <v>4741</v>
      </c>
      <c r="H1661" s="12" t="s">
        <v>4780</v>
      </c>
      <c r="I1661" s="12" t="s">
        <v>2523</v>
      </c>
      <c r="J1661" s="11" t="s">
        <v>2246</v>
      </c>
      <c r="K1661" s="11" t="s">
        <v>2247</v>
      </c>
      <c r="L1661" s="11" t="s">
        <v>4744</v>
      </c>
      <c r="M1661" s="11" t="s">
        <v>1854</v>
      </c>
      <c r="N1661" s="12"/>
      <c r="O1661" s="11" t="s">
        <v>1859</v>
      </c>
      <c r="P1661" s="56"/>
    </row>
    <row r="1662" spans="1:16" ht="15.75" customHeight="1" x14ac:dyDescent="0.2">
      <c r="A1662" s="49">
        <v>2447</v>
      </c>
      <c r="B1662" s="11" t="s">
        <v>1857</v>
      </c>
      <c r="C1662" s="11" t="s">
        <v>1849</v>
      </c>
      <c r="D1662" s="6" t="s">
        <v>1850</v>
      </c>
      <c r="E1662" s="12" t="s">
        <v>4740</v>
      </c>
      <c r="F1662" s="12" t="s">
        <v>4740</v>
      </c>
      <c r="G1662" s="12" t="s">
        <v>4754</v>
      </c>
      <c r="H1662" s="12" t="s">
        <v>4796</v>
      </c>
      <c r="I1662" s="12" t="s">
        <v>4934</v>
      </c>
      <c r="J1662" s="11" t="s">
        <v>1856</v>
      </c>
      <c r="K1662" s="11" t="s">
        <v>1852</v>
      </c>
      <c r="L1662" s="11" t="s">
        <v>1853</v>
      </c>
      <c r="M1662" s="11" t="s">
        <v>1854</v>
      </c>
      <c r="N1662" s="12"/>
      <c r="O1662" s="11" t="s">
        <v>1860</v>
      </c>
      <c r="P1662" s="56"/>
    </row>
    <row r="1663" spans="1:16" ht="15.75" customHeight="1" x14ac:dyDescent="0.2">
      <c r="A1663" s="49">
        <v>2368</v>
      </c>
      <c r="B1663" s="11" t="s">
        <v>1857</v>
      </c>
      <c r="C1663" s="11" t="s">
        <v>1849</v>
      </c>
      <c r="D1663" s="6" t="s">
        <v>1850</v>
      </c>
      <c r="E1663" s="12" t="s">
        <v>4740</v>
      </c>
      <c r="F1663" s="12" t="s">
        <v>4740</v>
      </c>
      <c r="G1663" s="12" t="s">
        <v>4741</v>
      </c>
      <c r="H1663" s="12" t="s">
        <v>4741</v>
      </c>
      <c r="I1663" s="12" t="s">
        <v>4935</v>
      </c>
      <c r="J1663" s="11" t="s">
        <v>1856</v>
      </c>
      <c r="K1663" s="11" t="s">
        <v>1852</v>
      </c>
      <c r="L1663" s="11" t="s">
        <v>1853</v>
      </c>
      <c r="M1663" s="11" t="s">
        <v>1854</v>
      </c>
      <c r="N1663" s="12"/>
      <c r="O1663" s="11" t="s">
        <v>1860</v>
      </c>
      <c r="P1663" s="56"/>
    </row>
    <row r="1664" spans="1:16" ht="15.75" customHeight="1" x14ac:dyDescent="0.2">
      <c r="A1664" s="49">
        <v>2420</v>
      </c>
      <c r="B1664" s="11" t="s">
        <v>1857</v>
      </c>
      <c r="C1664" s="11" t="s">
        <v>1849</v>
      </c>
      <c r="D1664" s="6" t="s">
        <v>1850</v>
      </c>
      <c r="E1664" s="12" t="s">
        <v>4740</v>
      </c>
      <c r="F1664" s="12" t="s">
        <v>4740</v>
      </c>
      <c r="G1664" s="12" t="s">
        <v>4741</v>
      </c>
      <c r="H1664" s="12" t="s">
        <v>4762</v>
      </c>
      <c r="I1664" s="12" t="s">
        <v>4936</v>
      </c>
      <c r="J1664" s="11" t="s">
        <v>1856</v>
      </c>
      <c r="K1664" s="11" t="s">
        <v>1852</v>
      </c>
      <c r="L1664" s="11" t="s">
        <v>1853</v>
      </c>
      <c r="M1664" s="11" t="s">
        <v>1854</v>
      </c>
      <c r="N1664" s="12"/>
      <c r="O1664" s="11" t="s">
        <v>1859</v>
      </c>
      <c r="P1664" s="56"/>
    </row>
    <row r="1665" spans="1:16" ht="15.75" customHeight="1" x14ac:dyDescent="0.2">
      <c r="A1665" s="49">
        <v>2314</v>
      </c>
      <c r="B1665" s="11" t="s">
        <v>1857</v>
      </c>
      <c r="C1665" s="11" t="s">
        <v>1849</v>
      </c>
      <c r="D1665" s="6" t="s">
        <v>1850</v>
      </c>
      <c r="E1665" s="12" t="s">
        <v>4740</v>
      </c>
      <c r="F1665" s="12" t="s">
        <v>4740</v>
      </c>
      <c r="G1665" s="12" t="s">
        <v>4741</v>
      </c>
      <c r="H1665" s="12" t="s">
        <v>4762</v>
      </c>
      <c r="I1665" s="12" t="s">
        <v>4937</v>
      </c>
      <c r="J1665" s="11" t="s">
        <v>1856</v>
      </c>
      <c r="K1665" s="11" t="s">
        <v>1852</v>
      </c>
      <c r="L1665" s="11" t="s">
        <v>1853</v>
      </c>
      <c r="M1665" s="11" t="s">
        <v>4938</v>
      </c>
      <c r="N1665" s="12"/>
      <c r="O1665" s="11" t="s">
        <v>1859</v>
      </c>
      <c r="P1665" s="56"/>
    </row>
    <row r="1666" spans="1:16" ht="15.75" customHeight="1" x14ac:dyDescent="0.2">
      <c r="A1666" s="49">
        <v>7535</v>
      </c>
      <c r="B1666" s="11" t="s">
        <v>1857</v>
      </c>
      <c r="C1666" s="11" t="s">
        <v>1849</v>
      </c>
      <c r="D1666" s="6" t="s">
        <v>1850</v>
      </c>
      <c r="E1666" s="12" t="s">
        <v>4740</v>
      </c>
      <c r="F1666" s="12" t="s">
        <v>4740</v>
      </c>
      <c r="G1666" s="12" t="s">
        <v>4741</v>
      </c>
      <c r="H1666" s="12" t="s">
        <v>4742</v>
      </c>
      <c r="I1666" s="12" t="s">
        <v>4939</v>
      </c>
      <c r="J1666" s="11" t="s">
        <v>2246</v>
      </c>
      <c r="K1666" s="11" t="s">
        <v>2247</v>
      </c>
      <c r="L1666" s="11" t="s">
        <v>4744</v>
      </c>
      <c r="M1666" s="11" t="s">
        <v>1854</v>
      </c>
      <c r="N1666" s="12"/>
      <c r="O1666" s="11" t="s">
        <v>1859</v>
      </c>
      <c r="P1666" s="56"/>
    </row>
    <row r="1667" spans="1:16" ht="15.75" customHeight="1" x14ac:dyDescent="0.2">
      <c r="A1667" s="49">
        <v>2467</v>
      </c>
      <c r="B1667" s="11" t="s">
        <v>1857</v>
      </c>
      <c r="C1667" s="11" t="s">
        <v>1849</v>
      </c>
      <c r="D1667" s="6" t="s">
        <v>1850</v>
      </c>
      <c r="E1667" s="12" t="s">
        <v>4740</v>
      </c>
      <c r="F1667" s="12" t="s">
        <v>4740</v>
      </c>
      <c r="G1667" s="12" t="s">
        <v>4745</v>
      </c>
      <c r="H1667" s="12" t="s">
        <v>4886</v>
      </c>
      <c r="I1667" s="12" t="s">
        <v>4940</v>
      </c>
      <c r="J1667" s="11" t="s">
        <v>2246</v>
      </c>
      <c r="K1667" s="11" t="s">
        <v>2247</v>
      </c>
      <c r="L1667" s="11" t="s">
        <v>4888</v>
      </c>
      <c r="M1667" s="11" t="s">
        <v>1854</v>
      </c>
      <c r="N1667" s="12"/>
      <c r="O1667" s="11" t="s">
        <v>1860</v>
      </c>
      <c r="P1667" s="56"/>
    </row>
    <row r="1668" spans="1:16" ht="15.75" customHeight="1" x14ac:dyDescent="0.2">
      <c r="A1668" s="49">
        <v>2369</v>
      </c>
      <c r="B1668" s="11" t="s">
        <v>1857</v>
      </c>
      <c r="C1668" s="11" t="s">
        <v>1849</v>
      </c>
      <c r="D1668" s="6" t="s">
        <v>1850</v>
      </c>
      <c r="E1668" s="12" t="s">
        <v>4740</v>
      </c>
      <c r="F1668" s="12" t="s">
        <v>4740</v>
      </c>
      <c r="G1668" s="12" t="s">
        <v>4741</v>
      </c>
      <c r="H1668" s="12" t="s">
        <v>4741</v>
      </c>
      <c r="I1668" s="12" t="s">
        <v>4941</v>
      </c>
      <c r="J1668" s="11" t="s">
        <v>1856</v>
      </c>
      <c r="K1668" s="11" t="s">
        <v>1852</v>
      </c>
      <c r="L1668" s="11" t="s">
        <v>1853</v>
      </c>
      <c r="M1668" s="11" t="s">
        <v>4794</v>
      </c>
      <c r="N1668" s="12"/>
      <c r="O1668" s="11" t="s">
        <v>1859</v>
      </c>
      <c r="P1668" s="56"/>
    </row>
    <row r="1669" spans="1:16" ht="15.75" customHeight="1" x14ac:dyDescent="0.2">
      <c r="A1669" s="49">
        <v>2345</v>
      </c>
      <c r="B1669" s="11" t="s">
        <v>1857</v>
      </c>
      <c r="C1669" s="11" t="s">
        <v>1849</v>
      </c>
      <c r="D1669" s="6" t="s">
        <v>1850</v>
      </c>
      <c r="E1669" s="12" t="s">
        <v>4740</v>
      </c>
      <c r="F1669" s="12" t="s">
        <v>4740</v>
      </c>
      <c r="G1669" s="12" t="s">
        <v>4745</v>
      </c>
      <c r="H1669" s="12" t="s">
        <v>4746</v>
      </c>
      <c r="I1669" s="12" t="s">
        <v>4942</v>
      </c>
      <c r="J1669" s="11" t="s">
        <v>1856</v>
      </c>
      <c r="K1669" s="11" t="s">
        <v>1852</v>
      </c>
      <c r="L1669" s="11" t="s">
        <v>1853</v>
      </c>
      <c r="M1669" s="11" t="s">
        <v>4943</v>
      </c>
      <c r="N1669" s="12" t="s">
        <v>4944</v>
      </c>
      <c r="O1669" s="11" t="s">
        <v>1858</v>
      </c>
      <c r="P1669" s="56"/>
    </row>
    <row r="1670" spans="1:16" ht="15.75" customHeight="1" x14ac:dyDescent="0.2">
      <c r="A1670" s="49">
        <v>2435</v>
      </c>
      <c r="B1670" s="11" t="s">
        <v>1857</v>
      </c>
      <c r="C1670" s="11" t="s">
        <v>1849</v>
      </c>
      <c r="D1670" s="6" t="s">
        <v>1850</v>
      </c>
      <c r="E1670" s="12" t="s">
        <v>4740</v>
      </c>
      <c r="F1670" s="12" t="s">
        <v>4740</v>
      </c>
      <c r="G1670" s="12" t="s">
        <v>4741</v>
      </c>
      <c r="H1670" s="12" t="s">
        <v>4751</v>
      </c>
      <c r="I1670" s="12" t="s">
        <v>4945</v>
      </c>
      <c r="J1670" s="11" t="s">
        <v>1856</v>
      </c>
      <c r="K1670" s="11" t="s">
        <v>1852</v>
      </c>
      <c r="L1670" s="11" t="s">
        <v>1853</v>
      </c>
      <c r="M1670" s="11" t="s">
        <v>1952</v>
      </c>
      <c r="N1670" s="12"/>
      <c r="O1670" s="11" t="s">
        <v>1860</v>
      </c>
      <c r="P1670" s="56"/>
    </row>
    <row r="1671" spans="1:16" ht="15.75" customHeight="1" x14ac:dyDescent="0.2">
      <c r="A1671" s="49">
        <v>2269</v>
      </c>
      <c r="B1671" s="11" t="s">
        <v>1857</v>
      </c>
      <c r="C1671" s="11" t="s">
        <v>1849</v>
      </c>
      <c r="D1671" s="6" t="s">
        <v>1850</v>
      </c>
      <c r="E1671" s="12" t="s">
        <v>4740</v>
      </c>
      <c r="F1671" s="12" t="s">
        <v>4740</v>
      </c>
      <c r="G1671" s="12" t="s">
        <v>4741</v>
      </c>
      <c r="H1671" s="12" t="s">
        <v>4751</v>
      </c>
      <c r="I1671" s="12" t="s">
        <v>4946</v>
      </c>
      <c r="J1671" s="11" t="s">
        <v>1856</v>
      </c>
      <c r="K1671" s="11" t="s">
        <v>1852</v>
      </c>
      <c r="L1671" s="11" t="s">
        <v>1853</v>
      </c>
      <c r="M1671" s="11" t="s">
        <v>1854</v>
      </c>
      <c r="N1671" s="12"/>
      <c r="O1671" s="11" t="s">
        <v>1858</v>
      </c>
      <c r="P1671" s="56"/>
    </row>
    <row r="1672" spans="1:16" ht="15.75" customHeight="1" x14ac:dyDescent="0.2">
      <c r="A1672" s="49">
        <v>2436</v>
      </c>
      <c r="B1672" s="11" t="s">
        <v>1857</v>
      </c>
      <c r="C1672" s="11" t="s">
        <v>1849</v>
      </c>
      <c r="D1672" s="6" t="s">
        <v>1850</v>
      </c>
      <c r="E1672" s="12" t="s">
        <v>4740</v>
      </c>
      <c r="F1672" s="12" t="s">
        <v>4740</v>
      </c>
      <c r="G1672" s="12" t="s">
        <v>4741</v>
      </c>
      <c r="H1672" s="12" t="s">
        <v>4751</v>
      </c>
      <c r="I1672" s="12" t="s">
        <v>4947</v>
      </c>
      <c r="J1672" s="11" t="s">
        <v>1856</v>
      </c>
      <c r="K1672" s="11" t="s">
        <v>1852</v>
      </c>
      <c r="L1672" s="11" t="s">
        <v>1853</v>
      </c>
      <c r="M1672" s="11" t="s">
        <v>4948</v>
      </c>
      <c r="N1672" s="12"/>
      <c r="O1672" s="11" t="s">
        <v>1858</v>
      </c>
      <c r="P1672" s="56"/>
    </row>
    <row r="1673" spans="1:16" ht="15.75" customHeight="1" x14ac:dyDescent="0.2">
      <c r="A1673" s="49">
        <v>2231</v>
      </c>
      <c r="B1673" s="11" t="s">
        <v>1857</v>
      </c>
      <c r="C1673" s="11" t="s">
        <v>1849</v>
      </c>
      <c r="D1673" s="6" t="s">
        <v>1850</v>
      </c>
      <c r="E1673" s="12" t="s">
        <v>4740</v>
      </c>
      <c r="F1673" s="12" t="s">
        <v>4740</v>
      </c>
      <c r="G1673" s="12" t="s">
        <v>4745</v>
      </c>
      <c r="H1673" s="12" t="s">
        <v>4746</v>
      </c>
      <c r="I1673" s="12" t="s">
        <v>4949</v>
      </c>
      <c r="J1673" s="11" t="s">
        <v>1856</v>
      </c>
      <c r="K1673" s="11" t="s">
        <v>1852</v>
      </c>
      <c r="L1673" s="11" t="s">
        <v>1853</v>
      </c>
      <c r="M1673" s="11" t="s">
        <v>4786</v>
      </c>
      <c r="N1673" s="12"/>
      <c r="O1673" s="11" t="s">
        <v>1860</v>
      </c>
      <c r="P1673" s="56"/>
    </row>
    <row r="1674" spans="1:16" ht="15.75" customHeight="1" x14ac:dyDescent="0.2">
      <c r="A1674" s="49">
        <v>2381</v>
      </c>
      <c r="B1674" s="11" t="s">
        <v>1857</v>
      </c>
      <c r="C1674" s="11" t="s">
        <v>1849</v>
      </c>
      <c r="D1674" s="6" t="s">
        <v>1850</v>
      </c>
      <c r="E1674" s="12" t="s">
        <v>4740</v>
      </c>
      <c r="F1674" s="12" t="s">
        <v>4740</v>
      </c>
      <c r="G1674" s="12" t="s">
        <v>4754</v>
      </c>
      <c r="H1674" s="12" t="s">
        <v>4754</v>
      </c>
      <c r="I1674" s="12" t="s">
        <v>4950</v>
      </c>
      <c r="J1674" s="11" t="s">
        <v>1856</v>
      </c>
      <c r="K1674" s="11" t="s">
        <v>1852</v>
      </c>
      <c r="L1674" s="11" t="s">
        <v>1853</v>
      </c>
      <c r="M1674" s="11" t="s">
        <v>1854</v>
      </c>
      <c r="N1674" s="12"/>
      <c r="O1674" s="11" t="s">
        <v>1858</v>
      </c>
      <c r="P1674" s="56"/>
    </row>
    <row r="1675" spans="1:16" ht="15.75" customHeight="1" x14ac:dyDescent="0.2">
      <c r="A1675" s="49">
        <v>2389</v>
      </c>
      <c r="B1675" s="11" t="s">
        <v>1857</v>
      </c>
      <c r="C1675" s="11" t="s">
        <v>1849</v>
      </c>
      <c r="D1675" s="6" t="s">
        <v>1850</v>
      </c>
      <c r="E1675" s="12" t="s">
        <v>4740</v>
      </c>
      <c r="F1675" s="12" t="s">
        <v>4740</v>
      </c>
      <c r="G1675" s="12" t="s">
        <v>4754</v>
      </c>
      <c r="H1675" s="12" t="s">
        <v>4754</v>
      </c>
      <c r="I1675" s="12" t="s">
        <v>4951</v>
      </c>
      <c r="J1675" s="11" t="s">
        <v>2246</v>
      </c>
      <c r="K1675" s="11" t="s">
        <v>2247</v>
      </c>
      <c r="L1675" s="11" t="s">
        <v>4744</v>
      </c>
      <c r="M1675" s="11" t="s">
        <v>4848</v>
      </c>
      <c r="N1675" s="12"/>
      <c r="O1675" s="11" t="s">
        <v>1858</v>
      </c>
      <c r="P1675" s="56"/>
    </row>
    <row r="1676" spans="1:16" ht="15.75" customHeight="1" x14ac:dyDescent="0.2">
      <c r="A1676" s="49">
        <v>2251</v>
      </c>
      <c r="B1676" s="11" t="s">
        <v>1857</v>
      </c>
      <c r="C1676" s="11" t="s">
        <v>1849</v>
      </c>
      <c r="D1676" s="6" t="s">
        <v>1850</v>
      </c>
      <c r="E1676" s="12" t="s">
        <v>4740</v>
      </c>
      <c r="F1676" s="12" t="s">
        <v>4740</v>
      </c>
      <c r="G1676" s="12" t="s">
        <v>4745</v>
      </c>
      <c r="H1676" s="12" t="s">
        <v>4746</v>
      </c>
      <c r="I1676" s="12" t="s">
        <v>4743</v>
      </c>
      <c r="J1676" s="11" t="s">
        <v>1856</v>
      </c>
      <c r="K1676" s="11" t="s">
        <v>1852</v>
      </c>
      <c r="L1676" s="11" t="s">
        <v>1853</v>
      </c>
      <c r="M1676" s="11" t="s">
        <v>1854</v>
      </c>
      <c r="N1676" s="12"/>
      <c r="O1676" s="11" t="s">
        <v>1858</v>
      </c>
      <c r="P1676" s="56"/>
    </row>
    <row r="1677" spans="1:16" ht="15.75" customHeight="1" x14ac:dyDescent="0.2">
      <c r="A1677" s="49">
        <v>2459</v>
      </c>
      <c r="B1677" s="11" t="s">
        <v>1857</v>
      </c>
      <c r="C1677" s="11" t="s">
        <v>1849</v>
      </c>
      <c r="D1677" s="6" t="s">
        <v>1850</v>
      </c>
      <c r="E1677" s="12" t="s">
        <v>4740</v>
      </c>
      <c r="F1677" s="12" t="s">
        <v>4740</v>
      </c>
      <c r="G1677" s="12" t="s">
        <v>4754</v>
      </c>
      <c r="H1677" s="12" t="s">
        <v>4778</v>
      </c>
      <c r="I1677" s="12" t="s">
        <v>4495</v>
      </c>
      <c r="J1677" s="11" t="s">
        <v>2246</v>
      </c>
      <c r="K1677" s="11" t="s">
        <v>2247</v>
      </c>
      <c r="L1677" s="11" t="s">
        <v>1853</v>
      </c>
      <c r="M1677" s="11" t="s">
        <v>1854</v>
      </c>
      <c r="N1677" s="12"/>
      <c r="O1677" s="11" t="s">
        <v>1858</v>
      </c>
      <c r="P1677" s="56"/>
    </row>
    <row r="1678" spans="1:16" ht="15.75" customHeight="1" x14ac:dyDescent="0.2">
      <c r="A1678" s="49">
        <v>2216</v>
      </c>
      <c r="B1678" s="11" t="s">
        <v>1857</v>
      </c>
      <c r="C1678" s="11" t="s">
        <v>1849</v>
      </c>
      <c r="D1678" s="6" t="s">
        <v>1850</v>
      </c>
      <c r="E1678" s="12" t="s">
        <v>4740</v>
      </c>
      <c r="F1678" s="12" t="s">
        <v>4740</v>
      </c>
      <c r="G1678" s="12" t="s">
        <v>4745</v>
      </c>
      <c r="H1678" s="12" t="s">
        <v>4769</v>
      </c>
      <c r="I1678" s="12" t="s">
        <v>4952</v>
      </c>
      <c r="J1678" s="11" t="s">
        <v>2246</v>
      </c>
      <c r="K1678" s="11" t="s">
        <v>2247</v>
      </c>
      <c r="L1678" s="11" t="s">
        <v>4744</v>
      </c>
      <c r="M1678" s="11" t="s">
        <v>1854</v>
      </c>
      <c r="N1678" s="12"/>
      <c r="O1678" s="11" t="s">
        <v>1858</v>
      </c>
      <c r="P1678" s="56"/>
    </row>
    <row r="1679" spans="1:16" ht="15.75" customHeight="1" x14ac:dyDescent="0.2">
      <c r="A1679" s="49">
        <v>2454</v>
      </c>
      <c r="B1679" s="11" t="s">
        <v>1857</v>
      </c>
      <c r="C1679" s="11" t="s">
        <v>1849</v>
      </c>
      <c r="D1679" s="6" t="s">
        <v>1850</v>
      </c>
      <c r="E1679" s="12" t="s">
        <v>4740</v>
      </c>
      <c r="F1679" s="12" t="s">
        <v>4740</v>
      </c>
      <c r="G1679" s="12" t="s">
        <v>4754</v>
      </c>
      <c r="H1679" s="12" t="s">
        <v>4778</v>
      </c>
      <c r="I1679" s="12" t="s">
        <v>4953</v>
      </c>
      <c r="J1679" s="11" t="s">
        <v>2246</v>
      </c>
      <c r="K1679" s="11" t="s">
        <v>2247</v>
      </c>
      <c r="L1679" s="11" t="s">
        <v>4744</v>
      </c>
      <c r="M1679" s="11" t="s">
        <v>4783</v>
      </c>
      <c r="N1679" s="12"/>
      <c r="O1679" s="11" t="s">
        <v>1858</v>
      </c>
      <c r="P1679" s="56"/>
    </row>
    <row r="1680" spans="1:16" ht="15.75" customHeight="1" x14ac:dyDescent="0.2">
      <c r="A1680" s="49">
        <v>2353</v>
      </c>
      <c r="B1680" s="11" t="s">
        <v>1857</v>
      </c>
      <c r="C1680" s="11" t="s">
        <v>1849</v>
      </c>
      <c r="D1680" s="6" t="s">
        <v>1850</v>
      </c>
      <c r="E1680" s="12" t="s">
        <v>4740</v>
      </c>
      <c r="F1680" s="12" t="s">
        <v>4740</v>
      </c>
      <c r="G1680" s="12" t="s">
        <v>4741</v>
      </c>
      <c r="H1680" s="12" t="s">
        <v>4819</v>
      </c>
      <c r="I1680" s="12" t="s">
        <v>4954</v>
      </c>
      <c r="J1680" s="11" t="s">
        <v>1856</v>
      </c>
      <c r="K1680" s="11" t="s">
        <v>1852</v>
      </c>
      <c r="L1680" s="11" t="s">
        <v>1853</v>
      </c>
      <c r="M1680" s="11" t="s">
        <v>4814</v>
      </c>
      <c r="N1680" s="12"/>
      <c r="O1680" s="11" t="s">
        <v>1860</v>
      </c>
      <c r="P1680" s="56"/>
    </row>
    <row r="1681" spans="1:16" ht="15.75" customHeight="1" x14ac:dyDescent="0.2">
      <c r="A1681" s="49">
        <v>2221</v>
      </c>
      <c r="B1681" s="11" t="s">
        <v>1857</v>
      </c>
      <c r="C1681" s="11" t="s">
        <v>1849</v>
      </c>
      <c r="D1681" s="6" t="s">
        <v>1850</v>
      </c>
      <c r="E1681" s="12" t="s">
        <v>4740</v>
      </c>
      <c r="F1681" s="12" t="s">
        <v>4740</v>
      </c>
      <c r="G1681" s="12" t="s">
        <v>4745</v>
      </c>
      <c r="H1681" s="12" t="s">
        <v>4955</v>
      </c>
      <c r="I1681" s="12" t="s">
        <v>4956</v>
      </c>
      <c r="J1681" s="11" t="s">
        <v>2246</v>
      </c>
      <c r="K1681" s="11" t="s">
        <v>2247</v>
      </c>
      <c r="L1681" s="11" t="s">
        <v>4744</v>
      </c>
      <c r="M1681" s="11" t="s">
        <v>4761</v>
      </c>
      <c r="N1681" s="12"/>
      <c r="O1681" s="11" t="s">
        <v>1860</v>
      </c>
      <c r="P1681" s="56"/>
    </row>
    <row r="1682" spans="1:16" ht="15.75" customHeight="1" x14ac:dyDescent="0.2">
      <c r="A1682" s="49">
        <v>2348</v>
      </c>
      <c r="B1682" s="11" t="s">
        <v>1857</v>
      </c>
      <c r="C1682" s="11" t="s">
        <v>1849</v>
      </c>
      <c r="D1682" s="6" t="s">
        <v>1850</v>
      </c>
      <c r="E1682" s="12" t="s">
        <v>4740</v>
      </c>
      <c r="F1682" s="12" t="s">
        <v>4740</v>
      </c>
      <c r="G1682" s="12" t="s">
        <v>4741</v>
      </c>
      <c r="H1682" s="12" t="s">
        <v>4741</v>
      </c>
      <c r="I1682" s="12" t="s">
        <v>4957</v>
      </c>
      <c r="J1682" s="11" t="s">
        <v>1856</v>
      </c>
      <c r="K1682" s="11" t="s">
        <v>1852</v>
      </c>
      <c r="L1682" s="11" t="s">
        <v>1853</v>
      </c>
      <c r="M1682" s="11" t="s">
        <v>4753</v>
      </c>
      <c r="N1682" s="12"/>
      <c r="O1682" s="11" t="s">
        <v>1859</v>
      </c>
      <c r="P1682" s="56"/>
    </row>
    <row r="1683" spans="1:16" ht="15.75" customHeight="1" x14ac:dyDescent="0.2">
      <c r="A1683" s="49">
        <v>2448</v>
      </c>
      <c r="B1683" s="11" t="s">
        <v>1857</v>
      </c>
      <c r="C1683" s="11" t="s">
        <v>1849</v>
      </c>
      <c r="D1683" s="6" t="s">
        <v>1850</v>
      </c>
      <c r="E1683" s="12" t="s">
        <v>4740</v>
      </c>
      <c r="F1683" s="12" t="s">
        <v>4740</v>
      </c>
      <c r="G1683" s="12" t="s">
        <v>4754</v>
      </c>
      <c r="H1683" s="12" t="s">
        <v>4796</v>
      </c>
      <c r="I1683" s="12" t="s">
        <v>4958</v>
      </c>
      <c r="J1683" s="11" t="s">
        <v>1856</v>
      </c>
      <c r="K1683" s="11" t="s">
        <v>1852</v>
      </c>
      <c r="L1683" s="11" t="s">
        <v>1853</v>
      </c>
      <c r="M1683" s="11" t="s">
        <v>4651</v>
      </c>
      <c r="N1683" s="12" t="s">
        <v>4959</v>
      </c>
      <c r="O1683" s="11" t="s">
        <v>1858</v>
      </c>
      <c r="P1683" s="56"/>
    </row>
    <row r="1684" spans="1:16" ht="15.75" customHeight="1" x14ac:dyDescent="0.2">
      <c r="A1684" s="49">
        <v>2209</v>
      </c>
      <c r="B1684" s="11" t="s">
        <v>1857</v>
      </c>
      <c r="C1684" s="11" t="s">
        <v>1849</v>
      </c>
      <c r="D1684" s="6" t="s">
        <v>1850</v>
      </c>
      <c r="E1684" s="12" t="s">
        <v>4740</v>
      </c>
      <c r="F1684" s="12" t="s">
        <v>4740</v>
      </c>
      <c r="G1684" s="12" t="s">
        <v>4745</v>
      </c>
      <c r="H1684" s="12" t="s">
        <v>4746</v>
      </c>
      <c r="I1684" s="12" t="s">
        <v>2204</v>
      </c>
      <c r="J1684" s="11" t="s">
        <v>1856</v>
      </c>
      <c r="K1684" s="11" t="s">
        <v>1852</v>
      </c>
      <c r="L1684" s="11" t="s">
        <v>1853</v>
      </c>
      <c r="M1684" s="11" t="s">
        <v>4960</v>
      </c>
      <c r="N1684" s="12"/>
      <c r="O1684" s="11" t="s">
        <v>1858</v>
      </c>
      <c r="P1684" s="56"/>
    </row>
    <row r="1685" spans="1:16" ht="15.75" customHeight="1" x14ac:dyDescent="0.2">
      <c r="A1685" s="49">
        <v>2220</v>
      </c>
      <c r="B1685" s="11" t="s">
        <v>1857</v>
      </c>
      <c r="C1685" s="11" t="s">
        <v>1849</v>
      </c>
      <c r="D1685" s="6" t="s">
        <v>1850</v>
      </c>
      <c r="E1685" s="12" t="s">
        <v>4740</v>
      </c>
      <c r="F1685" s="12" t="s">
        <v>4740</v>
      </c>
      <c r="G1685" s="12" t="s">
        <v>4745</v>
      </c>
      <c r="H1685" s="12" t="s">
        <v>4955</v>
      </c>
      <c r="I1685" s="12" t="s">
        <v>4961</v>
      </c>
      <c r="J1685" s="11" t="s">
        <v>2246</v>
      </c>
      <c r="K1685" s="11" t="s">
        <v>2247</v>
      </c>
      <c r="L1685" s="11" t="s">
        <v>4744</v>
      </c>
      <c r="M1685" s="11" t="s">
        <v>1854</v>
      </c>
      <c r="N1685" s="12"/>
      <c r="O1685" s="11" t="s">
        <v>1860</v>
      </c>
      <c r="P1685" s="56"/>
    </row>
    <row r="1686" spans="1:16" ht="15.75" customHeight="1" x14ac:dyDescent="0.2">
      <c r="A1686" s="49">
        <v>2438</v>
      </c>
      <c r="B1686" s="11" t="s">
        <v>1857</v>
      </c>
      <c r="C1686" s="11" t="s">
        <v>1849</v>
      </c>
      <c r="D1686" s="6" t="s">
        <v>1850</v>
      </c>
      <c r="E1686" s="12" t="s">
        <v>4740</v>
      </c>
      <c r="F1686" s="12" t="s">
        <v>4740</v>
      </c>
      <c r="G1686" s="12" t="s">
        <v>4754</v>
      </c>
      <c r="H1686" s="12" t="s">
        <v>4926</v>
      </c>
      <c r="I1686" s="12" t="s">
        <v>4962</v>
      </c>
      <c r="J1686" s="11" t="s">
        <v>1856</v>
      </c>
      <c r="K1686" s="11" t="s">
        <v>1852</v>
      </c>
      <c r="L1686" s="11" t="s">
        <v>1853</v>
      </c>
      <c r="M1686" s="11" t="s">
        <v>4963</v>
      </c>
      <c r="N1686" s="12"/>
      <c r="O1686" s="11" t="s">
        <v>1858</v>
      </c>
      <c r="P1686" s="56"/>
    </row>
    <row r="1687" spans="1:16" ht="15.75" customHeight="1" x14ac:dyDescent="0.2">
      <c r="A1687" s="49">
        <v>2456</v>
      </c>
      <c r="B1687" s="11" t="s">
        <v>1857</v>
      </c>
      <c r="C1687" s="11" t="s">
        <v>1849</v>
      </c>
      <c r="D1687" s="6" t="s">
        <v>1850</v>
      </c>
      <c r="E1687" s="12" t="s">
        <v>4740</v>
      </c>
      <c r="F1687" s="12" t="s">
        <v>4740</v>
      </c>
      <c r="G1687" s="12" t="s">
        <v>4754</v>
      </c>
      <c r="H1687" s="12" t="s">
        <v>4778</v>
      </c>
      <c r="I1687" s="12" t="s">
        <v>4964</v>
      </c>
      <c r="J1687" s="11" t="s">
        <v>2246</v>
      </c>
      <c r="K1687" s="11" t="s">
        <v>2247</v>
      </c>
      <c r="L1687" s="11" t="s">
        <v>4744</v>
      </c>
      <c r="M1687" s="11" t="s">
        <v>4965</v>
      </c>
      <c r="N1687" s="12" t="s">
        <v>4966</v>
      </c>
      <c r="O1687" s="11" t="s">
        <v>1860</v>
      </c>
      <c r="P1687" s="56"/>
    </row>
    <row r="1688" spans="1:16" ht="15.75" customHeight="1" x14ac:dyDescent="0.2">
      <c r="A1688" s="49">
        <v>2363</v>
      </c>
      <c r="B1688" s="11" t="s">
        <v>1857</v>
      </c>
      <c r="C1688" s="11" t="s">
        <v>1849</v>
      </c>
      <c r="D1688" s="6" t="s">
        <v>1850</v>
      </c>
      <c r="E1688" s="12" t="s">
        <v>4740</v>
      </c>
      <c r="F1688" s="12" t="s">
        <v>4740</v>
      </c>
      <c r="G1688" s="12" t="s">
        <v>4741</v>
      </c>
      <c r="H1688" s="12" t="s">
        <v>4819</v>
      </c>
      <c r="I1688" s="12" t="s">
        <v>4967</v>
      </c>
      <c r="J1688" s="11" t="s">
        <v>1856</v>
      </c>
      <c r="K1688" s="11" t="s">
        <v>1852</v>
      </c>
      <c r="L1688" s="11" t="s">
        <v>1853</v>
      </c>
      <c r="M1688" s="11" t="s">
        <v>4773</v>
      </c>
      <c r="N1688" s="12"/>
      <c r="O1688" s="11" t="s">
        <v>1860</v>
      </c>
      <c r="P1688" s="56"/>
    </row>
    <row r="1689" spans="1:16" ht="15.75" customHeight="1" x14ac:dyDescent="0.2">
      <c r="A1689" s="48">
        <v>15911</v>
      </c>
      <c r="B1689" s="11" t="s">
        <v>1871</v>
      </c>
      <c r="C1689" s="11" t="s">
        <v>1849</v>
      </c>
      <c r="D1689" s="6" t="s">
        <v>1850</v>
      </c>
      <c r="E1689" s="12" t="s">
        <v>4740</v>
      </c>
      <c r="F1689" s="12" t="s">
        <v>4740</v>
      </c>
      <c r="G1689" s="12" t="s">
        <v>4745</v>
      </c>
      <c r="H1689" s="12" t="s">
        <v>4769</v>
      </c>
      <c r="I1689" s="12" t="s">
        <v>4968</v>
      </c>
      <c r="J1689" s="11" t="s">
        <v>1856</v>
      </c>
      <c r="K1689" s="11" t="s">
        <v>1852</v>
      </c>
      <c r="L1689" s="11" t="s">
        <v>1853</v>
      </c>
      <c r="M1689" s="11" t="s">
        <v>1854</v>
      </c>
      <c r="N1689" s="12"/>
      <c r="O1689" s="11" t="s">
        <v>2022</v>
      </c>
      <c r="P1689" s="56"/>
    </row>
    <row r="1690" spans="1:16" ht="15.75" customHeight="1" x14ac:dyDescent="0.2">
      <c r="A1690" s="48">
        <v>15158</v>
      </c>
      <c r="B1690" s="11" t="s">
        <v>1871</v>
      </c>
      <c r="C1690" s="11" t="s">
        <v>1849</v>
      </c>
      <c r="D1690" s="6" t="s">
        <v>1850</v>
      </c>
      <c r="E1690" s="12" t="s">
        <v>4740</v>
      </c>
      <c r="F1690" s="12" t="s">
        <v>4740</v>
      </c>
      <c r="G1690" s="12" t="s">
        <v>4754</v>
      </c>
      <c r="H1690" s="12" t="s">
        <v>4767</v>
      </c>
      <c r="I1690" s="12" t="s">
        <v>4969</v>
      </c>
      <c r="J1690" s="11" t="s">
        <v>1856</v>
      </c>
      <c r="K1690" s="11" t="s">
        <v>1852</v>
      </c>
      <c r="L1690" s="11" t="s">
        <v>1853</v>
      </c>
      <c r="M1690" s="11" t="s">
        <v>1854</v>
      </c>
      <c r="N1690" s="12"/>
      <c r="O1690" s="11" t="s">
        <v>2618</v>
      </c>
      <c r="P1690" s="56"/>
    </row>
    <row r="1691" spans="1:16" ht="15.75" customHeight="1" x14ac:dyDescent="0.2">
      <c r="A1691" s="48">
        <v>2441</v>
      </c>
      <c r="B1691" s="11" t="s">
        <v>1871</v>
      </c>
      <c r="C1691" s="11" t="s">
        <v>1849</v>
      </c>
      <c r="D1691" s="6" t="s">
        <v>1850</v>
      </c>
      <c r="E1691" s="12" t="s">
        <v>4740</v>
      </c>
      <c r="F1691" s="12" t="s">
        <v>4740</v>
      </c>
      <c r="G1691" s="12" t="s">
        <v>4754</v>
      </c>
      <c r="H1691" s="12" t="s">
        <v>4926</v>
      </c>
      <c r="I1691" s="12" t="s">
        <v>4970</v>
      </c>
      <c r="J1691" s="11" t="s">
        <v>1856</v>
      </c>
      <c r="K1691" s="11" t="s">
        <v>1852</v>
      </c>
      <c r="L1691" s="11" t="s">
        <v>1853</v>
      </c>
      <c r="M1691" s="11" t="s">
        <v>1854</v>
      </c>
      <c r="N1691" s="12"/>
      <c r="O1691" s="11" t="s">
        <v>2350</v>
      </c>
      <c r="P1691" s="56" t="s">
        <v>4971</v>
      </c>
    </row>
    <row r="1692" spans="1:16" ht="15.75" customHeight="1" x14ac:dyDescent="0.2">
      <c r="A1692" s="48">
        <v>2326</v>
      </c>
      <c r="B1692" s="11" t="s">
        <v>1871</v>
      </c>
      <c r="C1692" s="11" t="s">
        <v>1849</v>
      </c>
      <c r="D1692" s="6" t="s">
        <v>1850</v>
      </c>
      <c r="E1692" s="12" t="s">
        <v>4740</v>
      </c>
      <c r="F1692" s="12" t="s">
        <v>4740</v>
      </c>
      <c r="G1692" s="12" t="s">
        <v>4754</v>
      </c>
      <c r="H1692" s="12" t="s">
        <v>4832</v>
      </c>
      <c r="I1692" s="12" t="s">
        <v>4972</v>
      </c>
      <c r="J1692" s="11" t="s">
        <v>1851</v>
      </c>
      <c r="K1692" s="11" t="s">
        <v>1852</v>
      </c>
      <c r="L1692" s="11" t="s">
        <v>1853</v>
      </c>
      <c r="M1692" s="11" t="s">
        <v>1854</v>
      </c>
      <c r="N1692" s="12"/>
      <c r="O1692" s="11" t="s">
        <v>1866</v>
      </c>
      <c r="P1692" s="56" t="s">
        <v>3343</v>
      </c>
    </row>
    <row r="1693" spans="1:16" ht="15.75" customHeight="1" x14ac:dyDescent="0.2">
      <c r="A1693" s="48">
        <v>2202</v>
      </c>
      <c r="B1693" s="11" t="s">
        <v>1871</v>
      </c>
      <c r="C1693" s="11" t="s">
        <v>1849</v>
      </c>
      <c r="D1693" s="6" t="s">
        <v>1850</v>
      </c>
      <c r="E1693" s="12" t="s">
        <v>4740</v>
      </c>
      <c r="F1693" s="12" t="s">
        <v>4740</v>
      </c>
      <c r="G1693" s="12" t="s">
        <v>4745</v>
      </c>
      <c r="H1693" s="12" t="s">
        <v>4811</v>
      </c>
      <c r="I1693" s="12" t="s">
        <v>4973</v>
      </c>
      <c r="J1693" s="11" t="s">
        <v>1851</v>
      </c>
      <c r="K1693" s="11" t="s">
        <v>1852</v>
      </c>
      <c r="L1693" s="11" t="s">
        <v>1853</v>
      </c>
      <c r="M1693" s="11" t="s">
        <v>1854</v>
      </c>
      <c r="N1693" s="12"/>
      <c r="O1693" s="11" t="s">
        <v>1866</v>
      </c>
      <c r="P1693" s="56" t="s">
        <v>4974</v>
      </c>
    </row>
    <row r="1694" spans="1:16" ht="15.75" customHeight="1" x14ac:dyDescent="0.2">
      <c r="A1694" s="48">
        <v>15550</v>
      </c>
      <c r="B1694" s="11" t="s">
        <v>1871</v>
      </c>
      <c r="C1694" s="11" t="s">
        <v>1849</v>
      </c>
      <c r="D1694" s="6" t="s">
        <v>1850</v>
      </c>
      <c r="E1694" s="12" t="s">
        <v>4740</v>
      </c>
      <c r="F1694" s="12" t="s">
        <v>4740</v>
      </c>
      <c r="G1694" s="12" t="s">
        <v>4754</v>
      </c>
      <c r="H1694" s="12" t="s">
        <v>4787</v>
      </c>
      <c r="I1694" s="12" t="s">
        <v>4975</v>
      </c>
      <c r="J1694" s="11" t="s">
        <v>2246</v>
      </c>
      <c r="K1694" s="11" t="s">
        <v>2247</v>
      </c>
      <c r="L1694" s="11" t="s">
        <v>1853</v>
      </c>
      <c r="M1694" s="11" t="s">
        <v>1854</v>
      </c>
      <c r="N1694" s="12"/>
      <c r="O1694" s="11" t="s">
        <v>4976</v>
      </c>
      <c r="P1694" s="56"/>
    </row>
    <row r="1695" spans="1:16" ht="15.75" customHeight="1" x14ac:dyDescent="0.2">
      <c r="A1695" s="48">
        <v>2203</v>
      </c>
      <c r="B1695" s="11" t="s">
        <v>1871</v>
      </c>
      <c r="C1695" s="11" t="s">
        <v>1849</v>
      </c>
      <c r="D1695" s="6" t="s">
        <v>1850</v>
      </c>
      <c r="E1695" s="12" t="s">
        <v>4740</v>
      </c>
      <c r="F1695" s="12" t="s">
        <v>4740</v>
      </c>
      <c r="G1695" s="12" t="s">
        <v>4745</v>
      </c>
      <c r="H1695" s="12" t="s">
        <v>4746</v>
      </c>
      <c r="I1695" s="12" t="s">
        <v>4977</v>
      </c>
      <c r="J1695" s="11" t="s">
        <v>1856</v>
      </c>
      <c r="K1695" s="11" t="s">
        <v>1852</v>
      </c>
      <c r="L1695" s="11" t="s">
        <v>1853</v>
      </c>
      <c r="M1695" s="11" t="s">
        <v>1854</v>
      </c>
      <c r="N1695" s="12"/>
      <c r="O1695" s="11" t="s">
        <v>1864</v>
      </c>
      <c r="P1695" s="56" t="s">
        <v>1865</v>
      </c>
    </row>
    <row r="1696" spans="1:16" ht="15.75" customHeight="1" x14ac:dyDescent="0.2">
      <c r="A1696" s="48">
        <v>15548</v>
      </c>
      <c r="B1696" s="11" t="s">
        <v>1871</v>
      </c>
      <c r="C1696" s="11" t="s">
        <v>1849</v>
      </c>
      <c r="D1696" s="6" t="s">
        <v>1850</v>
      </c>
      <c r="E1696" s="12" t="s">
        <v>4740</v>
      </c>
      <c r="F1696" s="12" t="s">
        <v>4740</v>
      </c>
      <c r="G1696" s="12" t="s">
        <v>4741</v>
      </c>
      <c r="H1696" s="12" t="s">
        <v>4742</v>
      </c>
      <c r="I1696" s="12" t="s">
        <v>4978</v>
      </c>
      <c r="J1696" s="11" t="s">
        <v>1851</v>
      </c>
      <c r="K1696" s="11" t="s">
        <v>1852</v>
      </c>
      <c r="L1696" s="11" t="s">
        <v>1853</v>
      </c>
      <c r="M1696" s="11" t="s">
        <v>1854</v>
      </c>
      <c r="N1696" s="12"/>
      <c r="O1696" s="11" t="s">
        <v>2022</v>
      </c>
      <c r="P1696" s="56" t="s">
        <v>2323</v>
      </c>
    </row>
    <row r="1697" spans="1:16" ht="15.75" customHeight="1" x14ac:dyDescent="0.2">
      <c r="A1697" s="48">
        <v>15159</v>
      </c>
      <c r="B1697" s="11" t="s">
        <v>1871</v>
      </c>
      <c r="C1697" s="11" t="s">
        <v>1849</v>
      </c>
      <c r="D1697" s="6" t="s">
        <v>1850</v>
      </c>
      <c r="E1697" s="12" t="s">
        <v>4740</v>
      </c>
      <c r="F1697" s="12" t="s">
        <v>4740</v>
      </c>
      <c r="G1697" s="12" t="s">
        <v>4741</v>
      </c>
      <c r="H1697" s="12" t="s">
        <v>4819</v>
      </c>
      <c r="I1697" s="12" t="s">
        <v>4979</v>
      </c>
      <c r="J1697" s="11" t="s">
        <v>1856</v>
      </c>
      <c r="K1697" s="11" t="s">
        <v>1852</v>
      </c>
      <c r="L1697" s="11" t="s">
        <v>1853</v>
      </c>
      <c r="M1697" s="11" t="s">
        <v>1854</v>
      </c>
      <c r="N1697" s="12"/>
      <c r="O1697" s="11" t="s">
        <v>1872</v>
      </c>
      <c r="P1697" s="56"/>
    </row>
    <row r="1698" spans="1:16" ht="15.75" customHeight="1" x14ac:dyDescent="0.2">
      <c r="A1698" s="48">
        <v>15546</v>
      </c>
      <c r="B1698" s="11" t="s">
        <v>1871</v>
      </c>
      <c r="C1698" s="11" t="s">
        <v>1849</v>
      </c>
      <c r="D1698" s="6" t="s">
        <v>1850</v>
      </c>
      <c r="E1698" s="12" t="s">
        <v>4740</v>
      </c>
      <c r="F1698" s="12" t="s">
        <v>4740</v>
      </c>
      <c r="G1698" s="12" t="s">
        <v>4741</v>
      </c>
      <c r="H1698" s="12" t="s">
        <v>4741</v>
      </c>
      <c r="I1698" s="12" t="s">
        <v>4852</v>
      </c>
      <c r="J1698" s="11" t="s">
        <v>2246</v>
      </c>
      <c r="K1698" s="11" t="s">
        <v>2247</v>
      </c>
      <c r="L1698" s="11" t="s">
        <v>1853</v>
      </c>
      <c r="M1698" s="11" t="s">
        <v>1854</v>
      </c>
      <c r="N1698" s="12"/>
      <c r="O1698" s="11" t="s">
        <v>4980</v>
      </c>
      <c r="P1698" s="56" t="s">
        <v>1863</v>
      </c>
    </row>
    <row r="1699" spans="1:16" ht="15.75" customHeight="1" x14ac:dyDescent="0.2">
      <c r="A1699" s="48">
        <v>15551</v>
      </c>
      <c r="B1699" s="11" t="s">
        <v>1871</v>
      </c>
      <c r="C1699" s="11" t="s">
        <v>1849</v>
      </c>
      <c r="D1699" s="6" t="s">
        <v>1850</v>
      </c>
      <c r="E1699" s="12" t="s">
        <v>4740</v>
      </c>
      <c r="F1699" s="12" t="s">
        <v>4740</v>
      </c>
      <c r="G1699" s="12" t="s">
        <v>4754</v>
      </c>
      <c r="H1699" s="12" t="s">
        <v>4778</v>
      </c>
      <c r="I1699" s="12" t="s">
        <v>4981</v>
      </c>
      <c r="J1699" s="11" t="s">
        <v>1856</v>
      </c>
      <c r="K1699" s="11" t="s">
        <v>1852</v>
      </c>
      <c r="L1699" s="11" t="s">
        <v>1853</v>
      </c>
      <c r="M1699" s="11" t="s">
        <v>1854</v>
      </c>
      <c r="N1699" s="12"/>
      <c r="O1699" s="11" t="s">
        <v>3387</v>
      </c>
      <c r="P1699" s="56"/>
    </row>
    <row r="1700" spans="1:16" ht="15.75" customHeight="1" x14ac:dyDescent="0.2">
      <c r="A1700" s="48">
        <v>15157</v>
      </c>
      <c r="B1700" s="11" t="s">
        <v>1871</v>
      </c>
      <c r="C1700" s="11" t="s">
        <v>1849</v>
      </c>
      <c r="D1700" s="6" t="s">
        <v>1850</v>
      </c>
      <c r="E1700" s="12" t="s">
        <v>4740</v>
      </c>
      <c r="F1700" s="12" t="s">
        <v>4740</v>
      </c>
      <c r="G1700" s="12" t="s">
        <v>4754</v>
      </c>
      <c r="H1700" s="12" t="s">
        <v>4890</v>
      </c>
      <c r="I1700" s="12" t="s">
        <v>4906</v>
      </c>
      <c r="J1700" s="11" t="s">
        <v>1856</v>
      </c>
      <c r="K1700" s="11" t="s">
        <v>1852</v>
      </c>
      <c r="L1700" s="11" t="s">
        <v>1853</v>
      </c>
      <c r="M1700" s="11" t="s">
        <v>1854</v>
      </c>
      <c r="N1700" s="12"/>
      <c r="O1700" s="11" t="s">
        <v>3228</v>
      </c>
      <c r="P1700" s="56" t="s">
        <v>1863</v>
      </c>
    </row>
    <row r="1701" spans="1:16" ht="15.75" customHeight="1" x14ac:dyDescent="0.2">
      <c r="A1701" s="48">
        <v>15633</v>
      </c>
      <c r="B1701" s="11" t="s">
        <v>1871</v>
      </c>
      <c r="C1701" s="11" t="s">
        <v>1849</v>
      </c>
      <c r="D1701" s="6" t="s">
        <v>1850</v>
      </c>
      <c r="E1701" s="12" t="s">
        <v>4740</v>
      </c>
      <c r="F1701" s="12" t="s">
        <v>4740</v>
      </c>
      <c r="G1701" s="12" t="s">
        <v>4745</v>
      </c>
      <c r="H1701" s="12" t="s">
        <v>4886</v>
      </c>
      <c r="I1701" s="12" t="s">
        <v>4982</v>
      </c>
      <c r="J1701" s="11" t="s">
        <v>2246</v>
      </c>
      <c r="K1701" s="11" t="s">
        <v>2247</v>
      </c>
      <c r="L1701" s="11" t="s">
        <v>1853</v>
      </c>
      <c r="M1701" s="11" t="s">
        <v>1854</v>
      </c>
      <c r="N1701" s="12"/>
      <c r="O1701" s="11" t="s">
        <v>3016</v>
      </c>
      <c r="P1701" s="56" t="s">
        <v>2323</v>
      </c>
    </row>
    <row r="1702" spans="1:16" ht="15.75" customHeight="1" x14ac:dyDescent="0.2">
      <c r="A1702" s="48">
        <v>16183</v>
      </c>
      <c r="B1702" s="11" t="s">
        <v>1871</v>
      </c>
      <c r="C1702" s="11" t="s">
        <v>1849</v>
      </c>
      <c r="D1702" s="6" t="s">
        <v>1850</v>
      </c>
      <c r="E1702" s="12" t="s">
        <v>4740</v>
      </c>
      <c r="F1702" s="12" t="s">
        <v>4740</v>
      </c>
      <c r="G1702" s="12" t="s">
        <v>4745</v>
      </c>
      <c r="H1702" s="12" t="s">
        <v>4886</v>
      </c>
      <c r="I1702" s="12" t="s">
        <v>4983</v>
      </c>
      <c r="J1702" s="11" t="s">
        <v>2246</v>
      </c>
      <c r="K1702" s="11" t="s">
        <v>2247</v>
      </c>
      <c r="L1702" s="11" t="s">
        <v>1853</v>
      </c>
      <c r="M1702" s="11" t="s">
        <v>1854</v>
      </c>
      <c r="N1702" s="12"/>
      <c r="O1702" s="11" t="s">
        <v>2022</v>
      </c>
      <c r="P1702" s="56" t="s">
        <v>1863</v>
      </c>
    </row>
    <row r="1703" spans="1:16" ht="15.75" customHeight="1" x14ac:dyDescent="0.2">
      <c r="A1703" s="48">
        <v>15634</v>
      </c>
      <c r="B1703" s="11" t="s">
        <v>1871</v>
      </c>
      <c r="C1703" s="11" t="s">
        <v>1849</v>
      </c>
      <c r="D1703" s="6" t="s">
        <v>1850</v>
      </c>
      <c r="E1703" s="12" t="s">
        <v>4740</v>
      </c>
      <c r="F1703" s="12" t="s">
        <v>4740</v>
      </c>
      <c r="G1703" s="12" t="s">
        <v>4745</v>
      </c>
      <c r="H1703" s="12" t="s">
        <v>4886</v>
      </c>
      <c r="I1703" s="12" t="s">
        <v>4984</v>
      </c>
      <c r="J1703" s="11" t="s">
        <v>2246</v>
      </c>
      <c r="K1703" s="11" t="s">
        <v>2247</v>
      </c>
      <c r="L1703" s="11" t="s">
        <v>1853</v>
      </c>
      <c r="M1703" s="11" t="s">
        <v>1854</v>
      </c>
      <c r="N1703" s="12"/>
      <c r="O1703" s="11" t="s">
        <v>1872</v>
      </c>
      <c r="P1703" s="56"/>
    </row>
    <row r="1704" spans="1:16" ht="15.75" customHeight="1" x14ac:dyDescent="0.2">
      <c r="A1704" s="48">
        <v>16184</v>
      </c>
      <c r="B1704" s="11" t="s">
        <v>1871</v>
      </c>
      <c r="C1704" s="11" t="s">
        <v>1849</v>
      </c>
      <c r="D1704" s="6" t="s">
        <v>1850</v>
      </c>
      <c r="E1704" s="12" t="s">
        <v>4740</v>
      </c>
      <c r="F1704" s="12" t="s">
        <v>4740</v>
      </c>
      <c r="G1704" s="12" t="s">
        <v>4741</v>
      </c>
      <c r="H1704" s="12" t="s">
        <v>4741</v>
      </c>
      <c r="I1704" s="12" t="s">
        <v>4985</v>
      </c>
      <c r="J1704" s="11" t="s">
        <v>2246</v>
      </c>
      <c r="K1704" s="11" t="s">
        <v>2247</v>
      </c>
      <c r="L1704" s="11" t="s">
        <v>1853</v>
      </c>
      <c r="M1704" s="11"/>
      <c r="N1704" s="12"/>
      <c r="O1704" s="11" t="s">
        <v>2022</v>
      </c>
      <c r="P1704" s="56" t="s">
        <v>4665</v>
      </c>
    </row>
    <row r="1705" spans="1:16" ht="15.75" customHeight="1" x14ac:dyDescent="0.2">
      <c r="A1705" s="48">
        <v>15547</v>
      </c>
      <c r="B1705" s="11" t="s">
        <v>1871</v>
      </c>
      <c r="C1705" s="11" t="s">
        <v>1849</v>
      </c>
      <c r="D1705" s="6" t="s">
        <v>1850</v>
      </c>
      <c r="E1705" s="12" t="s">
        <v>4740</v>
      </c>
      <c r="F1705" s="12" t="s">
        <v>4740</v>
      </c>
      <c r="G1705" s="12" t="s">
        <v>4741</v>
      </c>
      <c r="H1705" s="12" t="s">
        <v>4741</v>
      </c>
      <c r="I1705" s="12" t="s">
        <v>4816</v>
      </c>
      <c r="J1705" s="11" t="s">
        <v>1856</v>
      </c>
      <c r="K1705" s="11" t="s">
        <v>1852</v>
      </c>
      <c r="L1705" s="11" t="s">
        <v>1853</v>
      </c>
      <c r="M1705" s="11" t="s">
        <v>1854</v>
      </c>
      <c r="N1705" s="12"/>
      <c r="O1705" s="11" t="s">
        <v>2350</v>
      </c>
      <c r="P1705" s="56" t="s">
        <v>1865</v>
      </c>
    </row>
    <row r="1706" spans="1:16" ht="15.75" customHeight="1" x14ac:dyDescent="0.2">
      <c r="A1706" s="49">
        <v>16140</v>
      </c>
      <c r="B1706" s="11" t="s">
        <v>1871</v>
      </c>
      <c r="C1706" s="11" t="s">
        <v>1849</v>
      </c>
      <c r="D1706" s="6" t="s">
        <v>1850</v>
      </c>
      <c r="E1706" s="12" t="s">
        <v>4740</v>
      </c>
      <c r="F1706" s="12" t="s">
        <v>4740</v>
      </c>
      <c r="G1706" s="12" t="s">
        <v>4754</v>
      </c>
      <c r="H1706" s="12" t="s">
        <v>4778</v>
      </c>
      <c r="I1706" s="12" t="s">
        <v>4986</v>
      </c>
      <c r="J1706" s="11" t="s">
        <v>1856</v>
      </c>
      <c r="K1706" s="11" t="s">
        <v>1852</v>
      </c>
      <c r="L1706" s="11" t="s">
        <v>1853</v>
      </c>
      <c r="M1706" s="11" t="s">
        <v>1854</v>
      </c>
      <c r="N1706" s="12"/>
      <c r="O1706" s="11" t="s">
        <v>2350</v>
      </c>
      <c r="P1706" s="56" t="s">
        <v>4665</v>
      </c>
    </row>
    <row r="1707" spans="1:16" ht="15.75" customHeight="1" x14ac:dyDescent="0.2">
      <c r="A1707" s="49">
        <v>7325</v>
      </c>
      <c r="B1707" s="11" t="s">
        <v>1857</v>
      </c>
      <c r="C1707" s="11" t="s">
        <v>1849</v>
      </c>
      <c r="D1707" s="6" t="s">
        <v>2594</v>
      </c>
      <c r="E1707" s="12" t="s">
        <v>4740</v>
      </c>
      <c r="F1707" s="12" t="s">
        <v>4740</v>
      </c>
      <c r="G1707" s="12" t="s">
        <v>4745</v>
      </c>
      <c r="H1707" s="12" t="s">
        <v>4746</v>
      </c>
      <c r="I1707" s="12" t="s">
        <v>4987</v>
      </c>
      <c r="J1707" s="11" t="s">
        <v>1856</v>
      </c>
      <c r="K1707" s="11" t="s">
        <v>1852</v>
      </c>
      <c r="L1707" s="11" t="s">
        <v>1853</v>
      </c>
      <c r="M1707" s="11" t="s">
        <v>1854</v>
      </c>
      <c r="N1707" s="12"/>
      <c r="O1707" s="11" t="s">
        <v>2307</v>
      </c>
      <c r="P1707" s="56"/>
    </row>
    <row r="1708" spans="1:16" ht="15.75" customHeight="1" x14ac:dyDescent="0.2">
      <c r="A1708" s="49">
        <v>7587</v>
      </c>
      <c r="B1708" s="11" t="s">
        <v>1857</v>
      </c>
      <c r="C1708" s="11" t="s">
        <v>1849</v>
      </c>
      <c r="D1708" s="6" t="s">
        <v>2594</v>
      </c>
      <c r="E1708" s="12" t="s">
        <v>4740</v>
      </c>
      <c r="F1708" s="12" t="s">
        <v>4740</v>
      </c>
      <c r="G1708" s="12" t="s">
        <v>4754</v>
      </c>
      <c r="H1708" s="12" t="s">
        <v>4832</v>
      </c>
      <c r="I1708" s="12" t="s">
        <v>4988</v>
      </c>
      <c r="J1708" s="11" t="s">
        <v>1856</v>
      </c>
      <c r="K1708" s="11" t="s">
        <v>1852</v>
      </c>
      <c r="L1708" s="11" t="s">
        <v>1853</v>
      </c>
      <c r="M1708" s="11" t="s">
        <v>1854</v>
      </c>
      <c r="N1708" s="12"/>
      <c r="O1708" s="11" t="s">
        <v>1854</v>
      </c>
      <c r="P1708" s="56"/>
    </row>
    <row r="1709" spans="1:16" ht="15.75" customHeight="1" x14ac:dyDescent="0.2">
      <c r="A1709" s="48">
        <v>15310</v>
      </c>
      <c r="B1709" s="11" t="s">
        <v>1848</v>
      </c>
      <c r="C1709" s="11" t="s">
        <v>1876</v>
      </c>
      <c r="D1709" s="6" t="s">
        <v>1850</v>
      </c>
      <c r="E1709" s="12" t="s">
        <v>4740</v>
      </c>
      <c r="F1709" s="12" t="s">
        <v>4740</v>
      </c>
      <c r="G1709" s="12" t="s">
        <v>4989</v>
      </c>
      <c r="H1709" s="12" t="s">
        <v>4989</v>
      </c>
      <c r="I1709" s="12" t="s">
        <v>4990</v>
      </c>
      <c r="J1709" s="11" t="s">
        <v>1856</v>
      </c>
      <c r="K1709" s="11" t="s">
        <v>1852</v>
      </c>
      <c r="L1709" s="11" t="s">
        <v>1853</v>
      </c>
      <c r="M1709" s="11" t="s">
        <v>1854</v>
      </c>
      <c r="N1709" s="12"/>
      <c r="O1709" s="11" t="s">
        <v>1855</v>
      </c>
      <c r="P1709" s="56"/>
    </row>
    <row r="1710" spans="1:16" ht="15.75" customHeight="1" x14ac:dyDescent="0.2">
      <c r="A1710" s="49">
        <v>7292</v>
      </c>
      <c r="B1710" s="11" t="s">
        <v>1857</v>
      </c>
      <c r="C1710" s="11" t="s">
        <v>1876</v>
      </c>
      <c r="D1710" s="6" t="s">
        <v>1850</v>
      </c>
      <c r="E1710" s="12" t="s">
        <v>4740</v>
      </c>
      <c r="F1710" s="12" t="s">
        <v>4740</v>
      </c>
      <c r="G1710" s="12" t="s">
        <v>4745</v>
      </c>
      <c r="H1710" s="12" t="s">
        <v>4746</v>
      </c>
      <c r="I1710" s="12" t="s">
        <v>4991</v>
      </c>
      <c r="J1710" s="11" t="s">
        <v>1851</v>
      </c>
      <c r="K1710" s="11" t="s">
        <v>1852</v>
      </c>
      <c r="L1710" s="11" t="s">
        <v>1853</v>
      </c>
      <c r="M1710" s="11" t="s">
        <v>1854</v>
      </c>
      <c r="N1710" s="12"/>
      <c r="O1710" s="11" t="s">
        <v>1858</v>
      </c>
      <c r="P1710" s="56"/>
    </row>
    <row r="1711" spans="1:16" ht="15.75" customHeight="1" x14ac:dyDescent="0.2">
      <c r="A1711" s="49">
        <v>5288</v>
      </c>
      <c r="B1711" s="11" t="s">
        <v>1857</v>
      </c>
      <c r="C1711" s="11" t="s">
        <v>1876</v>
      </c>
      <c r="D1711" s="6" t="s">
        <v>1850</v>
      </c>
      <c r="E1711" s="12" t="s">
        <v>4740</v>
      </c>
      <c r="F1711" s="12" t="s">
        <v>4740</v>
      </c>
      <c r="G1711" s="12" t="s">
        <v>4745</v>
      </c>
      <c r="H1711" s="12" t="s">
        <v>4811</v>
      </c>
      <c r="I1711" s="12" t="s">
        <v>4992</v>
      </c>
      <c r="J1711" s="11" t="s">
        <v>1851</v>
      </c>
      <c r="K1711" s="11" t="s">
        <v>1852</v>
      </c>
      <c r="L1711" s="11" t="s">
        <v>1853</v>
      </c>
      <c r="M1711" s="11" t="s">
        <v>1854</v>
      </c>
      <c r="N1711" s="12"/>
      <c r="O1711" s="11" t="s">
        <v>3016</v>
      </c>
      <c r="P1711" s="56" t="s">
        <v>2796</v>
      </c>
    </row>
    <row r="1712" spans="1:16" ht="15.75" customHeight="1" x14ac:dyDescent="0.2">
      <c r="A1712" s="48">
        <v>7293</v>
      </c>
      <c r="B1712" s="11" t="s">
        <v>1871</v>
      </c>
      <c r="C1712" s="11" t="s">
        <v>1876</v>
      </c>
      <c r="D1712" s="6" t="s">
        <v>1850</v>
      </c>
      <c r="E1712" s="12" t="s">
        <v>4740</v>
      </c>
      <c r="F1712" s="12" t="s">
        <v>4740</v>
      </c>
      <c r="G1712" s="12" t="s">
        <v>4745</v>
      </c>
      <c r="H1712" s="12" t="s">
        <v>4746</v>
      </c>
      <c r="I1712" s="12" t="s">
        <v>4993</v>
      </c>
      <c r="J1712" s="11" t="s">
        <v>1851</v>
      </c>
      <c r="K1712" s="11" t="s">
        <v>1852</v>
      </c>
      <c r="L1712" s="11" t="s">
        <v>1853</v>
      </c>
      <c r="M1712" s="11" t="s">
        <v>1854</v>
      </c>
      <c r="N1712" s="12"/>
      <c r="O1712" s="11" t="s">
        <v>1854</v>
      </c>
      <c r="P1712" s="56" t="s">
        <v>4994</v>
      </c>
    </row>
    <row r="1713" spans="1:16" ht="15.75" customHeight="1" x14ac:dyDescent="0.2">
      <c r="A1713" s="49">
        <v>2275</v>
      </c>
      <c r="B1713" s="11" t="s">
        <v>1857</v>
      </c>
      <c r="C1713" s="11" t="s">
        <v>1849</v>
      </c>
      <c r="D1713" s="6" t="s">
        <v>1850</v>
      </c>
      <c r="E1713" s="11" t="s">
        <v>4995</v>
      </c>
      <c r="F1713" s="12" t="s">
        <v>4996</v>
      </c>
      <c r="G1713" s="12" t="s">
        <v>4997</v>
      </c>
      <c r="H1713" s="12" t="s">
        <v>4998</v>
      </c>
      <c r="I1713" s="12" t="s">
        <v>4999</v>
      </c>
      <c r="J1713" s="11" t="s">
        <v>2246</v>
      </c>
      <c r="K1713" s="11" t="s">
        <v>2247</v>
      </c>
      <c r="L1713" s="11" t="s">
        <v>5000</v>
      </c>
      <c r="M1713" s="11" t="s">
        <v>4493</v>
      </c>
      <c r="N1713" s="12" t="s">
        <v>5001</v>
      </c>
      <c r="O1713" s="11" t="s">
        <v>1867</v>
      </c>
      <c r="P1713" s="56" t="s">
        <v>1865</v>
      </c>
    </row>
    <row r="1714" spans="1:16" ht="15.75" customHeight="1" x14ac:dyDescent="0.2">
      <c r="A1714" s="49">
        <v>6818</v>
      </c>
      <c r="B1714" s="11" t="s">
        <v>1857</v>
      </c>
      <c r="C1714" s="11" t="s">
        <v>1849</v>
      </c>
      <c r="D1714" s="6" t="s">
        <v>1850</v>
      </c>
      <c r="E1714" s="11" t="s">
        <v>4995</v>
      </c>
      <c r="F1714" s="12" t="s">
        <v>4996</v>
      </c>
      <c r="G1714" s="12" t="s">
        <v>4926</v>
      </c>
      <c r="H1714" s="12" t="s">
        <v>5002</v>
      </c>
      <c r="I1714" s="12" t="s">
        <v>5003</v>
      </c>
      <c r="J1714" s="11" t="s">
        <v>2246</v>
      </c>
      <c r="K1714" s="11" t="s">
        <v>2247</v>
      </c>
      <c r="L1714" s="11" t="s">
        <v>5000</v>
      </c>
      <c r="M1714" s="11" t="s">
        <v>1861</v>
      </c>
      <c r="N1714" s="12"/>
      <c r="O1714" s="11" t="s">
        <v>1869</v>
      </c>
      <c r="P1714" s="56"/>
    </row>
    <row r="1715" spans="1:16" ht="15.75" customHeight="1" x14ac:dyDescent="0.2">
      <c r="A1715" s="49">
        <v>2271</v>
      </c>
      <c r="B1715" s="11" t="s">
        <v>1857</v>
      </c>
      <c r="C1715" s="11" t="s">
        <v>1849</v>
      </c>
      <c r="D1715" s="6" t="s">
        <v>1850</v>
      </c>
      <c r="E1715" s="11" t="s">
        <v>4995</v>
      </c>
      <c r="F1715" s="12" t="s">
        <v>4996</v>
      </c>
      <c r="G1715" s="12" t="s">
        <v>4997</v>
      </c>
      <c r="H1715" s="12" t="s">
        <v>4998</v>
      </c>
      <c r="I1715" s="12" t="s">
        <v>5004</v>
      </c>
      <c r="J1715" s="11" t="s">
        <v>2246</v>
      </c>
      <c r="K1715" s="11" t="s">
        <v>2247</v>
      </c>
      <c r="L1715" s="11" t="s">
        <v>5000</v>
      </c>
      <c r="M1715" s="11" t="s">
        <v>5005</v>
      </c>
      <c r="N1715" s="12" t="s">
        <v>5006</v>
      </c>
      <c r="O1715" s="11" t="s">
        <v>1860</v>
      </c>
      <c r="P1715" s="56"/>
    </row>
    <row r="1716" spans="1:16" ht="15.75" customHeight="1" x14ac:dyDescent="0.2">
      <c r="A1716" s="49">
        <v>2301</v>
      </c>
      <c r="B1716" s="11" t="s">
        <v>1857</v>
      </c>
      <c r="C1716" s="11" t="s">
        <v>1849</v>
      </c>
      <c r="D1716" s="6" t="s">
        <v>1850</v>
      </c>
      <c r="E1716" s="11" t="s">
        <v>4995</v>
      </c>
      <c r="F1716" s="12" t="s">
        <v>4996</v>
      </c>
      <c r="G1716" s="12" t="s">
        <v>4926</v>
      </c>
      <c r="H1716" s="12" t="s">
        <v>5007</v>
      </c>
      <c r="I1716" s="12" t="s">
        <v>5008</v>
      </c>
      <c r="J1716" s="11" t="s">
        <v>2246</v>
      </c>
      <c r="K1716" s="11" t="s">
        <v>2247</v>
      </c>
      <c r="L1716" s="11" t="s">
        <v>5000</v>
      </c>
      <c r="M1716" s="11" t="s">
        <v>1854</v>
      </c>
      <c r="N1716" s="12"/>
      <c r="O1716" s="11" t="s">
        <v>1859</v>
      </c>
      <c r="P1716" s="56"/>
    </row>
    <row r="1717" spans="1:16" ht="15.75" customHeight="1" x14ac:dyDescent="0.2">
      <c r="A1717" s="49">
        <v>2272</v>
      </c>
      <c r="B1717" s="11" t="s">
        <v>1857</v>
      </c>
      <c r="C1717" s="11" t="s">
        <v>1849</v>
      </c>
      <c r="D1717" s="6" t="s">
        <v>1850</v>
      </c>
      <c r="E1717" s="11" t="s">
        <v>4995</v>
      </c>
      <c r="F1717" s="12" t="s">
        <v>4996</v>
      </c>
      <c r="G1717" s="12" t="s">
        <v>4997</v>
      </c>
      <c r="H1717" s="12" t="s">
        <v>4998</v>
      </c>
      <c r="I1717" s="12" t="s">
        <v>5009</v>
      </c>
      <c r="J1717" s="11" t="s">
        <v>2246</v>
      </c>
      <c r="K1717" s="11" t="s">
        <v>2247</v>
      </c>
      <c r="L1717" s="11" t="s">
        <v>5000</v>
      </c>
      <c r="M1717" s="11" t="s">
        <v>1854</v>
      </c>
      <c r="N1717" s="12"/>
      <c r="O1717" s="11" t="s">
        <v>1860</v>
      </c>
      <c r="P1717" s="56"/>
    </row>
    <row r="1718" spans="1:16" ht="15.75" customHeight="1" x14ac:dyDescent="0.2">
      <c r="A1718" s="49">
        <v>2286</v>
      </c>
      <c r="B1718" s="11" t="s">
        <v>1857</v>
      </c>
      <c r="C1718" s="11" t="s">
        <v>1849</v>
      </c>
      <c r="D1718" s="6" t="s">
        <v>1850</v>
      </c>
      <c r="E1718" s="11" t="s">
        <v>4995</v>
      </c>
      <c r="F1718" s="12" t="s">
        <v>4996</v>
      </c>
      <c r="G1718" s="12" t="s">
        <v>4997</v>
      </c>
      <c r="H1718" s="12" t="s">
        <v>5010</v>
      </c>
      <c r="I1718" s="12" t="s">
        <v>5011</v>
      </c>
      <c r="J1718" s="11" t="s">
        <v>2246</v>
      </c>
      <c r="K1718" s="11" t="s">
        <v>2247</v>
      </c>
      <c r="L1718" s="11" t="s">
        <v>5000</v>
      </c>
      <c r="M1718" s="11" t="s">
        <v>5012</v>
      </c>
      <c r="N1718" s="12"/>
      <c r="O1718" s="11" t="s">
        <v>1860</v>
      </c>
      <c r="P1718" s="56"/>
    </row>
    <row r="1719" spans="1:16" ht="15.75" customHeight="1" x14ac:dyDescent="0.2">
      <c r="A1719" s="49">
        <v>2277</v>
      </c>
      <c r="B1719" s="11" t="s">
        <v>1857</v>
      </c>
      <c r="C1719" s="11" t="s">
        <v>1849</v>
      </c>
      <c r="D1719" s="6" t="s">
        <v>1850</v>
      </c>
      <c r="E1719" s="11" t="s">
        <v>4995</v>
      </c>
      <c r="F1719" s="12" t="s">
        <v>4996</v>
      </c>
      <c r="G1719" s="12" t="s">
        <v>4997</v>
      </c>
      <c r="H1719" s="12" t="s">
        <v>4998</v>
      </c>
      <c r="I1719" s="12" t="s">
        <v>5013</v>
      </c>
      <c r="J1719" s="11" t="s">
        <v>2246</v>
      </c>
      <c r="K1719" s="11" t="s">
        <v>2247</v>
      </c>
      <c r="L1719" s="11" t="s">
        <v>5000</v>
      </c>
      <c r="M1719" s="11" t="s">
        <v>4471</v>
      </c>
      <c r="N1719" s="12"/>
      <c r="O1719" s="11" t="s">
        <v>1860</v>
      </c>
      <c r="P1719" s="56"/>
    </row>
    <row r="1720" spans="1:16" ht="15.75" customHeight="1" x14ac:dyDescent="0.2">
      <c r="A1720" s="49">
        <v>2304</v>
      </c>
      <c r="B1720" s="11" t="s">
        <v>1857</v>
      </c>
      <c r="C1720" s="11" t="s">
        <v>1849</v>
      </c>
      <c r="D1720" s="6" t="s">
        <v>1850</v>
      </c>
      <c r="E1720" s="11" t="s">
        <v>4995</v>
      </c>
      <c r="F1720" s="12" t="s">
        <v>4996</v>
      </c>
      <c r="G1720" s="12" t="s">
        <v>4926</v>
      </c>
      <c r="H1720" s="12" t="s">
        <v>5007</v>
      </c>
      <c r="I1720" s="12" t="s">
        <v>5014</v>
      </c>
      <c r="J1720" s="11" t="s">
        <v>2246</v>
      </c>
      <c r="K1720" s="11" t="s">
        <v>2247</v>
      </c>
      <c r="L1720" s="11" t="s">
        <v>5000</v>
      </c>
      <c r="M1720" s="11" t="s">
        <v>1854</v>
      </c>
      <c r="N1720" s="12"/>
      <c r="O1720" s="11" t="s">
        <v>2755</v>
      </c>
      <c r="P1720" s="56"/>
    </row>
    <row r="1721" spans="1:16" ht="15.75" customHeight="1" x14ac:dyDescent="0.2">
      <c r="A1721" s="49">
        <v>2291</v>
      </c>
      <c r="B1721" s="11" t="s">
        <v>1857</v>
      </c>
      <c r="C1721" s="11" t="s">
        <v>1849</v>
      </c>
      <c r="D1721" s="6" t="s">
        <v>1850</v>
      </c>
      <c r="E1721" s="11" t="s">
        <v>4995</v>
      </c>
      <c r="F1721" s="12" t="s">
        <v>4996</v>
      </c>
      <c r="G1721" s="12" t="s">
        <v>4997</v>
      </c>
      <c r="H1721" s="12" t="s">
        <v>4998</v>
      </c>
      <c r="I1721" s="12" t="s">
        <v>5015</v>
      </c>
      <c r="J1721" s="11" t="s">
        <v>2246</v>
      </c>
      <c r="K1721" s="11" t="s">
        <v>2247</v>
      </c>
      <c r="L1721" s="11" t="s">
        <v>5000</v>
      </c>
      <c r="M1721" s="11" t="s">
        <v>4639</v>
      </c>
      <c r="N1721" s="12"/>
      <c r="O1721" s="11" t="s">
        <v>1860</v>
      </c>
      <c r="P1721" s="56"/>
    </row>
    <row r="1722" spans="1:16" ht="15.75" customHeight="1" x14ac:dyDescent="0.2">
      <c r="A1722" s="49">
        <v>2266</v>
      </c>
      <c r="B1722" s="11" t="s">
        <v>1857</v>
      </c>
      <c r="C1722" s="11" t="s">
        <v>1849</v>
      </c>
      <c r="D1722" s="6" t="s">
        <v>1850</v>
      </c>
      <c r="E1722" s="11" t="s">
        <v>4995</v>
      </c>
      <c r="F1722" s="12" t="s">
        <v>4996</v>
      </c>
      <c r="G1722" s="12" t="s">
        <v>4997</v>
      </c>
      <c r="H1722" s="12" t="s">
        <v>5016</v>
      </c>
      <c r="I1722" s="12" t="s">
        <v>5017</v>
      </c>
      <c r="J1722" s="11" t="s">
        <v>2246</v>
      </c>
      <c r="K1722" s="11" t="s">
        <v>2247</v>
      </c>
      <c r="L1722" s="11" t="s">
        <v>5018</v>
      </c>
      <c r="M1722" s="11" t="s">
        <v>5019</v>
      </c>
      <c r="N1722" s="12" t="s">
        <v>5020</v>
      </c>
      <c r="O1722" s="11" t="s">
        <v>1860</v>
      </c>
      <c r="P1722" s="56"/>
    </row>
    <row r="1723" spans="1:16" ht="15.75" customHeight="1" x14ac:dyDescent="0.2">
      <c r="A1723" s="49">
        <v>2273</v>
      </c>
      <c r="B1723" s="11" t="s">
        <v>1857</v>
      </c>
      <c r="C1723" s="11" t="s">
        <v>1849</v>
      </c>
      <c r="D1723" s="6" t="s">
        <v>1850</v>
      </c>
      <c r="E1723" s="11" t="s">
        <v>4995</v>
      </c>
      <c r="F1723" s="12" t="s">
        <v>4996</v>
      </c>
      <c r="G1723" s="12" t="s">
        <v>4997</v>
      </c>
      <c r="H1723" s="12" t="s">
        <v>4998</v>
      </c>
      <c r="I1723" s="12" t="s">
        <v>5021</v>
      </c>
      <c r="J1723" s="11" t="s">
        <v>2246</v>
      </c>
      <c r="K1723" s="11" t="s">
        <v>2247</v>
      </c>
      <c r="L1723" s="11" t="s">
        <v>5000</v>
      </c>
      <c r="M1723" s="11" t="s">
        <v>3982</v>
      </c>
      <c r="N1723" s="12"/>
      <c r="O1723" s="11" t="s">
        <v>1867</v>
      </c>
      <c r="P1723" s="56"/>
    </row>
    <row r="1724" spans="1:16" ht="15.75" customHeight="1" x14ac:dyDescent="0.2">
      <c r="A1724" s="49">
        <v>2295</v>
      </c>
      <c r="B1724" s="11" t="s">
        <v>1857</v>
      </c>
      <c r="C1724" s="11" t="s">
        <v>1849</v>
      </c>
      <c r="D1724" s="6" t="s">
        <v>1850</v>
      </c>
      <c r="E1724" s="11" t="s">
        <v>4995</v>
      </c>
      <c r="F1724" s="12" t="s">
        <v>4996</v>
      </c>
      <c r="G1724" s="12" t="s">
        <v>4997</v>
      </c>
      <c r="H1724" s="12" t="s">
        <v>5010</v>
      </c>
      <c r="I1724" s="12" t="s">
        <v>5022</v>
      </c>
      <c r="J1724" s="11" t="s">
        <v>2246</v>
      </c>
      <c r="K1724" s="11" t="s">
        <v>2247</v>
      </c>
      <c r="L1724" s="11" t="s">
        <v>5000</v>
      </c>
      <c r="M1724" s="11" t="s">
        <v>4786</v>
      </c>
      <c r="N1724" s="12"/>
      <c r="O1724" s="11" t="s">
        <v>1859</v>
      </c>
      <c r="P1724" s="56"/>
    </row>
    <row r="1725" spans="1:16" ht="15.75" customHeight="1" x14ac:dyDescent="0.2">
      <c r="A1725" s="49">
        <v>2284</v>
      </c>
      <c r="B1725" s="11" t="s">
        <v>1857</v>
      </c>
      <c r="C1725" s="11" t="s">
        <v>1849</v>
      </c>
      <c r="D1725" s="6" t="s">
        <v>1850</v>
      </c>
      <c r="E1725" s="11" t="s">
        <v>4995</v>
      </c>
      <c r="F1725" s="12" t="s">
        <v>4996</v>
      </c>
      <c r="G1725" s="12" t="s">
        <v>4997</v>
      </c>
      <c r="H1725" s="12" t="s">
        <v>5010</v>
      </c>
      <c r="I1725" s="12" t="s">
        <v>5023</v>
      </c>
      <c r="J1725" s="11" t="s">
        <v>2246</v>
      </c>
      <c r="K1725" s="11" t="s">
        <v>2247</v>
      </c>
      <c r="L1725" s="11" t="s">
        <v>5000</v>
      </c>
      <c r="M1725" s="11" t="s">
        <v>5024</v>
      </c>
      <c r="N1725" s="12"/>
      <c r="O1725" s="11" t="s">
        <v>1858</v>
      </c>
      <c r="P1725" s="56"/>
    </row>
    <row r="1726" spans="1:16" ht="15.75" customHeight="1" x14ac:dyDescent="0.2">
      <c r="A1726" s="49">
        <v>2303</v>
      </c>
      <c r="B1726" s="11" t="s">
        <v>1857</v>
      </c>
      <c r="C1726" s="11" t="s">
        <v>1849</v>
      </c>
      <c r="D1726" s="6" t="s">
        <v>1850</v>
      </c>
      <c r="E1726" s="11" t="s">
        <v>4995</v>
      </c>
      <c r="F1726" s="12" t="s">
        <v>4996</v>
      </c>
      <c r="G1726" s="12" t="s">
        <v>4926</v>
      </c>
      <c r="H1726" s="12" t="s">
        <v>5007</v>
      </c>
      <c r="I1726" s="12" t="s">
        <v>5025</v>
      </c>
      <c r="J1726" s="11" t="s">
        <v>2246</v>
      </c>
      <c r="K1726" s="11" t="s">
        <v>2247</v>
      </c>
      <c r="L1726" s="11" t="s">
        <v>5000</v>
      </c>
      <c r="M1726" s="11" t="s">
        <v>1958</v>
      </c>
      <c r="N1726" s="12"/>
      <c r="O1726" s="11" t="s">
        <v>1859</v>
      </c>
      <c r="P1726" s="56"/>
    </row>
    <row r="1727" spans="1:16" ht="15.75" customHeight="1" x14ac:dyDescent="0.2">
      <c r="A1727" s="49">
        <v>2302</v>
      </c>
      <c r="B1727" s="11" t="s">
        <v>1857</v>
      </c>
      <c r="C1727" s="11" t="s">
        <v>1849</v>
      </c>
      <c r="D1727" s="6" t="s">
        <v>1850</v>
      </c>
      <c r="E1727" s="11" t="s">
        <v>4995</v>
      </c>
      <c r="F1727" s="12" t="s">
        <v>4996</v>
      </c>
      <c r="G1727" s="12" t="s">
        <v>4926</v>
      </c>
      <c r="H1727" s="12" t="s">
        <v>5007</v>
      </c>
      <c r="I1727" s="12" t="s">
        <v>5026</v>
      </c>
      <c r="J1727" s="11" t="s">
        <v>2246</v>
      </c>
      <c r="K1727" s="11" t="s">
        <v>2247</v>
      </c>
      <c r="L1727" s="11" t="s">
        <v>5000</v>
      </c>
      <c r="M1727" s="11" t="s">
        <v>1854</v>
      </c>
      <c r="N1727" s="12"/>
      <c r="O1727" s="11" t="s">
        <v>1858</v>
      </c>
      <c r="P1727" s="56"/>
    </row>
    <row r="1728" spans="1:16" ht="15.75" customHeight="1" x14ac:dyDescent="0.2">
      <c r="A1728" s="49">
        <v>2437</v>
      </c>
      <c r="B1728" s="11" t="s">
        <v>1857</v>
      </c>
      <c r="C1728" s="11" t="s">
        <v>1849</v>
      </c>
      <c r="D1728" s="6" t="s">
        <v>1850</v>
      </c>
      <c r="E1728" s="11" t="s">
        <v>4995</v>
      </c>
      <c r="F1728" s="12" t="s">
        <v>4996</v>
      </c>
      <c r="G1728" s="12" t="s">
        <v>4926</v>
      </c>
      <c r="H1728" s="12" t="s">
        <v>5007</v>
      </c>
      <c r="I1728" s="12" t="s">
        <v>5027</v>
      </c>
      <c r="J1728" s="11" t="s">
        <v>2246</v>
      </c>
      <c r="K1728" s="11" t="s">
        <v>2247</v>
      </c>
      <c r="L1728" s="11" t="s">
        <v>5000</v>
      </c>
      <c r="M1728" s="11" t="s">
        <v>4824</v>
      </c>
      <c r="N1728" s="12"/>
      <c r="O1728" s="11" t="s">
        <v>1859</v>
      </c>
      <c r="P1728" s="56"/>
    </row>
    <row r="1729" spans="1:16" ht="15.75" customHeight="1" x14ac:dyDescent="0.2">
      <c r="A1729" s="49">
        <v>6797</v>
      </c>
      <c r="B1729" s="11" t="s">
        <v>1857</v>
      </c>
      <c r="C1729" s="11" t="s">
        <v>1849</v>
      </c>
      <c r="D1729" s="6" t="s">
        <v>1850</v>
      </c>
      <c r="E1729" s="11" t="s">
        <v>4995</v>
      </c>
      <c r="F1729" s="12" t="s">
        <v>4996</v>
      </c>
      <c r="G1729" s="12" t="s">
        <v>4926</v>
      </c>
      <c r="H1729" s="12" t="s">
        <v>5002</v>
      </c>
      <c r="I1729" s="12" t="s">
        <v>5028</v>
      </c>
      <c r="J1729" s="11" t="s">
        <v>2246</v>
      </c>
      <c r="K1729" s="11" t="s">
        <v>2247</v>
      </c>
      <c r="L1729" s="11" t="s">
        <v>5000</v>
      </c>
      <c r="M1729" s="11" t="s">
        <v>5029</v>
      </c>
      <c r="N1729" s="12"/>
      <c r="O1729" s="11" t="s">
        <v>1858</v>
      </c>
      <c r="P1729" s="56"/>
    </row>
    <row r="1730" spans="1:16" ht="15.75" customHeight="1" x14ac:dyDescent="0.2">
      <c r="A1730" s="49">
        <v>2280</v>
      </c>
      <c r="B1730" s="11" t="s">
        <v>1857</v>
      </c>
      <c r="C1730" s="11" t="s">
        <v>1849</v>
      </c>
      <c r="D1730" s="6" t="s">
        <v>1850</v>
      </c>
      <c r="E1730" s="11" t="s">
        <v>4995</v>
      </c>
      <c r="F1730" s="12" t="s">
        <v>4996</v>
      </c>
      <c r="G1730" s="12" t="s">
        <v>4997</v>
      </c>
      <c r="H1730" s="12" t="s">
        <v>4998</v>
      </c>
      <c r="I1730" s="12" t="s">
        <v>5030</v>
      </c>
      <c r="J1730" s="11" t="s">
        <v>2246</v>
      </c>
      <c r="K1730" s="11" t="s">
        <v>2247</v>
      </c>
      <c r="L1730" s="11" t="s">
        <v>5000</v>
      </c>
      <c r="M1730" s="11" t="s">
        <v>1854</v>
      </c>
      <c r="N1730" s="12"/>
      <c r="O1730" s="11" t="s">
        <v>1859</v>
      </c>
      <c r="P1730" s="56"/>
    </row>
    <row r="1731" spans="1:16" ht="15.75" customHeight="1" x14ac:dyDescent="0.2">
      <c r="A1731" s="49">
        <v>2285</v>
      </c>
      <c r="B1731" s="11" t="s">
        <v>1857</v>
      </c>
      <c r="C1731" s="11" t="s">
        <v>1849</v>
      </c>
      <c r="D1731" s="6" t="s">
        <v>1850</v>
      </c>
      <c r="E1731" s="11" t="s">
        <v>4995</v>
      </c>
      <c r="F1731" s="12" t="s">
        <v>4996</v>
      </c>
      <c r="G1731" s="12" t="s">
        <v>4997</v>
      </c>
      <c r="H1731" s="12" t="s">
        <v>5010</v>
      </c>
      <c r="I1731" s="12" t="s">
        <v>5031</v>
      </c>
      <c r="J1731" s="11" t="s">
        <v>2246</v>
      </c>
      <c r="K1731" s="11" t="s">
        <v>2247</v>
      </c>
      <c r="L1731" s="11" t="s">
        <v>5000</v>
      </c>
      <c r="M1731" s="11" t="s">
        <v>5032</v>
      </c>
      <c r="N1731" s="12"/>
      <c r="O1731" s="11" t="s">
        <v>1859</v>
      </c>
      <c r="P1731" s="56"/>
    </row>
    <row r="1732" spans="1:16" ht="15.75" customHeight="1" x14ac:dyDescent="0.2">
      <c r="A1732" s="49">
        <v>2293</v>
      </c>
      <c r="B1732" s="11" t="s">
        <v>1857</v>
      </c>
      <c r="C1732" s="11" t="s">
        <v>1849</v>
      </c>
      <c r="D1732" s="6" t="s">
        <v>1850</v>
      </c>
      <c r="E1732" s="11" t="s">
        <v>4995</v>
      </c>
      <c r="F1732" s="12" t="s">
        <v>4996</v>
      </c>
      <c r="G1732" s="12" t="s">
        <v>4997</v>
      </c>
      <c r="H1732" s="12" t="s">
        <v>5010</v>
      </c>
      <c r="I1732" s="12" t="s">
        <v>5033</v>
      </c>
      <c r="J1732" s="11" t="s">
        <v>2246</v>
      </c>
      <c r="K1732" s="11" t="s">
        <v>2247</v>
      </c>
      <c r="L1732" s="11" t="s">
        <v>5000</v>
      </c>
      <c r="M1732" s="11" t="s">
        <v>5024</v>
      </c>
      <c r="N1732" s="12" t="s">
        <v>5034</v>
      </c>
      <c r="O1732" s="11" t="s">
        <v>1858</v>
      </c>
      <c r="P1732" s="56"/>
    </row>
    <row r="1733" spans="1:16" ht="15.75" customHeight="1" x14ac:dyDescent="0.2">
      <c r="A1733" s="49">
        <v>2263</v>
      </c>
      <c r="B1733" s="11" t="s">
        <v>1857</v>
      </c>
      <c r="C1733" s="11" t="s">
        <v>1849</v>
      </c>
      <c r="D1733" s="6" t="s">
        <v>1850</v>
      </c>
      <c r="E1733" s="11" t="s">
        <v>4995</v>
      </c>
      <c r="F1733" s="12" t="s">
        <v>4996</v>
      </c>
      <c r="G1733" s="12" t="s">
        <v>4997</v>
      </c>
      <c r="H1733" s="12" t="s">
        <v>5010</v>
      </c>
      <c r="I1733" s="12" t="s">
        <v>2041</v>
      </c>
      <c r="J1733" s="11" t="s">
        <v>2246</v>
      </c>
      <c r="K1733" s="11" t="s">
        <v>2247</v>
      </c>
      <c r="L1733" s="11" t="s">
        <v>5000</v>
      </c>
      <c r="M1733" s="11" t="s">
        <v>4753</v>
      </c>
      <c r="N1733" s="12"/>
      <c r="O1733" s="11" t="s">
        <v>1859</v>
      </c>
      <c r="P1733" s="56"/>
    </row>
    <row r="1734" spans="1:16" ht="15.75" customHeight="1" x14ac:dyDescent="0.2">
      <c r="A1734" s="49">
        <v>2281</v>
      </c>
      <c r="B1734" s="11" t="s">
        <v>1857</v>
      </c>
      <c r="C1734" s="11" t="s">
        <v>1849</v>
      </c>
      <c r="D1734" s="6" t="s">
        <v>1850</v>
      </c>
      <c r="E1734" s="11" t="s">
        <v>4995</v>
      </c>
      <c r="F1734" s="12" t="s">
        <v>4996</v>
      </c>
      <c r="G1734" s="12" t="s">
        <v>4997</v>
      </c>
      <c r="H1734" s="12" t="s">
        <v>4998</v>
      </c>
      <c r="I1734" s="12" t="s">
        <v>5035</v>
      </c>
      <c r="J1734" s="11" t="s">
        <v>2246</v>
      </c>
      <c r="K1734" s="11" t="s">
        <v>2247</v>
      </c>
      <c r="L1734" s="11" t="s">
        <v>5000</v>
      </c>
      <c r="M1734" s="11" t="s">
        <v>1854</v>
      </c>
      <c r="N1734" s="12"/>
      <c r="O1734" s="11" t="s">
        <v>1859</v>
      </c>
      <c r="P1734" s="56"/>
    </row>
    <row r="1735" spans="1:16" ht="15.75" customHeight="1" x14ac:dyDescent="0.2">
      <c r="A1735" s="49">
        <v>2257</v>
      </c>
      <c r="B1735" s="11" t="s">
        <v>1857</v>
      </c>
      <c r="C1735" s="11" t="s">
        <v>1849</v>
      </c>
      <c r="D1735" s="6" t="s">
        <v>1850</v>
      </c>
      <c r="E1735" s="11" t="s">
        <v>4995</v>
      </c>
      <c r="F1735" s="12" t="s">
        <v>4996</v>
      </c>
      <c r="G1735" s="12" t="s">
        <v>4997</v>
      </c>
      <c r="H1735" s="12" t="s">
        <v>4998</v>
      </c>
      <c r="I1735" s="12" t="s">
        <v>5036</v>
      </c>
      <c r="J1735" s="11" t="s">
        <v>2246</v>
      </c>
      <c r="K1735" s="11" t="s">
        <v>2247</v>
      </c>
      <c r="L1735" s="11" t="s">
        <v>5000</v>
      </c>
      <c r="M1735" s="11" t="s">
        <v>1854</v>
      </c>
      <c r="N1735" s="12"/>
      <c r="O1735" s="11" t="s">
        <v>1859</v>
      </c>
      <c r="P1735" s="56"/>
    </row>
    <row r="1736" spans="1:16" ht="15.75" customHeight="1" x14ac:dyDescent="0.2">
      <c r="A1736" s="49">
        <v>2292</v>
      </c>
      <c r="B1736" s="11" t="s">
        <v>1857</v>
      </c>
      <c r="C1736" s="11" t="s">
        <v>1849</v>
      </c>
      <c r="D1736" s="6" t="s">
        <v>1850</v>
      </c>
      <c r="E1736" s="11" t="s">
        <v>4995</v>
      </c>
      <c r="F1736" s="12" t="s">
        <v>4996</v>
      </c>
      <c r="G1736" s="12" t="s">
        <v>4997</v>
      </c>
      <c r="H1736" s="12" t="s">
        <v>5010</v>
      </c>
      <c r="I1736" s="12" t="s">
        <v>5037</v>
      </c>
      <c r="J1736" s="11" t="s">
        <v>2246</v>
      </c>
      <c r="K1736" s="11" t="s">
        <v>2247</v>
      </c>
      <c r="L1736" s="11" t="s">
        <v>5000</v>
      </c>
      <c r="M1736" s="11" t="s">
        <v>4773</v>
      </c>
      <c r="N1736" s="12"/>
      <c r="O1736" s="11" t="s">
        <v>1858</v>
      </c>
      <c r="P1736" s="56"/>
    </row>
    <row r="1737" spans="1:16" ht="15.75" customHeight="1" x14ac:dyDescent="0.2">
      <c r="A1737" s="49">
        <v>2288</v>
      </c>
      <c r="B1737" s="11" t="s">
        <v>1857</v>
      </c>
      <c r="C1737" s="11" t="s">
        <v>1849</v>
      </c>
      <c r="D1737" s="6" t="s">
        <v>1850</v>
      </c>
      <c r="E1737" s="11" t="s">
        <v>4995</v>
      </c>
      <c r="F1737" s="12" t="s">
        <v>4996</v>
      </c>
      <c r="G1737" s="12" t="s">
        <v>4997</v>
      </c>
      <c r="H1737" s="12" t="s">
        <v>5010</v>
      </c>
      <c r="I1737" s="12" t="s">
        <v>5038</v>
      </c>
      <c r="J1737" s="11" t="s">
        <v>2246</v>
      </c>
      <c r="K1737" s="11" t="s">
        <v>2247</v>
      </c>
      <c r="L1737" s="11" t="s">
        <v>5018</v>
      </c>
      <c r="M1737" s="11" t="s">
        <v>1854</v>
      </c>
      <c r="N1737" s="12"/>
      <c r="O1737" s="11" t="s">
        <v>1858</v>
      </c>
      <c r="P1737" s="56"/>
    </row>
    <row r="1738" spans="1:16" ht="15.75" customHeight="1" x14ac:dyDescent="0.2">
      <c r="A1738" s="49">
        <v>2274</v>
      </c>
      <c r="B1738" s="11" t="s">
        <v>1857</v>
      </c>
      <c r="C1738" s="11" t="s">
        <v>1849</v>
      </c>
      <c r="D1738" s="6" t="s">
        <v>1850</v>
      </c>
      <c r="E1738" s="11" t="s">
        <v>4995</v>
      </c>
      <c r="F1738" s="12" t="s">
        <v>4996</v>
      </c>
      <c r="G1738" s="12" t="s">
        <v>4997</v>
      </c>
      <c r="H1738" s="12" t="s">
        <v>4998</v>
      </c>
      <c r="I1738" s="12" t="s">
        <v>5039</v>
      </c>
      <c r="J1738" s="11" t="s">
        <v>2246</v>
      </c>
      <c r="K1738" s="11" t="s">
        <v>2247</v>
      </c>
      <c r="L1738" s="11" t="s">
        <v>5000</v>
      </c>
      <c r="M1738" s="11" t="s">
        <v>1854</v>
      </c>
      <c r="N1738" s="12"/>
      <c r="O1738" s="11" t="s">
        <v>1859</v>
      </c>
      <c r="P1738" s="56"/>
    </row>
    <row r="1739" spans="1:16" ht="15.75" customHeight="1" x14ac:dyDescent="0.2">
      <c r="A1739" s="49">
        <v>2264</v>
      </c>
      <c r="B1739" s="11" t="s">
        <v>1857</v>
      </c>
      <c r="C1739" s="11" t="s">
        <v>1849</v>
      </c>
      <c r="D1739" s="6" t="s">
        <v>1850</v>
      </c>
      <c r="E1739" s="11" t="s">
        <v>4995</v>
      </c>
      <c r="F1739" s="12" t="s">
        <v>4996</v>
      </c>
      <c r="G1739" s="12" t="s">
        <v>4997</v>
      </c>
      <c r="H1739" s="12" t="s">
        <v>5016</v>
      </c>
      <c r="I1739" s="12" t="s">
        <v>5040</v>
      </c>
      <c r="J1739" s="11" t="s">
        <v>2246</v>
      </c>
      <c r="K1739" s="11" t="s">
        <v>2247</v>
      </c>
      <c r="L1739" s="11" t="s">
        <v>5000</v>
      </c>
      <c r="M1739" s="11" t="s">
        <v>3639</v>
      </c>
      <c r="N1739" s="12"/>
      <c r="O1739" s="11" t="s">
        <v>1858</v>
      </c>
      <c r="P1739" s="56"/>
    </row>
    <row r="1740" spans="1:16" ht="15.75" customHeight="1" x14ac:dyDescent="0.2">
      <c r="A1740" s="49">
        <v>2283</v>
      </c>
      <c r="B1740" s="11" t="s">
        <v>1857</v>
      </c>
      <c r="C1740" s="11" t="s">
        <v>1849</v>
      </c>
      <c r="D1740" s="6" t="s">
        <v>1850</v>
      </c>
      <c r="E1740" s="11" t="s">
        <v>4995</v>
      </c>
      <c r="F1740" s="12" t="s">
        <v>4996</v>
      </c>
      <c r="G1740" s="12" t="s">
        <v>4997</v>
      </c>
      <c r="H1740" s="12" t="s">
        <v>5010</v>
      </c>
      <c r="I1740" s="12" t="s">
        <v>5041</v>
      </c>
      <c r="J1740" s="11" t="s">
        <v>2246</v>
      </c>
      <c r="K1740" s="11" t="s">
        <v>2247</v>
      </c>
      <c r="L1740" s="11" t="s">
        <v>5000</v>
      </c>
      <c r="M1740" s="11" t="s">
        <v>2276</v>
      </c>
      <c r="N1740" s="12"/>
      <c r="O1740" s="11" t="s">
        <v>2755</v>
      </c>
      <c r="P1740" s="56"/>
    </row>
    <row r="1741" spans="1:16" ht="15.75" customHeight="1" x14ac:dyDescent="0.2">
      <c r="A1741" s="49">
        <v>2444</v>
      </c>
      <c r="B1741" s="11" t="s">
        <v>1857</v>
      </c>
      <c r="C1741" s="11" t="s">
        <v>1849</v>
      </c>
      <c r="D1741" s="6" t="s">
        <v>1850</v>
      </c>
      <c r="E1741" s="11" t="s">
        <v>4995</v>
      </c>
      <c r="F1741" s="12" t="s">
        <v>4996</v>
      </c>
      <c r="G1741" s="12" t="s">
        <v>4926</v>
      </c>
      <c r="H1741" s="12" t="s">
        <v>5002</v>
      </c>
      <c r="I1741" s="12" t="s">
        <v>5042</v>
      </c>
      <c r="J1741" s="11" t="s">
        <v>2246</v>
      </c>
      <c r="K1741" s="11" t="s">
        <v>2247</v>
      </c>
      <c r="L1741" s="11" t="s">
        <v>5000</v>
      </c>
      <c r="M1741" s="11" t="s">
        <v>5043</v>
      </c>
      <c r="N1741" s="12"/>
      <c r="O1741" s="11" t="s">
        <v>1860</v>
      </c>
      <c r="P1741" s="56"/>
    </row>
    <row r="1742" spans="1:16" ht="15.75" customHeight="1" x14ac:dyDescent="0.2">
      <c r="A1742" s="49">
        <v>2299</v>
      </c>
      <c r="B1742" s="11" t="s">
        <v>1857</v>
      </c>
      <c r="C1742" s="11" t="s">
        <v>1849</v>
      </c>
      <c r="D1742" s="6" t="s">
        <v>1850</v>
      </c>
      <c r="E1742" s="11" t="s">
        <v>4995</v>
      </c>
      <c r="F1742" s="12" t="s">
        <v>4996</v>
      </c>
      <c r="G1742" s="12" t="s">
        <v>4926</v>
      </c>
      <c r="H1742" s="12" t="s">
        <v>5002</v>
      </c>
      <c r="I1742" s="12" t="s">
        <v>5044</v>
      </c>
      <c r="J1742" s="11" t="s">
        <v>2246</v>
      </c>
      <c r="K1742" s="11" t="s">
        <v>2247</v>
      </c>
      <c r="L1742" s="11" t="s">
        <v>5000</v>
      </c>
      <c r="M1742" s="11" t="s">
        <v>1854</v>
      </c>
      <c r="N1742" s="12"/>
      <c r="O1742" s="11" t="s">
        <v>1859</v>
      </c>
      <c r="P1742" s="56"/>
    </row>
    <row r="1743" spans="1:16" ht="15.75" customHeight="1" x14ac:dyDescent="0.2">
      <c r="A1743" s="49">
        <v>2253</v>
      </c>
      <c r="B1743" s="11" t="s">
        <v>1857</v>
      </c>
      <c r="C1743" s="11" t="s">
        <v>1849</v>
      </c>
      <c r="D1743" s="6" t="s">
        <v>1850</v>
      </c>
      <c r="E1743" s="11" t="s">
        <v>4995</v>
      </c>
      <c r="F1743" s="12" t="s">
        <v>4996</v>
      </c>
      <c r="G1743" s="12" t="s">
        <v>4997</v>
      </c>
      <c r="H1743" s="12" t="s">
        <v>5010</v>
      </c>
      <c r="I1743" s="12" t="s">
        <v>5045</v>
      </c>
      <c r="J1743" s="11" t="s">
        <v>2246</v>
      </c>
      <c r="K1743" s="11" t="s">
        <v>2247</v>
      </c>
      <c r="L1743" s="11" t="s">
        <v>5000</v>
      </c>
      <c r="M1743" s="11" t="s">
        <v>1854</v>
      </c>
      <c r="N1743" s="12"/>
      <c r="O1743" s="11" t="s">
        <v>1859</v>
      </c>
      <c r="P1743" s="56"/>
    </row>
    <row r="1744" spans="1:16" ht="15.75" customHeight="1" x14ac:dyDescent="0.2">
      <c r="A1744" s="49">
        <v>2289</v>
      </c>
      <c r="B1744" s="11" t="s">
        <v>1857</v>
      </c>
      <c r="C1744" s="11" t="s">
        <v>1849</v>
      </c>
      <c r="D1744" s="6" t="s">
        <v>1850</v>
      </c>
      <c r="E1744" s="11" t="s">
        <v>4995</v>
      </c>
      <c r="F1744" s="12" t="s">
        <v>4996</v>
      </c>
      <c r="G1744" s="12" t="s">
        <v>4997</v>
      </c>
      <c r="H1744" s="12" t="s">
        <v>5010</v>
      </c>
      <c r="I1744" s="12" t="s">
        <v>5046</v>
      </c>
      <c r="J1744" s="11" t="s">
        <v>2246</v>
      </c>
      <c r="K1744" s="11" t="s">
        <v>2247</v>
      </c>
      <c r="L1744" s="11" t="s">
        <v>5000</v>
      </c>
      <c r="M1744" s="11" t="s">
        <v>1854</v>
      </c>
      <c r="N1744" s="12"/>
      <c r="O1744" s="11" t="s">
        <v>1858</v>
      </c>
      <c r="P1744" s="56"/>
    </row>
    <row r="1745" spans="1:16" ht="15.75" customHeight="1" x14ac:dyDescent="0.2">
      <c r="A1745" s="49">
        <v>2276</v>
      </c>
      <c r="B1745" s="11" t="s">
        <v>1857</v>
      </c>
      <c r="C1745" s="11" t="s">
        <v>1849</v>
      </c>
      <c r="D1745" s="6" t="s">
        <v>1850</v>
      </c>
      <c r="E1745" s="11" t="s">
        <v>4995</v>
      </c>
      <c r="F1745" s="12" t="s">
        <v>4996</v>
      </c>
      <c r="G1745" s="12" t="s">
        <v>4997</v>
      </c>
      <c r="H1745" s="12" t="s">
        <v>4998</v>
      </c>
      <c r="I1745" s="12" t="s">
        <v>5047</v>
      </c>
      <c r="J1745" s="11" t="s">
        <v>2246</v>
      </c>
      <c r="K1745" s="11" t="s">
        <v>2247</v>
      </c>
      <c r="L1745" s="11" t="s">
        <v>5018</v>
      </c>
      <c r="M1745" s="11" t="s">
        <v>4794</v>
      </c>
      <c r="N1745" s="12"/>
      <c r="O1745" s="11" t="s">
        <v>1860</v>
      </c>
      <c r="P1745" s="56"/>
    </row>
    <row r="1746" spans="1:16" ht="15.75" customHeight="1" x14ac:dyDescent="0.2">
      <c r="A1746" s="49">
        <v>6367</v>
      </c>
      <c r="B1746" s="11" t="s">
        <v>1857</v>
      </c>
      <c r="C1746" s="11" t="s">
        <v>1849</v>
      </c>
      <c r="D1746" s="6" t="s">
        <v>1850</v>
      </c>
      <c r="E1746" s="11" t="s">
        <v>4995</v>
      </c>
      <c r="F1746" s="12" t="s">
        <v>4996</v>
      </c>
      <c r="G1746" s="12" t="s">
        <v>4997</v>
      </c>
      <c r="H1746" s="12" t="s">
        <v>5016</v>
      </c>
      <c r="I1746" s="12" t="s">
        <v>5048</v>
      </c>
      <c r="J1746" s="11" t="s">
        <v>2246</v>
      </c>
      <c r="K1746" s="11" t="s">
        <v>2247</v>
      </c>
      <c r="L1746" s="11" t="s">
        <v>5000</v>
      </c>
      <c r="M1746" s="11" t="s">
        <v>5049</v>
      </c>
      <c r="N1746" s="11" t="s">
        <v>5050</v>
      </c>
      <c r="O1746" s="11" t="s">
        <v>1867</v>
      </c>
      <c r="P1746" s="56" t="s">
        <v>1865</v>
      </c>
    </row>
    <row r="1747" spans="1:16" ht="15.75" customHeight="1" x14ac:dyDescent="0.2">
      <c r="A1747" s="49">
        <v>2262</v>
      </c>
      <c r="B1747" s="11" t="s">
        <v>1857</v>
      </c>
      <c r="C1747" s="11" t="s">
        <v>1849</v>
      </c>
      <c r="D1747" s="6" t="s">
        <v>1850</v>
      </c>
      <c r="E1747" s="11" t="s">
        <v>4995</v>
      </c>
      <c r="F1747" s="12" t="s">
        <v>4996</v>
      </c>
      <c r="G1747" s="12" t="s">
        <v>4997</v>
      </c>
      <c r="H1747" s="12" t="s">
        <v>4998</v>
      </c>
      <c r="I1747" s="12" t="s">
        <v>5051</v>
      </c>
      <c r="J1747" s="11" t="s">
        <v>2246</v>
      </c>
      <c r="K1747" s="11" t="s">
        <v>2247</v>
      </c>
      <c r="L1747" s="11" t="s">
        <v>5018</v>
      </c>
      <c r="M1747" s="11" t="s">
        <v>4753</v>
      </c>
      <c r="N1747" s="12" t="s">
        <v>2281</v>
      </c>
      <c r="O1747" s="11" t="s">
        <v>1860</v>
      </c>
      <c r="P1747" s="56"/>
    </row>
    <row r="1748" spans="1:16" ht="15.75" customHeight="1" x14ac:dyDescent="0.2">
      <c r="A1748" s="49">
        <v>2265</v>
      </c>
      <c r="B1748" s="11" t="s">
        <v>1857</v>
      </c>
      <c r="C1748" s="11" t="s">
        <v>1849</v>
      </c>
      <c r="D1748" s="6" t="s">
        <v>1850</v>
      </c>
      <c r="E1748" s="11" t="s">
        <v>4995</v>
      </c>
      <c r="F1748" s="12" t="s">
        <v>4996</v>
      </c>
      <c r="G1748" s="12" t="s">
        <v>4997</v>
      </c>
      <c r="H1748" s="12" t="s">
        <v>5016</v>
      </c>
      <c r="I1748" s="12" t="s">
        <v>5052</v>
      </c>
      <c r="J1748" s="11" t="s">
        <v>2246</v>
      </c>
      <c r="K1748" s="11" t="s">
        <v>2247</v>
      </c>
      <c r="L1748" s="11" t="s">
        <v>5018</v>
      </c>
      <c r="M1748" s="11" t="s">
        <v>1854</v>
      </c>
      <c r="N1748" s="12"/>
      <c r="O1748" s="11" t="s">
        <v>1860</v>
      </c>
      <c r="P1748" s="56"/>
    </row>
    <row r="1749" spans="1:16" ht="15.75" customHeight="1" x14ac:dyDescent="0.2">
      <c r="A1749" s="49">
        <v>4981</v>
      </c>
      <c r="B1749" s="11" t="s">
        <v>1857</v>
      </c>
      <c r="C1749" s="11" t="s">
        <v>1849</v>
      </c>
      <c r="D1749" s="6" t="s">
        <v>1850</v>
      </c>
      <c r="E1749" s="11" t="s">
        <v>4995</v>
      </c>
      <c r="F1749" s="12" t="s">
        <v>4996</v>
      </c>
      <c r="G1749" s="12" t="s">
        <v>4926</v>
      </c>
      <c r="H1749" s="12" t="s">
        <v>5002</v>
      </c>
      <c r="I1749" s="12" t="s">
        <v>5053</v>
      </c>
      <c r="J1749" s="11" t="s">
        <v>2246</v>
      </c>
      <c r="K1749" s="11" t="s">
        <v>2247</v>
      </c>
      <c r="L1749" s="11" t="s">
        <v>5000</v>
      </c>
      <c r="M1749" s="11" t="s">
        <v>5054</v>
      </c>
      <c r="N1749" s="12"/>
      <c r="O1749" s="11" t="s">
        <v>5055</v>
      </c>
      <c r="P1749" s="56" t="s">
        <v>5056</v>
      </c>
    </row>
    <row r="1750" spans="1:16" ht="15.75" customHeight="1" x14ac:dyDescent="0.2">
      <c r="A1750" s="49">
        <v>2300</v>
      </c>
      <c r="B1750" s="11" t="s">
        <v>1857</v>
      </c>
      <c r="C1750" s="11" t="s">
        <v>1849</v>
      </c>
      <c r="D1750" s="6" t="s">
        <v>1850</v>
      </c>
      <c r="E1750" s="11" t="s">
        <v>4995</v>
      </c>
      <c r="F1750" s="12" t="s">
        <v>4996</v>
      </c>
      <c r="G1750" s="12" t="s">
        <v>4926</v>
      </c>
      <c r="H1750" s="12" t="s">
        <v>5007</v>
      </c>
      <c r="I1750" s="12" t="s">
        <v>5057</v>
      </c>
      <c r="J1750" s="11" t="s">
        <v>2246</v>
      </c>
      <c r="K1750" s="11" t="s">
        <v>2247</v>
      </c>
      <c r="L1750" s="11" t="s">
        <v>5000</v>
      </c>
      <c r="M1750" s="11" t="s">
        <v>4786</v>
      </c>
      <c r="N1750" s="12"/>
      <c r="O1750" s="11" t="s">
        <v>1858</v>
      </c>
      <c r="P1750" s="56"/>
    </row>
    <row r="1751" spans="1:16" s="14" customFormat="1" ht="15.75" customHeight="1" x14ac:dyDescent="0.2">
      <c r="A1751" s="49">
        <v>2296</v>
      </c>
      <c r="B1751" s="11" t="s">
        <v>1857</v>
      </c>
      <c r="C1751" s="11" t="s">
        <v>1849</v>
      </c>
      <c r="D1751" s="6" t="s">
        <v>1850</v>
      </c>
      <c r="E1751" s="11" t="s">
        <v>4995</v>
      </c>
      <c r="F1751" s="12" t="s">
        <v>4996</v>
      </c>
      <c r="G1751" s="12" t="s">
        <v>4926</v>
      </c>
      <c r="H1751" s="12" t="s">
        <v>5002</v>
      </c>
      <c r="I1751" s="12" t="s">
        <v>5058</v>
      </c>
      <c r="J1751" s="11" t="s">
        <v>2246</v>
      </c>
      <c r="K1751" s="11" t="s">
        <v>2247</v>
      </c>
      <c r="L1751" s="11" t="s">
        <v>5000</v>
      </c>
      <c r="M1751" s="11" t="s">
        <v>4564</v>
      </c>
      <c r="N1751" s="12"/>
      <c r="O1751" s="11" t="s">
        <v>1858</v>
      </c>
      <c r="P1751" s="56"/>
    </row>
    <row r="1752" spans="1:16" ht="15.75" customHeight="1" x14ac:dyDescent="0.2">
      <c r="A1752" s="49">
        <v>2282</v>
      </c>
      <c r="B1752" s="11" t="s">
        <v>1857</v>
      </c>
      <c r="C1752" s="11" t="s">
        <v>1849</v>
      </c>
      <c r="D1752" s="6" t="s">
        <v>1850</v>
      </c>
      <c r="E1752" s="11" t="s">
        <v>4995</v>
      </c>
      <c r="F1752" s="12" t="s">
        <v>4996</v>
      </c>
      <c r="G1752" s="12" t="s">
        <v>4997</v>
      </c>
      <c r="H1752" s="12" t="s">
        <v>4998</v>
      </c>
      <c r="I1752" s="12" t="s">
        <v>5059</v>
      </c>
      <c r="J1752" s="11" t="s">
        <v>2246</v>
      </c>
      <c r="K1752" s="11" t="s">
        <v>2247</v>
      </c>
      <c r="L1752" s="11" t="s">
        <v>5000</v>
      </c>
      <c r="M1752" s="11" t="s">
        <v>3602</v>
      </c>
      <c r="N1752" s="12"/>
      <c r="O1752" s="11" t="s">
        <v>2755</v>
      </c>
      <c r="P1752" s="56"/>
    </row>
    <row r="1753" spans="1:16" ht="15.75" customHeight="1" x14ac:dyDescent="0.2">
      <c r="A1753" s="49">
        <v>2298</v>
      </c>
      <c r="B1753" s="11" t="s">
        <v>1857</v>
      </c>
      <c r="C1753" s="11" t="s">
        <v>1849</v>
      </c>
      <c r="D1753" s="6" t="s">
        <v>1850</v>
      </c>
      <c r="E1753" s="11" t="s">
        <v>4995</v>
      </c>
      <c r="F1753" s="12" t="s">
        <v>4996</v>
      </c>
      <c r="G1753" s="12" t="s">
        <v>4926</v>
      </c>
      <c r="H1753" s="12" t="s">
        <v>5002</v>
      </c>
      <c r="I1753" s="12" t="s">
        <v>5060</v>
      </c>
      <c r="J1753" s="11" t="s">
        <v>2246</v>
      </c>
      <c r="K1753" s="11" t="s">
        <v>2247</v>
      </c>
      <c r="L1753" s="11" t="s">
        <v>5000</v>
      </c>
      <c r="M1753" s="11" t="s">
        <v>3894</v>
      </c>
      <c r="N1753" s="12"/>
      <c r="O1753" s="11" t="s">
        <v>1858</v>
      </c>
      <c r="P1753" s="56"/>
    </row>
    <row r="1754" spans="1:16" ht="15.75" customHeight="1" x14ac:dyDescent="0.2">
      <c r="A1754" s="48">
        <v>6853</v>
      </c>
      <c r="B1754" s="11" t="s">
        <v>1857</v>
      </c>
      <c r="C1754" s="11" t="s">
        <v>1849</v>
      </c>
      <c r="D1754" s="6" t="s">
        <v>1850</v>
      </c>
      <c r="E1754" s="11" t="s">
        <v>4995</v>
      </c>
      <c r="F1754" s="11" t="s">
        <v>4996</v>
      </c>
      <c r="G1754" s="11" t="s">
        <v>4997</v>
      </c>
      <c r="H1754" s="11" t="s">
        <v>4998</v>
      </c>
      <c r="I1754" s="11" t="s">
        <v>5061</v>
      </c>
      <c r="J1754" s="11" t="s">
        <v>2246</v>
      </c>
      <c r="K1754" s="11" t="s">
        <v>2247</v>
      </c>
      <c r="L1754" s="11" t="s">
        <v>5018</v>
      </c>
      <c r="M1754" s="11" t="s">
        <v>5062</v>
      </c>
      <c r="N1754" s="11"/>
      <c r="O1754" s="11" t="s">
        <v>1860</v>
      </c>
      <c r="P1754" s="53"/>
    </row>
    <row r="1755" spans="1:16" ht="15.75" customHeight="1" x14ac:dyDescent="0.2">
      <c r="A1755" s="48">
        <v>15234</v>
      </c>
      <c r="B1755" s="11" t="s">
        <v>1871</v>
      </c>
      <c r="C1755" s="11" t="s">
        <v>1849</v>
      </c>
      <c r="D1755" s="6" t="s">
        <v>1850</v>
      </c>
      <c r="E1755" s="11" t="s">
        <v>4995</v>
      </c>
      <c r="F1755" s="12" t="s">
        <v>4996</v>
      </c>
      <c r="G1755" s="12" t="s">
        <v>4997</v>
      </c>
      <c r="H1755" s="12" t="s">
        <v>5063</v>
      </c>
      <c r="I1755" s="12" t="s">
        <v>5064</v>
      </c>
      <c r="J1755" s="11" t="s">
        <v>2246</v>
      </c>
      <c r="K1755" s="11" t="s">
        <v>2247</v>
      </c>
      <c r="L1755" s="11" t="s">
        <v>5018</v>
      </c>
      <c r="M1755" s="11" t="s">
        <v>1854</v>
      </c>
      <c r="N1755" s="12"/>
      <c r="O1755" s="11" t="s">
        <v>2022</v>
      </c>
      <c r="P1755" s="56" t="s">
        <v>1863</v>
      </c>
    </row>
    <row r="1756" spans="1:16" ht="15.75" customHeight="1" x14ac:dyDescent="0.2">
      <c r="A1756" s="48">
        <v>15527</v>
      </c>
      <c r="B1756" s="11" t="s">
        <v>1871</v>
      </c>
      <c r="C1756" s="11" t="s">
        <v>1849</v>
      </c>
      <c r="D1756" s="6" t="s">
        <v>1850</v>
      </c>
      <c r="E1756" s="11" t="s">
        <v>4995</v>
      </c>
      <c r="F1756" s="12" t="s">
        <v>4996</v>
      </c>
      <c r="G1756" s="12" t="s">
        <v>4997</v>
      </c>
      <c r="H1756" s="12" t="s">
        <v>5063</v>
      </c>
      <c r="I1756" s="12" t="s">
        <v>5065</v>
      </c>
      <c r="J1756" s="11" t="s">
        <v>2246</v>
      </c>
      <c r="K1756" s="11" t="s">
        <v>2247</v>
      </c>
      <c r="L1756" s="11" t="s">
        <v>5018</v>
      </c>
      <c r="M1756" s="11" t="s">
        <v>1854</v>
      </c>
      <c r="N1756" s="12"/>
      <c r="O1756" s="11" t="s">
        <v>2022</v>
      </c>
      <c r="P1756" s="56" t="s">
        <v>1865</v>
      </c>
    </row>
    <row r="1757" spans="1:16" ht="15.75" customHeight="1" x14ac:dyDescent="0.2">
      <c r="A1757" s="48">
        <v>15230</v>
      </c>
      <c r="B1757" s="11" t="s">
        <v>1871</v>
      </c>
      <c r="C1757" s="11" t="s">
        <v>1849</v>
      </c>
      <c r="D1757" s="6" t="s">
        <v>1850</v>
      </c>
      <c r="E1757" s="11" t="s">
        <v>4995</v>
      </c>
      <c r="F1757" s="12" t="s">
        <v>4996</v>
      </c>
      <c r="G1757" s="12" t="s">
        <v>4997</v>
      </c>
      <c r="H1757" s="12" t="s">
        <v>5010</v>
      </c>
      <c r="I1757" s="12" t="s">
        <v>5011</v>
      </c>
      <c r="J1757" s="11" t="s">
        <v>2246</v>
      </c>
      <c r="K1757" s="11" t="s">
        <v>2247</v>
      </c>
      <c r="L1757" s="11" t="s">
        <v>5018</v>
      </c>
      <c r="M1757" s="11" t="s">
        <v>1854</v>
      </c>
      <c r="N1757" s="12"/>
      <c r="O1757" s="11" t="s">
        <v>2022</v>
      </c>
      <c r="P1757" s="56" t="s">
        <v>1863</v>
      </c>
    </row>
    <row r="1758" spans="1:16" ht="15.75" customHeight="1" x14ac:dyDescent="0.2">
      <c r="A1758" s="48">
        <v>15485</v>
      </c>
      <c r="B1758" s="11" t="s">
        <v>1871</v>
      </c>
      <c r="C1758" s="11" t="s">
        <v>1849</v>
      </c>
      <c r="D1758" s="6" t="s">
        <v>1850</v>
      </c>
      <c r="E1758" s="11" t="s">
        <v>4995</v>
      </c>
      <c r="F1758" s="12" t="s">
        <v>4996</v>
      </c>
      <c r="G1758" s="12" t="s">
        <v>4997</v>
      </c>
      <c r="H1758" s="12" t="s">
        <v>5063</v>
      </c>
      <c r="I1758" s="12" t="s">
        <v>5013</v>
      </c>
      <c r="J1758" s="11" t="s">
        <v>2246</v>
      </c>
      <c r="K1758" s="11" t="s">
        <v>2247</v>
      </c>
      <c r="L1758" s="11" t="s">
        <v>5018</v>
      </c>
      <c r="M1758" s="11" t="s">
        <v>1854</v>
      </c>
      <c r="N1758" s="12"/>
      <c r="O1758" s="11" t="s">
        <v>2022</v>
      </c>
      <c r="P1758" s="56" t="s">
        <v>4665</v>
      </c>
    </row>
    <row r="1759" spans="1:16" ht="15.75" customHeight="1" x14ac:dyDescent="0.2">
      <c r="A1759" s="48">
        <v>15233</v>
      </c>
      <c r="B1759" s="11" t="s">
        <v>1871</v>
      </c>
      <c r="C1759" s="11" t="s">
        <v>1849</v>
      </c>
      <c r="D1759" s="6" t="s">
        <v>1850</v>
      </c>
      <c r="E1759" s="11" t="s">
        <v>4995</v>
      </c>
      <c r="F1759" s="12" t="s">
        <v>4996</v>
      </c>
      <c r="G1759" s="12" t="s">
        <v>4997</v>
      </c>
      <c r="H1759" s="12" t="s">
        <v>5016</v>
      </c>
      <c r="I1759" s="12" t="s">
        <v>5066</v>
      </c>
      <c r="J1759" s="11" t="s">
        <v>2246</v>
      </c>
      <c r="K1759" s="11" t="s">
        <v>2247</v>
      </c>
      <c r="L1759" s="11" t="s">
        <v>5018</v>
      </c>
      <c r="M1759" s="11" t="s">
        <v>1854</v>
      </c>
      <c r="N1759" s="12"/>
      <c r="O1759" s="11" t="s">
        <v>2022</v>
      </c>
      <c r="P1759" s="56" t="s">
        <v>2323</v>
      </c>
    </row>
    <row r="1760" spans="1:16" ht="15.75" customHeight="1" x14ac:dyDescent="0.2">
      <c r="A1760" s="48">
        <v>15231</v>
      </c>
      <c r="B1760" s="11" t="s">
        <v>1871</v>
      </c>
      <c r="C1760" s="11" t="s">
        <v>1849</v>
      </c>
      <c r="D1760" s="6" t="s">
        <v>1850</v>
      </c>
      <c r="E1760" s="11" t="s">
        <v>4995</v>
      </c>
      <c r="F1760" s="12" t="s">
        <v>4996</v>
      </c>
      <c r="G1760" s="12" t="s">
        <v>4997</v>
      </c>
      <c r="H1760" s="12" t="s">
        <v>5010</v>
      </c>
      <c r="I1760" s="12" t="s">
        <v>5037</v>
      </c>
      <c r="J1760" s="11" t="s">
        <v>2246</v>
      </c>
      <c r="K1760" s="11" t="s">
        <v>2247</v>
      </c>
      <c r="L1760" s="11" t="s">
        <v>5018</v>
      </c>
      <c r="M1760" s="11" t="s">
        <v>1854</v>
      </c>
      <c r="N1760" s="12"/>
      <c r="O1760" s="11" t="s">
        <v>1874</v>
      </c>
      <c r="P1760" s="56" t="s">
        <v>2323</v>
      </c>
    </row>
    <row r="1761" spans="1:16" ht="15.75" customHeight="1" x14ac:dyDescent="0.2">
      <c r="A1761" s="48">
        <v>15235</v>
      </c>
      <c r="B1761" s="11" t="s">
        <v>1871</v>
      </c>
      <c r="C1761" s="11" t="s">
        <v>1849</v>
      </c>
      <c r="D1761" s="6" t="s">
        <v>1850</v>
      </c>
      <c r="E1761" s="11" t="s">
        <v>4995</v>
      </c>
      <c r="F1761" s="12" t="s">
        <v>4996</v>
      </c>
      <c r="G1761" s="12" t="s">
        <v>4997</v>
      </c>
      <c r="H1761" s="12" t="s">
        <v>5063</v>
      </c>
      <c r="I1761" s="12" t="s">
        <v>5067</v>
      </c>
      <c r="J1761" s="11" t="s">
        <v>2246</v>
      </c>
      <c r="K1761" s="11" t="s">
        <v>2247</v>
      </c>
      <c r="L1761" s="11" t="s">
        <v>5018</v>
      </c>
      <c r="M1761" s="11" t="s">
        <v>1854</v>
      </c>
      <c r="N1761" s="12"/>
      <c r="O1761" s="11" t="s">
        <v>2022</v>
      </c>
      <c r="P1761" s="56" t="s">
        <v>1863</v>
      </c>
    </row>
    <row r="1762" spans="1:16" ht="15.75" customHeight="1" x14ac:dyDescent="0.2">
      <c r="A1762" s="48">
        <v>15232</v>
      </c>
      <c r="B1762" s="11" t="s">
        <v>1871</v>
      </c>
      <c r="C1762" s="11" t="s">
        <v>1849</v>
      </c>
      <c r="D1762" s="6" t="s">
        <v>1850</v>
      </c>
      <c r="E1762" s="11" t="s">
        <v>4995</v>
      </c>
      <c r="F1762" s="12" t="s">
        <v>4996</v>
      </c>
      <c r="G1762" s="12" t="s">
        <v>4997</v>
      </c>
      <c r="H1762" s="12" t="s">
        <v>5063</v>
      </c>
      <c r="I1762" s="12" t="s">
        <v>5047</v>
      </c>
      <c r="J1762" s="11" t="s">
        <v>2246</v>
      </c>
      <c r="K1762" s="11" t="s">
        <v>2247</v>
      </c>
      <c r="L1762" s="11" t="s">
        <v>5018</v>
      </c>
      <c r="M1762" s="11" t="s">
        <v>1854</v>
      </c>
      <c r="N1762" s="12"/>
      <c r="O1762" s="11" t="s">
        <v>1866</v>
      </c>
      <c r="P1762" s="56" t="s">
        <v>2323</v>
      </c>
    </row>
    <row r="1763" spans="1:16" ht="15.75" customHeight="1" x14ac:dyDescent="0.2">
      <c r="A1763" s="48">
        <v>15236</v>
      </c>
      <c r="B1763" s="11" t="s">
        <v>1871</v>
      </c>
      <c r="C1763" s="11" t="s">
        <v>1849</v>
      </c>
      <c r="D1763" s="6" t="s">
        <v>1850</v>
      </c>
      <c r="E1763" s="11" t="s">
        <v>4995</v>
      </c>
      <c r="F1763" s="12" t="s">
        <v>4996</v>
      </c>
      <c r="G1763" s="12" t="s">
        <v>4997</v>
      </c>
      <c r="H1763" s="12" t="s">
        <v>5063</v>
      </c>
      <c r="I1763" s="12" t="s">
        <v>5068</v>
      </c>
      <c r="J1763" s="11" t="s">
        <v>2246</v>
      </c>
      <c r="K1763" s="11" t="s">
        <v>2247</v>
      </c>
      <c r="L1763" s="11" t="s">
        <v>5018</v>
      </c>
      <c r="M1763" s="11" t="s">
        <v>1854</v>
      </c>
      <c r="N1763" s="12"/>
      <c r="O1763" s="11" t="s">
        <v>2022</v>
      </c>
      <c r="P1763" s="56" t="s">
        <v>1863</v>
      </c>
    </row>
    <row r="1764" spans="1:16" ht="15.75" customHeight="1" x14ac:dyDescent="0.2">
      <c r="A1764" s="49">
        <v>2</v>
      </c>
      <c r="B1764" s="11" t="s">
        <v>1857</v>
      </c>
      <c r="C1764" s="11" t="s">
        <v>1849</v>
      </c>
      <c r="D1764" s="6" t="s">
        <v>1850</v>
      </c>
      <c r="E1764" s="11" t="s">
        <v>5069</v>
      </c>
      <c r="F1764" s="12" t="s">
        <v>5070</v>
      </c>
      <c r="G1764" s="12" t="s">
        <v>5071</v>
      </c>
      <c r="H1764" s="12" t="s">
        <v>5072</v>
      </c>
      <c r="I1764" s="12" t="s">
        <v>5073</v>
      </c>
      <c r="J1764" s="11" t="s">
        <v>2246</v>
      </c>
      <c r="K1764" s="11" t="s">
        <v>2247</v>
      </c>
      <c r="L1764" s="11" t="s">
        <v>5074</v>
      </c>
      <c r="M1764" s="11" t="s">
        <v>5075</v>
      </c>
      <c r="N1764" s="12" t="s">
        <v>5076</v>
      </c>
      <c r="O1764" s="11" t="s">
        <v>2334</v>
      </c>
      <c r="P1764" s="56" t="s">
        <v>5077</v>
      </c>
    </row>
    <row r="1765" spans="1:16" ht="15.75" customHeight="1" x14ac:dyDescent="0.2">
      <c r="A1765" s="49">
        <v>39</v>
      </c>
      <c r="B1765" s="11" t="s">
        <v>1857</v>
      </c>
      <c r="C1765" s="11" t="s">
        <v>1849</v>
      </c>
      <c r="D1765" s="6" t="s">
        <v>1850</v>
      </c>
      <c r="E1765" s="11" t="s">
        <v>5069</v>
      </c>
      <c r="F1765" s="12" t="s">
        <v>5070</v>
      </c>
      <c r="G1765" s="12" t="s">
        <v>5071</v>
      </c>
      <c r="H1765" s="12" t="s">
        <v>5078</v>
      </c>
      <c r="I1765" s="12" t="s">
        <v>5079</v>
      </c>
      <c r="J1765" s="11" t="s">
        <v>2246</v>
      </c>
      <c r="K1765" s="11" t="s">
        <v>2247</v>
      </c>
      <c r="L1765" s="11" t="s">
        <v>5071</v>
      </c>
      <c r="M1765" s="11" t="s">
        <v>5080</v>
      </c>
      <c r="N1765" s="12" t="s">
        <v>5081</v>
      </c>
      <c r="O1765" s="11" t="s">
        <v>2334</v>
      </c>
      <c r="P1765" s="56" t="s">
        <v>2323</v>
      </c>
    </row>
    <row r="1766" spans="1:16" ht="15.75" customHeight="1" x14ac:dyDescent="0.2">
      <c r="A1766" s="49">
        <v>21</v>
      </c>
      <c r="B1766" s="11" t="s">
        <v>1857</v>
      </c>
      <c r="C1766" s="11" t="s">
        <v>1849</v>
      </c>
      <c r="D1766" s="6" t="s">
        <v>1850</v>
      </c>
      <c r="E1766" s="11" t="s">
        <v>5069</v>
      </c>
      <c r="F1766" s="12" t="s">
        <v>5070</v>
      </c>
      <c r="G1766" s="12" t="s">
        <v>5071</v>
      </c>
      <c r="H1766" s="12" t="s">
        <v>5072</v>
      </c>
      <c r="I1766" s="12" t="s">
        <v>5082</v>
      </c>
      <c r="J1766" s="11" t="s">
        <v>2246</v>
      </c>
      <c r="K1766" s="11" t="s">
        <v>2247</v>
      </c>
      <c r="L1766" s="11" t="s">
        <v>5074</v>
      </c>
      <c r="M1766" s="11" t="s">
        <v>5083</v>
      </c>
      <c r="N1766" s="12" t="s">
        <v>5084</v>
      </c>
      <c r="O1766" s="11" t="s">
        <v>1860</v>
      </c>
      <c r="P1766" s="56"/>
    </row>
    <row r="1767" spans="1:16" ht="15.75" customHeight="1" x14ac:dyDescent="0.2">
      <c r="A1767" s="49">
        <v>29</v>
      </c>
      <c r="B1767" s="11" t="s">
        <v>1857</v>
      </c>
      <c r="C1767" s="11" t="s">
        <v>1849</v>
      </c>
      <c r="D1767" s="6" t="s">
        <v>1850</v>
      </c>
      <c r="E1767" s="11" t="s">
        <v>5069</v>
      </c>
      <c r="F1767" s="12" t="s">
        <v>5070</v>
      </c>
      <c r="G1767" s="12" t="s">
        <v>5071</v>
      </c>
      <c r="H1767" s="12" t="s">
        <v>5072</v>
      </c>
      <c r="I1767" s="12" t="s">
        <v>5085</v>
      </c>
      <c r="J1767" s="11" t="s">
        <v>2246</v>
      </c>
      <c r="K1767" s="11" t="s">
        <v>2247</v>
      </c>
      <c r="L1767" s="11" t="s">
        <v>5074</v>
      </c>
      <c r="M1767" s="11" t="s">
        <v>5086</v>
      </c>
      <c r="N1767" s="12" t="s">
        <v>2281</v>
      </c>
      <c r="O1767" s="11" t="s">
        <v>1860</v>
      </c>
      <c r="P1767" s="56"/>
    </row>
    <row r="1768" spans="1:16" ht="15.75" customHeight="1" x14ac:dyDescent="0.2">
      <c r="A1768" s="48">
        <v>92</v>
      </c>
      <c r="B1768" s="11" t="s">
        <v>1857</v>
      </c>
      <c r="C1768" s="11" t="s">
        <v>1849</v>
      </c>
      <c r="D1768" s="6" t="s">
        <v>1850</v>
      </c>
      <c r="E1768" s="11" t="s">
        <v>5069</v>
      </c>
      <c r="F1768" s="12" t="s">
        <v>5070</v>
      </c>
      <c r="G1768" s="12" t="s">
        <v>5071</v>
      </c>
      <c r="H1768" s="12" t="s">
        <v>5087</v>
      </c>
      <c r="I1768" s="12" t="s">
        <v>5088</v>
      </c>
      <c r="J1768" s="11" t="s">
        <v>2246</v>
      </c>
      <c r="K1768" s="11" t="s">
        <v>2247</v>
      </c>
      <c r="L1768" s="11" t="s">
        <v>5074</v>
      </c>
      <c r="M1768" s="11" t="s">
        <v>5089</v>
      </c>
      <c r="N1768" s="12" t="s">
        <v>5090</v>
      </c>
      <c r="O1768" s="11" t="s">
        <v>2334</v>
      </c>
      <c r="P1768" s="56" t="s">
        <v>1863</v>
      </c>
    </row>
    <row r="1769" spans="1:16" ht="15.75" customHeight="1" x14ac:dyDescent="0.2">
      <c r="A1769" s="49">
        <v>45</v>
      </c>
      <c r="B1769" s="11" t="s">
        <v>1857</v>
      </c>
      <c r="C1769" s="11" t="s">
        <v>1849</v>
      </c>
      <c r="D1769" s="6" t="s">
        <v>1850</v>
      </c>
      <c r="E1769" s="11" t="s">
        <v>5069</v>
      </c>
      <c r="F1769" s="12" t="s">
        <v>5070</v>
      </c>
      <c r="G1769" s="12" t="s">
        <v>5071</v>
      </c>
      <c r="H1769" s="12" t="s">
        <v>5078</v>
      </c>
      <c r="I1769" s="12" t="s">
        <v>5091</v>
      </c>
      <c r="J1769" s="11" t="s">
        <v>2246</v>
      </c>
      <c r="K1769" s="11" t="s">
        <v>2247</v>
      </c>
      <c r="L1769" s="11" t="s">
        <v>5074</v>
      </c>
      <c r="M1769" s="11" t="s">
        <v>5092</v>
      </c>
      <c r="N1769" s="12" t="s">
        <v>5093</v>
      </c>
      <c r="O1769" s="11" t="s">
        <v>2587</v>
      </c>
      <c r="P1769" s="56" t="s">
        <v>1865</v>
      </c>
    </row>
    <row r="1770" spans="1:16" ht="15.75" customHeight="1" x14ac:dyDescent="0.2">
      <c r="A1770" s="49">
        <v>42</v>
      </c>
      <c r="B1770" s="11" t="s">
        <v>1857</v>
      </c>
      <c r="C1770" s="11" t="s">
        <v>1849</v>
      </c>
      <c r="D1770" s="6" t="s">
        <v>1850</v>
      </c>
      <c r="E1770" s="11" t="s">
        <v>5069</v>
      </c>
      <c r="F1770" s="12" t="s">
        <v>5070</v>
      </c>
      <c r="G1770" s="12" t="s">
        <v>5071</v>
      </c>
      <c r="H1770" s="12" t="s">
        <v>5078</v>
      </c>
      <c r="I1770" s="12" t="s">
        <v>5094</v>
      </c>
      <c r="J1770" s="11" t="s">
        <v>2246</v>
      </c>
      <c r="K1770" s="11" t="s">
        <v>2247</v>
      </c>
      <c r="L1770" s="11" t="s">
        <v>5071</v>
      </c>
      <c r="M1770" s="11" t="s">
        <v>2549</v>
      </c>
      <c r="N1770" s="12"/>
      <c r="O1770" s="11" t="s">
        <v>1858</v>
      </c>
      <c r="P1770" s="56"/>
    </row>
    <row r="1771" spans="1:16" ht="15.75" customHeight="1" x14ac:dyDescent="0.2">
      <c r="A1771" s="49">
        <v>89</v>
      </c>
      <c r="B1771" s="11" t="s">
        <v>1857</v>
      </c>
      <c r="C1771" s="11" t="s">
        <v>1849</v>
      </c>
      <c r="D1771" s="6" t="s">
        <v>1850</v>
      </c>
      <c r="E1771" s="11" t="s">
        <v>5069</v>
      </c>
      <c r="F1771" s="12" t="s">
        <v>5070</v>
      </c>
      <c r="G1771" s="12" t="s">
        <v>5071</v>
      </c>
      <c r="H1771" s="12" t="s">
        <v>5078</v>
      </c>
      <c r="I1771" s="12" t="s">
        <v>5095</v>
      </c>
      <c r="J1771" s="11" t="s">
        <v>2246</v>
      </c>
      <c r="K1771" s="11" t="s">
        <v>2247</v>
      </c>
      <c r="L1771" s="11" t="s">
        <v>5071</v>
      </c>
      <c r="M1771" s="11" t="s">
        <v>1854</v>
      </c>
      <c r="N1771" s="12"/>
      <c r="O1771" s="11" t="s">
        <v>1860</v>
      </c>
      <c r="P1771" s="56"/>
    </row>
    <row r="1772" spans="1:16" ht="15.75" customHeight="1" x14ac:dyDescent="0.2">
      <c r="A1772" s="49">
        <v>26</v>
      </c>
      <c r="B1772" s="11" t="s">
        <v>1857</v>
      </c>
      <c r="C1772" s="11" t="s">
        <v>1849</v>
      </c>
      <c r="D1772" s="6" t="s">
        <v>1850</v>
      </c>
      <c r="E1772" s="11" t="s">
        <v>5069</v>
      </c>
      <c r="F1772" s="12" t="s">
        <v>5070</v>
      </c>
      <c r="G1772" s="12" t="s">
        <v>5071</v>
      </c>
      <c r="H1772" s="12" t="s">
        <v>5072</v>
      </c>
      <c r="I1772" s="12" t="s">
        <v>5096</v>
      </c>
      <c r="J1772" s="11" t="s">
        <v>2246</v>
      </c>
      <c r="K1772" s="11" t="s">
        <v>2247</v>
      </c>
      <c r="L1772" s="11" t="s">
        <v>5074</v>
      </c>
      <c r="M1772" s="11" t="s">
        <v>5005</v>
      </c>
      <c r="N1772" s="12"/>
      <c r="O1772" s="11" t="s">
        <v>1860</v>
      </c>
      <c r="P1772" s="56"/>
    </row>
    <row r="1773" spans="1:16" ht="15.75" customHeight="1" x14ac:dyDescent="0.2">
      <c r="A1773" s="49">
        <v>68</v>
      </c>
      <c r="B1773" s="11" t="s">
        <v>1857</v>
      </c>
      <c r="C1773" s="11" t="s">
        <v>1849</v>
      </c>
      <c r="D1773" s="6" t="s">
        <v>1850</v>
      </c>
      <c r="E1773" s="11" t="s">
        <v>5069</v>
      </c>
      <c r="F1773" s="12" t="s">
        <v>5070</v>
      </c>
      <c r="G1773" s="12" t="s">
        <v>5071</v>
      </c>
      <c r="H1773" s="12" t="s">
        <v>5087</v>
      </c>
      <c r="I1773" s="12" t="s">
        <v>5097</v>
      </c>
      <c r="J1773" s="11" t="s">
        <v>2246</v>
      </c>
      <c r="K1773" s="11" t="s">
        <v>2247</v>
      </c>
      <c r="L1773" s="11" t="s">
        <v>5074</v>
      </c>
      <c r="M1773" s="11" t="s">
        <v>5098</v>
      </c>
      <c r="N1773" s="12"/>
      <c r="O1773" s="11" t="s">
        <v>1860</v>
      </c>
      <c r="P1773" s="56"/>
    </row>
    <row r="1774" spans="1:16" ht="15.75" customHeight="1" x14ac:dyDescent="0.2">
      <c r="A1774" s="49">
        <v>65</v>
      </c>
      <c r="B1774" s="11" t="s">
        <v>1857</v>
      </c>
      <c r="C1774" s="11" t="s">
        <v>1849</v>
      </c>
      <c r="D1774" s="6" t="s">
        <v>1850</v>
      </c>
      <c r="E1774" s="11" t="s">
        <v>5069</v>
      </c>
      <c r="F1774" s="12" t="s">
        <v>5070</v>
      </c>
      <c r="G1774" s="12" t="s">
        <v>5071</v>
      </c>
      <c r="H1774" s="12" t="s">
        <v>5087</v>
      </c>
      <c r="I1774" s="12" t="s">
        <v>5099</v>
      </c>
      <c r="J1774" s="11" t="s">
        <v>2246</v>
      </c>
      <c r="K1774" s="11" t="s">
        <v>2247</v>
      </c>
      <c r="L1774" s="11" t="s">
        <v>5074</v>
      </c>
      <c r="M1774" s="11" t="s">
        <v>5100</v>
      </c>
      <c r="N1774" s="12" t="s">
        <v>5101</v>
      </c>
      <c r="O1774" s="11" t="s">
        <v>1860</v>
      </c>
      <c r="P1774" s="56"/>
    </row>
    <row r="1775" spans="1:16" ht="15.75" customHeight="1" x14ac:dyDescent="0.2">
      <c r="A1775" s="49">
        <v>81</v>
      </c>
      <c r="B1775" s="11" t="s">
        <v>1857</v>
      </c>
      <c r="C1775" s="11" t="s">
        <v>1849</v>
      </c>
      <c r="D1775" s="6" t="s">
        <v>1850</v>
      </c>
      <c r="E1775" s="11" t="s">
        <v>5069</v>
      </c>
      <c r="F1775" s="12" t="s">
        <v>5070</v>
      </c>
      <c r="G1775" s="12" t="s">
        <v>5071</v>
      </c>
      <c r="H1775" s="12" t="s">
        <v>5087</v>
      </c>
      <c r="I1775" s="12" t="s">
        <v>5102</v>
      </c>
      <c r="J1775" s="11" t="s">
        <v>2246</v>
      </c>
      <c r="K1775" s="11" t="s">
        <v>2247</v>
      </c>
      <c r="L1775" s="11" t="s">
        <v>5074</v>
      </c>
      <c r="M1775" s="11" t="s">
        <v>3602</v>
      </c>
      <c r="N1775" s="12"/>
      <c r="O1775" s="11" t="s">
        <v>1860</v>
      </c>
      <c r="P1775" s="56"/>
    </row>
    <row r="1776" spans="1:16" ht="15.75" customHeight="1" x14ac:dyDescent="0.2">
      <c r="A1776" s="49">
        <v>67</v>
      </c>
      <c r="B1776" s="11" t="s">
        <v>1857</v>
      </c>
      <c r="C1776" s="11" t="s">
        <v>1849</v>
      </c>
      <c r="D1776" s="6" t="s">
        <v>1850</v>
      </c>
      <c r="E1776" s="11" t="s">
        <v>5069</v>
      </c>
      <c r="F1776" s="12" t="s">
        <v>5070</v>
      </c>
      <c r="G1776" s="12" t="s">
        <v>5071</v>
      </c>
      <c r="H1776" s="12" t="s">
        <v>5087</v>
      </c>
      <c r="I1776" s="12" t="s">
        <v>5103</v>
      </c>
      <c r="J1776" s="11" t="s">
        <v>2246</v>
      </c>
      <c r="K1776" s="11" t="s">
        <v>2247</v>
      </c>
      <c r="L1776" s="11" t="s">
        <v>5074</v>
      </c>
      <c r="M1776" s="11" t="s">
        <v>5104</v>
      </c>
      <c r="N1776" s="12"/>
      <c r="O1776" s="11" t="s">
        <v>1858</v>
      </c>
      <c r="P1776" s="56"/>
    </row>
    <row r="1777" spans="1:16" ht="15.75" customHeight="1" x14ac:dyDescent="0.2">
      <c r="A1777" s="49">
        <v>82</v>
      </c>
      <c r="B1777" s="11" t="s">
        <v>1857</v>
      </c>
      <c r="C1777" s="11" t="s">
        <v>1849</v>
      </c>
      <c r="D1777" s="6" t="s">
        <v>1850</v>
      </c>
      <c r="E1777" s="11" t="s">
        <v>5069</v>
      </c>
      <c r="F1777" s="12" t="s">
        <v>5070</v>
      </c>
      <c r="G1777" s="12" t="s">
        <v>5071</v>
      </c>
      <c r="H1777" s="12" t="s">
        <v>5087</v>
      </c>
      <c r="I1777" s="12" t="s">
        <v>5105</v>
      </c>
      <c r="J1777" s="11" t="s">
        <v>2246</v>
      </c>
      <c r="K1777" s="11" t="s">
        <v>2247</v>
      </c>
      <c r="L1777" s="11" t="s">
        <v>5074</v>
      </c>
      <c r="M1777" s="11" t="s">
        <v>5106</v>
      </c>
      <c r="N1777" s="12"/>
      <c r="O1777" s="11" t="s">
        <v>1860</v>
      </c>
      <c r="P1777" s="56"/>
    </row>
    <row r="1778" spans="1:16" ht="15.75" customHeight="1" x14ac:dyDescent="0.2">
      <c r="A1778" s="49">
        <v>54</v>
      </c>
      <c r="B1778" s="11" t="s">
        <v>1857</v>
      </c>
      <c r="C1778" s="11" t="s">
        <v>1849</v>
      </c>
      <c r="D1778" s="6" t="s">
        <v>1850</v>
      </c>
      <c r="E1778" s="11" t="s">
        <v>5069</v>
      </c>
      <c r="F1778" s="12" t="s">
        <v>5070</v>
      </c>
      <c r="G1778" s="12" t="s">
        <v>5071</v>
      </c>
      <c r="H1778" s="12" t="s">
        <v>5078</v>
      </c>
      <c r="I1778" s="12" t="s">
        <v>5107</v>
      </c>
      <c r="J1778" s="11" t="s">
        <v>2246</v>
      </c>
      <c r="K1778" s="11" t="s">
        <v>2247</v>
      </c>
      <c r="L1778" s="11" t="s">
        <v>5071</v>
      </c>
      <c r="M1778" s="11" t="s">
        <v>5108</v>
      </c>
      <c r="N1778" s="12"/>
      <c r="O1778" s="11" t="s">
        <v>1858</v>
      </c>
      <c r="P1778" s="56"/>
    </row>
    <row r="1779" spans="1:16" ht="15.75" customHeight="1" x14ac:dyDescent="0.2">
      <c r="A1779" s="49">
        <v>8</v>
      </c>
      <c r="B1779" s="11" t="s">
        <v>1857</v>
      </c>
      <c r="C1779" s="11" t="s">
        <v>1849</v>
      </c>
      <c r="D1779" s="6" t="s">
        <v>1850</v>
      </c>
      <c r="E1779" s="11" t="s">
        <v>5069</v>
      </c>
      <c r="F1779" s="12" t="s">
        <v>5070</v>
      </c>
      <c r="G1779" s="12" t="s">
        <v>5071</v>
      </c>
      <c r="H1779" s="12" t="s">
        <v>5078</v>
      </c>
      <c r="I1779" s="12" t="s">
        <v>5109</v>
      </c>
      <c r="J1779" s="11" t="s">
        <v>2246</v>
      </c>
      <c r="K1779" s="11" t="s">
        <v>2247</v>
      </c>
      <c r="L1779" s="11" t="s">
        <v>5071</v>
      </c>
      <c r="M1779" s="11" t="s">
        <v>5110</v>
      </c>
      <c r="N1779" s="12"/>
      <c r="O1779" s="11" t="s">
        <v>1858</v>
      </c>
      <c r="P1779" s="56"/>
    </row>
    <row r="1780" spans="1:16" ht="15.75" customHeight="1" x14ac:dyDescent="0.2">
      <c r="A1780" s="49">
        <v>66</v>
      </c>
      <c r="B1780" s="11" t="s">
        <v>1857</v>
      </c>
      <c r="C1780" s="11" t="s">
        <v>1849</v>
      </c>
      <c r="D1780" s="6" t="s">
        <v>1850</v>
      </c>
      <c r="E1780" s="11" t="s">
        <v>5069</v>
      </c>
      <c r="F1780" s="12" t="s">
        <v>5070</v>
      </c>
      <c r="G1780" s="12" t="s">
        <v>5071</v>
      </c>
      <c r="H1780" s="12" t="s">
        <v>5087</v>
      </c>
      <c r="I1780" s="12" t="s">
        <v>5111</v>
      </c>
      <c r="J1780" s="11" t="s">
        <v>2246</v>
      </c>
      <c r="K1780" s="11" t="s">
        <v>2247</v>
      </c>
      <c r="L1780" s="11" t="s">
        <v>5074</v>
      </c>
      <c r="M1780" s="11" t="s">
        <v>5005</v>
      </c>
      <c r="N1780" s="12"/>
      <c r="O1780" s="11" t="s">
        <v>1858</v>
      </c>
      <c r="P1780" s="56"/>
    </row>
    <row r="1781" spans="1:16" ht="15.75" customHeight="1" x14ac:dyDescent="0.2">
      <c r="A1781" s="49">
        <v>34</v>
      </c>
      <c r="B1781" s="11" t="s">
        <v>1857</v>
      </c>
      <c r="C1781" s="11" t="s">
        <v>1849</v>
      </c>
      <c r="D1781" s="6" t="s">
        <v>1850</v>
      </c>
      <c r="E1781" s="11" t="s">
        <v>5069</v>
      </c>
      <c r="F1781" s="12" t="s">
        <v>5070</v>
      </c>
      <c r="G1781" s="12" t="s">
        <v>5071</v>
      </c>
      <c r="H1781" s="12" t="s">
        <v>5078</v>
      </c>
      <c r="I1781" s="12" t="s">
        <v>5112</v>
      </c>
      <c r="J1781" s="11" t="s">
        <v>2246</v>
      </c>
      <c r="K1781" s="11" t="s">
        <v>2247</v>
      </c>
      <c r="L1781" s="11" t="s">
        <v>5071</v>
      </c>
      <c r="M1781" s="11" t="s">
        <v>3614</v>
      </c>
      <c r="N1781" s="12"/>
      <c r="O1781" s="11" t="s">
        <v>1860</v>
      </c>
      <c r="P1781" s="56"/>
    </row>
    <row r="1782" spans="1:16" ht="15.75" customHeight="1" x14ac:dyDescent="0.2">
      <c r="A1782" s="49">
        <v>4856</v>
      </c>
      <c r="B1782" s="11" t="s">
        <v>1857</v>
      </c>
      <c r="C1782" s="11" t="s">
        <v>1849</v>
      </c>
      <c r="D1782" s="6" t="s">
        <v>1850</v>
      </c>
      <c r="E1782" s="11" t="s">
        <v>5069</v>
      </c>
      <c r="F1782" s="12" t="s">
        <v>5070</v>
      </c>
      <c r="G1782" s="12" t="s">
        <v>5071</v>
      </c>
      <c r="H1782" s="12" t="s">
        <v>5113</v>
      </c>
      <c r="I1782" s="12" t="s">
        <v>5114</v>
      </c>
      <c r="J1782" s="11" t="s">
        <v>2246</v>
      </c>
      <c r="K1782" s="11" t="s">
        <v>2247</v>
      </c>
      <c r="L1782" s="11" t="s">
        <v>5074</v>
      </c>
      <c r="M1782" s="11" t="s">
        <v>3696</v>
      </c>
      <c r="N1782" s="12"/>
      <c r="O1782" s="11" t="s">
        <v>1859</v>
      </c>
      <c r="P1782" s="56"/>
    </row>
    <row r="1783" spans="1:16" ht="15.75" customHeight="1" x14ac:dyDescent="0.2">
      <c r="A1783" s="49">
        <v>4857</v>
      </c>
      <c r="B1783" s="11" t="s">
        <v>1857</v>
      </c>
      <c r="C1783" s="11" t="s">
        <v>1849</v>
      </c>
      <c r="D1783" s="6" t="s">
        <v>1850</v>
      </c>
      <c r="E1783" s="11" t="s">
        <v>5069</v>
      </c>
      <c r="F1783" s="12" t="s">
        <v>5070</v>
      </c>
      <c r="G1783" s="12" t="s">
        <v>5071</v>
      </c>
      <c r="H1783" s="12" t="s">
        <v>5072</v>
      </c>
      <c r="I1783" s="12" t="s">
        <v>5115</v>
      </c>
      <c r="J1783" s="11" t="s">
        <v>2246</v>
      </c>
      <c r="K1783" s="11" t="s">
        <v>2247</v>
      </c>
      <c r="L1783" s="11" t="s">
        <v>5074</v>
      </c>
      <c r="M1783" s="11" t="s">
        <v>3614</v>
      </c>
      <c r="N1783" s="12"/>
      <c r="O1783" s="11" t="s">
        <v>1860</v>
      </c>
      <c r="P1783" s="56"/>
    </row>
    <row r="1784" spans="1:16" ht="15.75" customHeight="1" x14ac:dyDescent="0.2">
      <c r="A1784" s="49">
        <v>37</v>
      </c>
      <c r="B1784" s="11" t="s">
        <v>1857</v>
      </c>
      <c r="C1784" s="11" t="s">
        <v>1849</v>
      </c>
      <c r="D1784" s="6" t="s">
        <v>1850</v>
      </c>
      <c r="E1784" s="11" t="s">
        <v>5069</v>
      </c>
      <c r="F1784" s="12" t="s">
        <v>5070</v>
      </c>
      <c r="G1784" s="12" t="s">
        <v>5071</v>
      </c>
      <c r="H1784" s="12" t="s">
        <v>5078</v>
      </c>
      <c r="I1784" s="12" t="s">
        <v>5116</v>
      </c>
      <c r="J1784" s="11" t="s">
        <v>2246</v>
      </c>
      <c r="K1784" s="11" t="s">
        <v>2247</v>
      </c>
      <c r="L1784" s="11" t="s">
        <v>5071</v>
      </c>
      <c r="M1784" s="11" t="s">
        <v>1854</v>
      </c>
      <c r="N1784" s="12"/>
      <c r="O1784" s="11" t="s">
        <v>1860</v>
      </c>
      <c r="P1784" s="56"/>
    </row>
    <row r="1785" spans="1:16" ht="15.75" customHeight="1" x14ac:dyDescent="0.2">
      <c r="A1785" s="49">
        <v>85</v>
      </c>
      <c r="B1785" s="11" t="s">
        <v>1857</v>
      </c>
      <c r="C1785" s="11" t="s">
        <v>1849</v>
      </c>
      <c r="D1785" s="6" t="s">
        <v>1850</v>
      </c>
      <c r="E1785" s="11" t="s">
        <v>5069</v>
      </c>
      <c r="F1785" s="12" t="s">
        <v>5070</v>
      </c>
      <c r="G1785" s="12" t="s">
        <v>5071</v>
      </c>
      <c r="H1785" s="12" t="s">
        <v>5087</v>
      </c>
      <c r="I1785" s="12" t="s">
        <v>5117</v>
      </c>
      <c r="J1785" s="11" t="s">
        <v>2246</v>
      </c>
      <c r="K1785" s="11" t="s">
        <v>2247</v>
      </c>
      <c r="L1785" s="11" t="s">
        <v>5074</v>
      </c>
      <c r="M1785" s="11" t="s">
        <v>3602</v>
      </c>
      <c r="N1785" s="12" t="s">
        <v>5118</v>
      </c>
      <c r="O1785" s="11" t="s">
        <v>1858</v>
      </c>
      <c r="P1785" s="56"/>
    </row>
    <row r="1786" spans="1:16" ht="15.75" customHeight="1" x14ac:dyDescent="0.2">
      <c r="A1786" s="49">
        <v>86</v>
      </c>
      <c r="B1786" s="11" t="s">
        <v>1857</v>
      </c>
      <c r="C1786" s="11" t="s">
        <v>1849</v>
      </c>
      <c r="D1786" s="6" t="s">
        <v>1850</v>
      </c>
      <c r="E1786" s="11" t="s">
        <v>5069</v>
      </c>
      <c r="F1786" s="12" t="s">
        <v>5070</v>
      </c>
      <c r="G1786" s="12" t="s">
        <v>5071</v>
      </c>
      <c r="H1786" s="12" t="s">
        <v>5087</v>
      </c>
      <c r="I1786" s="12" t="s">
        <v>5119</v>
      </c>
      <c r="J1786" s="11" t="s">
        <v>2246</v>
      </c>
      <c r="K1786" s="11" t="s">
        <v>2247</v>
      </c>
      <c r="L1786" s="11" t="s">
        <v>5074</v>
      </c>
      <c r="M1786" s="11" t="s">
        <v>5120</v>
      </c>
      <c r="N1786" s="12"/>
      <c r="O1786" s="11" t="s">
        <v>1860</v>
      </c>
      <c r="P1786" s="56"/>
    </row>
    <row r="1787" spans="1:16" ht="15.75" customHeight="1" x14ac:dyDescent="0.2">
      <c r="A1787" s="49">
        <v>7299</v>
      </c>
      <c r="B1787" s="11" t="s">
        <v>1857</v>
      </c>
      <c r="C1787" s="11" t="s">
        <v>1849</v>
      </c>
      <c r="D1787" s="6" t="s">
        <v>1850</v>
      </c>
      <c r="E1787" s="11" t="s">
        <v>5069</v>
      </c>
      <c r="F1787" s="12" t="s">
        <v>5070</v>
      </c>
      <c r="G1787" s="12" t="s">
        <v>5071</v>
      </c>
      <c r="H1787" s="12" t="s">
        <v>5078</v>
      </c>
      <c r="I1787" s="12" t="s">
        <v>5121</v>
      </c>
      <c r="J1787" s="11" t="s">
        <v>2246</v>
      </c>
      <c r="K1787" s="11" t="s">
        <v>2247</v>
      </c>
      <c r="L1787" s="11" t="s">
        <v>5071</v>
      </c>
      <c r="M1787" s="11" t="s">
        <v>5122</v>
      </c>
      <c r="N1787" s="12"/>
      <c r="O1787" s="11" t="s">
        <v>1858</v>
      </c>
      <c r="P1787" s="56"/>
    </row>
    <row r="1788" spans="1:16" ht="15.75" customHeight="1" x14ac:dyDescent="0.2">
      <c r="A1788" s="49">
        <v>5315</v>
      </c>
      <c r="B1788" s="11" t="s">
        <v>1857</v>
      </c>
      <c r="C1788" s="11" t="s">
        <v>1849</v>
      </c>
      <c r="D1788" s="6" t="s">
        <v>1850</v>
      </c>
      <c r="E1788" s="11" t="s">
        <v>5069</v>
      </c>
      <c r="F1788" s="12" t="s">
        <v>5070</v>
      </c>
      <c r="G1788" s="12" t="s">
        <v>5071</v>
      </c>
      <c r="H1788" s="12" t="s">
        <v>5078</v>
      </c>
      <c r="I1788" s="12" t="s">
        <v>5123</v>
      </c>
      <c r="J1788" s="11" t="s">
        <v>2246</v>
      </c>
      <c r="K1788" s="11" t="s">
        <v>2247</v>
      </c>
      <c r="L1788" s="11" t="s">
        <v>5071</v>
      </c>
      <c r="M1788" s="11" t="s">
        <v>3972</v>
      </c>
      <c r="N1788" s="12"/>
      <c r="O1788" s="11" t="s">
        <v>1860</v>
      </c>
      <c r="P1788" s="56"/>
    </row>
    <row r="1789" spans="1:16" ht="15.75" customHeight="1" x14ac:dyDescent="0.2">
      <c r="A1789" s="49">
        <v>32</v>
      </c>
      <c r="B1789" s="11" t="s">
        <v>1857</v>
      </c>
      <c r="C1789" s="11" t="s">
        <v>1849</v>
      </c>
      <c r="D1789" s="6" t="s">
        <v>1850</v>
      </c>
      <c r="E1789" s="11" t="s">
        <v>5069</v>
      </c>
      <c r="F1789" s="12" t="s">
        <v>5070</v>
      </c>
      <c r="G1789" s="12" t="s">
        <v>5071</v>
      </c>
      <c r="H1789" s="12" t="s">
        <v>5078</v>
      </c>
      <c r="I1789" s="12" t="s">
        <v>5124</v>
      </c>
      <c r="J1789" s="11" t="s">
        <v>2246</v>
      </c>
      <c r="K1789" s="11" t="s">
        <v>2247</v>
      </c>
      <c r="L1789" s="11" t="s">
        <v>5071</v>
      </c>
      <c r="M1789" s="11" t="s">
        <v>5125</v>
      </c>
      <c r="N1789" s="12"/>
      <c r="O1789" s="11" t="s">
        <v>1860</v>
      </c>
      <c r="P1789" s="56"/>
    </row>
    <row r="1790" spans="1:16" ht="15.75" customHeight="1" x14ac:dyDescent="0.2">
      <c r="A1790" s="49">
        <v>5089</v>
      </c>
      <c r="B1790" s="11" t="s">
        <v>1857</v>
      </c>
      <c r="C1790" s="11" t="s">
        <v>1849</v>
      </c>
      <c r="D1790" s="6" t="s">
        <v>1850</v>
      </c>
      <c r="E1790" s="11" t="s">
        <v>5069</v>
      </c>
      <c r="F1790" s="12" t="s">
        <v>5070</v>
      </c>
      <c r="G1790" s="12" t="s">
        <v>5071</v>
      </c>
      <c r="H1790" s="12" t="s">
        <v>5113</v>
      </c>
      <c r="I1790" s="12" t="s">
        <v>5126</v>
      </c>
      <c r="J1790" s="11" t="s">
        <v>2246</v>
      </c>
      <c r="K1790" s="11" t="s">
        <v>2247</v>
      </c>
      <c r="L1790" s="11" t="s">
        <v>5074</v>
      </c>
      <c r="M1790" s="11" t="s">
        <v>5127</v>
      </c>
      <c r="N1790" s="12" t="s">
        <v>5128</v>
      </c>
      <c r="O1790" s="11" t="s">
        <v>1860</v>
      </c>
      <c r="P1790" s="56"/>
    </row>
    <row r="1791" spans="1:16" ht="15.75" customHeight="1" x14ac:dyDescent="0.2">
      <c r="A1791" s="49">
        <v>25</v>
      </c>
      <c r="B1791" s="11" t="s">
        <v>1857</v>
      </c>
      <c r="C1791" s="11" t="s">
        <v>1849</v>
      </c>
      <c r="D1791" s="6" t="s">
        <v>1850</v>
      </c>
      <c r="E1791" s="11" t="s">
        <v>5069</v>
      </c>
      <c r="F1791" s="12" t="s">
        <v>5070</v>
      </c>
      <c r="G1791" s="12" t="s">
        <v>5071</v>
      </c>
      <c r="H1791" s="12" t="s">
        <v>5072</v>
      </c>
      <c r="I1791" s="12" t="s">
        <v>5129</v>
      </c>
      <c r="J1791" s="11" t="s">
        <v>2246</v>
      </c>
      <c r="K1791" s="11" t="s">
        <v>2247</v>
      </c>
      <c r="L1791" s="11" t="s">
        <v>5074</v>
      </c>
      <c r="M1791" s="11" t="s">
        <v>5130</v>
      </c>
      <c r="N1791" s="12" t="s">
        <v>5006</v>
      </c>
      <c r="O1791" s="11" t="s">
        <v>1860</v>
      </c>
      <c r="P1791" s="56"/>
    </row>
    <row r="1792" spans="1:16" ht="15.75" customHeight="1" x14ac:dyDescent="0.2">
      <c r="A1792" s="49">
        <v>56</v>
      </c>
      <c r="B1792" s="11" t="s">
        <v>1857</v>
      </c>
      <c r="C1792" s="11" t="s">
        <v>1849</v>
      </c>
      <c r="D1792" s="6" t="s">
        <v>1850</v>
      </c>
      <c r="E1792" s="11" t="s">
        <v>5069</v>
      </c>
      <c r="F1792" s="12" t="s">
        <v>5070</v>
      </c>
      <c r="G1792" s="12" t="s">
        <v>5071</v>
      </c>
      <c r="H1792" s="12" t="s">
        <v>5078</v>
      </c>
      <c r="I1792" s="12" t="s">
        <v>5131</v>
      </c>
      <c r="J1792" s="11" t="s">
        <v>2246</v>
      </c>
      <c r="K1792" s="11" t="s">
        <v>2247</v>
      </c>
      <c r="L1792" s="11" t="s">
        <v>5074</v>
      </c>
      <c r="M1792" s="11" t="s">
        <v>3230</v>
      </c>
      <c r="N1792" s="12"/>
      <c r="O1792" s="11" t="s">
        <v>1860</v>
      </c>
      <c r="P1792" s="56"/>
    </row>
    <row r="1793" spans="1:16" ht="15.75" customHeight="1" x14ac:dyDescent="0.2">
      <c r="A1793" s="49">
        <v>31</v>
      </c>
      <c r="B1793" s="11" t="s">
        <v>1857</v>
      </c>
      <c r="C1793" s="11" t="s">
        <v>1849</v>
      </c>
      <c r="D1793" s="6" t="s">
        <v>1850</v>
      </c>
      <c r="E1793" s="11" t="s">
        <v>5069</v>
      </c>
      <c r="F1793" s="12" t="s">
        <v>5070</v>
      </c>
      <c r="G1793" s="12" t="s">
        <v>5071</v>
      </c>
      <c r="H1793" s="12" t="s">
        <v>5078</v>
      </c>
      <c r="I1793" s="12" t="s">
        <v>5132</v>
      </c>
      <c r="J1793" s="11" t="s">
        <v>2246</v>
      </c>
      <c r="K1793" s="11" t="s">
        <v>2247</v>
      </c>
      <c r="L1793" s="11" t="s">
        <v>5071</v>
      </c>
      <c r="M1793" s="11" t="s">
        <v>5133</v>
      </c>
      <c r="N1793" s="12"/>
      <c r="O1793" s="11" t="s">
        <v>1860</v>
      </c>
      <c r="P1793" s="56"/>
    </row>
    <row r="1794" spans="1:16" ht="15.75" customHeight="1" x14ac:dyDescent="0.2">
      <c r="A1794" s="49">
        <v>57</v>
      </c>
      <c r="B1794" s="11" t="s">
        <v>1857</v>
      </c>
      <c r="C1794" s="11" t="s">
        <v>1849</v>
      </c>
      <c r="D1794" s="6" t="s">
        <v>1850</v>
      </c>
      <c r="E1794" s="11" t="s">
        <v>5069</v>
      </c>
      <c r="F1794" s="12" t="s">
        <v>5070</v>
      </c>
      <c r="G1794" s="12" t="s">
        <v>5071</v>
      </c>
      <c r="H1794" s="12" t="s">
        <v>5078</v>
      </c>
      <c r="I1794" s="12" t="s">
        <v>5134</v>
      </c>
      <c r="J1794" s="11" t="s">
        <v>2246</v>
      </c>
      <c r="K1794" s="11" t="s">
        <v>2247</v>
      </c>
      <c r="L1794" s="11" t="s">
        <v>5074</v>
      </c>
      <c r="M1794" s="11" t="s">
        <v>1854</v>
      </c>
      <c r="N1794" s="12"/>
      <c r="O1794" s="11" t="s">
        <v>1858</v>
      </c>
      <c r="P1794" s="56"/>
    </row>
    <row r="1795" spans="1:16" ht="15.75" customHeight="1" x14ac:dyDescent="0.2">
      <c r="A1795" s="49">
        <v>38</v>
      </c>
      <c r="B1795" s="11" t="s">
        <v>1857</v>
      </c>
      <c r="C1795" s="11" t="s">
        <v>1849</v>
      </c>
      <c r="D1795" s="6" t="s">
        <v>1850</v>
      </c>
      <c r="E1795" s="11" t="s">
        <v>5069</v>
      </c>
      <c r="F1795" s="12" t="s">
        <v>5070</v>
      </c>
      <c r="G1795" s="12" t="s">
        <v>5071</v>
      </c>
      <c r="H1795" s="12" t="s">
        <v>5078</v>
      </c>
      <c r="I1795" s="12" t="s">
        <v>5135</v>
      </c>
      <c r="J1795" s="11" t="s">
        <v>2246</v>
      </c>
      <c r="K1795" s="11" t="s">
        <v>2247</v>
      </c>
      <c r="L1795" s="11" t="s">
        <v>5074</v>
      </c>
      <c r="M1795" s="11" t="s">
        <v>1854</v>
      </c>
      <c r="N1795" s="12"/>
      <c r="O1795" s="11" t="s">
        <v>1860</v>
      </c>
      <c r="P1795" s="56"/>
    </row>
    <row r="1796" spans="1:16" ht="15.75" customHeight="1" x14ac:dyDescent="0.2">
      <c r="A1796" s="49">
        <v>27</v>
      </c>
      <c r="B1796" s="11" t="s">
        <v>1857</v>
      </c>
      <c r="C1796" s="11" t="s">
        <v>1849</v>
      </c>
      <c r="D1796" s="6" t="s">
        <v>1850</v>
      </c>
      <c r="E1796" s="11" t="s">
        <v>5069</v>
      </c>
      <c r="F1796" s="12" t="s">
        <v>5070</v>
      </c>
      <c r="G1796" s="12" t="s">
        <v>5071</v>
      </c>
      <c r="H1796" s="12" t="s">
        <v>5072</v>
      </c>
      <c r="I1796" s="12" t="s">
        <v>5136</v>
      </c>
      <c r="J1796" s="11" t="s">
        <v>2246</v>
      </c>
      <c r="K1796" s="11" t="s">
        <v>2247</v>
      </c>
      <c r="L1796" s="11" t="s">
        <v>5074</v>
      </c>
      <c r="M1796" s="11" t="s">
        <v>3972</v>
      </c>
      <c r="N1796" s="12" t="s">
        <v>5137</v>
      </c>
      <c r="O1796" s="11" t="s">
        <v>1860</v>
      </c>
      <c r="P1796" s="56"/>
    </row>
    <row r="1797" spans="1:16" ht="15.75" customHeight="1" x14ac:dyDescent="0.2">
      <c r="A1797" s="49">
        <v>5688</v>
      </c>
      <c r="B1797" s="11" t="s">
        <v>1857</v>
      </c>
      <c r="C1797" s="11" t="s">
        <v>1849</v>
      </c>
      <c r="D1797" s="6" t="s">
        <v>1850</v>
      </c>
      <c r="E1797" s="11" t="s">
        <v>5069</v>
      </c>
      <c r="F1797" s="12" t="s">
        <v>5070</v>
      </c>
      <c r="G1797" s="12" t="s">
        <v>5071</v>
      </c>
      <c r="H1797" s="12" t="s">
        <v>5072</v>
      </c>
      <c r="I1797" s="12" t="s">
        <v>5138</v>
      </c>
      <c r="J1797" s="11" t="s">
        <v>2246</v>
      </c>
      <c r="K1797" s="11" t="s">
        <v>2247</v>
      </c>
      <c r="L1797" s="11" t="s">
        <v>5074</v>
      </c>
      <c r="M1797" s="11" t="s">
        <v>5139</v>
      </c>
      <c r="N1797" s="12" t="s">
        <v>5140</v>
      </c>
      <c r="O1797" s="11" t="s">
        <v>1860</v>
      </c>
      <c r="P1797" s="56"/>
    </row>
    <row r="1798" spans="1:16" ht="15.75" customHeight="1" x14ac:dyDescent="0.2">
      <c r="A1798" s="49">
        <v>87</v>
      </c>
      <c r="B1798" s="11" t="s">
        <v>1857</v>
      </c>
      <c r="C1798" s="11" t="s">
        <v>1849</v>
      </c>
      <c r="D1798" s="6" t="s">
        <v>1850</v>
      </c>
      <c r="E1798" s="11" t="s">
        <v>5069</v>
      </c>
      <c r="F1798" s="12" t="s">
        <v>5070</v>
      </c>
      <c r="G1798" s="12" t="s">
        <v>5071</v>
      </c>
      <c r="H1798" s="12" t="s">
        <v>5078</v>
      </c>
      <c r="I1798" s="12" t="s">
        <v>5141</v>
      </c>
      <c r="J1798" s="11" t="s">
        <v>2246</v>
      </c>
      <c r="K1798" s="11" t="s">
        <v>2247</v>
      </c>
      <c r="L1798" s="11" t="s">
        <v>5071</v>
      </c>
      <c r="M1798" s="11" t="s">
        <v>1854</v>
      </c>
      <c r="N1798" s="12"/>
      <c r="O1798" s="11" t="s">
        <v>1860</v>
      </c>
      <c r="P1798" s="56"/>
    </row>
    <row r="1799" spans="1:16" ht="15.75" customHeight="1" x14ac:dyDescent="0.2">
      <c r="A1799" s="49">
        <v>59</v>
      </c>
      <c r="B1799" s="11" t="s">
        <v>1857</v>
      </c>
      <c r="C1799" s="11" t="s">
        <v>1849</v>
      </c>
      <c r="D1799" s="6" t="s">
        <v>1850</v>
      </c>
      <c r="E1799" s="11" t="s">
        <v>5069</v>
      </c>
      <c r="F1799" s="12" t="s">
        <v>5070</v>
      </c>
      <c r="G1799" s="12" t="s">
        <v>5071</v>
      </c>
      <c r="H1799" s="12" t="s">
        <v>5078</v>
      </c>
      <c r="I1799" s="12" t="s">
        <v>5142</v>
      </c>
      <c r="J1799" s="11" t="s">
        <v>2246</v>
      </c>
      <c r="K1799" s="11" t="s">
        <v>2247</v>
      </c>
      <c r="L1799" s="11" t="s">
        <v>5074</v>
      </c>
      <c r="M1799" s="11" t="s">
        <v>1854</v>
      </c>
      <c r="N1799" s="12"/>
      <c r="O1799" s="11" t="s">
        <v>1858</v>
      </c>
      <c r="P1799" s="56"/>
    </row>
    <row r="1800" spans="1:16" ht="15.75" customHeight="1" x14ac:dyDescent="0.2">
      <c r="A1800" s="49">
        <v>5735</v>
      </c>
      <c r="B1800" s="11" t="s">
        <v>1857</v>
      </c>
      <c r="C1800" s="11" t="s">
        <v>1849</v>
      </c>
      <c r="D1800" s="6" t="s">
        <v>1850</v>
      </c>
      <c r="E1800" s="11" t="s">
        <v>5069</v>
      </c>
      <c r="F1800" s="12" t="s">
        <v>5070</v>
      </c>
      <c r="G1800" s="12" t="s">
        <v>5071</v>
      </c>
      <c r="H1800" s="12" t="s">
        <v>5072</v>
      </c>
      <c r="I1800" s="12" t="s">
        <v>5143</v>
      </c>
      <c r="J1800" s="11" t="s">
        <v>2246</v>
      </c>
      <c r="K1800" s="11" t="s">
        <v>2247</v>
      </c>
      <c r="L1800" s="11" t="s">
        <v>5074</v>
      </c>
      <c r="M1800" s="11" t="s">
        <v>5144</v>
      </c>
      <c r="N1800" s="12"/>
      <c r="O1800" s="11" t="s">
        <v>2350</v>
      </c>
      <c r="P1800" s="56" t="s">
        <v>1865</v>
      </c>
    </row>
    <row r="1801" spans="1:16" ht="15.75" customHeight="1" x14ac:dyDescent="0.2">
      <c r="A1801" s="49">
        <v>20</v>
      </c>
      <c r="B1801" s="11" t="s">
        <v>1857</v>
      </c>
      <c r="C1801" s="11" t="s">
        <v>1849</v>
      </c>
      <c r="D1801" s="6" t="s">
        <v>1850</v>
      </c>
      <c r="E1801" s="11" t="s">
        <v>5069</v>
      </c>
      <c r="F1801" s="12" t="s">
        <v>5070</v>
      </c>
      <c r="G1801" s="12" t="s">
        <v>5071</v>
      </c>
      <c r="H1801" s="12" t="s">
        <v>5072</v>
      </c>
      <c r="I1801" s="12" t="s">
        <v>5145</v>
      </c>
      <c r="J1801" s="11" t="s">
        <v>2246</v>
      </c>
      <c r="K1801" s="11" t="s">
        <v>2247</v>
      </c>
      <c r="L1801" s="11" t="s">
        <v>5074</v>
      </c>
      <c r="M1801" s="11" t="s">
        <v>1854</v>
      </c>
      <c r="N1801" s="12"/>
      <c r="O1801" s="11" t="s">
        <v>3016</v>
      </c>
      <c r="P1801" s="56" t="s">
        <v>2796</v>
      </c>
    </row>
    <row r="1802" spans="1:16" ht="15.75" customHeight="1" x14ac:dyDescent="0.2">
      <c r="A1802" s="49">
        <v>88</v>
      </c>
      <c r="B1802" s="11" t="s">
        <v>1857</v>
      </c>
      <c r="C1802" s="11" t="s">
        <v>1849</v>
      </c>
      <c r="D1802" s="6" t="s">
        <v>1850</v>
      </c>
      <c r="E1802" s="11" t="s">
        <v>5069</v>
      </c>
      <c r="F1802" s="12" t="s">
        <v>5070</v>
      </c>
      <c r="G1802" s="12" t="s">
        <v>5071</v>
      </c>
      <c r="H1802" s="12" t="s">
        <v>5078</v>
      </c>
      <c r="I1802" s="12" t="s">
        <v>5146</v>
      </c>
      <c r="J1802" s="11" t="s">
        <v>2246</v>
      </c>
      <c r="K1802" s="11" t="s">
        <v>2247</v>
      </c>
      <c r="L1802" s="11" t="s">
        <v>5071</v>
      </c>
      <c r="M1802" s="11" t="s">
        <v>1854</v>
      </c>
      <c r="N1802" s="12"/>
      <c r="O1802" s="11" t="s">
        <v>1860</v>
      </c>
      <c r="P1802" s="56"/>
    </row>
    <row r="1803" spans="1:16" ht="15.75" customHeight="1" x14ac:dyDescent="0.2">
      <c r="A1803" s="49">
        <v>41</v>
      </c>
      <c r="B1803" s="11" t="s">
        <v>1857</v>
      </c>
      <c r="C1803" s="11" t="s">
        <v>1849</v>
      </c>
      <c r="D1803" s="6" t="s">
        <v>1850</v>
      </c>
      <c r="E1803" s="11" t="s">
        <v>5069</v>
      </c>
      <c r="F1803" s="12" t="s">
        <v>5070</v>
      </c>
      <c r="G1803" s="12" t="s">
        <v>5071</v>
      </c>
      <c r="H1803" s="12" t="s">
        <v>5078</v>
      </c>
      <c r="I1803" s="12" t="s">
        <v>5147</v>
      </c>
      <c r="J1803" s="11" t="s">
        <v>2246</v>
      </c>
      <c r="K1803" s="11" t="s">
        <v>2247</v>
      </c>
      <c r="L1803" s="11" t="s">
        <v>5071</v>
      </c>
      <c r="M1803" s="11" t="s">
        <v>3696</v>
      </c>
      <c r="N1803" s="12"/>
      <c r="O1803" s="11" t="s">
        <v>1858</v>
      </c>
      <c r="P1803" s="56"/>
    </row>
    <row r="1804" spans="1:16" ht="15.75" customHeight="1" x14ac:dyDescent="0.2">
      <c r="A1804" s="49">
        <v>28</v>
      </c>
      <c r="B1804" s="11" t="s">
        <v>1857</v>
      </c>
      <c r="C1804" s="11" t="s">
        <v>1849</v>
      </c>
      <c r="D1804" s="6" t="s">
        <v>1850</v>
      </c>
      <c r="E1804" s="11" t="s">
        <v>5069</v>
      </c>
      <c r="F1804" s="12" t="s">
        <v>5070</v>
      </c>
      <c r="G1804" s="12" t="s">
        <v>5071</v>
      </c>
      <c r="H1804" s="12" t="s">
        <v>5072</v>
      </c>
      <c r="I1804" s="12" t="s">
        <v>5148</v>
      </c>
      <c r="J1804" s="11" t="s">
        <v>2246</v>
      </c>
      <c r="K1804" s="11" t="s">
        <v>2247</v>
      </c>
      <c r="L1804" s="11" t="s">
        <v>5074</v>
      </c>
      <c r="M1804" s="11" t="s">
        <v>3614</v>
      </c>
      <c r="N1804" s="12" t="s">
        <v>5149</v>
      </c>
      <c r="O1804" s="11" t="s">
        <v>1860</v>
      </c>
      <c r="P1804" s="56"/>
    </row>
    <row r="1805" spans="1:16" ht="15.75" customHeight="1" x14ac:dyDescent="0.2">
      <c r="A1805" s="49">
        <v>83</v>
      </c>
      <c r="B1805" s="11" t="s">
        <v>1857</v>
      </c>
      <c r="C1805" s="11" t="s">
        <v>1849</v>
      </c>
      <c r="D1805" s="6" t="s">
        <v>1850</v>
      </c>
      <c r="E1805" s="11" t="s">
        <v>5069</v>
      </c>
      <c r="F1805" s="12" t="s">
        <v>5070</v>
      </c>
      <c r="G1805" s="12" t="s">
        <v>5071</v>
      </c>
      <c r="H1805" s="12" t="s">
        <v>5087</v>
      </c>
      <c r="I1805" s="12" t="s">
        <v>5150</v>
      </c>
      <c r="J1805" s="11" t="s">
        <v>2246</v>
      </c>
      <c r="K1805" s="11" t="s">
        <v>2247</v>
      </c>
      <c r="L1805" s="11" t="s">
        <v>5074</v>
      </c>
      <c r="M1805" s="11" t="s">
        <v>4374</v>
      </c>
      <c r="N1805" s="12" t="s">
        <v>5151</v>
      </c>
      <c r="O1805" s="11" t="s">
        <v>1858</v>
      </c>
      <c r="P1805" s="56"/>
    </row>
    <row r="1806" spans="1:16" ht="15.75" customHeight="1" x14ac:dyDescent="0.2">
      <c r="A1806" s="49">
        <v>35</v>
      </c>
      <c r="B1806" s="11" t="s">
        <v>1857</v>
      </c>
      <c r="C1806" s="11" t="s">
        <v>1849</v>
      </c>
      <c r="D1806" s="6" t="s">
        <v>1850</v>
      </c>
      <c r="E1806" s="11" t="s">
        <v>5069</v>
      </c>
      <c r="F1806" s="12" t="s">
        <v>5070</v>
      </c>
      <c r="G1806" s="12" t="s">
        <v>5071</v>
      </c>
      <c r="H1806" s="12" t="s">
        <v>5078</v>
      </c>
      <c r="I1806" s="12" t="s">
        <v>5152</v>
      </c>
      <c r="J1806" s="11" t="s">
        <v>2246</v>
      </c>
      <c r="K1806" s="11" t="s">
        <v>2247</v>
      </c>
      <c r="L1806" s="11" t="s">
        <v>5074</v>
      </c>
      <c r="M1806" s="11" t="s">
        <v>1854</v>
      </c>
      <c r="N1806" s="12"/>
      <c r="O1806" s="11" t="s">
        <v>1860</v>
      </c>
      <c r="P1806" s="56"/>
    </row>
    <row r="1807" spans="1:16" ht="15.75" customHeight="1" x14ac:dyDescent="0.2">
      <c r="A1807" s="49">
        <v>33</v>
      </c>
      <c r="B1807" s="11" t="s">
        <v>1857</v>
      </c>
      <c r="C1807" s="11" t="s">
        <v>1849</v>
      </c>
      <c r="D1807" s="6" t="s">
        <v>1850</v>
      </c>
      <c r="E1807" s="11" t="s">
        <v>5069</v>
      </c>
      <c r="F1807" s="12" t="s">
        <v>5070</v>
      </c>
      <c r="G1807" s="12" t="s">
        <v>5071</v>
      </c>
      <c r="H1807" s="12" t="s">
        <v>5078</v>
      </c>
      <c r="I1807" s="12" t="s">
        <v>5153</v>
      </c>
      <c r="J1807" s="11" t="s">
        <v>2246</v>
      </c>
      <c r="K1807" s="11" t="s">
        <v>2247</v>
      </c>
      <c r="L1807" s="11" t="s">
        <v>5071</v>
      </c>
      <c r="M1807" s="11" t="s">
        <v>3694</v>
      </c>
      <c r="N1807" s="12"/>
      <c r="O1807" s="11" t="s">
        <v>1860</v>
      </c>
      <c r="P1807" s="56"/>
    </row>
    <row r="1808" spans="1:16" ht="15.75" customHeight="1" x14ac:dyDescent="0.2">
      <c r="A1808" s="49">
        <v>5333</v>
      </c>
      <c r="B1808" s="11" t="s">
        <v>1857</v>
      </c>
      <c r="C1808" s="11" t="s">
        <v>1849</v>
      </c>
      <c r="D1808" s="6" t="s">
        <v>1850</v>
      </c>
      <c r="E1808" s="11" t="s">
        <v>5069</v>
      </c>
      <c r="F1808" s="12" t="s">
        <v>5070</v>
      </c>
      <c r="G1808" s="12" t="s">
        <v>5071</v>
      </c>
      <c r="H1808" s="12" t="s">
        <v>5072</v>
      </c>
      <c r="I1808" s="12" t="s">
        <v>5154</v>
      </c>
      <c r="J1808" s="11" t="s">
        <v>2246</v>
      </c>
      <c r="K1808" s="11" t="s">
        <v>2247</v>
      </c>
      <c r="L1808" s="11" t="s">
        <v>5074</v>
      </c>
      <c r="M1808" s="11" t="s">
        <v>5005</v>
      </c>
      <c r="N1808" s="12"/>
      <c r="O1808" s="11" t="s">
        <v>1860</v>
      </c>
      <c r="P1808" s="56"/>
    </row>
    <row r="1809" spans="1:16" ht="15.75" customHeight="1" x14ac:dyDescent="0.2">
      <c r="A1809" s="49">
        <v>91</v>
      </c>
      <c r="B1809" s="11" t="s">
        <v>1857</v>
      </c>
      <c r="C1809" s="11" t="s">
        <v>1849</v>
      </c>
      <c r="D1809" s="6" t="s">
        <v>1850</v>
      </c>
      <c r="E1809" s="11" t="s">
        <v>5069</v>
      </c>
      <c r="F1809" s="12" t="s">
        <v>5070</v>
      </c>
      <c r="G1809" s="12" t="s">
        <v>5071</v>
      </c>
      <c r="H1809" s="12" t="s">
        <v>5078</v>
      </c>
      <c r="I1809" s="12" t="s">
        <v>5155</v>
      </c>
      <c r="J1809" s="11" t="s">
        <v>2246</v>
      </c>
      <c r="K1809" s="11" t="s">
        <v>2247</v>
      </c>
      <c r="L1809" s="11" t="s">
        <v>5071</v>
      </c>
      <c r="M1809" s="11" t="s">
        <v>5156</v>
      </c>
      <c r="N1809" s="12" t="s">
        <v>5157</v>
      </c>
      <c r="O1809" s="11" t="s">
        <v>2755</v>
      </c>
      <c r="P1809" s="56"/>
    </row>
    <row r="1810" spans="1:16" ht="15.75" customHeight="1" x14ac:dyDescent="0.2">
      <c r="A1810" s="49">
        <v>60</v>
      </c>
      <c r="B1810" s="11" t="s">
        <v>1857</v>
      </c>
      <c r="C1810" s="11" t="s">
        <v>1849</v>
      </c>
      <c r="D1810" s="6" t="s">
        <v>1850</v>
      </c>
      <c r="E1810" s="11" t="s">
        <v>5069</v>
      </c>
      <c r="F1810" s="12" t="s">
        <v>5070</v>
      </c>
      <c r="G1810" s="12" t="s">
        <v>5071</v>
      </c>
      <c r="H1810" s="12" t="s">
        <v>5078</v>
      </c>
      <c r="I1810" s="12" t="s">
        <v>5158</v>
      </c>
      <c r="J1810" s="11" t="s">
        <v>2246</v>
      </c>
      <c r="K1810" s="11" t="s">
        <v>2247</v>
      </c>
      <c r="L1810" s="11" t="s">
        <v>5071</v>
      </c>
      <c r="M1810" s="11" t="s">
        <v>3972</v>
      </c>
      <c r="N1810" s="12"/>
      <c r="O1810" s="11" t="s">
        <v>2755</v>
      </c>
      <c r="P1810" s="56"/>
    </row>
    <row r="1811" spans="1:16" ht="15.75" customHeight="1" x14ac:dyDescent="0.2">
      <c r="A1811" s="49">
        <v>30</v>
      </c>
      <c r="B1811" s="11" t="s">
        <v>1857</v>
      </c>
      <c r="C1811" s="11" t="s">
        <v>1849</v>
      </c>
      <c r="D1811" s="6" t="s">
        <v>1850</v>
      </c>
      <c r="E1811" s="11" t="s">
        <v>5069</v>
      </c>
      <c r="F1811" s="12" t="s">
        <v>5070</v>
      </c>
      <c r="G1811" s="12" t="s">
        <v>5071</v>
      </c>
      <c r="H1811" s="12" t="s">
        <v>5078</v>
      </c>
      <c r="I1811" s="12" t="s">
        <v>5159</v>
      </c>
      <c r="J1811" s="11" t="s">
        <v>2246</v>
      </c>
      <c r="K1811" s="11" t="s">
        <v>2247</v>
      </c>
      <c r="L1811" s="11" t="s">
        <v>5071</v>
      </c>
      <c r="M1811" s="11" t="s">
        <v>5160</v>
      </c>
      <c r="N1811" s="12"/>
      <c r="O1811" s="11" t="s">
        <v>1859</v>
      </c>
      <c r="P1811" s="56"/>
    </row>
    <row r="1812" spans="1:16" ht="15.75" customHeight="1" x14ac:dyDescent="0.2">
      <c r="A1812" s="48">
        <v>15932</v>
      </c>
      <c r="B1812" s="11" t="s">
        <v>1871</v>
      </c>
      <c r="C1812" s="11" t="s">
        <v>1849</v>
      </c>
      <c r="D1812" s="6" t="s">
        <v>1850</v>
      </c>
      <c r="E1812" s="11" t="s">
        <v>5069</v>
      </c>
      <c r="F1812" s="12" t="s">
        <v>5070</v>
      </c>
      <c r="G1812" s="12" t="s">
        <v>5071</v>
      </c>
      <c r="H1812" s="12" t="s">
        <v>5078</v>
      </c>
      <c r="I1812" s="12" t="s">
        <v>5161</v>
      </c>
      <c r="J1812" s="11" t="s">
        <v>2246</v>
      </c>
      <c r="K1812" s="11" t="s">
        <v>2247</v>
      </c>
      <c r="L1812" s="11" t="s">
        <v>5071</v>
      </c>
      <c r="M1812" s="11" t="s">
        <v>1854</v>
      </c>
      <c r="N1812" s="12"/>
      <c r="O1812" s="11" t="s">
        <v>2022</v>
      </c>
      <c r="P1812" s="56" t="s">
        <v>1863</v>
      </c>
    </row>
    <row r="1813" spans="1:16" ht="15.75" customHeight="1" x14ac:dyDescent="0.2">
      <c r="A1813" s="48">
        <v>15927</v>
      </c>
      <c r="B1813" s="11" t="s">
        <v>1871</v>
      </c>
      <c r="C1813" s="11" t="s">
        <v>1849</v>
      </c>
      <c r="D1813" s="6" t="s">
        <v>1850</v>
      </c>
      <c r="E1813" s="11" t="s">
        <v>5069</v>
      </c>
      <c r="F1813" s="12" t="s">
        <v>5070</v>
      </c>
      <c r="G1813" s="12" t="s">
        <v>5071</v>
      </c>
      <c r="H1813" s="12" t="s">
        <v>5072</v>
      </c>
      <c r="I1813" s="12" t="s">
        <v>5162</v>
      </c>
      <c r="J1813" s="11" t="s">
        <v>2246</v>
      </c>
      <c r="K1813" s="11" t="s">
        <v>2247</v>
      </c>
      <c r="L1813" s="11" t="s">
        <v>5071</v>
      </c>
      <c r="M1813" s="11" t="s">
        <v>1854</v>
      </c>
      <c r="N1813" s="12"/>
      <c r="O1813" s="11" t="s">
        <v>2022</v>
      </c>
      <c r="P1813" s="56" t="s">
        <v>1863</v>
      </c>
    </row>
    <row r="1814" spans="1:16" ht="15.75" customHeight="1" x14ac:dyDescent="0.2">
      <c r="A1814" s="49">
        <v>15928</v>
      </c>
      <c r="B1814" s="11" t="s">
        <v>1871</v>
      </c>
      <c r="C1814" s="11" t="s">
        <v>1849</v>
      </c>
      <c r="D1814" s="6" t="s">
        <v>1850</v>
      </c>
      <c r="E1814" s="11" t="s">
        <v>5069</v>
      </c>
      <c r="F1814" s="12" t="s">
        <v>5070</v>
      </c>
      <c r="G1814" s="12" t="s">
        <v>5071</v>
      </c>
      <c r="H1814" s="12" t="s">
        <v>5072</v>
      </c>
      <c r="I1814" s="12" t="s">
        <v>5163</v>
      </c>
      <c r="J1814" s="11" t="s">
        <v>2246</v>
      </c>
      <c r="K1814" s="11" t="s">
        <v>2247</v>
      </c>
      <c r="L1814" s="11" t="s">
        <v>5071</v>
      </c>
      <c r="M1814" s="11" t="s">
        <v>1854</v>
      </c>
      <c r="N1814" s="12"/>
      <c r="O1814" s="11" t="s">
        <v>5055</v>
      </c>
      <c r="P1814" s="56" t="s">
        <v>1863</v>
      </c>
    </row>
    <row r="1815" spans="1:16" ht="15.75" customHeight="1" x14ac:dyDescent="0.2">
      <c r="A1815" s="49">
        <v>15934</v>
      </c>
      <c r="B1815" s="11" t="s">
        <v>1871</v>
      </c>
      <c r="C1815" s="11" t="s">
        <v>1849</v>
      </c>
      <c r="D1815" s="6" t="s">
        <v>1850</v>
      </c>
      <c r="E1815" s="11" t="s">
        <v>5069</v>
      </c>
      <c r="F1815" s="12" t="s">
        <v>5070</v>
      </c>
      <c r="G1815" s="12" t="s">
        <v>5071</v>
      </c>
      <c r="H1815" s="12" t="s">
        <v>5072</v>
      </c>
      <c r="I1815" s="12" t="s">
        <v>5164</v>
      </c>
      <c r="J1815" s="11" t="s">
        <v>2246</v>
      </c>
      <c r="K1815" s="11" t="s">
        <v>2247</v>
      </c>
      <c r="L1815" s="11" t="s">
        <v>5071</v>
      </c>
      <c r="M1815" s="11" t="s">
        <v>1854</v>
      </c>
      <c r="N1815" s="12"/>
      <c r="O1815" s="11" t="s">
        <v>2022</v>
      </c>
      <c r="P1815" s="56" t="s">
        <v>1863</v>
      </c>
    </row>
    <row r="1816" spans="1:16" ht="15.75" customHeight="1" x14ac:dyDescent="0.2">
      <c r="A1816" s="48">
        <v>15931</v>
      </c>
      <c r="B1816" s="11" t="s">
        <v>1871</v>
      </c>
      <c r="C1816" s="11" t="s">
        <v>1849</v>
      </c>
      <c r="D1816" s="6" t="s">
        <v>1850</v>
      </c>
      <c r="E1816" s="11" t="s">
        <v>5069</v>
      </c>
      <c r="F1816" s="12" t="s">
        <v>5070</v>
      </c>
      <c r="G1816" s="12" t="s">
        <v>5071</v>
      </c>
      <c r="H1816" s="12" t="s">
        <v>5072</v>
      </c>
      <c r="I1816" s="12" t="s">
        <v>5165</v>
      </c>
      <c r="J1816" s="11" t="s">
        <v>2246</v>
      </c>
      <c r="K1816" s="11" t="s">
        <v>2247</v>
      </c>
      <c r="L1816" s="11" t="s">
        <v>5071</v>
      </c>
      <c r="M1816" s="11" t="s">
        <v>1854</v>
      </c>
      <c r="N1816" s="12"/>
      <c r="O1816" s="11" t="s">
        <v>5055</v>
      </c>
      <c r="P1816" s="56" t="s">
        <v>2323</v>
      </c>
    </row>
    <row r="1817" spans="1:16" ht="15.75" customHeight="1" x14ac:dyDescent="0.2">
      <c r="A1817" s="49">
        <v>7570</v>
      </c>
      <c r="B1817" s="11" t="s">
        <v>1857</v>
      </c>
      <c r="C1817" s="11" t="s">
        <v>1849</v>
      </c>
      <c r="D1817" s="6" t="s">
        <v>1875</v>
      </c>
      <c r="E1817" s="11" t="s">
        <v>5069</v>
      </c>
      <c r="F1817" s="12" t="s">
        <v>5070</v>
      </c>
      <c r="G1817" s="12" t="s">
        <v>5071</v>
      </c>
      <c r="H1817" s="12" t="s">
        <v>5072</v>
      </c>
      <c r="I1817" s="12" t="s">
        <v>5166</v>
      </c>
      <c r="J1817" s="11" t="s">
        <v>2246</v>
      </c>
      <c r="K1817" s="11" t="s">
        <v>2247</v>
      </c>
      <c r="L1817" s="11" t="s">
        <v>5071</v>
      </c>
      <c r="M1817" s="11" t="s">
        <v>1854</v>
      </c>
      <c r="N1817" s="12"/>
      <c r="O1817" s="11" t="s">
        <v>1854</v>
      </c>
      <c r="P1817" s="56"/>
    </row>
    <row r="1818" spans="1:16" ht="15.75" customHeight="1" x14ac:dyDescent="0.2">
      <c r="A1818" s="49">
        <v>69</v>
      </c>
      <c r="B1818" s="11" t="s">
        <v>1857</v>
      </c>
      <c r="C1818" s="11" t="s">
        <v>1849</v>
      </c>
      <c r="D1818" s="6" t="s">
        <v>2594</v>
      </c>
      <c r="E1818" s="11" t="s">
        <v>5069</v>
      </c>
      <c r="F1818" s="12" t="s">
        <v>5070</v>
      </c>
      <c r="G1818" s="12" t="s">
        <v>5071</v>
      </c>
      <c r="H1818" s="12" t="s">
        <v>5072</v>
      </c>
      <c r="I1818" s="12" t="s">
        <v>5167</v>
      </c>
      <c r="J1818" s="11" t="s">
        <v>2246</v>
      </c>
      <c r="K1818" s="11" t="s">
        <v>2247</v>
      </c>
      <c r="L1818" s="11" t="s">
        <v>5071</v>
      </c>
      <c r="M1818" s="11" t="s">
        <v>1854</v>
      </c>
      <c r="N1818" s="12"/>
      <c r="O1818" s="11" t="s">
        <v>1854</v>
      </c>
      <c r="P1818" s="56"/>
    </row>
    <row r="1819" spans="1:16" ht="15.75" customHeight="1" x14ac:dyDescent="0.2">
      <c r="A1819" s="49">
        <v>15272</v>
      </c>
      <c r="B1819" s="11" t="s">
        <v>1848</v>
      </c>
      <c r="C1819" s="11" t="s">
        <v>1849</v>
      </c>
      <c r="D1819" s="6" t="s">
        <v>1850</v>
      </c>
      <c r="E1819" s="11" t="s">
        <v>5168</v>
      </c>
      <c r="F1819" s="12" t="s">
        <v>5168</v>
      </c>
      <c r="G1819" s="12" t="s">
        <v>5169</v>
      </c>
      <c r="H1819" s="58" t="s">
        <v>5170</v>
      </c>
      <c r="I1819" s="12" t="s">
        <v>5171</v>
      </c>
      <c r="J1819" s="11" t="s">
        <v>1851</v>
      </c>
      <c r="K1819" s="11" t="s">
        <v>1852</v>
      </c>
      <c r="L1819" s="11" t="s">
        <v>1853</v>
      </c>
      <c r="M1819" s="11" t="s">
        <v>1854</v>
      </c>
      <c r="N1819" s="12"/>
      <c r="O1819" s="11" t="s">
        <v>1855</v>
      </c>
      <c r="P1819" s="56"/>
    </row>
    <row r="1820" spans="1:16" ht="15.75" customHeight="1" x14ac:dyDescent="0.2">
      <c r="A1820" s="48">
        <v>15385</v>
      </c>
      <c r="B1820" s="11" t="s">
        <v>1848</v>
      </c>
      <c r="C1820" s="11" t="s">
        <v>1849</v>
      </c>
      <c r="D1820" s="6" t="s">
        <v>1850</v>
      </c>
      <c r="E1820" s="11" t="s">
        <v>5168</v>
      </c>
      <c r="F1820" s="12" t="s">
        <v>5168</v>
      </c>
      <c r="G1820" s="12" t="s">
        <v>5172</v>
      </c>
      <c r="H1820" s="12" t="s">
        <v>5172</v>
      </c>
      <c r="I1820" s="12" t="s">
        <v>5173</v>
      </c>
      <c r="J1820" s="11" t="s">
        <v>1851</v>
      </c>
      <c r="K1820" s="11" t="s">
        <v>1852</v>
      </c>
      <c r="L1820" s="11" t="s">
        <v>1853</v>
      </c>
      <c r="M1820" s="11" t="s">
        <v>5174</v>
      </c>
      <c r="N1820" s="12"/>
      <c r="O1820" s="11" t="s">
        <v>1855</v>
      </c>
      <c r="P1820" s="56"/>
    </row>
    <row r="1821" spans="1:16" ht="15.75" customHeight="1" x14ac:dyDescent="0.2">
      <c r="A1821" s="48">
        <v>15387</v>
      </c>
      <c r="B1821" s="11" t="s">
        <v>1848</v>
      </c>
      <c r="C1821" s="11" t="s">
        <v>1849</v>
      </c>
      <c r="D1821" s="6" t="s">
        <v>1850</v>
      </c>
      <c r="E1821" s="11" t="s">
        <v>5168</v>
      </c>
      <c r="F1821" s="12" t="s">
        <v>5168</v>
      </c>
      <c r="G1821" s="12" t="s">
        <v>5175</v>
      </c>
      <c r="H1821" s="12" t="s">
        <v>5175</v>
      </c>
      <c r="I1821" s="12" t="s">
        <v>5176</v>
      </c>
      <c r="J1821" s="11" t="s">
        <v>1851</v>
      </c>
      <c r="K1821" s="11" t="s">
        <v>1852</v>
      </c>
      <c r="L1821" s="11" t="s">
        <v>1853</v>
      </c>
      <c r="M1821" s="11" t="s">
        <v>5177</v>
      </c>
      <c r="N1821" s="12"/>
      <c r="O1821" s="11" t="s">
        <v>1855</v>
      </c>
      <c r="P1821" s="56"/>
    </row>
    <row r="1822" spans="1:16" ht="15.75" customHeight="1" x14ac:dyDescent="0.2">
      <c r="A1822" s="48">
        <v>15386</v>
      </c>
      <c r="B1822" s="11" t="s">
        <v>1848</v>
      </c>
      <c r="C1822" s="11" t="s">
        <v>1849</v>
      </c>
      <c r="D1822" s="6" t="s">
        <v>1850</v>
      </c>
      <c r="E1822" s="11" t="s">
        <v>5168</v>
      </c>
      <c r="F1822" s="12" t="s">
        <v>5168</v>
      </c>
      <c r="G1822" s="12" t="s">
        <v>5178</v>
      </c>
      <c r="H1822" s="58" t="s">
        <v>5179</v>
      </c>
      <c r="I1822" s="12" t="s">
        <v>5180</v>
      </c>
      <c r="J1822" s="11" t="s">
        <v>1851</v>
      </c>
      <c r="K1822" s="11" t="s">
        <v>1852</v>
      </c>
      <c r="L1822" s="11" t="s">
        <v>1853</v>
      </c>
      <c r="M1822" s="11" t="s">
        <v>5177</v>
      </c>
      <c r="N1822" s="12"/>
      <c r="O1822" s="11" t="s">
        <v>1855</v>
      </c>
      <c r="P1822" s="56"/>
    </row>
    <row r="1823" spans="1:16" ht="15.75" customHeight="1" x14ac:dyDescent="0.2">
      <c r="A1823" s="48">
        <v>15383</v>
      </c>
      <c r="B1823" s="11" t="s">
        <v>1848</v>
      </c>
      <c r="C1823" s="11" t="s">
        <v>1849</v>
      </c>
      <c r="D1823" s="6" t="s">
        <v>1850</v>
      </c>
      <c r="E1823" s="11" t="s">
        <v>5168</v>
      </c>
      <c r="F1823" s="12" t="s">
        <v>5168</v>
      </c>
      <c r="G1823" s="12" t="s">
        <v>5169</v>
      </c>
      <c r="H1823" s="58" t="s">
        <v>5181</v>
      </c>
      <c r="I1823" s="12" t="s">
        <v>5182</v>
      </c>
      <c r="J1823" s="11" t="s">
        <v>1851</v>
      </c>
      <c r="K1823" s="11" t="s">
        <v>1852</v>
      </c>
      <c r="L1823" s="11" t="s">
        <v>1853</v>
      </c>
      <c r="M1823" s="11" t="s">
        <v>5177</v>
      </c>
      <c r="N1823" s="12"/>
      <c r="O1823" s="11" t="s">
        <v>1855</v>
      </c>
      <c r="P1823" s="56"/>
    </row>
    <row r="1824" spans="1:16" ht="15.75" customHeight="1" x14ac:dyDescent="0.2">
      <c r="A1824" s="49">
        <v>15987</v>
      </c>
      <c r="B1824" s="11" t="s">
        <v>1848</v>
      </c>
      <c r="C1824" s="11" t="s">
        <v>1849</v>
      </c>
      <c r="D1824" s="6" t="s">
        <v>1850</v>
      </c>
      <c r="E1824" s="12" t="s">
        <v>5168</v>
      </c>
      <c r="F1824" s="12" t="s">
        <v>5168</v>
      </c>
      <c r="G1824" s="12" t="s">
        <v>5169</v>
      </c>
      <c r="H1824" s="58" t="s">
        <v>5183</v>
      </c>
      <c r="I1824" s="12" t="s">
        <v>5184</v>
      </c>
      <c r="J1824" s="11" t="s">
        <v>1851</v>
      </c>
      <c r="K1824" s="11" t="s">
        <v>1852</v>
      </c>
      <c r="L1824" s="11" t="s">
        <v>1853</v>
      </c>
      <c r="M1824" s="11" t="s">
        <v>5177</v>
      </c>
      <c r="N1824" s="12"/>
      <c r="O1824" s="11" t="s">
        <v>1855</v>
      </c>
      <c r="P1824" s="56"/>
    </row>
    <row r="1825" spans="1:16" ht="15.75" customHeight="1" x14ac:dyDescent="0.2">
      <c r="A1825" s="48">
        <v>15388</v>
      </c>
      <c r="B1825" s="11" t="s">
        <v>1848</v>
      </c>
      <c r="C1825" s="11" t="s">
        <v>1849</v>
      </c>
      <c r="D1825" s="6" t="s">
        <v>1850</v>
      </c>
      <c r="E1825" s="11" t="s">
        <v>5168</v>
      </c>
      <c r="F1825" s="12" t="s">
        <v>5168</v>
      </c>
      <c r="G1825" s="12" t="s">
        <v>5169</v>
      </c>
      <c r="H1825" s="58" t="s">
        <v>5183</v>
      </c>
      <c r="I1825" s="12" t="s">
        <v>5185</v>
      </c>
      <c r="J1825" s="11" t="s">
        <v>1851</v>
      </c>
      <c r="K1825" s="11" t="s">
        <v>1852</v>
      </c>
      <c r="L1825" s="11" t="s">
        <v>1853</v>
      </c>
      <c r="M1825" s="11" t="s">
        <v>5177</v>
      </c>
      <c r="N1825" s="12"/>
      <c r="O1825" s="11" t="s">
        <v>1855</v>
      </c>
      <c r="P1825" s="56"/>
    </row>
    <row r="1826" spans="1:16" ht="15.75" customHeight="1" x14ac:dyDescent="0.2">
      <c r="A1826" s="49">
        <v>15384</v>
      </c>
      <c r="B1826" s="11" t="s">
        <v>1848</v>
      </c>
      <c r="C1826" s="11" t="s">
        <v>1849</v>
      </c>
      <c r="D1826" s="6" t="s">
        <v>1850</v>
      </c>
      <c r="E1826" s="11" t="s">
        <v>5168</v>
      </c>
      <c r="F1826" s="12" t="s">
        <v>5168</v>
      </c>
      <c r="G1826" s="12" t="s">
        <v>5186</v>
      </c>
      <c r="H1826" s="12" t="s">
        <v>5186</v>
      </c>
      <c r="I1826" s="12" t="s">
        <v>5187</v>
      </c>
      <c r="J1826" s="11" t="s">
        <v>1851</v>
      </c>
      <c r="K1826" s="11" t="s">
        <v>1852</v>
      </c>
      <c r="L1826" s="11" t="s">
        <v>1853</v>
      </c>
      <c r="M1826" s="11" t="s">
        <v>5177</v>
      </c>
      <c r="N1826" s="12"/>
      <c r="O1826" s="11" t="s">
        <v>1855</v>
      </c>
      <c r="P1826" s="56"/>
    </row>
    <row r="1827" spans="1:16" ht="15.75" customHeight="1" x14ac:dyDescent="0.2">
      <c r="A1827" s="49">
        <v>5287</v>
      </c>
      <c r="B1827" s="11" t="s">
        <v>2240</v>
      </c>
      <c r="C1827" s="11" t="s">
        <v>1849</v>
      </c>
      <c r="D1827" s="6" t="s">
        <v>1850</v>
      </c>
      <c r="E1827" s="11" t="s">
        <v>5168</v>
      </c>
      <c r="F1827" s="12" t="s">
        <v>5168</v>
      </c>
      <c r="G1827" s="12" t="s">
        <v>5169</v>
      </c>
      <c r="H1827" s="58" t="s">
        <v>5169</v>
      </c>
      <c r="I1827" s="12" t="s">
        <v>5188</v>
      </c>
      <c r="J1827" s="11" t="s">
        <v>1851</v>
      </c>
      <c r="K1827" s="11" t="s">
        <v>1852</v>
      </c>
      <c r="L1827" s="11" t="s">
        <v>1853</v>
      </c>
      <c r="M1827" s="11" t="s">
        <v>5189</v>
      </c>
      <c r="N1827" s="12"/>
      <c r="O1827" s="11" t="s">
        <v>1855</v>
      </c>
      <c r="P1827" s="56"/>
    </row>
    <row r="1828" spans="1:16" ht="15.75" customHeight="1" x14ac:dyDescent="0.2">
      <c r="A1828" s="49">
        <v>2477</v>
      </c>
      <c r="B1828" s="11" t="s">
        <v>1857</v>
      </c>
      <c r="C1828" s="11" t="s">
        <v>1849</v>
      </c>
      <c r="D1828" s="6" t="s">
        <v>1850</v>
      </c>
      <c r="E1828" s="12" t="s">
        <v>5168</v>
      </c>
      <c r="F1828" s="12" t="s">
        <v>5168</v>
      </c>
      <c r="G1828" s="12" t="s">
        <v>5169</v>
      </c>
      <c r="H1828" s="58" t="s">
        <v>5169</v>
      </c>
      <c r="I1828" s="12" t="s">
        <v>5190</v>
      </c>
      <c r="J1828" s="11" t="s">
        <v>1851</v>
      </c>
      <c r="K1828" s="11" t="s">
        <v>1852</v>
      </c>
      <c r="L1828" s="11" t="s">
        <v>1853</v>
      </c>
      <c r="M1828" s="11" t="s">
        <v>1854</v>
      </c>
      <c r="N1828" s="12"/>
      <c r="O1828" s="11" t="s">
        <v>2334</v>
      </c>
      <c r="P1828" s="56" t="s">
        <v>5191</v>
      </c>
    </row>
    <row r="1829" spans="1:16" ht="15.75" customHeight="1" x14ac:dyDescent="0.2">
      <c r="A1829" s="49">
        <v>2666</v>
      </c>
      <c r="B1829" s="11" t="s">
        <v>1857</v>
      </c>
      <c r="C1829" s="11" t="s">
        <v>1849</v>
      </c>
      <c r="D1829" s="6" t="s">
        <v>1850</v>
      </c>
      <c r="E1829" s="11" t="s">
        <v>5168</v>
      </c>
      <c r="F1829" s="12" t="s">
        <v>5168</v>
      </c>
      <c r="G1829" s="12" t="s">
        <v>5175</v>
      </c>
      <c r="H1829" s="12" t="s">
        <v>5192</v>
      </c>
      <c r="I1829" s="12" t="s">
        <v>5193</v>
      </c>
      <c r="J1829" s="11" t="s">
        <v>1856</v>
      </c>
      <c r="K1829" s="11" t="s">
        <v>1852</v>
      </c>
      <c r="L1829" s="11" t="s">
        <v>1853</v>
      </c>
      <c r="M1829" s="11" t="s">
        <v>1861</v>
      </c>
      <c r="N1829" s="12"/>
      <c r="O1829" s="11" t="s">
        <v>1858</v>
      </c>
      <c r="P1829" s="56"/>
    </row>
    <row r="1830" spans="1:16" ht="15.75" customHeight="1" x14ac:dyDescent="0.2">
      <c r="A1830" s="49">
        <v>2687</v>
      </c>
      <c r="B1830" s="11" t="s">
        <v>1857</v>
      </c>
      <c r="C1830" s="11" t="s">
        <v>1849</v>
      </c>
      <c r="D1830" s="6" t="s">
        <v>1850</v>
      </c>
      <c r="E1830" s="11" t="s">
        <v>5168</v>
      </c>
      <c r="F1830" s="12" t="s">
        <v>5168</v>
      </c>
      <c r="G1830" s="12" t="s">
        <v>5175</v>
      </c>
      <c r="H1830" s="12" t="s">
        <v>5194</v>
      </c>
      <c r="I1830" s="12" t="s">
        <v>5195</v>
      </c>
      <c r="J1830" s="11" t="s">
        <v>1856</v>
      </c>
      <c r="K1830" s="11" t="s">
        <v>1852</v>
      </c>
      <c r="L1830" s="11" t="s">
        <v>1853</v>
      </c>
      <c r="M1830" s="11" t="s">
        <v>1861</v>
      </c>
      <c r="N1830" s="12"/>
      <c r="O1830" s="11" t="s">
        <v>1858</v>
      </c>
      <c r="P1830" s="56"/>
    </row>
    <row r="1831" spans="1:16" ht="15.75" customHeight="1" x14ac:dyDescent="0.2">
      <c r="A1831" s="49">
        <v>2489</v>
      </c>
      <c r="B1831" s="11" t="s">
        <v>1857</v>
      </c>
      <c r="C1831" s="11" t="s">
        <v>1849</v>
      </c>
      <c r="D1831" s="6" t="s">
        <v>1850</v>
      </c>
      <c r="E1831" s="11" t="s">
        <v>5168</v>
      </c>
      <c r="F1831" s="12" t="s">
        <v>5168</v>
      </c>
      <c r="G1831" s="12" t="s">
        <v>5169</v>
      </c>
      <c r="H1831" s="12" t="s">
        <v>5181</v>
      </c>
      <c r="I1831" s="12" t="s">
        <v>5196</v>
      </c>
      <c r="J1831" s="11" t="s">
        <v>1851</v>
      </c>
      <c r="K1831" s="11" t="s">
        <v>1852</v>
      </c>
      <c r="L1831" s="11" t="s">
        <v>1853</v>
      </c>
      <c r="M1831" s="11" t="s">
        <v>1861</v>
      </c>
      <c r="N1831" s="12"/>
      <c r="O1831" s="11" t="s">
        <v>1860</v>
      </c>
      <c r="P1831" s="56"/>
    </row>
    <row r="1832" spans="1:16" ht="15.75" customHeight="1" x14ac:dyDescent="0.2">
      <c r="A1832" s="49">
        <v>2515</v>
      </c>
      <c r="B1832" s="11" t="s">
        <v>1857</v>
      </c>
      <c r="C1832" s="11" t="s">
        <v>1849</v>
      </c>
      <c r="D1832" s="6" t="s">
        <v>1850</v>
      </c>
      <c r="E1832" s="11" t="s">
        <v>5168</v>
      </c>
      <c r="F1832" s="12" t="s">
        <v>5168</v>
      </c>
      <c r="G1832" s="12" t="s">
        <v>5197</v>
      </c>
      <c r="H1832" s="12" t="s">
        <v>5198</v>
      </c>
      <c r="I1832" s="12" t="s">
        <v>5199</v>
      </c>
      <c r="J1832" s="11" t="s">
        <v>1856</v>
      </c>
      <c r="K1832" s="11" t="s">
        <v>1852</v>
      </c>
      <c r="L1832" s="11" t="s">
        <v>1853</v>
      </c>
      <c r="M1832" s="11" t="s">
        <v>5200</v>
      </c>
      <c r="N1832" s="12"/>
      <c r="O1832" s="11" t="s">
        <v>1860</v>
      </c>
      <c r="P1832" s="56"/>
    </row>
    <row r="1833" spans="1:16" ht="15.75" customHeight="1" x14ac:dyDescent="0.2">
      <c r="A1833" s="49">
        <v>2642</v>
      </c>
      <c r="B1833" s="11" t="s">
        <v>1857</v>
      </c>
      <c r="C1833" s="11" t="s">
        <v>1849</v>
      </c>
      <c r="D1833" s="6" t="s">
        <v>1850</v>
      </c>
      <c r="E1833" s="11" t="s">
        <v>5168</v>
      </c>
      <c r="F1833" s="12" t="s">
        <v>5168</v>
      </c>
      <c r="G1833" s="12" t="s">
        <v>5186</v>
      </c>
      <c r="H1833" s="12" t="s">
        <v>5201</v>
      </c>
      <c r="I1833" s="12" t="s">
        <v>5202</v>
      </c>
      <c r="J1833" s="11" t="s">
        <v>1851</v>
      </c>
      <c r="K1833" s="11" t="s">
        <v>1852</v>
      </c>
      <c r="L1833" s="11" t="s">
        <v>1853</v>
      </c>
      <c r="M1833" s="11" t="s">
        <v>1861</v>
      </c>
      <c r="N1833" s="12"/>
      <c r="O1833" s="11" t="s">
        <v>1860</v>
      </c>
      <c r="P1833" s="56" t="s">
        <v>5203</v>
      </c>
    </row>
    <row r="1834" spans="1:16" ht="15.75" customHeight="1" x14ac:dyDescent="0.2">
      <c r="A1834" s="49">
        <v>2547</v>
      </c>
      <c r="B1834" s="11" t="s">
        <v>1857</v>
      </c>
      <c r="C1834" s="11" t="s">
        <v>1849</v>
      </c>
      <c r="D1834" s="6" t="s">
        <v>1850</v>
      </c>
      <c r="E1834" s="11" t="s">
        <v>5168</v>
      </c>
      <c r="F1834" s="12" t="s">
        <v>5168</v>
      </c>
      <c r="G1834" s="12" t="s">
        <v>5172</v>
      </c>
      <c r="H1834" s="12" t="s">
        <v>5204</v>
      </c>
      <c r="I1834" s="12" t="s">
        <v>1198</v>
      </c>
      <c r="J1834" s="11" t="s">
        <v>1856</v>
      </c>
      <c r="K1834" s="11" t="s">
        <v>1852</v>
      </c>
      <c r="L1834" s="11" t="s">
        <v>1853</v>
      </c>
      <c r="M1834" s="11" t="s">
        <v>5205</v>
      </c>
      <c r="N1834" s="12"/>
      <c r="O1834" s="11" t="s">
        <v>1864</v>
      </c>
      <c r="P1834" s="56" t="s">
        <v>1865</v>
      </c>
    </row>
    <row r="1835" spans="1:16" ht="15.75" customHeight="1" x14ac:dyDescent="0.2">
      <c r="A1835" s="49">
        <v>7304</v>
      </c>
      <c r="B1835" s="11" t="s">
        <v>1857</v>
      </c>
      <c r="C1835" s="11" t="s">
        <v>1849</v>
      </c>
      <c r="D1835" s="6" t="s">
        <v>1850</v>
      </c>
      <c r="E1835" s="11" t="s">
        <v>5168</v>
      </c>
      <c r="F1835" s="12" t="s">
        <v>5168</v>
      </c>
      <c r="G1835" s="12" t="s">
        <v>5169</v>
      </c>
      <c r="H1835" s="12" t="s">
        <v>5169</v>
      </c>
      <c r="I1835" s="12" t="s">
        <v>5206</v>
      </c>
      <c r="J1835" s="11" t="s">
        <v>1856</v>
      </c>
      <c r="K1835" s="11" t="s">
        <v>1852</v>
      </c>
      <c r="L1835" s="11" t="s">
        <v>1853</v>
      </c>
      <c r="M1835" s="11" t="s">
        <v>5207</v>
      </c>
      <c r="N1835" s="12" t="s">
        <v>5208</v>
      </c>
      <c r="O1835" s="11" t="s">
        <v>1867</v>
      </c>
      <c r="P1835" s="56" t="s">
        <v>1865</v>
      </c>
    </row>
    <row r="1836" spans="1:16" ht="15.75" customHeight="1" x14ac:dyDescent="0.2">
      <c r="A1836" s="49">
        <v>2475</v>
      </c>
      <c r="B1836" s="11" t="s">
        <v>1857</v>
      </c>
      <c r="C1836" s="11" t="s">
        <v>1849</v>
      </c>
      <c r="D1836" s="6" t="s">
        <v>1850</v>
      </c>
      <c r="E1836" s="11" t="s">
        <v>5168</v>
      </c>
      <c r="F1836" s="12" t="s">
        <v>5168</v>
      </c>
      <c r="G1836" s="12" t="s">
        <v>5169</v>
      </c>
      <c r="H1836" s="12" t="s">
        <v>5169</v>
      </c>
      <c r="I1836" s="12" t="s">
        <v>5209</v>
      </c>
      <c r="J1836" s="11" t="s">
        <v>1851</v>
      </c>
      <c r="K1836" s="11" t="s">
        <v>1852</v>
      </c>
      <c r="L1836" s="11" t="s">
        <v>1853</v>
      </c>
      <c r="M1836" s="11" t="s">
        <v>2862</v>
      </c>
      <c r="N1836" s="12"/>
      <c r="O1836" s="11" t="s">
        <v>1866</v>
      </c>
      <c r="P1836" s="56" t="s">
        <v>5210</v>
      </c>
    </row>
    <row r="1837" spans="1:16" ht="15.75" customHeight="1" x14ac:dyDescent="0.2">
      <c r="A1837" s="49">
        <v>2662</v>
      </c>
      <c r="B1837" s="11" t="s">
        <v>1857</v>
      </c>
      <c r="C1837" s="11" t="s">
        <v>1849</v>
      </c>
      <c r="D1837" s="6" t="s">
        <v>1850</v>
      </c>
      <c r="E1837" s="11" t="s">
        <v>5168</v>
      </c>
      <c r="F1837" s="12" t="s">
        <v>5168</v>
      </c>
      <c r="G1837" s="12" t="s">
        <v>5175</v>
      </c>
      <c r="H1837" s="12" t="s">
        <v>5175</v>
      </c>
      <c r="I1837" s="12" t="s">
        <v>5211</v>
      </c>
      <c r="J1837" s="11" t="s">
        <v>1856</v>
      </c>
      <c r="K1837" s="11" t="s">
        <v>1852</v>
      </c>
      <c r="L1837" s="11" t="s">
        <v>1853</v>
      </c>
      <c r="M1837" s="11" t="s">
        <v>5212</v>
      </c>
      <c r="N1837" s="12"/>
      <c r="O1837" s="11" t="s">
        <v>1866</v>
      </c>
      <c r="P1837" s="56" t="s">
        <v>5213</v>
      </c>
    </row>
    <row r="1838" spans="1:16" ht="15.75" customHeight="1" x14ac:dyDescent="0.2">
      <c r="A1838" s="49">
        <v>2493</v>
      </c>
      <c r="B1838" s="11" t="s">
        <v>1857</v>
      </c>
      <c r="C1838" s="11" t="s">
        <v>1849</v>
      </c>
      <c r="D1838" s="6" t="s">
        <v>1850</v>
      </c>
      <c r="E1838" s="11" t="s">
        <v>5168</v>
      </c>
      <c r="F1838" s="12" t="s">
        <v>5168</v>
      </c>
      <c r="G1838" s="12" t="s">
        <v>5169</v>
      </c>
      <c r="H1838" s="12" t="s">
        <v>5183</v>
      </c>
      <c r="I1838" s="12" t="s">
        <v>5214</v>
      </c>
      <c r="J1838" s="11" t="s">
        <v>1851</v>
      </c>
      <c r="K1838" s="11" t="s">
        <v>1852</v>
      </c>
      <c r="L1838" s="11" t="s">
        <v>1853</v>
      </c>
      <c r="M1838" s="11" t="s">
        <v>5215</v>
      </c>
      <c r="N1838" s="12"/>
      <c r="O1838" s="11" t="s">
        <v>1866</v>
      </c>
      <c r="P1838" s="56" t="s">
        <v>5216</v>
      </c>
    </row>
    <row r="1839" spans="1:16" ht="15.75" customHeight="1" x14ac:dyDescent="0.2">
      <c r="A1839" s="49">
        <v>2594</v>
      </c>
      <c r="B1839" s="11" t="s">
        <v>1857</v>
      </c>
      <c r="C1839" s="11" t="s">
        <v>1849</v>
      </c>
      <c r="D1839" s="6" t="s">
        <v>1850</v>
      </c>
      <c r="E1839" s="11" t="s">
        <v>5168</v>
      </c>
      <c r="F1839" s="12" t="s">
        <v>5168</v>
      </c>
      <c r="G1839" s="12" t="s">
        <v>5217</v>
      </c>
      <c r="H1839" s="12" t="s">
        <v>5217</v>
      </c>
      <c r="I1839" s="12" t="s">
        <v>5218</v>
      </c>
      <c r="J1839" s="11" t="s">
        <v>1856</v>
      </c>
      <c r="K1839" s="11" t="s">
        <v>1852</v>
      </c>
      <c r="L1839" s="11" t="s">
        <v>1853</v>
      </c>
      <c r="M1839" s="11" t="s">
        <v>5219</v>
      </c>
      <c r="N1839" s="12" t="s">
        <v>5220</v>
      </c>
      <c r="O1839" s="11" t="s">
        <v>1866</v>
      </c>
      <c r="P1839" s="56" t="s">
        <v>5221</v>
      </c>
    </row>
    <row r="1840" spans="1:16" ht="15.75" customHeight="1" x14ac:dyDescent="0.2">
      <c r="A1840" s="49">
        <v>2660</v>
      </c>
      <c r="B1840" s="11" t="s">
        <v>1857</v>
      </c>
      <c r="C1840" s="11" t="s">
        <v>1849</v>
      </c>
      <c r="D1840" s="6" t="s">
        <v>1850</v>
      </c>
      <c r="E1840" s="11" t="s">
        <v>5168</v>
      </c>
      <c r="F1840" s="12" t="s">
        <v>5168</v>
      </c>
      <c r="G1840" s="12" t="s">
        <v>5175</v>
      </c>
      <c r="H1840" s="12" t="s">
        <v>5175</v>
      </c>
      <c r="I1840" s="12" t="s">
        <v>5222</v>
      </c>
      <c r="J1840" s="11" t="s">
        <v>1851</v>
      </c>
      <c r="K1840" s="11" t="s">
        <v>1852</v>
      </c>
      <c r="L1840" s="11" t="s">
        <v>1853</v>
      </c>
      <c r="M1840" s="11" t="s">
        <v>5223</v>
      </c>
      <c r="N1840" s="12"/>
      <c r="O1840" s="11" t="s">
        <v>1858</v>
      </c>
      <c r="P1840" s="56"/>
    </row>
    <row r="1841" spans="1:16" ht="15.75" customHeight="1" x14ac:dyDescent="0.2">
      <c r="A1841" s="49">
        <v>2615</v>
      </c>
      <c r="B1841" s="11" t="s">
        <v>1857</v>
      </c>
      <c r="C1841" s="11" t="s">
        <v>1849</v>
      </c>
      <c r="D1841" s="6" t="s">
        <v>1850</v>
      </c>
      <c r="E1841" s="11" t="s">
        <v>5168</v>
      </c>
      <c r="F1841" s="12" t="s">
        <v>5168</v>
      </c>
      <c r="G1841" s="12" t="s">
        <v>5217</v>
      </c>
      <c r="H1841" s="12" t="s">
        <v>3548</v>
      </c>
      <c r="I1841" s="12" t="s">
        <v>5224</v>
      </c>
      <c r="J1841" s="11" t="s">
        <v>1856</v>
      </c>
      <c r="K1841" s="11" t="s">
        <v>1852</v>
      </c>
      <c r="L1841" s="11" t="s">
        <v>1853</v>
      </c>
      <c r="M1841" s="11" t="s">
        <v>5225</v>
      </c>
      <c r="N1841" s="12"/>
      <c r="O1841" s="11" t="s">
        <v>1859</v>
      </c>
      <c r="P1841" s="56"/>
    </row>
    <row r="1842" spans="1:16" ht="15.75" customHeight="1" x14ac:dyDescent="0.2">
      <c r="A1842" s="49">
        <v>2683</v>
      </c>
      <c r="B1842" s="11" t="s">
        <v>1857</v>
      </c>
      <c r="C1842" s="11" t="s">
        <v>1849</v>
      </c>
      <c r="D1842" s="6" t="s">
        <v>1850</v>
      </c>
      <c r="E1842" s="11" t="s">
        <v>5168</v>
      </c>
      <c r="F1842" s="12" t="s">
        <v>5168</v>
      </c>
      <c r="G1842" s="12" t="s">
        <v>5175</v>
      </c>
      <c r="H1842" s="12" t="s">
        <v>5194</v>
      </c>
      <c r="I1842" s="12" t="s">
        <v>2265</v>
      </c>
      <c r="J1842" s="11" t="s">
        <v>1856</v>
      </c>
      <c r="K1842" s="11" t="s">
        <v>1852</v>
      </c>
      <c r="L1842" s="11" t="s">
        <v>1853</v>
      </c>
      <c r="M1842" s="11" t="s">
        <v>4639</v>
      </c>
      <c r="N1842" s="12"/>
      <c r="O1842" s="11" t="s">
        <v>1859</v>
      </c>
      <c r="P1842" s="56"/>
    </row>
    <row r="1843" spans="1:16" ht="15.75" customHeight="1" x14ac:dyDescent="0.2">
      <c r="A1843" s="49">
        <v>2555</v>
      </c>
      <c r="B1843" s="11" t="s">
        <v>1857</v>
      </c>
      <c r="C1843" s="11" t="s">
        <v>1849</v>
      </c>
      <c r="D1843" s="6" t="s">
        <v>1850</v>
      </c>
      <c r="E1843" s="11" t="s">
        <v>5168</v>
      </c>
      <c r="F1843" s="12" t="s">
        <v>5168</v>
      </c>
      <c r="G1843" s="12" t="s">
        <v>5172</v>
      </c>
      <c r="H1843" s="12" t="s">
        <v>5204</v>
      </c>
      <c r="I1843" s="12" t="s">
        <v>5226</v>
      </c>
      <c r="J1843" s="11" t="s">
        <v>1856</v>
      </c>
      <c r="K1843" s="11" t="s">
        <v>1852</v>
      </c>
      <c r="L1843" s="11" t="s">
        <v>1853</v>
      </c>
      <c r="M1843" s="11" t="s">
        <v>4176</v>
      </c>
      <c r="N1843" s="12"/>
      <c r="O1843" s="11" t="s">
        <v>1859</v>
      </c>
      <c r="P1843" s="56"/>
    </row>
    <row r="1844" spans="1:16" ht="15.75" customHeight="1" x14ac:dyDescent="0.2">
      <c r="A1844" s="49">
        <v>2600</v>
      </c>
      <c r="B1844" s="11" t="s">
        <v>1857</v>
      </c>
      <c r="C1844" s="11" t="s">
        <v>1849</v>
      </c>
      <c r="D1844" s="6" t="s">
        <v>1850</v>
      </c>
      <c r="E1844" s="11" t="s">
        <v>5168</v>
      </c>
      <c r="F1844" s="12" t="s">
        <v>5168</v>
      </c>
      <c r="G1844" s="12" t="s">
        <v>5217</v>
      </c>
      <c r="H1844" s="12" t="s">
        <v>5217</v>
      </c>
      <c r="I1844" s="12" t="s">
        <v>5227</v>
      </c>
      <c r="J1844" s="11" t="s">
        <v>1856</v>
      </c>
      <c r="K1844" s="11" t="s">
        <v>1852</v>
      </c>
      <c r="L1844" s="11" t="s">
        <v>1853</v>
      </c>
      <c r="M1844" s="11" t="s">
        <v>5228</v>
      </c>
      <c r="N1844" s="12"/>
      <c r="O1844" s="11" t="s">
        <v>1858</v>
      </c>
      <c r="P1844" s="56"/>
    </row>
    <row r="1845" spans="1:16" ht="15.75" customHeight="1" x14ac:dyDescent="0.2">
      <c r="A1845" s="49">
        <v>2484</v>
      </c>
      <c r="B1845" s="11" t="s">
        <v>1857</v>
      </c>
      <c r="C1845" s="11" t="s">
        <v>1849</v>
      </c>
      <c r="D1845" s="6" t="s">
        <v>1850</v>
      </c>
      <c r="E1845" s="11" t="s">
        <v>5168</v>
      </c>
      <c r="F1845" s="12" t="s">
        <v>5168</v>
      </c>
      <c r="G1845" s="12" t="s">
        <v>5169</v>
      </c>
      <c r="H1845" s="12" t="s">
        <v>5170</v>
      </c>
      <c r="I1845" s="12" t="s">
        <v>5229</v>
      </c>
      <c r="J1845" s="11" t="s">
        <v>1851</v>
      </c>
      <c r="K1845" s="11" t="s">
        <v>1852</v>
      </c>
      <c r="L1845" s="11" t="s">
        <v>1853</v>
      </c>
      <c r="M1845" s="11" t="s">
        <v>1861</v>
      </c>
      <c r="N1845" s="12"/>
      <c r="O1845" s="11" t="s">
        <v>1858</v>
      </c>
      <c r="P1845" s="56"/>
    </row>
    <row r="1846" spans="1:16" ht="15.75" customHeight="1" x14ac:dyDescent="0.2">
      <c r="A1846" s="49">
        <v>2707</v>
      </c>
      <c r="B1846" s="11" t="s">
        <v>1857</v>
      </c>
      <c r="C1846" s="11" t="s">
        <v>1849</v>
      </c>
      <c r="D1846" s="6" t="s">
        <v>1850</v>
      </c>
      <c r="E1846" s="11" t="s">
        <v>5168</v>
      </c>
      <c r="F1846" s="12" t="s">
        <v>5168</v>
      </c>
      <c r="G1846" s="12" t="s">
        <v>5230</v>
      </c>
      <c r="H1846" s="12" t="s">
        <v>5231</v>
      </c>
      <c r="I1846" s="12" t="s">
        <v>5232</v>
      </c>
      <c r="J1846" s="11" t="s">
        <v>1856</v>
      </c>
      <c r="K1846" s="11" t="s">
        <v>1852</v>
      </c>
      <c r="L1846" s="11" t="s">
        <v>1853</v>
      </c>
      <c r="M1846" s="11" t="s">
        <v>1861</v>
      </c>
      <c r="N1846" s="12"/>
      <c r="O1846" s="11" t="s">
        <v>1859</v>
      </c>
      <c r="P1846" s="56"/>
    </row>
    <row r="1847" spans="1:16" ht="15.75" customHeight="1" x14ac:dyDescent="0.2">
      <c r="A1847" s="49">
        <v>2488</v>
      </c>
      <c r="B1847" s="11" t="s">
        <v>1857</v>
      </c>
      <c r="C1847" s="11" t="s">
        <v>1849</v>
      </c>
      <c r="D1847" s="6" t="s">
        <v>1850</v>
      </c>
      <c r="E1847" s="11" t="s">
        <v>5168</v>
      </c>
      <c r="F1847" s="12" t="s">
        <v>5168</v>
      </c>
      <c r="G1847" s="12" t="s">
        <v>5169</v>
      </c>
      <c r="H1847" s="12" t="s">
        <v>5233</v>
      </c>
      <c r="I1847" s="12" t="s">
        <v>5234</v>
      </c>
      <c r="J1847" s="11" t="s">
        <v>1851</v>
      </c>
      <c r="K1847" s="11" t="s">
        <v>1852</v>
      </c>
      <c r="L1847" s="11" t="s">
        <v>1853</v>
      </c>
      <c r="M1847" s="11" t="s">
        <v>1861</v>
      </c>
      <c r="N1847" s="12"/>
      <c r="O1847" s="11" t="s">
        <v>1858</v>
      </c>
      <c r="P1847" s="56"/>
    </row>
    <row r="1848" spans="1:16" ht="15.75" customHeight="1" x14ac:dyDescent="0.2">
      <c r="A1848" s="49">
        <v>2468</v>
      </c>
      <c r="B1848" s="11" t="s">
        <v>1857</v>
      </c>
      <c r="C1848" s="11" t="s">
        <v>1849</v>
      </c>
      <c r="D1848" s="6" t="s">
        <v>1850</v>
      </c>
      <c r="E1848" s="11" t="s">
        <v>5168</v>
      </c>
      <c r="F1848" s="12" t="s">
        <v>5168</v>
      </c>
      <c r="G1848" s="12" t="s">
        <v>5169</v>
      </c>
      <c r="H1848" s="12" t="s">
        <v>5170</v>
      </c>
      <c r="I1848" s="12" t="s">
        <v>5235</v>
      </c>
      <c r="J1848" s="11" t="s">
        <v>1851</v>
      </c>
      <c r="K1848" s="11" t="s">
        <v>1852</v>
      </c>
      <c r="L1848" s="11" t="s">
        <v>1853</v>
      </c>
      <c r="M1848" s="11" t="s">
        <v>1861</v>
      </c>
      <c r="N1848" s="12"/>
      <c r="O1848" s="11" t="s">
        <v>1858</v>
      </c>
      <c r="P1848" s="56"/>
    </row>
    <row r="1849" spans="1:16" ht="15.75" customHeight="1" x14ac:dyDescent="0.2">
      <c r="A1849" s="49">
        <v>2496</v>
      </c>
      <c r="B1849" s="11" t="s">
        <v>1857</v>
      </c>
      <c r="C1849" s="11" t="s">
        <v>1849</v>
      </c>
      <c r="D1849" s="6" t="s">
        <v>1850</v>
      </c>
      <c r="E1849" s="11" t="s">
        <v>5168</v>
      </c>
      <c r="F1849" s="12" t="s">
        <v>5168</v>
      </c>
      <c r="G1849" s="12" t="s">
        <v>5169</v>
      </c>
      <c r="H1849" s="12" t="s">
        <v>5183</v>
      </c>
      <c r="I1849" s="12" t="s">
        <v>5236</v>
      </c>
      <c r="J1849" s="11" t="s">
        <v>1851</v>
      </c>
      <c r="K1849" s="11" t="s">
        <v>1852</v>
      </c>
      <c r="L1849" s="11" t="s">
        <v>1853</v>
      </c>
      <c r="M1849" s="11" t="s">
        <v>1861</v>
      </c>
      <c r="N1849" s="12"/>
      <c r="O1849" s="11" t="s">
        <v>1858</v>
      </c>
      <c r="P1849" s="56"/>
    </row>
    <row r="1850" spans="1:16" ht="15.75" customHeight="1" x14ac:dyDescent="0.2">
      <c r="A1850" s="49">
        <v>2694</v>
      </c>
      <c r="B1850" s="11" t="s">
        <v>1857</v>
      </c>
      <c r="C1850" s="11" t="s">
        <v>1849</v>
      </c>
      <c r="D1850" s="6" t="s">
        <v>1850</v>
      </c>
      <c r="E1850" s="11" t="s">
        <v>5168</v>
      </c>
      <c r="F1850" s="12" t="s">
        <v>5168</v>
      </c>
      <c r="G1850" s="12" t="s">
        <v>5175</v>
      </c>
      <c r="H1850" s="12" t="s">
        <v>5237</v>
      </c>
      <c r="I1850" s="12" t="s">
        <v>5238</v>
      </c>
      <c r="J1850" s="11" t="s">
        <v>1856</v>
      </c>
      <c r="K1850" s="11" t="s">
        <v>1852</v>
      </c>
      <c r="L1850" s="11" t="s">
        <v>1853</v>
      </c>
      <c r="M1850" s="11" t="s">
        <v>1854</v>
      </c>
      <c r="N1850" s="12"/>
      <c r="O1850" s="11" t="s">
        <v>1859</v>
      </c>
      <c r="P1850" s="56"/>
    </row>
    <row r="1851" spans="1:16" ht="15.75" customHeight="1" x14ac:dyDescent="0.2">
      <c r="A1851" s="49">
        <v>2664</v>
      </c>
      <c r="B1851" s="11" t="s">
        <v>1857</v>
      </c>
      <c r="C1851" s="11" t="s">
        <v>1849</v>
      </c>
      <c r="D1851" s="6" t="s">
        <v>1850</v>
      </c>
      <c r="E1851" s="11" t="s">
        <v>5168</v>
      </c>
      <c r="F1851" s="12" t="s">
        <v>5168</v>
      </c>
      <c r="G1851" s="12" t="s">
        <v>5175</v>
      </c>
      <c r="H1851" s="12" t="s">
        <v>5192</v>
      </c>
      <c r="I1851" s="12" t="s">
        <v>5239</v>
      </c>
      <c r="J1851" s="11" t="s">
        <v>1856</v>
      </c>
      <c r="K1851" s="11" t="s">
        <v>1852</v>
      </c>
      <c r="L1851" s="11" t="s">
        <v>1853</v>
      </c>
      <c r="M1851" s="11" t="s">
        <v>5240</v>
      </c>
      <c r="N1851" s="12"/>
      <c r="O1851" s="11" t="s">
        <v>1858</v>
      </c>
      <c r="P1851" s="56"/>
    </row>
    <row r="1852" spans="1:16" ht="15.75" customHeight="1" x14ac:dyDescent="0.2">
      <c r="A1852" s="49">
        <v>2499</v>
      </c>
      <c r="B1852" s="11" t="s">
        <v>1857</v>
      </c>
      <c r="C1852" s="11" t="s">
        <v>1849</v>
      </c>
      <c r="D1852" s="6" t="s">
        <v>1850</v>
      </c>
      <c r="E1852" s="11" t="s">
        <v>5168</v>
      </c>
      <c r="F1852" s="12" t="s">
        <v>5168</v>
      </c>
      <c r="G1852" s="12" t="s">
        <v>5197</v>
      </c>
      <c r="H1852" s="12" t="s">
        <v>5179</v>
      </c>
      <c r="I1852" s="12" t="s">
        <v>5241</v>
      </c>
      <c r="J1852" s="11" t="s">
        <v>1856</v>
      </c>
      <c r="K1852" s="11" t="s">
        <v>1852</v>
      </c>
      <c r="L1852" s="11" t="s">
        <v>1853</v>
      </c>
      <c r="M1852" s="11" t="s">
        <v>3696</v>
      </c>
      <c r="N1852" s="12"/>
      <c r="O1852" s="11" t="s">
        <v>1859</v>
      </c>
      <c r="P1852" s="56"/>
    </row>
    <row r="1853" spans="1:16" ht="15.75" customHeight="1" x14ac:dyDescent="0.2">
      <c r="A1853" s="49">
        <v>2602</v>
      </c>
      <c r="B1853" s="11" t="s">
        <v>1857</v>
      </c>
      <c r="C1853" s="11" t="s">
        <v>1849</v>
      </c>
      <c r="D1853" s="6" t="s">
        <v>1850</v>
      </c>
      <c r="E1853" s="11" t="s">
        <v>5168</v>
      </c>
      <c r="F1853" s="12" t="s">
        <v>5168</v>
      </c>
      <c r="G1853" s="12" t="s">
        <v>5217</v>
      </c>
      <c r="H1853" s="12" t="s">
        <v>5242</v>
      </c>
      <c r="I1853" s="12" t="s">
        <v>5243</v>
      </c>
      <c r="J1853" s="11" t="s">
        <v>1856</v>
      </c>
      <c r="K1853" s="11" t="s">
        <v>1852</v>
      </c>
      <c r="L1853" s="11" t="s">
        <v>1853</v>
      </c>
      <c r="M1853" s="11" t="s">
        <v>1854</v>
      </c>
      <c r="N1853" s="12"/>
      <c r="O1853" s="11" t="s">
        <v>1858</v>
      </c>
      <c r="P1853" s="56"/>
    </row>
    <row r="1854" spans="1:16" ht="15.75" customHeight="1" x14ac:dyDescent="0.2">
      <c r="A1854" s="49">
        <v>2583</v>
      </c>
      <c r="B1854" s="11" t="s">
        <v>1857</v>
      </c>
      <c r="C1854" s="11" t="s">
        <v>1849</v>
      </c>
      <c r="D1854" s="6" t="s">
        <v>1850</v>
      </c>
      <c r="E1854" s="11" t="s">
        <v>5168</v>
      </c>
      <c r="F1854" s="12" t="s">
        <v>5168</v>
      </c>
      <c r="G1854" s="12" t="s">
        <v>5172</v>
      </c>
      <c r="H1854" s="12" t="s">
        <v>5172</v>
      </c>
      <c r="I1854" s="12" t="s">
        <v>5244</v>
      </c>
      <c r="J1854" s="11" t="s">
        <v>1856</v>
      </c>
      <c r="K1854" s="11" t="s">
        <v>1852</v>
      </c>
      <c r="L1854" s="11" t="s">
        <v>1853</v>
      </c>
      <c r="M1854" s="11" t="s">
        <v>5245</v>
      </c>
      <c r="N1854" s="12"/>
      <c r="O1854" s="11" t="s">
        <v>1859</v>
      </c>
      <c r="P1854" s="56"/>
    </row>
    <row r="1855" spans="1:16" ht="15.75" customHeight="1" x14ac:dyDescent="0.2">
      <c r="A1855" s="49">
        <v>2630</v>
      </c>
      <c r="B1855" s="11" t="s">
        <v>1857</v>
      </c>
      <c r="C1855" s="11" t="s">
        <v>1849</v>
      </c>
      <c r="D1855" s="6" t="s">
        <v>1850</v>
      </c>
      <c r="E1855" s="11" t="s">
        <v>5168</v>
      </c>
      <c r="F1855" s="12" t="s">
        <v>5168</v>
      </c>
      <c r="G1855" s="12" t="s">
        <v>5217</v>
      </c>
      <c r="H1855" s="12" t="s">
        <v>3548</v>
      </c>
      <c r="I1855" s="12" t="s">
        <v>5246</v>
      </c>
      <c r="J1855" s="11" t="s">
        <v>1856</v>
      </c>
      <c r="K1855" s="11" t="s">
        <v>1852</v>
      </c>
      <c r="L1855" s="11" t="s">
        <v>1853</v>
      </c>
      <c r="M1855" s="11" t="s">
        <v>5247</v>
      </c>
      <c r="N1855" s="12"/>
      <c r="O1855" s="11" t="s">
        <v>1858</v>
      </c>
      <c r="P1855" s="56"/>
    </row>
    <row r="1856" spans="1:16" ht="15.75" customHeight="1" x14ac:dyDescent="0.2">
      <c r="A1856" s="49">
        <v>2570</v>
      </c>
      <c r="B1856" s="11" t="s">
        <v>1857</v>
      </c>
      <c r="C1856" s="11" t="s">
        <v>1849</v>
      </c>
      <c r="D1856" s="6" t="s">
        <v>1850</v>
      </c>
      <c r="E1856" s="11" t="s">
        <v>5168</v>
      </c>
      <c r="F1856" s="12" t="s">
        <v>5168</v>
      </c>
      <c r="G1856" s="12" t="s">
        <v>5172</v>
      </c>
      <c r="H1856" s="12" t="s">
        <v>5248</v>
      </c>
      <c r="I1856" s="12" t="s">
        <v>5249</v>
      </c>
      <c r="J1856" s="11" t="s">
        <v>1856</v>
      </c>
      <c r="K1856" s="11" t="s">
        <v>1852</v>
      </c>
      <c r="L1856" s="11" t="s">
        <v>1853</v>
      </c>
      <c r="M1856" s="11" t="s">
        <v>3972</v>
      </c>
      <c r="N1856" s="12"/>
      <c r="O1856" s="11" t="s">
        <v>2755</v>
      </c>
      <c r="P1856" s="56"/>
    </row>
    <row r="1857" spans="1:16" ht="15.75" customHeight="1" x14ac:dyDescent="0.2">
      <c r="A1857" s="49">
        <v>2639</v>
      </c>
      <c r="B1857" s="11" t="s">
        <v>1857</v>
      </c>
      <c r="C1857" s="11" t="s">
        <v>1849</v>
      </c>
      <c r="D1857" s="6" t="s">
        <v>1850</v>
      </c>
      <c r="E1857" s="11" t="s">
        <v>5168</v>
      </c>
      <c r="F1857" s="12" t="s">
        <v>5168</v>
      </c>
      <c r="G1857" s="12" t="s">
        <v>5217</v>
      </c>
      <c r="H1857" s="12" t="s">
        <v>5250</v>
      </c>
      <c r="I1857" s="12" t="s">
        <v>5251</v>
      </c>
      <c r="J1857" s="11" t="s">
        <v>1856</v>
      </c>
      <c r="K1857" s="11" t="s">
        <v>1852</v>
      </c>
      <c r="L1857" s="11" t="s">
        <v>1853</v>
      </c>
      <c r="M1857" s="11" t="s">
        <v>5252</v>
      </c>
      <c r="N1857" s="12"/>
      <c r="O1857" s="11" t="s">
        <v>1858</v>
      </c>
      <c r="P1857" s="56"/>
    </row>
    <row r="1858" spans="1:16" ht="15.75" customHeight="1" x14ac:dyDescent="0.2">
      <c r="A1858" s="49">
        <v>2638</v>
      </c>
      <c r="B1858" s="11" t="s">
        <v>1857</v>
      </c>
      <c r="C1858" s="11" t="s">
        <v>1849</v>
      </c>
      <c r="D1858" s="6" t="s">
        <v>1850</v>
      </c>
      <c r="E1858" s="11" t="s">
        <v>5168</v>
      </c>
      <c r="F1858" s="12" t="s">
        <v>5168</v>
      </c>
      <c r="G1858" s="12" t="s">
        <v>5217</v>
      </c>
      <c r="H1858" s="12" t="s">
        <v>5250</v>
      </c>
      <c r="I1858" s="12" t="s">
        <v>5253</v>
      </c>
      <c r="J1858" s="11" t="s">
        <v>1856</v>
      </c>
      <c r="K1858" s="11" t="s">
        <v>1852</v>
      </c>
      <c r="L1858" s="11" t="s">
        <v>1853</v>
      </c>
      <c r="M1858" s="11" t="s">
        <v>2276</v>
      </c>
      <c r="N1858" s="12"/>
      <c r="O1858" s="11" t="s">
        <v>1858</v>
      </c>
      <c r="P1858" s="56"/>
    </row>
    <row r="1859" spans="1:16" ht="15.75" customHeight="1" x14ac:dyDescent="0.2">
      <c r="A1859" s="49">
        <v>2610</v>
      </c>
      <c r="B1859" s="11" t="s">
        <v>1857</v>
      </c>
      <c r="C1859" s="11" t="s">
        <v>1849</v>
      </c>
      <c r="D1859" s="6" t="s">
        <v>1850</v>
      </c>
      <c r="E1859" s="11" t="s">
        <v>5168</v>
      </c>
      <c r="F1859" s="12" t="s">
        <v>5168</v>
      </c>
      <c r="G1859" s="12" t="s">
        <v>5217</v>
      </c>
      <c r="H1859" s="12" t="s">
        <v>5254</v>
      </c>
      <c r="I1859" s="12" t="s">
        <v>5255</v>
      </c>
      <c r="J1859" s="11" t="s">
        <v>1856</v>
      </c>
      <c r="K1859" s="11" t="s">
        <v>1852</v>
      </c>
      <c r="L1859" s="11" t="s">
        <v>1853</v>
      </c>
      <c r="M1859" s="11" t="s">
        <v>3696</v>
      </c>
      <c r="N1859" s="12"/>
      <c r="O1859" s="11" t="s">
        <v>1859</v>
      </c>
      <c r="P1859" s="56"/>
    </row>
    <row r="1860" spans="1:16" ht="15.75" customHeight="1" x14ac:dyDescent="0.2">
      <c r="A1860" s="49">
        <v>2690</v>
      </c>
      <c r="B1860" s="11" t="s">
        <v>1857</v>
      </c>
      <c r="C1860" s="11" t="s">
        <v>1849</v>
      </c>
      <c r="D1860" s="6" t="s">
        <v>1850</v>
      </c>
      <c r="E1860" s="11" t="s">
        <v>5168</v>
      </c>
      <c r="F1860" s="12" t="s">
        <v>5168</v>
      </c>
      <c r="G1860" s="12" t="s">
        <v>5175</v>
      </c>
      <c r="H1860" s="12" t="s">
        <v>5237</v>
      </c>
      <c r="I1860" s="12" t="s">
        <v>5256</v>
      </c>
      <c r="J1860" s="11" t="s">
        <v>1856</v>
      </c>
      <c r="K1860" s="11" t="s">
        <v>1852</v>
      </c>
      <c r="L1860" s="11" t="s">
        <v>1853</v>
      </c>
      <c r="M1860" s="11" t="s">
        <v>5257</v>
      </c>
      <c r="N1860" s="12"/>
      <c r="O1860" s="11" t="s">
        <v>1859</v>
      </c>
      <c r="P1860" s="56"/>
    </row>
    <row r="1861" spans="1:16" ht="15.75" customHeight="1" x14ac:dyDescent="0.2">
      <c r="A1861" s="49">
        <v>2671</v>
      </c>
      <c r="B1861" s="11" t="s">
        <v>1857</v>
      </c>
      <c r="C1861" s="11" t="s">
        <v>1849</v>
      </c>
      <c r="D1861" s="6" t="s">
        <v>1850</v>
      </c>
      <c r="E1861" s="11" t="s">
        <v>5168</v>
      </c>
      <c r="F1861" s="12" t="s">
        <v>5168</v>
      </c>
      <c r="G1861" s="12" t="s">
        <v>5175</v>
      </c>
      <c r="H1861" s="12" t="s">
        <v>5258</v>
      </c>
      <c r="I1861" s="12" t="s">
        <v>5259</v>
      </c>
      <c r="J1861" s="11" t="s">
        <v>1856</v>
      </c>
      <c r="K1861" s="11" t="s">
        <v>1852</v>
      </c>
      <c r="L1861" s="11" t="s">
        <v>1853</v>
      </c>
      <c r="M1861" s="11" t="s">
        <v>5260</v>
      </c>
      <c r="N1861" s="12"/>
      <c r="O1861" s="11" t="s">
        <v>1858</v>
      </c>
      <c r="P1861" s="56"/>
    </row>
    <row r="1862" spans="1:16" ht="15.75" customHeight="1" x14ac:dyDescent="0.2">
      <c r="A1862" s="49">
        <v>2611</v>
      </c>
      <c r="B1862" s="11" t="s">
        <v>1857</v>
      </c>
      <c r="C1862" s="11" t="s">
        <v>1849</v>
      </c>
      <c r="D1862" s="6" t="s">
        <v>1850</v>
      </c>
      <c r="E1862" s="11" t="s">
        <v>5168</v>
      </c>
      <c r="F1862" s="12" t="s">
        <v>5168</v>
      </c>
      <c r="G1862" s="12" t="s">
        <v>5217</v>
      </c>
      <c r="H1862" s="12" t="s">
        <v>5242</v>
      </c>
      <c r="I1862" s="12" t="s">
        <v>5261</v>
      </c>
      <c r="J1862" s="11" t="s">
        <v>1856</v>
      </c>
      <c r="K1862" s="11" t="s">
        <v>1852</v>
      </c>
      <c r="L1862" s="11" t="s">
        <v>1853</v>
      </c>
      <c r="M1862" s="11" t="s">
        <v>2549</v>
      </c>
      <c r="N1862" s="12"/>
      <c r="O1862" s="11" t="s">
        <v>1859</v>
      </c>
      <c r="P1862" s="56"/>
    </row>
    <row r="1863" spans="1:16" ht="15.75" customHeight="1" x14ac:dyDescent="0.2">
      <c r="A1863" s="49">
        <v>2612</v>
      </c>
      <c r="B1863" s="11" t="s">
        <v>1857</v>
      </c>
      <c r="C1863" s="11" t="s">
        <v>1849</v>
      </c>
      <c r="D1863" s="6" t="s">
        <v>1850</v>
      </c>
      <c r="E1863" s="11" t="s">
        <v>5168</v>
      </c>
      <c r="F1863" s="12" t="s">
        <v>5168</v>
      </c>
      <c r="G1863" s="12" t="s">
        <v>5217</v>
      </c>
      <c r="H1863" s="12" t="s">
        <v>5262</v>
      </c>
      <c r="I1863" s="12" t="s">
        <v>5263</v>
      </c>
      <c r="J1863" s="11" t="s">
        <v>1856</v>
      </c>
      <c r="K1863" s="11" t="s">
        <v>1852</v>
      </c>
      <c r="L1863" s="11" t="s">
        <v>1853</v>
      </c>
      <c r="M1863" s="11" t="s">
        <v>3088</v>
      </c>
      <c r="N1863" s="12"/>
      <c r="O1863" s="11" t="s">
        <v>1858</v>
      </c>
      <c r="P1863" s="56"/>
    </row>
    <row r="1864" spans="1:16" ht="15.75" customHeight="1" x14ac:dyDescent="0.2">
      <c r="A1864" s="49">
        <v>2564</v>
      </c>
      <c r="B1864" s="11" t="s">
        <v>1857</v>
      </c>
      <c r="C1864" s="11" t="s">
        <v>1849</v>
      </c>
      <c r="D1864" s="6" t="s">
        <v>1850</v>
      </c>
      <c r="E1864" s="11" t="s">
        <v>5168</v>
      </c>
      <c r="F1864" s="12" t="s">
        <v>5168</v>
      </c>
      <c r="G1864" s="12" t="s">
        <v>5172</v>
      </c>
      <c r="H1864" s="12" t="s">
        <v>5264</v>
      </c>
      <c r="I1864" s="12" t="s">
        <v>5265</v>
      </c>
      <c r="J1864" s="11" t="s">
        <v>1856</v>
      </c>
      <c r="K1864" s="11" t="s">
        <v>1852</v>
      </c>
      <c r="L1864" s="11" t="s">
        <v>1853</v>
      </c>
      <c r="M1864" s="11" t="s">
        <v>1854</v>
      </c>
      <c r="N1864" s="12"/>
      <c r="O1864" s="11" t="s">
        <v>1858</v>
      </c>
      <c r="P1864" s="56"/>
    </row>
    <row r="1865" spans="1:16" ht="15.75" customHeight="1" x14ac:dyDescent="0.2">
      <c r="A1865" s="49">
        <v>2575</v>
      </c>
      <c r="B1865" s="11" t="s">
        <v>1857</v>
      </c>
      <c r="C1865" s="11" t="s">
        <v>1849</v>
      </c>
      <c r="D1865" s="6" t="s">
        <v>1850</v>
      </c>
      <c r="E1865" s="11" t="s">
        <v>5168</v>
      </c>
      <c r="F1865" s="12" t="s">
        <v>5168</v>
      </c>
      <c r="G1865" s="12" t="s">
        <v>5172</v>
      </c>
      <c r="H1865" s="12" t="s">
        <v>5248</v>
      </c>
      <c r="I1865" s="12" t="s">
        <v>5266</v>
      </c>
      <c r="J1865" s="11" t="s">
        <v>1856</v>
      </c>
      <c r="K1865" s="11" t="s">
        <v>1852</v>
      </c>
      <c r="L1865" s="11" t="s">
        <v>1853</v>
      </c>
      <c r="M1865" s="11" t="s">
        <v>1854</v>
      </c>
      <c r="N1865" s="12"/>
      <c r="O1865" s="11" t="s">
        <v>1859</v>
      </c>
      <c r="P1865" s="56"/>
    </row>
    <row r="1866" spans="1:16" ht="15.75" customHeight="1" x14ac:dyDescent="0.2">
      <c r="A1866" s="48">
        <v>2559</v>
      </c>
      <c r="B1866" s="11" t="s">
        <v>1857</v>
      </c>
      <c r="C1866" s="11" t="s">
        <v>1849</v>
      </c>
      <c r="D1866" s="6" t="s">
        <v>1850</v>
      </c>
      <c r="E1866" s="11" t="s">
        <v>5168</v>
      </c>
      <c r="F1866" s="12" t="s">
        <v>5168</v>
      </c>
      <c r="G1866" s="12" t="s">
        <v>5172</v>
      </c>
      <c r="H1866" s="12" t="s">
        <v>5267</v>
      </c>
      <c r="I1866" s="12" t="s">
        <v>5268</v>
      </c>
      <c r="J1866" s="11" t="s">
        <v>1856</v>
      </c>
      <c r="K1866" s="11" t="s">
        <v>1852</v>
      </c>
      <c r="L1866" s="11" t="s">
        <v>1853</v>
      </c>
      <c r="M1866" s="11" t="s">
        <v>5269</v>
      </c>
      <c r="N1866" s="12"/>
      <c r="O1866" s="11" t="s">
        <v>1859</v>
      </c>
      <c r="P1866" s="56"/>
    </row>
    <row r="1867" spans="1:16" ht="15.75" customHeight="1" x14ac:dyDescent="0.2">
      <c r="A1867" s="49">
        <v>2573</v>
      </c>
      <c r="B1867" s="11" t="s">
        <v>1857</v>
      </c>
      <c r="C1867" s="11" t="s">
        <v>1849</v>
      </c>
      <c r="D1867" s="6" t="s">
        <v>1850</v>
      </c>
      <c r="E1867" s="11" t="s">
        <v>5168</v>
      </c>
      <c r="F1867" s="12" t="s">
        <v>5168</v>
      </c>
      <c r="G1867" s="12" t="s">
        <v>5172</v>
      </c>
      <c r="H1867" s="12" t="s">
        <v>5270</v>
      </c>
      <c r="I1867" s="12" t="s">
        <v>5271</v>
      </c>
      <c r="J1867" s="11" t="s">
        <v>1856</v>
      </c>
      <c r="K1867" s="11" t="s">
        <v>1852</v>
      </c>
      <c r="L1867" s="11" t="s">
        <v>1853</v>
      </c>
      <c r="M1867" s="11" t="s">
        <v>2276</v>
      </c>
      <c r="N1867" s="12"/>
      <c r="O1867" s="11" t="s">
        <v>1859</v>
      </c>
      <c r="P1867" s="56"/>
    </row>
    <row r="1868" spans="1:16" ht="15.75" customHeight="1" x14ac:dyDescent="0.2">
      <c r="A1868" s="49">
        <v>2525</v>
      </c>
      <c r="B1868" s="11" t="s">
        <v>1857</v>
      </c>
      <c r="C1868" s="11" t="s">
        <v>1849</v>
      </c>
      <c r="D1868" s="6" t="s">
        <v>1850</v>
      </c>
      <c r="E1868" s="11" t="s">
        <v>5168</v>
      </c>
      <c r="F1868" s="12" t="s">
        <v>5168</v>
      </c>
      <c r="G1868" s="12" t="s">
        <v>5197</v>
      </c>
      <c r="H1868" s="12" t="s">
        <v>5272</v>
      </c>
      <c r="I1868" s="12" t="s">
        <v>4377</v>
      </c>
      <c r="J1868" s="11" t="s">
        <v>1856</v>
      </c>
      <c r="K1868" s="11" t="s">
        <v>1852</v>
      </c>
      <c r="L1868" s="11" t="s">
        <v>1853</v>
      </c>
      <c r="M1868" s="11" t="s">
        <v>3639</v>
      </c>
      <c r="N1868" s="12"/>
      <c r="O1868" s="11" t="s">
        <v>1859</v>
      </c>
      <c r="P1868" s="56"/>
    </row>
    <row r="1869" spans="1:16" ht="15.75" customHeight="1" x14ac:dyDescent="0.2">
      <c r="A1869" s="49">
        <v>2549</v>
      </c>
      <c r="B1869" s="11" t="s">
        <v>1857</v>
      </c>
      <c r="C1869" s="11" t="s">
        <v>1849</v>
      </c>
      <c r="D1869" s="6" t="s">
        <v>1850</v>
      </c>
      <c r="E1869" s="11" t="s">
        <v>5168</v>
      </c>
      <c r="F1869" s="12" t="s">
        <v>5168</v>
      </c>
      <c r="G1869" s="12" t="s">
        <v>5172</v>
      </c>
      <c r="H1869" s="12" t="s">
        <v>5248</v>
      </c>
      <c r="I1869" s="12" t="s">
        <v>5273</v>
      </c>
      <c r="J1869" s="11" t="s">
        <v>1856</v>
      </c>
      <c r="K1869" s="11" t="s">
        <v>1852</v>
      </c>
      <c r="L1869" s="11" t="s">
        <v>1853</v>
      </c>
      <c r="M1869" s="11" t="s">
        <v>5274</v>
      </c>
      <c r="N1869" s="12"/>
      <c r="O1869" s="11" t="s">
        <v>1859</v>
      </c>
      <c r="P1869" s="56"/>
    </row>
    <row r="1870" spans="1:16" ht="15.75" customHeight="1" x14ac:dyDescent="0.2">
      <c r="A1870" s="49">
        <v>2518</v>
      </c>
      <c r="B1870" s="11" t="s">
        <v>1857</v>
      </c>
      <c r="C1870" s="11" t="s">
        <v>1849</v>
      </c>
      <c r="D1870" s="6" t="s">
        <v>1850</v>
      </c>
      <c r="E1870" s="11" t="s">
        <v>5168</v>
      </c>
      <c r="F1870" s="12" t="s">
        <v>5168</v>
      </c>
      <c r="G1870" s="12" t="s">
        <v>5197</v>
      </c>
      <c r="H1870" s="12" t="s">
        <v>5275</v>
      </c>
      <c r="I1870" s="12" t="s">
        <v>4092</v>
      </c>
      <c r="J1870" s="11" t="s">
        <v>1856</v>
      </c>
      <c r="K1870" s="11" t="s">
        <v>1852</v>
      </c>
      <c r="L1870" s="11" t="s">
        <v>1853</v>
      </c>
      <c r="M1870" s="12" t="s">
        <v>5276</v>
      </c>
      <c r="N1870" s="11" t="s">
        <v>5277</v>
      </c>
      <c r="O1870" s="11" t="s">
        <v>1858</v>
      </c>
      <c r="P1870" s="56"/>
    </row>
    <row r="1871" spans="1:16" ht="15.75" customHeight="1" x14ac:dyDescent="0.2">
      <c r="A1871" s="49">
        <v>2665</v>
      </c>
      <c r="B1871" s="11" t="s">
        <v>1857</v>
      </c>
      <c r="C1871" s="11" t="s">
        <v>1849</v>
      </c>
      <c r="D1871" s="6" t="s">
        <v>1850</v>
      </c>
      <c r="E1871" s="11" t="s">
        <v>5168</v>
      </c>
      <c r="F1871" s="12" t="s">
        <v>5168</v>
      </c>
      <c r="G1871" s="12" t="s">
        <v>5175</v>
      </c>
      <c r="H1871" s="12" t="s">
        <v>5192</v>
      </c>
      <c r="I1871" s="12" t="s">
        <v>5278</v>
      </c>
      <c r="J1871" s="11" t="s">
        <v>1856</v>
      </c>
      <c r="K1871" s="11" t="s">
        <v>1852</v>
      </c>
      <c r="L1871" s="11" t="s">
        <v>1853</v>
      </c>
      <c r="M1871" s="11" t="s">
        <v>4921</v>
      </c>
      <c r="N1871" s="12"/>
      <c r="O1871" s="11" t="s">
        <v>1858</v>
      </c>
      <c r="P1871" s="56"/>
    </row>
    <row r="1872" spans="1:16" ht="15.75" customHeight="1" x14ac:dyDescent="0.2">
      <c r="A1872" s="49">
        <v>2682</v>
      </c>
      <c r="B1872" s="11" t="s">
        <v>1857</v>
      </c>
      <c r="C1872" s="11" t="s">
        <v>1849</v>
      </c>
      <c r="D1872" s="6" t="s">
        <v>1850</v>
      </c>
      <c r="E1872" s="11" t="s">
        <v>5168</v>
      </c>
      <c r="F1872" s="12" t="s">
        <v>5168</v>
      </c>
      <c r="G1872" s="12" t="s">
        <v>5175</v>
      </c>
      <c r="H1872" s="12" t="s">
        <v>5279</v>
      </c>
      <c r="I1872" s="12" t="s">
        <v>5280</v>
      </c>
      <c r="J1872" s="11" t="s">
        <v>1856</v>
      </c>
      <c r="K1872" s="11" t="s">
        <v>1852</v>
      </c>
      <c r="L1872" s="11" t="s">
        <v>1853</v>
      </c>
      <c r="M1872" s="11" t="s">
        <v>1854</v>
      </c>
      <c r="N1872" s="12"/>
      <c r="O1872" s="11" t="s">
        <v>1858</v>
      </c>
      <c r="P1872" s="56"/>
    </row>
    <row r="1873" spans="1:16" ht="15.75" customHeight="1" x14ac:dyDescent="0.2">
      <c r="A1873" s="49">
        <v>2693</v>
      </c>
      <c r="B1873" s="11" t="s">
        <v>1857</v>
      </c>
      <c r="C1873" s="11" t="s">
        <v>1849</v>
      </c>
      <c r="D1873" s="6" t="s">
        <v>1850</v>
      </c>
      <c r="E1873" s="11" t="s">
        <v>5168</v>
      </c>
      <c r="F1873" s="12" t="s">
        <v>5168</v>
      </c>
      <c r="G1873" s="12" t="s">
        <v>5175</v>
      </c>
      <c r="H1873" s="12" t="s">
        <v>5237</v>
      </c>
      <c r="I1873" s="12" t="s">
        <v>5281</v>
      </c>
      <c r="J1873" s="11" t="s">
        <v>1856</v>
      </c>
      <c r="K1873" s="11" t="s">
        <v>1852</v>
      </c>
      <c r="L1873" s="11" t="s">
        <v>1853</v>
      </c>
      <c r="M1873" s="11" t="s">
        <v>1854</v>
      </c>
      <c r="N1873" s="12"/>
      <c r="O1873" s="11" t="s">
        <v>1859</v>
      </c>
      <c r="P1873" s="56"/>
    </row>
    <row r="1874" spans="1:16" ht="15.75" customHeight="1" x14ac:dyDescent="0.2">
      <c r="A1874" s="49">
        <v>2535</v>
      </c>
      <c r="B1874" s="11" t="s">
        <v>1857</v>
      </c>
      <c r="C1874" s="11" t="s">
        <v>1849</v>
      </c>
      <c r="D1874" s="6" t="s">
        <v>1850</v>
      </c>
      <c r="E1874" s="11" t="s">
        <v>5168</v>
      </c>
      <c r="F1874" s="12" t="s">
        <v>5168</v>
      </c>
      <c r="G1874" s="12" t="s">
        <v>5197</v>
      </c>
      <c r="H1874" s="12" t="s">
        <v>5282</v>
      </c>
      <c r="I1874" s="12" t="s">
        <v>4182</v>
      </c>
      <c r="J1874" s="11" t="s">
        <v>1856</v>
      </c>
      <c r="K1874" s="11" t="s">
        <v>1852</v>
      </c>
      <c r="L1874" s="11" t="s">
        <v>1853</v>
      </c>
      <c r="M1874" s="11" t="s">
        <v>4176</v>
      </c>
      <c r="N1874" s="12"/>
      <c r="O1874" s="11" t="s">
        <v>1858</v>
      </c>
      <c r="P1874" s="56"/>
    </row>
    <row r="1875" spans="1:16" ht="15.75" customHeight="1" x14ac:dyDescent="0.2">
      <c r="A1875" s="49">
        <v>2541</v>
      </c>
      <c r="B1875" s="11" t="s">
        <v>1857</v>
      </c>
      <c r="C1875" s="11" t="s">
        <v>1849</v>
      </c>
      <c r="D1875" s="6" t="s">
        <v>1850</v>
      </c>
      <c r="E1875" s="11" t="s">
        <v>5168</v>
      </c>
      <c r="F1875" s="12" t="s">
        <v>5168</v>
      </c>
      <c r="G1875" s="12" t="s">
        <v>5197</v>
      </c>
      <c r="H1875" s="12" t="s">
        <v>5283</v>
      </c>
      <c r="I1875" s="12" t="s">
        <v>5284</v>
      </c>
      <c r="J1875" s="11" t="s">
        <v>1856</v>
      </c>
      <c r="K1875" s="11" t="s">
        <v>1852</v>
      </c>
      <c r="L1875" s="11" t="s">
        <v>1853</v>
      </c>
      <c r="M1875" s="11" t="s">
        <v>5285</v>
      </c>
      <c r="N1875" s="12"/>
      <c r="O1875" s="11" t="s">
        <v>1859</v>
      </c>
      <c r="P1875" s="56"/>
    </row>
    <row r="1876" spans="1:16" ht="15.75" customHeight="1" x14ac:dyDescent="0.2">
      <c r="A1876" s="49">
        <v>2604</v>
      </c>
      <c r="B1876" s="11" t="s">
        <v>1857</v>
      </c>
      <c r="C1876" s="11" t="s">
        <v>1849</v>
      </c>
      <c r="D1876" s="6" t="s">
        <v>1850</v>
      </c>
      <c r="E1876" s="11" t="s">
        <v>5168</v>
      </c>
      <c r="F1876" s="12" t="s">
        <v>5168</v>
      </c>
      <c r="G1876" s="12" t="s">
        <v>5217</v>
      </c>
      <c r="H1876" s="12" t="s">
        <v>5242</v>
      </c>
      <c r="I1876" s="12" t="s">
        <v>5286</v>
      </c>
      <c r="J1876" s="11" t="s">
        <v>1856</v>
      </c>
      <c r="K1876" s="11" t="s">
        <v>1852</v>
      </c>
      <c r="L1876" s="11" t="s">
        <v>1853</v>
      </c>
      <c r="M1876" s="11" t="s">
        <v>5287</v>
      </c>
      <c r="N1876" s="12"/>
      <c r="O1876" s="11" t="s">
        <v>1859</v>
      </c>
      <c r="P1876" s="56"/>
    </row>
    <row r="1877" spans="1:16" ht="15.75" customHeight="1" x14ac:dyDescent="0.2">
      <c r="A1877" s="49">
        <v>2598</v>
      </c>
      <c r="B1877" s="11" t="s">
        <v>1857</v>
      </c>
      <c r="C1877" s="11" t="s">
        <v>1849</v>
      </c>
      <c r="D1877" s="6" t="s">
        <v>1850</v>
      </c>
      <c r="E1877" s="11" t="s">
        <v>5168</v>
      </c>
      <c r="F1877" s="12" t="s">
        <v>5168</v>
      </c>
      <c r="G1877" s="12" t="s">
        <v>5217</v>
      </c>
      <c r="H1877" s="12" t="s">
        <v>5217</v>
      </c>
      <c r="I1877" s="12" t="s">
        <v>5288</v>
      </c>
      <c r="J1877" s="11" t="s">
        <v>1856</v>
      </c>
      <c r="K1877" s="11" t="s">
        <v>1852</v>
      </c>
      <c r="L1877" s="11" t="s">
        <v>1853</v>
      </c>
      <c r="M1877" s="11" t="s">
        <v>5289</v>
      </c>
      <c r="N1877" s="12"/>
      <c r="O1877" s="11" t="s">
        <v>1858</v>
      </c>
      <c r="P1877" s="56"/>
    </row>
    <row r="1878" spans="1:16" ht="15.75" customHeight="1" x14ac:dyDescent="0.2">
      <c r="A1878" s="49">
        <v>2587</v>
      </c>
      <c r="B1878" s="11" t="s">
        <v>1857</v>
      </c>
      <c r="C1878" s="11" t="s">
        <v>1849</v>
      </c>
      <c r="D1878" s="6" t="s">
        <v>1850</v>
      </c>
      <c r="E1878" s="11" t="s">
        <v>5168</v>
      </c>
      <c r="F1878" s="12" t="s">
        <v>5168</v>
      </c>
      <c r="G1878" s="12" t="s">
        <v>5217</v>
      </c>
      <c r="H1878" s="12" t="s">
        <v>5217</v>
      </c>
      <c r="I1878" s="12" t="s">
        <v>5290</v>
      </c>
      <c r="J1878" s="11" t="s">
        <v>1856</v>
      </c>
      <c r="K1878" s="11" t="s">
        <v>1852</v>
      </c>
      <c r="L1878" s="11" t="s">
        <v>1853</v>
      </c>
      <c r="M1878" s="11" t="s">
        <v>3894</v>
      </c>
      <c r="N1878" s="12"/>
      <c r="O1878" s="11" t="s">
        <v>1858</v>
      </c>
      <c r="P1878" s="56"/>
    </row>
    <row r="1879" spans="1:16" ht="15.75" customHeight="1" x14ac:dyDescent="0.2">
      <c r="A1879" s="49">
        <v>2560</v>
      </c>
      <c r="B1879" s="11" t="s">
        <v>1857</v>
      </c>
      <c r="C1879" s="11" t="s">
        <v>1849</v>
      </c>
      <c r="D1879" s="6" t="s">
        <v>1850</v>
      </c>
      <c r="E1879" s="11" t="s">
        <v>5168</v>
      </c>
      <c r="F1879" s="12" t="s">
        <v>5168</v>
      </c>
      <c r="G1879" s="12" t="s">
        <v>5172</v>
      </c>
      <c r="H1879" s="12" t="s">
        <v>5267</v>
      </c>
      <c r="I1879" s="12" t="s">
        <v>5291</v>
      </c>
      <c r="J1879" s="11" t="s">
        <v>1856</v>
      </c>
      <c r="K1879" s="11" t="s">
        <v>1852</v>
      </c>
      <c r="L1879" s="11" t="s">
        <v>1853</v>
      </c>
      <c r="M1879" s="11" t="s">
        <v>5292</v>
      </c>
      <c r="N1879" s="12"/>
      <c r="O1879" s="11" t="s">
        <v>1858</v>
      </c>
      <c r="P1879" s="56"/>
    </row>
    <row r="1880" spans="1:16" ht="15.75" customHeight="1" x14ac:dyDescent="0.2">
      <c r="A1880" s="49">
        <v>2513</v>
      </c>
      <c r="B1880" s="11" t="s">
        <v>1857</v>
      </c>
      <c r="C1880" s="11" t="s">
        <v>1849</v>
      </c>
      <c r="D1880" s="6" t="s">
        <v>1850</v>
      </c>
      <c r="E1880" s="11" t="s">
        <v>5168</v>
      </c>
      <c r="F1880" s="12" t="s">
        <v>5168</v>
      </c>
      <c r="G1880" s="12" t="s">
        <v>5197</v>
      </c>
      <c r="H1880" s="12" t="s">
        <v>5198</v>
      </c>
      <c r="I1880" s="12" t="s">
        <v>5293</v>
      </c>
      <c r="J1880" s="11" t="s">
        <v>1856</v>
      </c>
      <c r="K1880" s="11" t="s">
        <v>1852</v>
      </c>
      <c r="L1880" s="11" t="s">
        <v>1853</v>
      </c>
      <c r="M1880" s="11" t="s">
        <v>5294</v>
      </c>
      <c r="N1880" s="12" t="s">
        <v>5295</v>
      </c>
      <c r="O1880" s="11" t="s">
        <v>1859</v>
      </c>
      <c r="P1880" s="56"/>
    </row>
    <row r="1881" spans="1:16" ht="15.75" customHeight="1" x14ac:dyDescent="0.2">
      <c r="A1881" s="49">
        <v>2668</v>
      </c>
      <c r="B1881" s="11" t="s">
        <v>1857</v>
      </c>
      <c r="C1881" s="11" t="s">
        <v>1849</v>
      </c>
      <c r="D1881" s="6" t="s">
        <v>1850</v>
      </c>
      <c r="E1881" s="11" t="s">
        <v>5168</v>
      </c>
      <c r="F1881" s="12" t="s">
        <v>5168</v>
      </c>
      <c r="G1881" s="12" t="s">
        <v>5175</v>
      </c>
      <c r="H1881" s="12" t="s">
        <v>5296</v>
      </c>
      <c r="I1881" s="12" t="s">
        <v>5297</v>
      </c>
      <c r="J1881" s="11" t="s">
        <v>1856</v>
      </c>
      <c r="K1881" s="11" t="s">
        <v>1852</v>
      </c>
      <c r="L1881" s="11" t="s">
        <v>1853</v>
      </c>
      <c r="M1881" s="11" t="s">
        <v>1854</v>
      </c>
      <c r="N1881" s="12"/>
      <c r="O1881" s="11" t="s">
        <v>1858</v>
      </c>
      <c r="P1881" s="56"/>
    </row>
    <row r="1882" spans="1:16" ht="15.75" customHeight="1" x14ac:dyDescent="0.2">
      <c r="A1882" s="49">
        <v>2553</v>
      </c>
      <c r="B1882" s="11" t="s">
        <v>1857</v>
      </c>
      <c r="C1882" s="11" t="s">
        <v>1849</v>
      </c>
      <c r="D1882" s="6" t="s">
        <v>1850</v>
      </c>
      <c r="E1882" s="11" t="s">
        <v>5168</v>
      </c>
      <c r="F1882" s="12" t="s">
        <v>5168</v>
      </c>
      <c r="G1882" s="12" t="s">
        <v>5172</v>
      </c>
      <c r="H1882" s="12" t="s">
        <v>5248</v>
      </c>
      <c r="I1882" s="12" t="s">
        <v>5298</v>
      </c>
      <c r="J1882" s="11" t="s">
        <v>1856</v>
      </c>
      <c r="K1882" s="11" t="s">
        <v>1852</v>
      </c>
      <c r="L1882" s="11" t="s">
        <v>1853</v>
      </c>
      <c r="M1882" s="11" t="s">
        <v>1854</v>
      </c>
      <c r="N1882" s="12"/>
      <c r="O1882" s="11" t="s">
        <v>1859</v>
      </c>
      <c r="P1882" s="56"/>
    </row>
    <row r="1883" spans="1:16" ht="15.75" customHeight="1" x14ac:dyDescent="0.2">
      <c r="A1883" s="49">
        <v>2520</v>
      </c>
      <c r="B1883" s="11" t="s">
        <v>1857</v>
      </c>
      <c r="C1883" s="11" t="s">
        <v>1849</v>
      </c>
      <c r="D1883" s="6" t="s">
        <v>1850</v>
      </c>
      <c r="E1883" s="11" t="s">
        <v>5168</v>
      </c>
      <c r="F1883" s="12" t="s">
        <v>5168</v>
      </c>
      <c r="G1883" s="12" t="s">
        <v>5197</v>
      </c>
      <c r="H1883" s="12" t="s">
        <v>5272</v>
      </c>
      <c r="I1883" s="12" t="s">
        <v>5299</v>
      </c>
      <c r="J1883" s="11" t="s">
        <v>1856</v>
      </c>
      <c r="K1883" s="11" t="s">
        <v>1852</v>
      </c>
      <c r="L1883" s="11" t="s">
        <v>1853</v>
      </c>
      <c r="M1883" s="11" t="s">
        <v>2474</v>
      </c>
      <c r="N1883" s="12"/>
      <c r="O1883" s="11" t="s">
        <v>1858</v>
      </c>
      <c r="P1883" s="56"/>
    </row>
    <row r="1884" spans="1:16" ht="15.75" customHeight="1" x14ac:dyDescent="0.2">
      <c r="A1884" s="49">
        <v>2637</v>
      </c>
      <c r="B1884" s="11" t="s">
        <v>1857</v>
      </c>
      <c r="C1884" s="11" t="s">
        <v>1849</v>
      </c>
      <c r="D1884" s="6" t="s">
        <v>1850</v>
      </c>
      <c r="E1884" s="11" t="s">
        <v>5168</v>
      </c>
      <c r="F1884" s="12" t="s">
        <v>5168</v>
      </c>
      <c r="G1884" s="12" t="s">
        <v>5217</v>
      </c>
      <c r="H1884" s="12" t="s">
        <v>5250</v>
      </c>
      <c r="I1884" s="12" t="s">
        <v>5300</v>
      </c>
      <c r="J1884" s="11" t="s">
        <v>1856</v>
      </c>
      <c r="K1884" s="11" t="s">
        <v>1852</v>
      </c>
      <c r="L1884" s="11" t="s">
        <v>1853</v>
      </c>
      <c r="M1884" s="11" t="s">
        <v>2474</v>
      </c>
      <c r="N1884" s="12"/>
      <c r="O1884" s="11" t="s">
        <v>1859</v>
      </c>
      <c r="P1884" s="56"/>
    </row>
    <row r="1885" spans="1:16" ht="15.75" customHeight="1" x14ac:dyDescent="0.2">
      <c r="A1885" s="49">
        <v>2608</v>
      </c>
      <c r="B1885" s="11" t="s">
        <v>1857</v>
      </c>
      <c r="C1885" s="11" t="s">
        <v>1849</v>
      </c>
      <c r="D1885" s="6" t="s">
        <v>1850</v>
      </c>
      <c r="E1885" s="11" t="s">
        <v>5168</v>
      </c>
      <c r="F1885" s="12" t="s">
        <v>5168</v>
      </c>
      <c r="G1885" s="12" t="s">
        <v>5217</v>
      </c>
      <c r="H1885" s="12" t="s">
        <v>5254</v>
      </c>
      <c r="I1885" s="12" t="s">
        <v>5301</v>
      </c>
      <c r="J1885" s="11" t="s">
        <v>1856</v>
      </c>
      <c r="K1885" s="11" t="s">
        <v>1852</v>
      </c>
      <c r="L1885" s="11" t="s">
        <v>1853</v>
      </c>
      <c r="M1885" s="11" t="s">
        <v>5302</v>
      </c>
      <c r="N1885" s="12"/>
      <c r="O1885" s="11" t="s">
        <v>1859</v>
      </c>
      <c r="P1885" s="56"/>
    </row>
    <row r="1886" spans="1:16" ht="15.75" customHeight="1" x14ac:dyDescent="0.2">
      <c r="A1886" s="49">
        <v>2669</v>
      </c>
      <c r="B1886" s="11" t="s">
        <v>1857</v>
      </c>
      <c r="C1886" s="11" t="s">
        <v>1849</v>
      </c>
      <c r="D1886" s="6" t="s">
        <v>1850</v>
      </c>
      <c r="E1886" s="11" t="s">
        <v>5168</v>
      </c>
      <c r="F1886" s="12" t="s">
        <v>5168</v>
      </c>
      <c r="G1886" s="12" t="s">
        <v>5175</v>
      </c>
      <c r="H1886" s="12" t="s">
        <v>5296</v>
      </c>
      <c r="I1886" s="12" t="s">
        <v>5301</v>
      </c>
      <c r="J1886" s="11" t="s">
        <v>1856</v>
      </c>
      <c r="K1886" s="11" t="s">
        <v>1852</v>
      </c>
      <c r="L1886" s="11" t="s">
        <v>1853</v>
      </c>
      <c r="M1886" s="11" t="s">
        <v>5303</v>
      </c>
      <c r="N1886" s="12"/>
      <c r="O1886" s="11" t="s">
        <v>1858</v>
      </c>
      <c r="P1886" s="56"/>
    </row>
    <row r="1887" spans="1:16" ht="15.75" customHeight="1" x14ac:dyDescent="0.2">
      <c r="A1887" s="49">
        <v>2648</v>
      </c>
      <c r="B1887" s="11" t="s">
        <v>1857</v>
      </c>
      <c r="C1887" s="11" t="s">
        <v>1849</v>
      </c>
      <c r="D1887" s="6" t="s">
        <v>1850</v>
      </c>
      <c r="E1887" s="11" t="s">
        <v>5168</v>
      </c>
      <c r="F1887" s="12" t="s">
        <v>5168</v>
      </c>
      <c r="G1887" s="12" t="s">
        <v>5186</v>
      </c>
      <c r="H1887" s="12" t="s">
        <v>3637</v>
      </c>
      <c r="I1887" s="12" t="s">
        <v>5304</v>
      </c>
      <c r="J1887" s="11" t="s">
        <v>1856</v>
      </c>
      <c r="K1887" s="11" t="s">
        <v>1852</v>
      </c>
      <c r="L1887" s="11" t="s">
        <v>1853</v>
      </c>
      <c r="M1887" s="11" t="s">
        <v>5305</v>
      </c>
      <c r="N1887" s="12"/>
      <c r="O1887" s="11" t="s">
        <v>1858</v>
      </c>
      <c r="P1887" s="56"/>
    </row>
    <row r="1888" spans="1:16" ht="15.75" customHeight="1" x14ac:dyDescent="0.2">
      <c r="A1888" s="49">
        <v>2678</v>
      </c>
      <c r="B1888" s="11" t="s">
        <v>1857</v>
      </c>
      <c r="C1888" s="11" t="s">
        <v>1849</v>
      </c>
      <c r="D1888" s="6" t="s">
        <v>1850</v>
      </c>
      <c r="E1888" s="11" t="s">
        <v>5168</v>
      </c>
      <c r="F1888" s="12" t="s">
        <v>5168</v>
      </c>
      <c r="G1888" s="12" t="s">
        <v>5175</v>
      </c>
      <c r="H1888" s="12" t="s">
        <v>5306</v>
      </c>
      <c r="I1888" s="12" t="s">
        <v>5307</v>
      </c>
      <c r="J1888" s="11" t="s">
        <v>1856</v>
      </c>
      <c r="K1888" s="11" t="s">
        <v>1852</v>
      </c>
      <c r="L1888" s="11" t="s">
        <v>1853</v>
      </c>
      <c r="M1888" s="11" t="s">
        <v>5308</v>
      </c>
      <c r="N1888" s="12"/>
      <c r="O1888" s="11" t="s">
        <v>1858</v>
      </c>
      <c r="P1888" s="56"/>
    </row>
    <row r="1889" spans="1:16" ht="15.75" customHeight="1" x14ac:dyDescent="0.2">
      <c r="A1889" s="49">
        <v>2554</v>
      </c>
      <c r="B1889" s="11" t="s">
        <v>1857</v>
      </c>
      <c r="C1889" s="11" t="s">
        <v>1849</v>
      </c>
      <c r="D1889" s="6" t="s">
        <v>1850</v>
      </c>
      <c r="E1889" s="11" t="s">
        <v>5168</v>
      </c>
      <c r="F1889" s="12" t="s">
        <v>5168</v>
      </c>
      <c r="G1889" s="12" t="s">
        <v>5172</v>
      </c>
      <c r="H1889" s="12" t="s">
        <v>5204</v>
      </c>
      <c r="I1889" s="12" t="s">
        <v>5309</v>
      </c>
      <c r="J1889" s="11" t="s">
        <v>1856</v>
      </c>
      <c r="K1889" s="11" t="s">
        <v>1852</v>
      </c>
      <c r="L1889" s="11" t="s">
        <v>1853</v>
      </c>
      <c r="M1889" s="11" t="s">
        <v>5310</v>
      </c>
      <c r="N1889" s="12"/>
      <c r="O1889" s="11" t="s">
        <v>1859</v>
      </c>
      <c r="P1889" s="56"/>
    </row>
    <row r="1890" spans="1:16" ht="15.75" customHeight="1" x14ac:dyDescent="0.2">
      <c r="A1890" s="49">
        <v>2524</v>
      </c>
      <c r="B1890" s="11" t="s">
        <v>1857</v>
      </c>
      <c r="C1890" s="11" t="s">
        <v>1849</v>
      </c>
      <c r="D1890" s="6" t="s">
        <v>1850</v>
      </c>
      <c r="E1890" s="11" t="s">
        <v>5168</v>
      </c>
      <c r="F1890" s="12" t="s">
        <v>5168</v>
      </c>
      <c r="G1890" s="12" t="s">
        <v>5197</v>
      </c>
      <c r="H1890" s="12" t="s">
        <v>5272</v>
      </c>
      <c r="I1890" s="12" t="s">
        <v>5311</v>
      </c>
      <c r="J1890" s="11" t="s">
        <v>1856</v>
      </c>
      <c r="K1890" s="11" t="s">
        <v>1852</v>
      </c>
      <c r="L1890" s="11" t="s">
        <v>1853</v>
      </c>
      <c r="M1890" s="11" t="s">
        <v>5312</v>
      </c>
      <c r="N1890" s="12"/>
      <c r="O1890" s="11" t="s">
        <v>1859</v>
      </c>
      <c r="P1890" s="56"/>
    </row>
    <row r="1891" spans="1:16" ht="15.75" customHeight="1" x14ac:dyDescent="0.2">
      <c r="A1891" s="48">
        <v>2588</v>
      </c>
      <c r="B1891" s="11" t="s">
        <v>1857</v>
      </c>
      <c r="C1891" s="11" t="s">
        <v>1849</v>
      </c>
      <c r="D1891" s="6" t="s">
        <v>1850</v>
      </c>
      <c r="E1891" s="11" t="s">
        <v>5168</v>
      </c>
      <c r="F1891" s="12" t="s">
        <v>5168</v>
      </c>
      <c r="G1891" s="12" t="s">
        <v>5217</v>
      </c>
      <c r="H1891" s="12" t="s">
        <v>5313</v>
      </c>
      <c r="I1891" s="12" t="s">
        <v>5314</v>
      </c>
      <c r="J1891" s="11" t="s">
        <v>1856</v>
      </c>
      <c r="K1891" s="11" t="s">
        <v>1852</v>
      </c>
      <c r="L1891" s="11" t="s">
        <v>1853</v>
      </c>
      <c r="M1891" s="11" t="s">
        <v>5315</v>
      </c>
      <c r="N1891" s="12"/>
      <c r="O1891" s="11" t="s">
        <v>1858</v>
      </c>
      <c r="P1891" s="56"/>
    </row>
    <row r="1892" spans="1:16" ht="15.75" customHeight="1" x14ac:dyDescent="0.2">
      <c r="A1892" s="51">
        <v>2685</v>
      </c>
      <c r="B1892" s="11" t="s">
        <v>1857</v>
      </c>
      <c r="C1892" s="11" t="s">
        <v>1849</v>
      </c>
      <c r="D1892" s="6" t="s">
        <v>1850</v>
      </c>
      <c r="E1892" s="11" t="s">
        <v>5168</v>
      </c>
      <c r="F1892" s="12" t="s">
        <v>5168</v>
      </c>
      <c r="G1892" s="12" t="s">
        <v>5175</v>
      </c>
      <c r="H1892" s="12" t="s">
        <v>5175</v>
      </c>
      <c r="I1892" s="12" t="s">
        <v>5314</v>
      </c>
      <c r="J1892" s="11" t="s">
        <v>1856</v>
      </c>
      <c r="K1892" s="11" t="s">
        <v>1852</v>
      </c>
      <c r="L1892" s="11" t="s">
        <v>1853</v>
      </c>
      <c r="M1892" s="11" t="s">
        <v>1854</v>
      </c>
      <c r="N1892" s="12"/>
      <c r="O1892" s="11" t="s">
        <v>1859</v>
      </c>
      <c r="P1892" s="56"/>
    </row>
    <row r="1893" spans="1:16" ht="15.75" customHeight="1" x14ac:dyDescent="0.2">
      <c r="A1893" s="49">
        <v>2605</v>
      </c>
      <c r="B1893" s="11" t="s">
        <v>1857</v>
      </c>
      <c r="C1893" s="11" t="s">
        <v>1849</v>
      </c>
      <c r="D1893" s="6" t="s">
        <v>1850</v>
      </c>
      <c r="E1893" s="11" t="s">
        <v>5168</v>
      </c>
      <c r="F1893" s="12" t="s">
        <v>5168</v>
      </c>
      <c r="G1893" s="12" t="s">
        <v>5217</v>
      </c>
      <c r="H1893" s="12" t="s">
        <v>5254</v>
      </c>
      <c r="I1893" s="12" t="s">
        <v>5316</v>
      </c>
      <c r="J1893" s="11" t="s">
        <v>1856</v>
      </c>
      <c r="K1893" s="11" t="s">
        <v>1852</v>
      </c>
      <c r="L1893" s="11" t="s">
        <v>1853</v>
      </c>
      <c r="M1893" s="11" t="s">
        <v>5317</v>
      </c>
      <c r="N1893" s="12"/>
      <c r="O1893" s="11" t="s">
        <v>1859</v>
      </c>
      <c r="P1893" s="56"/>
    </row>
    <row r="1894" spans="1:16" ht="15.75" customHeight="1" x14ac:dyDescent="0.2">
      <c r="A1894" s="49">
        <v>2584</v>
      </c>
      <c r="B1894" s="11" t="s">
        <v>1857</v>
      </c>
      <c r="C1894" s="11" t="s">
        <v>1849</v>
      </c>
      <c r="D1894" s="6" t="s">
        <v>1850</v>
      </c>
      <c r="E1894" s="11" t="s">
        <v>5168</v>
      </c>
      <c r="F1894" s="12" t="s">
        <v>5168</v>
      </c>
      <c r="G1894" s="12" t="s">
        <v>5172</v>
      </c>
      <c r="H1894" s="12" t="s">
        <v>5318</v>
      </c>
      <c r="I1894" s="12" t="s">
        <v>5319</v>
      </c>
      <c r="J1894" s="11" t="s">
        <v>1856</v>
      </c>
      <c r="K1894" s="11" t="s">
        <v>1852</v>
      </c>
      <c r="L1894" s="11" t="s">
        <v>1853</v>
      </c>
      <c r="M1894" s="11" t="s">
        <v>5320</v>
      </c>
      <c r="N1894" s="12"/>
      <c r="O1894" s="11" t="s">
        <v>1858</v>
      </c>
      <c r="P1894" s="56"/>
    </row>
    <row r="1895" spans="1:16" ht="15.75" customHeight="1" x14ac:dyDescent="0.2">
      <c r="A1895" s="49">
        <v>2531</v>
      </c>
      <c r="B1895" s="11" t="s">
        <v>1857</v>
      </c>
      <c r="C1895" s="11" t="s">
        <v>1849</v>
      </c>
      <c r="D1895" s="6" t="s">
        <v>1850</v>
      </c>
      <c r="E1895" s="11" t="s">
        <v>5168</v>
      </c>
      <c r="F1895" s="12" t="s">
        <v>5168</v>
      </c>
      <c r="G1895" s="12" t="s">
        <v>5197</v>
      </c>
      <c r="H1895" s="12" t="s">
        <v>5321</v>
      </c>
      <c r="I1895" s="12" t="s">
        <v>5322</v>
      </c>
      <c r="J1895" s="11" t="s">
        <v>1856</v>
      </c>
      <c r="K1895" s="11" t="s">
        <v>1852</v>
      </c>
      <c r="L1895" s="11" t="s">
        <v>1853</v>
      </c>
      <c r="M1895" s="11" t="s">
        <v>5323</v>
      </c>
      <c r="N1895" s="12"/>
      <c r="O1895" s="11" t="s">
        <v>1859</v>
      </c>
      <c r="P1895" s="56"/>
    </row>
    <row r="1896" spans="1:16" ht="15.75" customHeight="1" x14ac:dyDescent="0.2">
      <c r="A1896" s="49">
        <v>2606</v>
      </c>
      <c r="B1896" s="11" t="s">
        <v>1857</v>
      </c>
      <c r="C1896" s="11" t="s">
        <v>1849</v>
      </c>
      <c r="D1896" s="6" t="s">
        <v>1850</v>
      </c>
      <c r="E1896" s="11" t="s">
        <v>5168</v>
      </c>
      <c r="F1896" s="12" t="s">
        <v>5168</v>
      </c>
      <c r="G1896" s="12" t="s">
        <v>5217</v>
      </c>
      <c r="H1896" s="12" t="s">
        <v>5254</v>
      </c>
      <c r="I1896" s="12" t="s">
        <v>5324</v>
      </c>
      <c r="J1896" s="11" t="s">
        <v>1856</v>
      </c>
      <c r="K1896" s="11" t="s">
        <v>1852</v>
      </c>
      <c r="L1896" s="11" t="s">
        <v>1853</v>
      </c>
      <c r="M1896" s="11" t="s">
        <v>5325</v>
      </c>
      <c r="N1896" s="12"/>
      <c r="O1896" s="11" t="s">
        <v>1859</v>
      </c>
      <c r="P1896" s="56"/>
    </row>
    <row r="1897" spans="1:16" ht="15.75" customHeight="1" x14ac:dyDescent="0.2">
      <c r="A1897" s="49">
        <v>2629</v>
      </c>
      <c r="B1897" s="11" t="s">
        <v>1857</v>
      </c>
      <c r="C1897" s="11" t="s">
        <v>1849</v>
      </c>
      <c r="D1897" s="6" t="s">
        <v>1850</v>
      </c>
      <c r="E1897" s="11" t="s">
        <v>5168</v>
      </c>
      <c r="F1897" s="12" t="s">
        <v>5168</v>
      </c>
      <c r="G1897" s="12" t="s">
        <v>5217</v>
      </c>
      <c r="H1897" s="12" t="s">
        <v>5326</v>
      </c>
      <c r="I1897" s="12" t="s">
        <v>5327</v>
      </c>
      <c r="J1897" s="11" t="s">
        <v>1856</v>
      </c>
      <c r="K1897" s="11" t="s">
        <v>1852</v>
      </c>
      <c r="L1897" s="11" t="s">
        <v>1853</v>
      </c>
      <c r="M1897" s="11" t="s">
        <v>5328</v>
      </c>
      <c r="N1897" s="12"/>
      <c r="O1897" s="11" t="s">
        <v>1859</v>
      </c>
      <c r="P1897" s="56"/>
    </row>
    <row r="1898" spans="1:16" ht="15.75" customHeight="1" x14ac:dyDescent="0.2">
      <c r="A1898" s="49">
        <v>2609</v>
      </c>
      <c r="B1898" s="11" t="s">
        <v>1857</v>
      </c>
      <c r="C1898" s="11" t="s">
        <v>1849</v>
      </c>
      <c r="D1898" s="6" t="s">
        <v>1850</v>
      </c>
      <c r="E1898" s="11" t="s">
        <v>5168</v>
      </c>
      <c r="F1898" s="12" t="s">
        <v>5168</v>
      </c>
      <c r="G1898" s="12" t="s">
        <v>5217</v>
      </c>
      <c r="H1898" s="12" t="s">
        <v>5254</v>
      </c>
      <c r="I1898" s="12" t="s">
        <v>5329</v>
      </c>
      <c r="J1898" s="11" t="s">
        <v>1856</v>
      </c>
      <c r="K1898" s="11" t="s">
        <v>1852</v>
      </c>
      <c r="L1898" s="11" t="s">
        <v>1853</v>
      </c>
      <c r="M1898" s="11" t="s">
        <v>5330</v>
      </c>
      <c r="N1898" s="12"/>
      <c r="O1898" s="11" t="s">
        <v>1860</v>
      </c>
      <c r="P1898" s="56"/>
    </row>
    <row r="1899" spans="1:16" ht="15.75" customHeight="1" x14ac:dyDescent="0.2">
      <c r="A1899" s="49">
        <v>2691</v>
      </c>
      <c r="B1899" s="11" t="s">
        <v>1857</v>
      </c>
      <c r="C1899" s="11" t="s">
        <v>1849</v>
      </c>
      <c r="D1899" s="6" t="s">
        <v>1850</v>
      </c>
      <c r="E1899" s="11" t="s">
        <v>5168</v>
      </c>
      <c r="F1899" s="12" t="s">
        <v>5168</v>
      </c>
      <c r="G1899" s="12" t="s">
        <v>5175</v>
      </c>
      <c r="H1899" s="12" t="s">
        <v>5237</v>
      </c>
      <c r="I1899" s="12" t="s">
        <v>5331</v>
      </c>
      <c r="J1899" s="11" t="s">
        <v>1856</v>
      </c>
      <c r="K1899" s="11" t="s">
        <v>1852</v>
      </c>
      <c r="L1899" s="11" t="s">
        <v>1853</v>
      </c>
      <c r="M1899" s="11" t="s">
        <v>3066</v>
      </c>
      <c r="N1899" s="12"/>
      <c r="O1899" s="11" t="s">
        <v>1858</v>
      </c>
      <c r="P1899" s="56"/>
    </row>
    <row r="1900" spans="1:16" ht="15.75" customHeight="1" x14ac:dyDescent="0.2">
      <c r="A1900" s="49">
        <v>2509</v>
      </c>
      <c r="B1900" s="11" t="s">
        <v>1857</v>
      </c>
      <c r="C1900" s="11" t="s">
        <v>1849</v>
      </c>
      <c r="D1900" s="6" t="s">
        <v>1850</v>
      </c>
      <c r="E1900" s="11" t="s">
        <v>5168</v>
      </c>
      <c r="F1900" s="12" t="s">
        <v>5168</v>
      </c>
      <c r="G1900" s="12" t="s">
        <v>5197</v>
      </c>
      <c r="H1900" s="12" t="s">
        <v>5198</v>
      </c>
      <c r="I1900" s="12" t="s">
        <v>5332</v>
      </c>
      <c r="J1900" s="11" t="s">
        <v>1856</v>
      </c>
      <c r="K1900" s="11" t="s">
        <v>1852</v>
      </c>
      <c r="L1900" s="11" t="s">
        <v>1853</v>
      </c>
      <c r="M1900" s="11" t="s">
        <v>5333</v>
      </c>
      <c r="N1900" s="12"/>
      <c r="O1900" s="11" t="s">
        <v>1859</v>
      </c>
      <c r="P1900" s="56"/>
    </row>
    <row r="1901" spans="1:16" ht="15.75" customHeight="1" x14ac:dyDescent="0.2">
      <c r="A1901" s="49">
        <v>2617</v>
      </c>
      <c r="B1901" s="11" t="s">
        <v>1857</v>
      </c>
      <c r="C1901" s="11" t="s">
        <v>1849</v>
      </c>
      <c r="D1901" s="6" t="s">
        <v>1850</v>
      </c>
      <c r="E1901" s="11" t="s">
        <v>5168</v>
      </c>
      <c r="F1901" s="12" t="s">
        <v>5168</v>
      </c>
      <c r="G1901" s="12" t="s">
        <v>5217</v>
      </c>
      <c r="H1901" s="12" t="s">
        <v>5326</v>
      </c>
      <c r="I1901" s="12" t="s">
        <v>5334</v>
      </c>
      <c r="J1901" s="11" t="s">
        <v>1856</v>
      </c>
      <c r="K1901" s="11" t="s">
        <v>1852</v>
      </c>
      <c r="L1901" s="11" t="s">
        <v>1853</v>
      </c>
      <c r="M1901" s="11" t="s">
        <v>1854</v>
      </c>
      <c r="N1901" s="12"/>
      <c r="O1901" s="11" t="s">
        <v>1859</v>
      </c>
      <c r="P1901" s="56"/>
    </row>
    <row r="1902" spans="1:16" ht="15.75" customHeight="1" x14ac:dyDescent="0.2">
      <c r="A1902" s="49">
        <v>2628</v>
      </c>
      <c r="B1902" s="11" t="s">
        <v>1857</v>
      </c>
      <c r="C1902" s="11" t="s">
        <v>1849</v>
      </c>
      <c r="D1902" s="6" t="s">
        <v>1850</v>
      </c>
      <c r="E1902" s="11" t="s">
        <v>5168</v>
      </c>
      <c r="F1902" s="12" t="s">
        <v>5168</v>
      </c>
      <c r="G1902" s="12" t="s">
        <v>5217</v>
      </c>
      <c r="H1902" s="12" t="s">
        <v>5326</v>
      </c>
      <c r="I1902" s="12" t="s">
        <v>5335</v>
      </c>
      <c r="J1902" s="11" t="s">
        <v>1856</v>
      </c>
      <c r="K1902" s="11" t="s">
        <v>1852</v>
      </c>
      <c r="L1902" s="11" t="s">
        <v>1853</v>
      </c>
      <c r="M1902" s="11" t="s">
        <v>5336</v>
      </c>
      <c r="N1902" s="12"/>
      <c r="O1902" s="11" t="s">
        <v>1858</v>
      </c>
      <c r="P1902" s="56"/>
    </row>
    <row r="1903" spans="1:16" ht="15.75" customHeight="1" x14ac:dyDescent="0.2">
      <c r="A1903" s="49">
        <v>6342</v>
      </c>
      <c r="B1903" s="11" t="s">
        <v>1857</v>
      </c>
      <c r="C1903" s="11" t="s">
        <v>1849</v>
      </c>
      <c r="D1903" s="6" t="s">
        <v>1850</v>
      </c>
      <c r="E1903" s="11" t="s">
        <v>5168</v>
      </c>
      <c r="F1903" s="12" t="s">
        <v>5168</v>
      </c>
      <c r="G1903" s="12" t="s">
        <v>5172</v>
      </c>
      <c r="H1903" s="12" t="s">
        <v>5337</v>
      </c>
      <c r="I1903" s="12" t="s">
        <v>5338</v>
      </c>
      <c r="J1903" s="11" t="s">
        <v>1856</v>
      </c>
      <c r="K1903" s="11" t="s">
        <v>1852</v>
      </c>
      <c r="L1903" s="11" t="s">
        <v>1853</v>
      </c>
      <c r="M1903" s="11" t="s">
        <v>5339</v>
      </c>
      <c r="N1903" s="12"/>
      <c r="O1903" s="11" t="s">
        <v>1858</v>
      </c>
      <c r="P1903" s="56"/>
    </row>
    <row r="1904" spans="1:16" ht="15.75" customHeight="1" x14ac:dyDescent="0.2">
      <c r="A1904" s="49">
        <v>2626</v>
      </c>
      <c r="B1904" s="11" t="s">
        <v>1857</v>
      </c>
      <c r="C1904" s="11" t="s">
        <v>1849</v>
      </c>
      <c r="D1904" s="6" t="s">
        <v>1850</v>
      </c>
      <c r="E1904" s="11" t="s">
        <v>5168</v>
      </c>
      <c r="F1904" s="12" t="s">
        <v>5168</v>
      </c>
      <c r="G1904" s="12" t="s">
        <v>5217</v>
      </c>
      <c r="H1904" s="12" t="s">
        <v>5262</v>
      </c>
      <c r="I1904" s="12" t="s">
        <v>5340</v>
      </c>
      <c r="J1904" s="11" t="s">
        <v>1856</v>
      </c>
      <c r="K1904" s="11" t="s">
        <v>1852</v>
      </c>
      <c r="L1904" s="11" t="s">
        <v>1853</v>
      </c>
      <c r="M1904" s="11" t="s">
        <v>5341</v>
      </c>
      <c r="N1904" s="12"/>
      <c r="O1904" s="11" t="s">
        <v>1859</v>
      </c>
      <c r="P1904" s="56"/>
    </row>
    <row r="1905" spans="1:16" ht="15.75" customHeight="1" x14ac:dyDescent="0.2">
      <c r="A1905" s="49">
        <v>2567</v>
      </c>
      <c r="B1905" s="11" t="s">
        <v>1857</v>
      </c>
      <c r="C1905" s="11" t="s">
        <v>1849</v>
      </c>
      <c r="D1905" s="6" t="s">
        <v>1850</v>
      </c>
      <c r="E1905" s="11" t="s">
        <v>5168</v>
      </c>
      <c r="F1905" s="12" t="s">
        <v>5168</v>
      </c>
      <c r="G1905" s="12" t="s">
        <v>5172</v>
      </c>
      <c r="H1905" s="12" t="s">
        <v>5181</v>
      </c>
      <c r="I1905" s="12" t="s">
        <v>5342</v>
      </c>
      <c r="J1905" s="11" t="s">
        <v>1856</v>
      </c>
      <c r="K1905" s="11" t="s">
        <v>1852</v>
      </c>
      <c r="L1905" s="11" t="s">
        <v>1853</v>
      </c>
      <c r="M1905" s="11" t="s">
        <v>1854</v>
      </c>
      <c r="N1905" s="12"/>
      <c r="O1905" s="11" t="s">
        <v>1858</v>
      </c>
      <c r="P1905" s="56"/>
    </row>
    <row r="1906" spans="1:16" ht="15.75" customHeight="1" x14ac:dyDescent="0.2">
      <c r="A1906" s="49">
        <v>2585</v>
      </c>
      <c r="B1906" s="11" t="s">
        <v>1857</v>
      </c>
      <c r="C1906" s="11" t="s">
        <v>1849</v>
      </c>
      <c r="D1906" s="6" t="s">
        <v>1850</v>
      </c>
      <c r="E1906" s="11" t="s">
        <v>5168</v>
      </c>
      <c r="F1906" s="12" t="s">
        <v>5168</v>
      </c>
      <c r="G1906" s="12" t="s">
        <v>5217</v>
      </c>
      <c r="H1906" s="12" t="s">
        <v>5313</v>
      </c>
      <c r="I1906" s="12" t="s">
        <v>5342</v>
      </c>
      <c r="J1906" s="11" t="s">
        <v>1856</v>
      </c>
      <c r="K1906" s="11" t="s">
        <v>1852</v>
      </c>
      <c r="L1906" s="11" t="s">
        <v>1853</v>
      </c>
      <c r="M1906" s="11" t="s">
        <v>2813</v>
      </c>
      <c r="N1906" s="12"/>
      <c r="O1906" s="11" t="s">
        <v>1859</v>
      </c>
      <c r="P1906" s="56"/>
    </row>
    <row r="1907" spans="1:16" ht="15.75" customHeight="1" x14ac:dyDescent="0.2">
      <c r="A1907" s="49">
        <v>2586</v>
      </c>
      <c r="B1907" s="11" t="s">
        <v>1857</v>
      </c>
      <c r="C1907" s="11" t="s">
        <v>1849</v>
      </c>
      <c r="D1907" s="6" t="s">
        <v>1850</v>
      </c>
      <c r="E1907" s="11" t="s">
        <v>5168</v>
      </c>
      <c r="F1907" s="12" t="s">
        <v>5168</v>
      </c>
      <c r="G1907" s="12" t="s">
        <v>5217</v>
      </c>
      <c r="H1907" s="12" t="s">
        <v>5217</v>
      </c>
      <c r="I1907" s="12" t="s">
        <v>5343</v>
      </c>
      <c r="J1907" s="11" t="s">
        <v>1856</v>
      </c>
      <c r="K1907" s="11" t="s">
        <v>1852</v>
      </c>
      <c r="L1907" s="11" t="s">
        <v>1853</v>
      </c>
      <c r="M1907" s="11" t="s">
        <v>1854</v>
      </c>
      <c r="N1907" s="12"/>
      <c r="O1907" s="11" t="s">
        <v>1858</v>
      </c>
      <c r="P1907" s="56"/>
    </row>
    <row r="1908" spans="1:16" ht="15.75" customHeight="1" x14ac:dyDescent="0.2">
      <c r="A1908" s="49">
        <v>2500</v>
      </c>
      <c r="B1908" s="11" t="s">
        <v>1857</v>
      </c>
      <c r="C1908" s="11" t="s">
        <v>1849</v>
      </c>
      <c r="D1908" s="6" t="s">
        <v>1850</v>
      </c>
      <c r="E1908" s="11" t="s">
        <v>5168</v>
      </c>
      <c r="F1908" s="12" t="s">
        <v>5168</v>
      </c>
      <c r="G1908" s="12" t="s">
        <v>5197</v>
      </c>
      <c r="H1908" s="12" t="s">
        <v>5179</v>
      </c>
      <c r="I1908" s="12" t="s">
        <v>5344</v>
      </c>
      <c r="J1908" s="11" t="s">
        <v>1856</v>
      </c>
      <c r="K1908" s="11" t="s">
        <v>1852</v>
      </c>
      <c r="L1908" s="11" t="s">
        <v>1853</v>
      </c>
      <c r="M1908" s="11" t="s">
        <v>5345</v>
      </c>
      <c r="N1908" s="12"/>
      <c r="O1908" s="11" t="s">
        <v>1858</v>
      </c>
      <c r="P1908" s="56"/>
    </row>
    <row r="1909" spans="1:16" ht="15.75" customHeight="1" x14ac:dyDescent="0.2">
      <c r="A1909" s="49">
        <v>2677</v>
      </c>
      <c r="B1909" s="11" t="s">
        <v>1857</v>
      </c>
      <c r="C1909" s="11" t="s">
        <v>1849</v>
      </c>
      <c r="D1909" s="6" t="s">
        <v>1850</v>
      </c>
      <c r="E1909" s="11" t="s">
        <v>5168</v>
      </c>
      <c r="F1909" s="12" t="s">
        <v>5168</v>
      </c>
      <c r="G1909" s="12" t="s">
        <v>5175</v>
      </c>
      <c r="H1909" s="12" t="s">
        <v>5306</v>
      </c>
      <c r="I1909" s="12" t="s">
        <v>5346</v>
      </c>
      <c r="J1909" s="11" t="s">
        <v>1856</v>
      </c>
      <c r="K1909" s="11" t="s">
        <v>1852</v>
      </c>
      <c r="L1909" s="11" t="s">
        <v>1853</v>
      </c>
      <c r="M1909" s="11" t="s">
        <v>1854</v>
      </c>
      <c r="N1909" s="12"/>
      <c r="O1909" s="11" t="s">
        <v>1859</v>
      </c>
      <c r="P1909" s="56"/>
    </row>
    <row r="1910" spans="1:16" ht="15.75" customHeight="1" x14ac:dyDescent="0.2">
      <c r="A1910" s="49">
        <v>2562</v>
      </c>
      <c r="B1910" s="11" t="s">
        <v>1857</v>
      </c>
      <c r="C1910" s="11" t="s">
        <v>1849</v>
      </c>
      <c r="D1910" s="6" t="s">
        <v>1850</v>
      </c>
      <c r="E1910" s="11" t="s">
        <v>5168</v>
      </c>
      <c r="F1910" s="12" t="s">
        <v>5168</v>
      </c>
      <c r="G1910" s="12" t="s">
        <v>5172</v>
      </c>
      <c r="H1910" s="12" t="s">
        <v>5264</v>
      </c>
      <c r="I1910" s="12" t="s">
        <v>5347</v>
      </c>
      <c r="J1910" s="11" t="s">
        <v>1856</v>
      </c>
      <c r="K1910" s="11" t="s">
        <v>1852</v>
      </c>
      <c r="L1910" s="11" t="s">
        <v>1853</v>
      </c>
      <c r="M1910" s="11" t="s">
        <v>5348</v>
      </c>
      <c r="N1910" s="12"/>
      <c r="O1910" s="11" t="s">
        <v>1859</v>
      </c>
      <c r="P1910" s="56"/>
    </row>
    <row r="1911" spans="1:16" ht="15.75" customHeight="1" x14ac:dyDescent="0.2">
      <c r="A1911" s="49">
        <v>2657</v>
      </c>
      <c r="B1911" s="11" t="s">
        <v>1857</v>
      </c>
      <c r="C1911" s="11" t="s">
        <v>1849</v>
      </c>
      <c r="D1911" s="6" t="s">
        <v>1850</v>
      </c>
      <c r="E1911" s="11" t="s">
        <v>5168</v>
      </c>
      <c r="F1911" s="12" t="s">
        <v>5168</v>
      </c>
      <c r="G1911" s="12" t="s">
        <v>5186</v>
      </c>
      <c r="H1911" s="12" t="s">
        <v>5349</v>
      </c>
      <c r="I1911" s="12" t="s">
        <v>5350</v>
      </c>
      <c r="J1911" s="11" t="s">
        <v>1856</v>
      </c>
      <c r="K1911" s="11" t="s">
        <v>1852</v>
      </c>
      <c r="L1911" s="11" t="s">
        <v>1853</v>
      </c>
      <c r="M1911" s="11" t="s">
        <v>1854</v>
      </c>
      <c r="N1911" s="12"/>
      <c r="O1911" s="11" t="s">
        <v>1858</v>
      </c>
      <c r="P1911" s="56"/>
    </row>
    <row r="1912" spans="1:16" ht="15.75" customHeight="1" x14ac:dyDescent="0.2">
      <c r="A1912" s="49">
        <v>2508</v>
      </c>
      <c r="B1912" s="11" t="s">
        <v>1857</v>
      </c>
      <c r="C1912" s="11" t="s">
        <v>1849</v>
      </c>
      <c r="D1912" s="6" t="s">
        <v>1850</v>
      </c>
      <c r="E1912" s="11" t="s">
        <v>5168</v>
      </c>
      <c r="F1912" s="12" t="s">
        <v>5168</v>
      </c>
      <c r="G1912" s="12" t="s">
        <v>5197</v>
      </c>
      <c r="H1912" s="12" t="s">
        <v>5179</v>
      </c>
      <c r="I1912" s="12" t="s">
        <v>5351</v>
      </c>
      <c r="J1912" s="11" t="s">
        <v>1856</v>
      </c>
      <c r="K1912" s="11" t="s">
        <v>1852</v>
      </c>
      <c r="L1912" s="11" t="s">
        <v>1853</v>
      </c>
      <c r="M1912" s="11" t="s">
        <v>1854</v>
      </c>
      <c r="N1912" s="12"/>
      <c r="O1912" s="11" t="s">
        <v>1859</v>
      </c>
      <c r="P1912" s="56"/>
    </row>
    <row r="1913" spans="1:16" ht="15.75" customHeight="1" x14ac:dyDescent="0.2">
      <c r="A1913" s="49">
        <v>2510</v>
      </c>
      <c r="B1913" s="11" t="s">
        <v>1857</v>
      </c>
      <c r="C1913" s="11" t="s">
        <v>1849</v>
      </c>
      <c r="D1913" s="6" t="s">
        <v>1850</v>
      </c>
      <c r="E1913" s="11" t="s">
        <v>5168</v>
      </c>
      <c r="F1913" s="12" t="s">
        <v>5168</v>
      </c>
      <c r="G1913" s="12" t="s">
        <v>5197</v>
      </c>
      <c r="H1913" s="12" t="s">
        <v>5198</v>
      </c>
      <c r="I1913" s="12" t="s">
        <v>5352</v>
      </c>
      <c r="J1913" s="11" t="s">
        <v>1856</v>
      </c>
      <c r="K1913" s="11" t="s">
        <v>1852</v>
      </c>
      <c r="L1913" s="11" t="s">
        <v>1853</v>
      </c>
      <c r="M1913" s="11" t="s">
        <v>5353</v>
      </c>
      <c r="N1913" s="12"/>
      <c r="O1913" s="11" t="s">
        <v>5354</v>
      </c>
      <c r="P1913" s="56"/>
    </row>
    <row r="1914" spans="1:16" ht="15.75" customHeight="1" x14ac:dyDescent="0.2">
      <c r="A1914" s="49">
        <v>2534</v>
      </c>
      <c r="B1914" s="11" t="s">
        <v>1857</v>
      </c>
      <c r="C1914" s="11" t="s">
        <v>1849</v>
      </c>
      <c r="D1914" s="6" t="s">
        <v>1850</v>
      </c>
      <c r="E1914" s="11" t="s">
        <v>5168</v>
      </c>
      <c r="F1914" s="12" t="s">
        <v>5168</v>
      </c>
      <c r="G1914" s="12" t="s">
        <v>5197</v>
      </c>
      <c r="H1914" s="12" t="s">
        <v>5283</v>
      </c>
      <c r="I1914" s="12" t="s">
        <v>5355</v>
      </c>
      <c r="J1914" s="11" t="s">
        <v>1856</v>
      </c>
      <c r="K1914" s="11" t="s">
        <v>1852</v>
      </c>
      <c r="L1914" s="11" t="s">
        <v>1853</v>
      </c>
      <c r="M1914" s="11" t="s">
        <v>5356</v>
      </c>
      <c r="N1914" s="12"/>
      <c r="O1914" s="11" t="s">
        <v>1859</v>
      </c>
      <c r="P1914" s="56"/>
    </row>
    <row r="1915" spans="1:16" ht="15.75" customHeight="1" x14ac:dyDescent="0.2">
      <c r="A1915" s="49">
        <v>2501</v>
      </c>
      <c r="B1915" s="11" t="s">
        <v>1857</v>
      </c>
      <c r="C1915" s="11" t="s">
        <v>1849</v>
      </c>
      <c r="D1915" s="6" t="s">
        <v>1850</v>
      </c>
      <c r="E1915" s="11" t="s">
        <v>5168</v>
      </c>
      <c r="F1915" s="12" t="s">
        <v>5168</v>
      </c>
      <c r="G1915" s="12" t="s">
        <v>5197</v>
      </c>
      <c r="H1915" s="12" t="s">
        <v>5272</v>
      </c>
      <c r="I1915" s="12" t="s">
        <v>5357</v>
      </c>
      <c r="J1915" s="11" t="s">
        <v>1856</v>
      </c>
      <c r="K1915" s="11" t="s">
        <v>1852</v>
      </c>
      <c r="L1915" s="11" t="s">
        <v>1853</v>
      </c>
      <c r="M1915" s="11" t="s">
        <v>5358</v>
      </c>
      <c r="N1915" s="12"/>
      <c r="O1915" s="11" t="s">
        <v>1859</v>
      </c>
      <c r="P1915" s="56"/>
    </row>
    <row r="1916" spans="1:16" ht="15.75" customHeight="1" x14ac:dyDescent="0.2">
      <c r="A1916" s="49">
        <v>2526</v>
      </c>
      <c r="B1916" s="11" t="s">
        <v>1857</v>
      </c>
      <c r="C1916" s="11" t="s">
        <v>1849</v>
      </c>
      <c r="D1916" s="6" t="s">
        <v>1850</v>
      </c>
      <c r="E1916" s="11" t="s">
        <v>5168</v>
      </c>
      <c r="F1916" s="12" t="s">
        <v>5168</v>
      </c>
      <c r="G1916" s="12" t="s">
        <v>5197</v>
      </c>
      <c r="H1916" s="12" t="s">
        <v>5321</v>
      </c>
      <c r="I1916" s="12" t="s">
        <v>5359</v>
      </c>
      <c r="J1916" s="11" t="s">
        <v>1856</v>
      </c>
      <c r="K1916" s="11" t="s">
        <v>1852</v>
      </c>
      <c r="L1916" s="11" t="s">
        <v>1853</v>
      </c>
      <c r="M1916" s="11" t="s">
        <v>2047</v>
      </c>
      <c r="N1916" s="12"/>
      <c r="O1916" s="11" t="s">
        <v>1859</v>
      </c>
      <c r="P1916" s="56"/>
    </row>
    <row r="1917" spans="1:16" ht="15.75" customHeight="1" x14ac:dyDescent="0.2">
      <c r="A1917" s="48">
        <v>2574</v>
      </c>
      <c r="B1917" s="11" t="s">
        <v>1857</v>
      </c>
      <c r="C1917" s="11" t="s">
        <v>1849</v>
      </c>
      <c r="D1917" s="6" t="s">
        <v>1850</v>
      </c>
      <c r="E1917" s="11" t="s">
        <v>5168</v>
      </c>
      <c r="F1917" s="12" t="s">
        <v>5168</v>
      </c>
      <c r="G1917" s="12" t="s">
        <v>5172</v>
      </c>
      <c r="H1917" s="12" t="s">
        <v>5248</v>
      </c>
      <c r="I1917" s="12" t="s">
        <v>5360</v>
      </c>
      <c r="J1917" s="11" t="s">
        <v>1856</v>
      </c>
      <c r="K1917" s="11" t="s">
        <v>1852</v>
      </c>
      <c r="L1917" s="11" t="s">
        <v>1853</v>
      </c>
      <c r="M1917" s="11" t="s">
        <v>2069</v>
      </c>
      <c r="N1917" s="12"/>
      <c r="O1917" s="11" t="s">
        <v>5354</v>
      </c>
      <c r="P1917" s="56"/>
    </row>
    <row r="1918" spans="1:16" ht="15.75" customHeight="1" x14ac:dyDescent="0.2">
      <c r="A1918" s="49">
        <v>2631</v>
      </c>
      <c r="B1918" s="11" t="s">
        <v>1857</v>
      </c>
      <c r="C1918" s="11" t="s">
        <v>1849</v>
      </c>
      <c r="D1918" s="6" t="s">
        <v>1850</v>
      </c>
      <c r="E1918" s="11" t="s">
        <v>5168</v>
      </c>
      <c r="F1918" s="12" t="s">
        <v>5168</v>
      </c>
      <c r="G1918" s="12" t="s">
        <v>5217</v>
      </c>
      <c r="H1918" s="12" t="s">
        <v>3548</v>
      </c>
      <c r="I1918" s="12" t="s">
        <v>5361</v>
      </c>
      <c r="J1918" s="11" t="s">
        <v>1856</v>
      </c>
      <c r="K1918" s="11" t="s">
        <v>1852</v>
      </c>
      <c r="L1918" s="11" t="s">
        <v>1853</v>
      </c>
      <c r="M1918" s="11" t="s">
        <v>5362</v>
      </c>
      <c r="N1918" s="12"/>
      <c r="O1918" s="11" t="s">
        <v>1858</v>
      </c>
      <c r="P1918" s="56"/>
    </row>
    <row r="1919" spans="1:16" ht="15.75" customHeight="1" x14ac:dyDescent="0.2">
      <c r="A1919" s="49">
        <v>2607</v>
      </c>
      <c r="B1919" s="11" t="s">
        <v>1857</v>
      </c>
      <c r="C1919" s="11" t="s">
        <v>1849</v>
      </c>
      <c r="D1919" s="6" t="s">
        <v>1850</v>
      </c>
      <c r="E1919" s="11" t="s">
        <v>5168</v>
      </c>
      <c r="F1919" s="12" t="s">
        <v>5168</v>
      </c>
      <c r="G1919" s="12" t="s">
        <v>5217</v>
      </c>
      <c r="H1919" s="12" t="s">
        <v>5242</v>
      </c>
      <c r="I1919" s="12" t="s">
        <v>5363</v>
      </c>
      <c r="J1919" s="11" t="s">
        <v>1856</v>
      </c>
      <c r="K1919" s="11" t="s">
        <v>1852</v>
      </c>
      <c r="L1919" s="11" t="s">
        <v>1853</v>
      </c>
      <c r="M1919" s="11" t="s">
        <v>1905</v>
      </c>
      <c r="N1919" s="12"/>
      <c r="O1919" s="11" t="s">
        <v>1859</v>
      </c>
      <c r="P1919" s="56"/>
    </row>
    <row r="1920" spans="1:16" ht="15.75" customHeight="1" x14ac:dyDescent="0.2">
      <c r="A1920" s="49">
        <v>2512</v>
      </c>
      <c r="B1920" s="11" t="s">
        <v>1857</v>
      </c>
      <c r="C1920" s="11" t="s">
        <v>1849</v>
      </c>
      <c r="D1920" s="6" t="s">
        <v>1850</v>
      </c>
      <c r="E1920" s="11" t="s">
        <v>5168</v>
      </c>
      <c r="F1920" s="12" t="s">
        <v>5168</v>
      </c>
      <c r="G1920" s="12" t="s">
        <v>5197</v>
      </c>
      <c r="H1920" s="12" t="s">
        <v>5198</v>
      </c>
      <c r="I1920" s="12" t="s">
        <v>5364</v>
      </c>
      <c r="J1920" s="11" t="s">
        <v>1856</v>
      </c>
      <c r="K1920" s="11" t="s">
        <v>1852</v>
      </c>
      <c r="L1920" s="11" t="s">
        <v>1853</v>
      </c>
      <c r="M1920" s="11" t="s">
        <v>5365</v>
      </c>
      <c r="N1920" s="12"/>
      <c r="O1920" s="11" t="s">
        <v>1859</v>
      </c>
      <c r="P1920" s="56"/>
    </row>
    <row r="1921" spans="1:16" ht="15.75" customHeight="1" x14ac:dyDescent="0.2">
      <c r="A1921" s="49">
        <v>2681</v>
      </c>
      <c r="B1921" s="11" t="s">
        <v>1857</v>
      </c>
      <c r="C1921" s="11" t="s">
        <v>1849</v>
      </c>
      <c r="D1921" s="6" t="s">
        <v>1850</v>
      </c>
      <c r="E1921" s="11" t="s">
        <v>5168</v>
      </c>
      <c r="F1921" s="12" t="s">
        <v>5168</v>
      </c>
      <c r="G1921" s="12" t="s">
        <v>5175</v>
      </c>
      <c r="H1921" s="12" t="s">
        <v>5279</v>
      </c>
      <c r="I1921" s="12" t="s">
        <v>5366</v>
      </c>
      <c r="J1921" s="11" t="s">
        <v>1856</v>
      </c>
      <c r="K1921" s="11" t="s">
        <v>1852</v>
      </c>
      <c r="L1921" s="11" t="s">
        <v>1853</v>
      </c>
      <c r="M1921" s="11" t="s">
        <v>5367</v>
      </c>
      <c r="N1921" s="12"/>
      <c r="O1921" s="11" t="s">
        <v>1858</v>
      </c>
      <c r="P1921" s="56"/>
    </row>
    <row r="1922" spans="1:16" ht="15.75" customHeight="1" x14ac:dyDescent="0.2">
      <c r="A1922" s="49">
        <v>2667</v>
      </c>
      <c r="B1922" s="11" t="s">
        <v>1857</v>
      </c>
      <c r="C1922" s="11" t="s">
        <v>1849</v>
      </c>
      <c r="D1922" s="6" t="s">
        <v>1850</v>
      </c>
      <c r="E1922" s="11" t="s">
        <v>5168</v>
      </c>
      <c r="F1922" s="12" t="s">
        <v>5168</v>
      </c>
      <c r="G1922" s="12" t="s">
        <v>5175</v>
      </c>
      <c r="H1922" s="12" t="s">
        <v>5192</v>
      </c>
      <c r="I1922" s="12" t="s">
        <v>5368</v>
      </c>
      <c r="J1922" s="11" t="s">
        <v>1856</v>
      </c>
      <c r="K1922" s="11" t="s">
        <v>1852</v>
      </c>
      <c r="L1922" s="11" t="s">
        <v>1853</v>
      </c>
      <c r="M1922" s="11" t="s">
        <v>5369</v>
      </c>
      <c r="N1922" s="12"/>
      <c r="O1922" s="11" t="s">
        <v>1858</v>
      </c>
      <c r="P1922" s="56"/>
    </row>
    <row r="1923" spans="1:16" ht="15.75" customHeight="1" x14ac:dyDescent="0.2">
      <c r="A1923" s="49">
        <v>2550</v>
      </c>
      <c r="B1923" s="11" t="s">
        <v>1857</v>
      </c>
      <c r="C1923" s="11" t="s">
        <v>1849</v>
      </c>
      <c r="D1923" s="6" t="s">
        <v>1850</v>
      </c>
      <c r="E1923" s="11" t="s">
        <v>5168</v>
      </c>
      <c r="F1923" s="12" t="s">
        <v>5168</v>
      </c>
      <c r="G1923" s="12" t="s">
        <v>5172</v>
      </c>
      <c r="H1923" s="12" t="s">
        <v>5204</v>
      </c>
      <c r="I1923" s="12" t="s">
        <v>5370</v>
      </c>
      <c r="J1923" s="11" t="s">
        <v>1856</v>
      </c>
      <c r="K1923" s="11" t="s">
        <v>1852</v>
      </c>
      <c r="L1923" s="11" t="s">
        <v>1853</v>
      </c>
      <c r="M1923" s="11" t="s">
        <v>5371</v>
      </c>
      <c r="N1923" s="12"/>
      <c r="O1923" s="11" t="s">
        <v>1859</v>
      </c>
      <c r="P1923" s="56"/>
    </row>
    <row r="1924" spans="1:16" ht="15.75" customHeight="1" x14ac:dyDescent="0.2">
      <c r="A1924" s="49">
        <v>2590</v>
      </c>
      <c r="B1924" s="11" t="s">
        <v>1857</v>
      </c>
      <c r="C1924" s="11" t="s">
        <v>1849</v>
      </c>
      <c r="D1924" s="6" t="s">
        <v>1850</v>
      </c>
      <c r="E1924" s="11" t="s">
        <v>5168</v>
      </c>
      <c r="F1924" s="12" t="s">
        <v>5168</v>
      </c>
      <c r="G1924" s="12" t="s">
        <v>5217</v>
      </c>
      <c r="H1924" s="12" t="s">
        <v>5217</v>
      </c>
      <c r="I1924" s="12" t="s">
        <v>5372</v>
      </c>
      <c r="J1924" s="11" t="s">
        <v>1856</v>
      </c>
      <c r="K1924" s="11" t="s">
        <v>1852</v>
      </c>
      <c r="L1924" s="11" t="s">
        <v>1853</v>
      </c>
      <c r="M1924" s="11" t="s">
        <v>5373</v>
      </c>
      <c r="N1924" s="12"/>
      <c r="O1924" s="11" t="s">
        <v>1858</v>
      </c>
      <c r="P1924" s="56"/>
    </row>
    <row r="1925" spans="1:16" ht="15.75" customHeight="1" x14ac:dyDescent="0.2">
      <c r="A1925" s="49">
        <v>2558</v>
      </c>
      <c r="B1925" s="11" t="s">
        <v>1857</v>
      </c>
      <c r="C1925" s="11" t="s">
        <v>1849</v>
      </c>
      <c r="D1925" s="6" t="s">
        <v>1850</v>
      </c>
      <c r="E1925" s="11" t="s">
        <v>5168</v>
      </c>
      <c r="F1925" s="12" t="s">
        <v>5168</v>
      </c>
      <c r="G1925" s="12" t="s">
        <v>5172</v>
      </c>
      <c r="H1925" s="12" t="s">
        <v>5267</v>
      </c>
      <c r="I1925" s="12" t="s">
        <v>5374</v>
      </c>
      <c r="J1925" s="11" t="s">
        <v>1856</v>
      </c>
      <c r="K1925" s="11" t="s">
        <v>1852</v>
      </c>
      <c r="L1925" s="11" t="s">
        <v>1853</v>
      </c>
      <c r="M1925" s="11" t="s">
        <v>1952</v>
      </c>
      <c r="N1925" s="12"/>
      <c r="O1925" s="11" t="s">
        <v>1858</v>
      </c>
      <c r="P1925" s="56"/>
    </row>
    <row r="1926" spans="1:16" ht="15.75" customHeight="1" x14ac:dyDescent="0.2">
      <c r="A1926" s="49">
        <v>2527</v>
      </c>
      <c r="B1926" s="11" t="s">
        <v>1857</v>
      </c>
      <c r="C1926" s="11" t="s">
        <v>1849</v>
      </c>
      <c r="D1926" s="6" t="s">
        <v>1850</v>
      </c>
      <c r="E1926" s="11" t="s">
        <v>5168</v>
      </c>
      <c r="F1926" s="12" t="s">
        <v>5168</v>
      </c>
      <c r="G1926" s="12" t="s">
        <v>5197</v>
      </c>
      <c r="H1926" s="12" t="s">
        <v>5321</v>
      </c>
      <c r="I1926" s="12" t="s">
        <v>3073</v>
      </c>
      <c r="J1926" s="11" t="s">
        <v>1856</v>
      </c>
      <c r="K1926" s="11" t="s">
        <v>1852</v>
      </c>
      <c r="L1926" s="11" t="s">
        <v>1853</v>
      </c>
      <c r="M1926" s="11" t="s">
        <v>5375</v>
      </c>
      <c r="N1926" s="12"/>
      <c r="O1926" s="11" t="s">
        <v>1859</v>
      </c>
      <c r="P1926" s="56"/>
    </row>
    <row r="1927" spans="1:16" ht="15.75" customHeight="1" x14ac:dyDescent="0.2">
      <c r="A1927" s="49">
        <v>2533</v>
      </c>
      <c r="B1927" s="11" t="s">
        <v>1857</v>
      </c>
      <c r="C1927" s="11" t="s">
        <v>1849</v>
      </c>
      <c r="D1927" s="6" t="s">
        <v>1850</v>
      </c>
      <c r="E1927" s="11" t="s">
        <v>5168</v>
      </c>
      <c r="F1927" s="12" t="s">
        <v>5168</v>
      </c>
      <c r="G1927" s="12" t="s">
        <v>5197</v>
      </c>
      <c r="H1927" s="12" t="s">
        <v>5282</v>
      </c>
      <c r="I1927" s="12" t="s">
        <v>5376</v>
      </c>
      <c r="J1927" s="11" t="s">
        <v>1856</v>
      </c>
      <c r="K1927" s="11" t="s">
        <v>1852</v>
      </c>
      <c r="L1927" s="11" t="s">
        <v>1853</v>
      </c>
      <c r="M1927" s="11" t="s">
        <v>5377</v>
      </c>
      <c r="N1927" s="12"/>
      <c r="O1927" s="11" t="s">
        <v>1858</v>
      </c>
      <c r="P1927" s="56"/>
    </row>
    <row r="1928" spans="1:16" ht="15.75" customHeight="1" x14ac:dyDescent="0.2">
      <c r="A1928" s="49">
        <v>2640</v>
      </c>
      <c r="B1928" s="11" t="s">
        <v>1857</v>
      </c>
      <c r="C1928" s="11" t="s">
        <v>1849</v>
      </c>
      <c r="D1928" s="6" t="s">
        <v>1850</v>
      </c>
      <c r="E1928" s="11" t="s">
        <v>5168</v>
      </c>
      <c r="F1928" s="12" t="s">
        <v>5168</v>
      </c>
      <c r="G1928" s="12" t="s">
        <v>5217</v>
      </c>
      <c r="H1928" s="12" t="s">
        <v>5250</v>
      </c>
      <c r="I1928" s="12" t="s">
        <v>5378</v>
      </c>
      <c r="J1928" s="11" t="s">
        <v>1856</v>
      </c>
      <c r="K1928" s="11" t="s">
        <v>1852</v>
      </c>
      <c r="L1928" s="11" t="s">
        <v>1853</v>
      </c>
      <c r="M1928" s="11" t="s">
        <v>2683</v>
      </c>
      <c r="N1928" s="12"/>
      <c r="O1928" s="11" t="s">
        <v>1859</v>
      </c>
      <c r="P1928" s="56"/>
    </row>
    <row r="1929" spans="1:16" ht="15.75" customHeight="1" x14ac:dyDescent="0.2">
      <c r="A1929" s="49">
        <v>2514</v>
      </c>
      <c r="B1929" s="11" t="s">
        <v>1857</v>
      </c>
      <c r="C1929" s="11" t="s">
        <v>1849</v>
      </c>
      <c r="D1929" s="6" t="s">
        <v>1850</v>
      </c>
      <c r="E1929" s="11" t="s">
        <v>5168</v>
      </c>
      <c r="F1929" s="12" t="s">
        <v>5168</v>
      </c>
      <c r="G1929" s="12" t="s">
        <v>5197</v>
      </c>
      <c r="H1929" s="12" t="s">
        <v>5198</v>
      </c>
      <c r="I1929" s="12" t="s">
        <v>5379</v>
      </c>
      <c r="J1929" s="11" t="s">
        <v>1856</v>
      </c>
      <c r="K1929" s="11" t="s">
        <v>1852</v>
      </c>
      <c r="L1929" s="11" t="s">
        <v>1853</v>
      </c>
      <c r="M1929" s="11" t="s">
        <v>5380</v>
      </c>
      <c r="N1929" s="12"/>
      <c r="O1929" s="11" t="s">
        <v>1858</v>
      </c>
      <c r="P1929" s="56"/>
    </row>
    <row r="1930" spans="1:16" ht="15.75" customHeight="1" x14ac:dyDescent="0.2">
      <c r="A1930" s="49">
        <v>2536</v>
      </c>
      <c r="B1930" s="11" t="s">
        <v>1857</v>
      </c>
      <c r="C1930" s="11" t="s">
        <v>1849</v>
      </c>
      <c r="D1930" s="6" t="s">
        <v>1850</v>
      </c>
      <c r="E1930" s="11" t="s">
        <v>5168</v>
      </c>
      <c r="F1930" s="12" t="s">
        <v>5168</v>
      </c>
      <c r="G1930" s="12" t="s">
        <v>5197</v>
      </c>
      <c r="H1930" s="12" t="s">
        <v>5283</v>
      </c>
      <c r="I1930" s="12" t="s">
        <v>5381</v>
      </c>
      <c r="J1930" s="11" t="s">
        <v>1856</v>
      </c>
      <c r="K1930" s="11" t="s">
        <v>1852</v>
      </c>
      <c r="L1930" s="11" t="s">
        <v>1853</v>
      </c>
      <c r="M1930" s="11" t="s">
        <v>5377</v>
      </c>
      <c r="N1930" s="12"/>
      <c r="O1930" s="11" t="s">
        <v>1859</v>
      </c>
      <c r="P1930" s="56"/>
    </row>
    <row r="1931" spans="1:16" ht="15.75" customHeight="1" x14ac:dyDescent="0.2">
      <c r="A1931" s="49">
        <v>2625</v>
      </c>
      <c r="B1931" s="11" t="s">
        <v>1857</v>
      </c>
      <c r="C1931" s="11" t="s">
        <v>1849</v>
      </c>
      <c r="D1931" s="6" t="s">
        <v>1850</v>
      </c>
      <c r="E1931" s="11" t="s">
        <v>5168</v>
      </c>
      <c r="F1931" s="12" t="s">
        <v>5168</v>
      </c>
      <c r="G1931" s="12" t="s">
        <v>5217</v>
      </c>
      <c r="H1931" s="12" t="s">
        <v>5326</v>
      </c>
      <c r="I1931" s="12" t="s">
        <v>5382</v>
      </c>
      <c r="J1931" s="11" t="s">
        <v>1856</v>
      </c>
      <c r="K1931" s="11" t="s">
        <v>1852</v>
      </c>
      <c r="L1931" s="11" t="s">
        <v>1853</v>
      </c>
      <c r="M1931" s="11" t="s">
        <v>5383</v>
      </c>
      <c r="N1931" s="12"/>
      <c r="O1931" s="11" t="s">
        <v>1858</v>
      </c>
      <c r="P1931" s="56"/>
    </row>
    <row r="1932" spans="1:16" ht="15.75" customHeight="1" x14ac:dyDescent="0.2">
      <c r="A1932" s="49">
        <v>2530</v>
      </c>
      <c r="B1932" s="11" t="s">
        <v>1857</v>
      </c>
      <c r="C1932" s="11" t="s">
        <v>1849</v>
      </c>
      <c r="D1932" s="6" t="s">
        <v>1850</v>
      </c>
      <c r="E1932" s="11" t="s">
        <v>5168</v>
      </c>
      <c r="F1932" s="12" t="s">
        <v>5168</v>
      </c>
      <c r="G1932" s="12" t="s">
        <v>5197</v>
      </c>
      <c r="H1932" s="12" t="s">
        <v>5321</v>
      </c>
      <c r="I1932" s="12" t="s">
        <v>5384</v>
      </c>
      <c r="J1932" s="11" t="s">
        <v>1856</v>
      </c>
      <c r="K1932" s="11" t="s">
        <v>1852</v>
      </c>
      <c r="L1932" s="11" t="s">
        <v>1853</v>
      </c>
      <c r="M1932" s="11" t="s">
        <v>4331</v>
      </c>
      <c r="N1932" s="12"/>
      <c r="O1932" s="11" t="s">
        <v>1859</v>
      </c>
      <c r="P1932" s="56"/>
    </row>
    <row r="1933" spans="1:16" ht="15.75" customHeight="1" x14ac:dyDescent="0.2">
      <c r="A1933" s="49">
        <v>2614</v>
      </c>
      <c r="B1933" s="11" t="s">
        <v>1857</v>
      </c>
      <c r="C1933" s="11" t="s">
        <v>1849</v>
      </c>
      <c r="D1933" s="6" t="s">
        <v>1850</v>
      </c>
      <c r="E1933" s="11" t="s">
        <v>5168</v>
      </c>
      <c r="F1933" s="12" t="s">
        <v>5168</v>
      </c>
      <c r="G1933" s="12" t="s">
        <v>5217</v>
      </c>
      <c r="H1933" s="12" t="s">
        <v>5262</v>
      </c>
      <c r="I1933" s="12" t="s">
        <v>5385</v>
      </c>
      <c r="J1933" s="11" t="s">
        <v>1856</v>
      </c>
      <c r="K1933" s="11" t="s">
        <v>1852</v>
      </c>
      <c r="L1933" s="11" t="s">
        <v>1853</v>
      </c>
      <c r="M1933" s="11" t="s">
        <v>2813</v>
      </c>
      <c r="N1933" s="12"/>
      <c r="O1933" s="11" t="s">
        <v>1860</v>
      </c>
      <c r="P1933" s="56"/>
    </row>
    <row r="1934" spans="1:16" ht="15.75" customHeight="1" x14ac:dyDescent="0.2">
      <c r="A1934" s="49">
        <v>2572</v>
      </c>
      <c r="B1934" s="11" t="s">
        <v>1857</v>
      </c>
      <c r="C1934" s="11" t="s">
        <v>1849</v>
      </c>
      <c r="D1934" s="6" t="s">
        <v>1850</v>
      </c>
      <c r="E1934" s="11" t="s">
        <v>5168</v>
      </c>
      <c r="F1934" s="12" t="s">
        <v>5168</v>
      </c>
      <c r="G1934" s="12" t="s">
        <v>5172</v>
      </c>
      <c r="H1934" s="12" t="s">
        <v>5270</v>
      </c>
      <c r="I1934" s="12" t="s">
        <v>5386</v>
      </c>
      <c r="J1934" s="11" t="s">
        <v>1856</v>
      </c>
      <c r="K1934" s="11" t="s">
        <v>1852</v>
      </c>
      <c r="L1934" s="11" t="s">
        <v>1853</v>
      </c>
      <c r="M1934" s="11" t="s">
        <v>1905</v>
      </c>
      <c r="N1934" s="12"/>
      <c r="O1934" s="11" t="s">
        <v>2755</v>
      </c>
      <c r="P1934" s="56"/>
    </row>
    <row r="1935" spans="1:16" ht="15.75" customHeight="1" x14ac:dyDescent="0.2">
      <c r="A1935" s="49">
        <v>2571</v>
      </c>
      <c r="B1935" s="11" t="s">
        <v>1857</v>
      </c>
      <c r="C1935" s="11" t="s">
        <v>1849</v>
      </c>
      <c r="D1935" s="6" t="s">
        <v>1850</v>
      </c>
      <c r="E1935" s="11" t="s">
        <v>5168</v>
      </c>
      <c r="F1935" s="12" t="s">
        <v>5168</v>
      </c>
      <c r="G1935" s="12" t="s">
        <v>5172</v>
      </c>
      <c r="H1935" s="12" t="s">
        <v>5270</v>
      </c>
      <c r="I1935" s="12" t="s">
        <v>5387</v>
      </c>
      <c r="J1935" s="11" t="s">
        <v>1856</v>
      </c>
      <c r="K1935" s="11" t="s">
        <v>1852</v>
      </c>
      <c r="L1935" s="11" t="s">
        <v>1853</v>
      </c>
      <c r="M1935" s="11" t="s">
        <v>1952</v>
      </c>
      <c r="N1935" s="12"/>
      <c r="O1935" s="11" t="s">
        <v>1859</v>
      </c>
      <c r="P1935" s="56"/>
    </row>
    <row r="1936" spans="1:16" ht="15.75" customHeight="1" x14ac:dyDescent="0.2">
      <c r="A1936" s="49">
        <v>2652</v>
      </c>
      <c r="B1936" s="11" t="s">
        <v>1857</v>
      </c>
      <c r="C1936" s="11" t="s">
        <v>1849</v>
      </c>
      <c r="D1936" s="6" t="s">
        <v>1850</v>
      </c>
      <c r="E1936" s="11" t="s">
        <v>5168</v>
      </c>
      <c r="F1936" s="12" t="s">
        <v>5168</v>
      </c>
      <c r="G1936" s="12" t="s">
        <v>5186</v>
      </c>
      <c r="H1936" s="12" t="s">
        <v>5388</v>
      </c>
      <c r="I1936" s="12" t="s">
        <v>5389</v>
      </c>
      <c r="J1936" s="11" t="s">
        <v>1856</v>
      </c>
      <c r="K1936" s="11" t="s">
        <v>1852</v>
      </c>
      <c r="L1936" s="11" t="s">
        <v>1853</v>
      </c>
      <c r="M1936" s="11" t="s">
        <v>5369</v>
      </c>
      <c r="N1936" s="12"/>
      <c r="O1936" s="11" t="s">
        <v>1859</v>
      </c>
      <c r="P1936" s="56"/>
    </row>
    <row r="1937" spans="1:16" ht="15.75" customHeight="1" x14ac:dyDescent="0.2">
      <c r="A1937" s="49">
        <v>2636</v>
      </c>
      <c r="B1937" s="11" t="s">
        <v>1857</v>
      </c>
      <c r="C1937" s="11" t="s">
        <v>1849</v>
      </c>
      <c r="D1937" s="6" t="s">
        <v>1850</v>
      </c>
      <c r="E1937" s="11" t="s">
        <v>5168</v>
      </c>
      <c r="F1937" s="12" t="s">
        <v>5168</v>
      </c>
      <c r="G1937" s="12" t="s">
        <v>5217</v>
      </c>
      <c r="H1937" s="12" t="s">
        <v>5250</v>
      </c>
      <c r="I1937" s="12" t="s">
        <v>5390</v>
      </c>
      <c r="J1937" s="11" t="s">
        <v>1856</v>
      </c>
      <c r="K1937" s="11" t="s">
        <v>1852</v>
      </c>
      <c r="L1937" s="11" t="s">
        <v>1853</v>
      </c>
      <c r="M1937" s="11" t="s">
        <v>5369</v>
      </c>
      <c r="N1937" s="12"/>
      <c r="O1937" s="11" t="s">
        <v>1858</v>
      </c>
      <c r="P1937" s="56"/>
    </row>
    <row r="1938" spans="1:16" ht="15.75" customHeight="1" x14ac:dyDescent="0.2">
      <c r="A1938" s="49">
        <v>2542</v>
      </c>
      <c r="B1938" s="11" t="s">
        <v>1857</v>
      </c>
      <c r="C1938" s="11" t="s">
        <v>1849</v>
      </c>
      <c r="D1938" s="6" t="s">
        <v>1850</v>
      </c>
      <c r="E1938" s="11" t="s">
        <v>5168</v>
      </c>
      <c r="F1938" s="12" t="s">
        <v>5168</v>
      </c>
      <c r="G1938" s="12" t="s">
        <v>5197</v>
      </c>
      <c r="H1938" s="12" t="s">
        <v>5282</v>
      </c>
      <c r="I1938" s="12" t="s">
        <v>5391</v>
      </c>
      <c r="J1938" s="11" t="s">
        <v>1856</v>
      </c>
      <c r="K1938" s="11" t="s">
        <v>1852</v>
      </c>
      <c r="L1938" s="11" t="s">
        <v>1853</v>
      </c>
      <c r="M1938" s="11" t="s">
        <v>1952</v>
      </c>
      <c r="N1938" s="12"/>
      <c r="O1938" s="11" t="s">
        <v>1858</v>
      </c>
      <c r="P1938" s="56"/>
    </row>
    <row r="1939" spans="1:16" ht="15.75" customHeight="1" x14ac:dyDescent="0.2">
      <c r="A1939" s="49">
        <v>2601</v>
      </c>
      <c r="B1939" s="11" t="s">
        <v>1857</v>
      </c>
      <c r="C1939" s="11" t="s">
        <v>1849</v>
      </c>
      <c r="D1939" s="6" t="s">
        <v>1850</v>
      </c>
      <c r="E1939" s="11" t="s">
        <v>5168</v>
      </c>
      <c r="F1939" s="12" t="s">
        <v>5168</v>
      </c>
      <c r="G1939" s="12" t="s">
        <v>5217</v>
      </c>
      <c r="H1939" s="12" t="s">
        <v>5254</v>
      </c>
      <c r="I1939" s="12" t="s">
        <v>5392</v>
      </c>
      <c r="J1939" s="11" t="s">
        <v>1856</v>
      </c>
      <c r="K1939" s="11" t="s">
        <v>1852</v>
      </c>
      <c r="L1939" s="11" t="s">
        <v>1853</v>
      </c>
      <c r="M1939" s="11" t="s">
        <v>5393</v>
      </c>
      <c r="N1939" s="12"/>
      <c r="O1939" s="11" t="s">
        <v>1859</v>
      </c>
      <c r="P1939" s="56"/>
    </row>
    <row r="1940" spans="1:16" ht="15.75" customHeight="1" x14ac:dyDescent="0.2">
      <c r="A1940" s="49">
        <v>2599</v>
      </c>
      <c r="B1940" s="11" t="s">
        <v>1857</v>
      </c>
      <c r="C1940" s="11" t="s">
        <v>1849</v>
      </c>
      <c r="D1940" s="6" t="s">
        <v>1850</v>
      </c>
      <c r="E1940" s="11" t="s">
        <v>5168</v>
      </c>
      <c r="F1940" s="12" t="s">
        <v>5168</v>
      </c>
      <c r="G1940" s="12" t="s">
        <v>5217</v>
      </c>
      <c r="H1940" s="12" t="s">
        <v>5313</v>
      </c>
      <c r="I1940" s="12" t="s">
        <v>5394</v>
      </c>
      <c r="J1940" s="11" t="s">
        <v>1856</v>
      </c>
      <c r="K1940" s="11" t="s">
        <v>1852</v>
      </c>
      <c r="L1940" s="11" t="s">
        <v>1853</v>
      </c>
      <c r="M1940" s="11" t="s">
        <v>5395</v>
      </c>
      <c r="N1940" s="12"/>
      <c r="O1940" s="11" t="s">
        <v>1858</v>
      </c>
      <c r="P1940" s="56"/>
    </row>
    <row r="1941" spans="1:16" ht="15.75" customHeight="1" x14ac:dyDescent="0.2">
      <c r="A1941" s="49">
        <v>2650</v>
      </c>
      <c r="B1941" s="11" t="s">
        <v>1857</v>
      </c>
      <c r="C1941" s="11" t="s">
        <v>1849</v>
      </c>
      <c r="D1941" s="6" t="s">
        <v>1850</v>
      </c>
      <c r="E1941" s="11" t="s">
        <v>5168</v>
      </c>
      <c r="F1941" s="12" t="s">
        <v>5168</v>
      </c>
      <c r="G1941" s="12" t="s">
        <v>5186</v>
      </c>
      <c r="H1941" s="12" t="s">
        <v>5396</v>
      </c>
      <c r="I1941" s="12" t="s">
        <v>5397</v>
      </c>
      <c r="J1941" s="11" t="s">
        <v>1856</v>
      </c>
      <c r="K1941" s="11" t="s">
        <v>1852</v>
      </c>
      <c r="L1941" s="11" t="s">
        <v>1853</v>
      </c>
      <c r="M1941" s="11" t="s">
        <v>5398</v>
      </c>
      <c r="N1941" s="12"/>
      <c r="O1941" s="11" t="s">
        <v>1858</v>
      </c>
      <c r="P1941" s="56"/>
    </row>
    <row r="1942" spans="1:16" ht="15.75" customHeight="1" x14ac:dyDescent="0.2">
      <c r="A1942" s="49">
        <v>2528</v>
      </c>
      <c r="B1942" s="11" t="s">
        <v>1857</v>
      </c>
      <c r="C1942" s="11" t="s">
        <v>1849</v>
      </c>
      <c r="D1942" s="6" t="s">
        <v>1850</v>
      </c>
      <c r="E1942" s="11" t="s">
        <v>5168</v>
      </c>
      <c r="F1942" s="12" t="s">
        <v>5168</v>
      </c>
      <c r="G1942" s="12" t="s">
        <v>5197</v>
      </c>
      <c r="H1942" s="12" t="s">
        <v>5321</v>
      </c>
      <c r="I1942" s="12" t="s">
        <v>5399</v>
      </c>
      <c r="J1942" s="11" t="s">
        <v>1856</v>
      </c>
      <c r="K1942" s="11" t="s">
        <v>1852</v>
      </c>
      <c r="L1942" s="11" t="s">
        <v>1853</v>
      </c>
      <c r="M1942" s="11" t="s">
        <v>5400</v>
      </c>
      <c r="N1942" s="12"/>
      <c r="O1942" s="11" t="s">
        <v>1859</v>
      </c>
      <c r="P1942" s="56"/>
    </row>
    <row r="1943" spans="1:16" ht="15.75" customHeight="1" x14ac:dyDescent="0.2">
      <c r="A1943" s="49">
        <v>2577</v>
      </c>
      <c r="B1943" s="11" t="s">
        <v>1857</v>
      </c>
      <c r="C1943" s="11" t="s">
        <v>1849</v>
      </c>
      <c r="D1943" s="6" t="s">
        <v>1850</v>
      </c>
      <c r="E1943" s="11" t="s">
        <v>5168</v>
      </c>
      <c r="F1943" s="12" t="s">
        <v>5168</v>
      </c>
      <c r="G1943" s="12" t="s">
        <v>5172</v>
      </c>
      <c r="H1943" s="12" t="s">
        <v>5401</v>
      </c>
      <c r="I1943" s="12" t="s">
        <v>3932</v>
      </c>
      <c r="J1943" s="11" t="s">
        <v>1856</v>
      </c>
      <c r="K1943" s="11" t="s">
        <v>1852</v>
      </c>
      <c r="L1943" s="11" t="s">
        <v>1853</v>
      </c>
      <c r="M1943" s="11" t="s">
        <v>5402</v>
      </c>
      <c r="N1943" s="12"/>
      <c r="O1943" s="11" t="s">
        <v>1858</v>
      </c>
      <c r="P1943" s="56"/>
    </row>
    <row r="1944" spans="1:16" ht="15.75" customHeight="1" x14ac:dyDescent="0.2">
      <c r="A1944" s="49">
        <v>2688</v>
      </c>
      <c r="B1944" s="11" t="s">
        <v>1857</v>
      </c>
      <c r="C1944" s="11" t="s">
        <v>1849</v>
      </c>
      <c r="D1944" s="6" t="s">
        <v>1850</v>
      </c>
      <c r="E1944" s="11" t="s">
        <v>5168</v>
      </c>
      <c r="F1944" s="12" t="s">
        <v>5168</v>
      </c>
      <c r="G1944" s="12" t="s">
        <v>5175</v>
      </c>
      <c r="H1944" s="12" t="s">
        <v>5194</v>
      </c>
      <c r="I1944" s="12" t="s">
        <v>5403</v>
      </c>
      <c r="J1944" s="11" t="s">
        <v>1856</v>
      </c>
      <c r="K1944" s="11" t="s">
        <v>1852</v>
      </c>
      <c r="L1944" s="11" t="s">
        <v>1853</v>
      </c>
      <c r="M1944" s="11" t="s">
        <v>1854</v>
      </c>
      <c r="N1944" s="12"/>
      <c r="O1944" s="11" t="s">
        <v>1859</v>
      </c>
      <c r="P1944" s="56"/>
    </row>
    <row r="1945" spans="1:16" ht="15.75" customHeight="1" x14ac:dyDescent="0.2">
      <c r="A1945" s="49">
        <v>2529</v>
      </c>
      <c r="B1945" s="11" t="s">
        <v>1857</v>
      </c>
      <c r="C1945" s="11" t="s">
        <v>1849</v>
      </c>
      <c r="D1945" s="6" t="s">
        <v>1850</v>
      </c>
      <c r="E1945" s="11" t="s">
        <v>5168</v>
      </c>
      <c r="F1945" s="12" t="s">
        <v>5168</v>
      </c>
      <c r="G1945" s="12" t="s">
        <v>5197</v>
      </c>
      <c r="H1945" s="12" t="s">
        <v>5321</v>
      </c>
      <c r="I1945" s="12" t="s">
        <v>5404</v>
      </c>
      <c r="J1945" s="11" t="s">
        <v>1856</v>
      </c>
      <c r="K1945" s="11" t="s">
        <v>1852</v>
      </c>
      <c r="L1945" s="11" t="s">
        <v>1853</v>
      </c>
      <c r="M1945" s="11" t="s">
        <v>5320</v>
      </c>
      <c r="N1945" s="12"/>
      <c r="O1945" s="11" t="s">
        <v>1858</v>
      </c>
      <c r="P1945" s="56"/>
    </row>
    <row r="1946" spans="1:16" ht="15.75" customHeight="1" x14ac:dyDescent="0.2">
      <c r="A1946" s="49">
        <v>2649</v>
      </c>
      <c r="B1946" s="11" t="s">
        <v>1857</v>
      </c>
      <c r="C1946" s="11" t="s">
        <v>1849</v>
      </c>
      <c r="D1946" s="6" t="s">
        <v>1850</v>
      </c>
      <c r="E1946" s="11" t="s">
        <v>5168</v>
      </c>
      <c r="F1946" s="12" t="s">
        <v>5168</v>
      </c>
      <c r="G1946" s="12" t="s">
        <v>5186</v>
      </c>
      <c r="H1946" s="12" t="s">
        <v>3637</v>
      </c>
      <c r="I1946" s="12" t="s">
        <v>5405</v>
      </c>
      <c r="J1946" s="11" t="s">
        <v>1856</v>
      </c>
      <c r="K1946" s="11" t="s">
        <v>1852</v>
      </c>
      <c r="L1946" s="11" t="s">
        <v>1853</v>
      </c>
      <c r="M1946" s="11" t="s">
        <v>5303</v>
      </c>
      <c r="N1946" s="12"/>
      <c r="O1946" s="11" t="s">
        <v>1858</v>
      </c>
      <c r="P1946" s="56"/>
    </row>
    <row r="1947" spans="1:16" ht="15.75" customHeight="1" x14ac:dyDescent="0.2">
      <c r="A1947" s="49">
        <v>2705</v>
      </c>
      <c r="B1947" s="11" t="s">
        <v>1857</v>
      </c>
      <c r="C1947" s="11" t="s">
        <v>1849</v>
      </c>
      <c r="D1947" s="6" t="s">
        <v>1850</v>
      </c>
      <c r="E1947" s="11" t="s">
        <v>5168</v>
      </c>
      <c r="F1947" s="12" t="s">
        <v>5168</v>
      </c>
      <c r="G1947" s="12" t="s">
        <v>5230</v>
      </c>
      <c r="H1947" s="12" t="s">
        <v>5406</v>
      </c>
      <c r="I1947" s="12" t="s">
        <v>5407</v>
      </c>
      <c r="J1947" s="11" t="s">
        <v>1856</v>
      </c>
      <c r="K1947" s="11" t="s">
        <v>1852</v>
      </c>
      <c r="L1947" s="11" t="s">
        <v>1853</v>
      </c>
      <c r="M1947" s="11" t="s">
        <v>5408</v>
      </c>
      <c r="N1947" s="12"/>
      <c r="O1947" s="11" t="s">
        <v>1859</v>
      </c>
      <c r="P1947" s="56"/>
    </row>
    <row r="1948" spans="1:16" ht="15.75" customHeight="1" x14ac:dyDescent="0.2">
      <c r="A1948" s="49">
        <v>2569</v>
      </c>
      <c r="B1948" s="11" t="s">
        <v>1857</v>
      </c>
      <c r="C1948" s="11" t="s">
        <v>1849</v>
      </c>
      <c r="D1948" s="6" t="s">
        <v>1850</v>
      </c>
      <c r="E1948" s="11" t="s">
        <v>5168</v>
      </c>
      <c r="F1948" s="12" t="s">
        <v>5168</v>
      </c>
      <c r="G1948" s="12" t="s">
        <v>5172</v>
      </c>
      <c r="H1948" s="12" t="s">
        <v>5270</v>
      </c>
      <c r="I1948" s="12" t="s">
        <v>5409</v>
      </c>
      <c r="J1948" s="11" t="s">
        <v>1856</v>
      </c>
      <c r="K1948" s="11" t="s">
        <v>1852</v>
      </c>
      <c r="L1948" s="11" t="s">
        <v>1853</v>
      </c>
      <c r="M1948" s="11" t="s">
        <v>1854</v>
      </c>
      <c r="N1948" s="12"/>
      <c r="O1948" s="11" t="s">
        <v>1859</v>
      </c>
      <c r="P1948" s="56"/>
    </row>
    <row r="1949" spans="1:16" ht="15.75" customHeight="1" x14ac:dyDescent="0.2">
      <c r="A1949" s="49">
        <v>2507</v>
      </c>
      <c r="B1949" s="11" t="s">
        <v>1857</v>
      </c>
      <c r="C1949" s="11" t="s">
        <v>1849</v>
      </c>
      <c r="D1949" s="6" t="s">
        <v>1850</v>
      </c>
      <c r="E1949" s="11" t="s">
        <v>5168</v>
      </c>
      <c r="F1949" s="12" t="s">
        <v>5168</v>
      </c>
      <c r="G1949" s="12" t="s">
        <v>5197</v>
      </c>
      <c r="H1949" s="12" t="s">
        <v>5179</v>
      </c>
      <c r="I1949" s="12" t="s">
        <v>5410</v>
      </c>
      <c r="J1949" s="11" t="s">
        <v>1856</v>
      </c>
      <c r="K1949" s="11" t="s">
        <v>1852</v>
      </c>
      <c r="L1949" s="11" t="s">
        <v>1853</v>
      </c>
      <c r="M1949" s="11" t="s">
        <v>1854</v>
      </c>
      <c r="N1949" s="12"/>
      <c r="O1949" s="11" t="s">
        <v>1858</v>
      </c>
      <c r="P1949" s="56"/>
    </row>
    <row r="1950" spans="1:16" ht="15.75" customHeight="1" x14ac:dyDescent="0.2">
      <c r="A1950" s="49">
        <v>2616</v>
      </c>
      <c r="B1950" s="11" t="s">
        <v>1857</v>
      </c>
      <c r="C1950" s="11" t="s">
        <v>1849</v>
      </c>
      <c r="D1950" s="6" t="s">
        <v>1850</v>
      </c>
      <c r="E1950" s="11" t="s">
        <v>5168</v>
      </c>
      <c r="F1950" s="12" t="s">
        <v>5168</v>
      </c>
      <c r="G1950" s="12" t="s">
        <v>5217</v>
      </c>
      <c r="H1950" s="12" t="s">
        <v>5326</v>
      </c>
      <c r="I1950" s="12" t="s">
        <v>5411</v>
      </c>
      <c r="J1950" s="11" t="s">
        <v>1856</v>
      </c>
      <c r="K1950" s="11" t="s">
        <v>1852</v>
      </c>
      <c r="L1950" s="11" t="s">
        <v>1853</v>
      </c>
      <c r="M1950" s="11" t="s">
        <v>5412</v>
      </c>
      <c r="N1950" s="12"/>
      <c r="O1950" s="11" t="s">
        <v>1859</v>
      </c>
      <c r="P1950" s="56"/>
    </row>
    <row r="1951" spans="1:16" ht="15.75" customHeight="1" x14ac:dyDescent="0.2">
      <c r="A1951" s="49">
        <v>2592</v>
      </c>
      <c r="B1951" s="11" t="s">
        <v>1857</v>
      </c>
      <c r="C1951" s="11" t="s">
        <v>1849</v>
      </c>
      <c r="D1951" s="6" t="s">
        <v>1850</v>
      </c>
      <c r="E1951" s="11" t="s">
        <v>5168</v>
      </c>
      <c r="F1951" s="12" t="s">
        <v>5168</v>
      </c>
      <c r="G1951" s="12" t="s">
        <v>5217</v>
      </c>
      <c r="H1951" s="12" t="s">
        <v>5217</v>
      </c>
      <c r="I1951" s="12" t="s">
        <v>5413</v>
      </c>
      <c r="J1951" s="11" t="s">
        <v>1856</v>
      </c>
      <c r="K1951" s="11" t="s">
        <v>1852</v>
      </c>
      <c r="L1951" s="11" t="s">
        <v>1853</v>
      </c>
      <c r="M1951" s="11" t="s">
        <v>1854</v>
      </c>
      <c r="N1951" s="12"/>
      <c r="O1951" s="11" t="s">
        <v>1858</v>
      </c>
      <c r="P1951" s="56"/>
    </row>
    <row r="1952" spans="1:16" ht="15.75" customHeight="1" x14ac:dyDescent="0.2">
      <c r="A1952" s="49">
        <v>2532</v>
      </c>
      <c r="B1952" s="11" t="s">
        <v>1857</v>
      </c>
      <c r="C1952" s="11" t="s">
        <v>1849</v>
      </c>
      <c r="D1952" s="6" t="s">
        <v>1850</v>
      </c>
      <c r="E1952" s="11" t="s">
        <v>5168</v>
      </c>
      <c r="F1952" s="12" t="s">
        <v>5168</v>
      </c>
      <c r="G1952" s="12" t="s">
        <v>5197</v>
      </c>
      <c r="H1952" s="12" t="s">
        <v>5283</v>
      </c>
      <c r="I1952" s="12" t="s">
        <v>5414</v>
      </c>
      <c r="J1952" s="11" t="s">
        <v>1856</v>
      </c>
      <c r="K1952" s="11" t="s">
        <v>1852</v>
      </c>
      <c r="L1952" s="11" t="s">
        <v>1853</v>
      </c>
      <c r="M1952" s="11" t="s">
        <v>5415</v>
      </c>
      <c r="N1952" s="12"/>
      <c r="O1952" s="11" t="s">
        <v>1858</v>
      </c>
      <c r="P1952" s="56"/>
    </row>
    <row r="1953" spans="1:16" ht="15.75" customHeight="1" x14ac:dyDescent="0.2">
      <c r="A1953" s="49">
        <v>2689</v>
      </c>
      <c r="B1953" s="11" t="s">
        <v>1857</v>
      </c>
      <c r="C1953" s="11" t="s">
        <v>1849</v>
      </c>
      <c r="D1953" s="6" t="s">
        <v>1850</v>
      </c>
      <c r="E1953" s="11" t="s">
        <v>5168</v>
      </c>
      <c r="F1953" s="12" t="s">
        <v>5168</v>
      </c>
      <c r="G1953" s="12" t="s">
        <v>5175</v>
      </c>
      <c r="H1953" s="12" t="s">
        <v>5194</v>
      </c>
      <c r="I1953" s="12" t="s">
        <v>5416</v>
      </c>
      <c r="J1953" s="11" t="s">
        <v>1856</v>
      </c>
      <c r="K1953" s="11" t="s">
        <v>1852</v>
      </c>
      <c r="L1953" s="11" t="s">
        <v>1853</v>
      </c>
      <c r="M1953" s="11" t="s">
        <v>5417</v>
      </c>
      <c r="N1953" s="12"/>
      <c r="O1953" s="11" t="s">
        <v>1859</v>
      </c>
      <c r="P1953" s="56"/>
    </row>
    <row r="1954" spans="1:16" ht="15.75" customHeight="1" x14ac:dyDescent="0.2">
      <c r="A1954" s="49">
        <v>2703</v>
      </c>
      <c r="B1954" s="11" t="s">
        <v>1857</v>
      </c>
      <c r="C1954" s="11" t="s">
        <v>1849</v>
      </c>
      <c r="D1954" s="6" t="s">
        <v>1850</v>
      </c>
      <c r="E1954" s="11" t="s">
        <v>5168</v>
      </c>
      <c r="F1954" s="12" t="s">
        <v>5168</v>
      </c>
      <c r="G1954" s="12" t="s">
        <v>5230</v>
      </c>
      <c r="H1954" s="12" t="s">
        <v>5230</v>
      </c>
      <c r="I1954" s="12" t="s">
        <v>5418</v>
      </c>
      <c r="J1954" s="11" t="s">
        <v>1856</v>
      </c>
      <c r="K1954" s="11" t="s">
        <v>1852</v>
      </c>
      <c r="L1954" s="11" t="s">
        <v>1853</v>
      </c>
      <c r="M1954" s="11" t="s">
        <v>5419</v>
      </c>
      <c r="N1954" s="12"/>
      <c r="O1954" s="11" t="s">
        <v>1858</v>
      </c>
      <c r="P1954" s="56"/>
    </row>
    <row r="1955" spans="1:16" ht="15.75" customHeight="1" x14ac:dyDescent="0.2">
      <c r="A1955" s="49">
        <v>2579</v>
      </c>
      <c r="B1955" s="11" t="s">
        <v>1857</v>
      </c>
      <c r="C1955" s="11" t="s">
        <v>1849</v>
      </c>
      <c r="D1955" s="6" t="s">
        <v>1850</v>
      </c>
      <c r="E1955" s="11" t="s">
        <v>5168</v>
      </c>
      <c r="F1955" s="12" t="s">
        <v>5168</v>
      </c>
      <c r="G1955" s="12" t="s">
        <v>5172</v>
      </c>
      <c r="H1955" s="12" t="s">
        <v>5318</v>
      </c>
      <c r="I1955" s="12" t="s">
        <v>5420</v>
      </c>
      <c r="J1955" s="11" t="s">
        <v>1856</v>
      </c>
      <c r="K1955" s="11" t="s">
        <v>1852</v>
      </c>
      <c r="L1955" s="11" t="s">
        <v>1853</v>
      </c>
      <c r="M1955" s="11" t="s">
        <v>1905</v>
      </c>
      <c r="N1955" s="12"/>
      <c r="O1955" s="11" t="s">
        <v>1858</v>
      </c>
      <c r="P1955" s="56"/>
    </row>
    <row r="1956" spans="1:16" ht="15.75" customHeight="1" x14ac:dyDescent="0.2">
      <c r="A1956" s="49">
        <v>2653</v>
      </c>
      <c r="B1956" s="11" t="s">
        <v>1857</v>
      </c>
      <c r="C1956" s="11" t="s">
        <v>1849</v>
      </c>
      <c r="D1956" s="6" t="s">
        <v>1850</v>
      </c>
      <c r="E1956" s="11" t="s">
        <v>5168</v>
      </c>
      <c r="F1956" s="12" t="s">
        <v>5168</v>
      </c>
      <c r="G1956" s="12" t="s">
        <v>5186</v>
      </c>
      <c r="H1956" s="12" t="s">
        <v>5421</v>
      </c>
      <c r="I1956" s="12" t="s">
        <v>5422</v>
      </c>
      <c r="J1956" s="11" t="s">
        <v>1856</v>
      </c>
      <c r="K1956" s="11" t="s">
        <v>1852</v>
      </c>
      <c r="L1956" s="11" t="s">
        <v>1853</v>
      </c>
      <c r="M1956" s="11" t="s">
        <v>5423</v>
      </c>
      <c r="N1956" s="12"/>
      <c r="O1956" s="11" t="s">
        <v>1858</v>
      </c>
      <c r="P1956" s="56"/>
    </row>
    <row r="1957" spans="1:16" ht="15.75" customHeight="1" x14ac:dyDescent="0.2">
      <c r="A1957" s="49">
        <v>2684</v>
      </c>
      <c r="B1957" s="11" t="s">
        <v>1857</v>
      </c>
      <c r="C1957" s="11" t="s">
        <v>1849</v>
      </c>
      <c r="D1957" s="6" t="s">
        <v>1850</v>
      </c>
      <c r="E1957" s="11" t="s">
        <v>5168</v>
      </c>
      <c r="F1957" s="12" t="s">
        <v>5168</v>
      </c>
      <c r="G1957" s="12" t="s">
        <v>5175</v>
      </c>
      <c r="H1957" s="12" t="s">
        <v>5194</v>
      </c>
      <c r="I1957" s="12" t="s">
        <v>5424</v>
      </c>
      <c r="J1957" s="11" t="s">
        <v>1856</v>
      </c>
      <c r="K1957" s="11" t="s">
        <v>1852</v>
      </c>
      <c r="L1957" s="11" t="s">
        <v>1853</v>
      </c>
      <c r="M1957" s="11" t="s">
        <v>3066</v>
      </c>
      <c r="N1957" s="12"/>
      <c r="O1957" s="11" t="s">
        <v>1858</v>
      </c>
      <c r="P1957" s="56"/>
    </row>
    <row r="1958" spans="1:16" ht="15.75" customHeight="1" x14ac:dyDescent="0.2">
      <c r="A1958" s="49">
        <v>2622</v>
      </c>
      <c r="B1958" s="11" t="s">
        <v>1857</v>
      </c>
      <c r="C1958" s="11" t="s">
        <v>1849</v>
      </c>
      <c r="D1958" s="6" t="s">
        <v>1850</v>
      </c>
      <c r="E1958" s="11" t="s">
        <v>5168</v>
      </c>
      <c r="F1958" s="12" t="s">
        <v>5168</v>
      </c>
      <c r="G1958" s="12" t="s">
        <v>5217</v>
      </c>
      <c r="H1958" s="12" t="s">
        <v>5262</v>
      </c>
      <c r="I1958" s="12" t="s">
        <v>5425</v>
      </c>
      <c r="J1958" s="11" t="s">
        <v>1856</v>
      </c>
      <c r="K1958" s="11" t="s">
        <v>1852</v>
      </c>
      <c r="L1958" s="11" t="s">
        <v>1853</v>
      </c>
      <c r="M1958" s="11" t="s">
        <v>1854</v>
      </c>
      <c r="N1958" s="12"/>
      <c r="O1958" s="11" t="s">
        <v>1858</v>
      </c>
      <c r="P1958" s="56"/>
    </row>
    <row r="1959" spans="1:16" ht="15.75" customHeight="1" x14ac:dyDescent="0.2">
      <c r="A1959" s="49">
        <v>2655</v>
      </c>
      <c r="B1959" s="11" t="s">
        <v>1857</v>
      </c>
      <c r="C1959" s="11" t="s">
        <v>1849</v>
      </c>
      <c r="D1959" s="6" t="s">
        <v>1850</v>
      </c>
      <c r="E1959" s="11" t="s">
        <v>5168</v>
      </c>
      <c r="F1959" s="12" t="s">
        <v>5168</v>
      </c>
      <c r="G1959" s="12" t="s">
        <v>5186</v>
      </c>
      <c r="H1959" s="12" t="s">
        <v>5426</v>
      </c>
      <c r="I1959" s="12" t="s">
        <v>5427</v>
      </c>
      <c r="J1959" s="11" t="s">
        <v>1856</v>
      </c>
      <c r="K1959" s="11" t="s">
        <v>1852</v>
      </c>
      <c r="L1959" s="11" t="s">
        <v>1853</v>
      </c>
      <c r="M1959" s="11" t="s">
        <v>5303</v>
      </c>
      <c r="N1959" s="12"/>
      <c r="O1959" s="11" t="s">
        <v>1858</v>
      </c>
      <c r="P1959" s="56"/>
    </row>
    <row r="1960" spans="1:16" ht="15.75" customHeight="1" x14ac:dyDescent="0.2">
      <c r="A1960" s="49">
        <v>2645</v>
      </c>
      <c r="B1960" s="11" t="s">
        <v>1857</v>
      </c>
      <c r="C1960" s="11" t="s">
        <v>1849</v>
      </c>
      <c r="D1960" s="6" t="s">
        <v>1850</v>
      </c>
      <c r="E1960" s="11" t="s">
        <v>5168</v>
      </c>
      <c r="F1960" s="12" t="s">
        <v>5168</v>
      </c>
      <c r="G1960" s="12" t="s">
        <v>5186</v>
      </c>
      <c r="H1960" s="12" t="s">
        <v>5201</v>
      </c>
      <c r="I1960" s="12" t="s">
        <v>5428</v>
      </c>
      <c r="J1960" s="11" t="s">
        <v>1856</v>
      </c>
      <c r="K1960" s="11" t="s">
        <v>1852</v>
      </c>
      <c r="L1960" s="11" t="s">
        <v>1853</v>
      </c>
      <c r="M1960" s="11" t="s">
        <v>2698</v>
      </c>
      <c r="N1960" s="12"/>
      <c r="O1960" s="11" t="s">
        <v>1858</v>
      </c>
      <c r="P1960" s="56"/>
    </row>
    <row r="1961" spans="1:16" ht="15.75" customHeight="1" x14ac:dyDescent="0.2">
      <c r="A1961" s="49">
        <v>2596</v>
      </c>
      <c r="B1961" s="11" t="s">
        <v>1857</v>
      </c>
      <c r="C1961" s="11" t="s">
        <v>1849</v>
      </c>
      <c r="D1961" s="6" t="s">
        <v>1850</v>
      </c>
      <c r="E1961" s="11" t="s">
        <v>5168</v>
      </c>
      <c r="F1961" s="12" t="s">
        <v>5168</v>
      </c>
      <c r="G1961" s="12" t="s">
        <v>5217</v>
      </c>
      <c r="H1961" s="12" t="s">
        <v>5217</v>
      </c>
      <c r="I1961" s="12" t="s">
        <v>5429</v>
      </c>
      <c r="J1961" s="11" t="s">
        <v>1856</v>
      </c>
      <c r="K1961" s="11" t="s">
        <v>1852</v>
      </c>
      <c r="L1961" s="11" t="s">
        <v>1853</v>
      </c>
      <c r="M1961" s="11" t="s">
        <v>2076</v>
      </c>
      <c r="N1961" s="12"/>
      <c r="O1961" s="11" t="s">
        <v>1858</v>
      </c>
      <c r="P1961" s="56"/>
    </row>
    <row r="1962" spans="1:16" ht="15.75" customHeight="1" x14ac:dyDescent="0.2">
      <c r="A1962" s="49">
        <v>2538</v>
      </c>
      <c r="B1962" s="11" t="s">
        <v>1857</v>
      </c>
      <c r="C1962" s="11" t="s">
        <v>1849</v>
      </c>
      <c r="D1962" s="6" t="s">
        <v>1850</v>
      </c>
      <c r="E1962" s="11" t="s">
        <v>5168</v>
      </c>
      <c r="F1962" s="12" t="s">
        <v>5168</v>
      </c>
      <c r="G1962" s="12" t="s">
        <v>5197</v>
      </c>
      <c r="H1962" s="12" t="s">
        <v>5283</v>
      </c>
      <c r="I1962" s="12" t="s">
        <v>5430</v>
      </c>
      <c r="J1962" s="11" t="s">
        <v>1856</v>
      </c>
      <c r="K1962" s="11" t="s">
        <v>1852</v>
      </c>
      <c r="L1962" s="11" t="s">
        <v>1853</v>
      </c>
      <c r="M1962" s="11" t="s">
        <v>5431</v>
      </c>
      <c r="N1962" s="12"/>
      <c r="O1962" s="11" t="s">
        <v>1860</v>
      </c>
      <c r="P1962" s="56"/>
    </row>
    <row r="1963" spans="1:16" ht="15.75" customHeight="1" x14ac:dyDescent="0.2">
      <c r="A1963" s="49">
        <v>2544</v>
      </c>
      <c r="B1963" s="11" t="s">
        <v>1857</v>
      </c>
      <c r="C1963" s="11" t="s">
        <v>1849</v>
      </c>
      <c r="D1963" s="6" t="s">
        <v>1850</v>
      </c>
      <c r="E1963" s="11" t="s">
        <v>5168</v>
      </c>
      <c r="F1963" s="12" t="s">
        <v>5168</v>
      </c>
      <c r="G1963" s="12" t="s">
        <v>5197</v>
      </c>
      <c r="H1963" s="12" t="s">
        <v>5282</v>
      </c>
      <c r="I1963" s="12" t="s">
        <v>5432</v>
      </c>
      <c r="J1963" s="11" t="s">
        <v>1856</v>
      </c>
      <c r="K1963" s="11" t="s">
        <v>1852</v>
      </c>
      <c r="L1963" s="11" t="s">
        <v>1853</v>
      </c>
      <c r="M1963" s="11" t="s">
        <v>5433</v>
      </c>
      <c r="N1963" s="12"/>
      <c r="O1963" s="11" t="s">
        <v>1858</v>
      </c>
      <c r="P1963" s="56"/>
    </row>
    <row r="1964" spans="1:16" ht="15.75" customHeight="1" x14ac:dyDescent="0.2">
      <c r="A1964" s="49">
        <v>2537</v>
      </c>
      <c r="B1964" s="11" t="s">
        <v>1857</v>
      </c>
      <c r="C1964" s="11" t="s">
        <v>1849</v>
      </c>
      <c r="D1964" s="6" t="s">
        <v>1850</v>
      </c>
      <c r="E1964" s="11" t="s">
        <v>5168</v>
      </c>
      <c r="F1964" s="12" t="s">
        <v>5168</v>
      </c>
      <c r="G1964" s="12" t="s">
        <v>5197</v>
      </c>
      <c r="H1964" s="12" t="s">
        <v>5283</v>
      </c>
      <c r="I1964" s="12" t="s">
        <v>5434</v>
      </c>
      <c r="J1964" s="11" t="s">
        <v>1856</v>
      </c>
      <c r="K1964" s="11" t="s">
        <v>1852</v>
      </c>
      <c r="L1964" s="11" t="s">
        <v>1853</v>
      </c>
      <c r="M1964" s="11" t="s">
        <v>2069</v>
      </c>
      <c r="N1964" s="12"/>
      <c r="O1964" s="11" t="s">
        <v>1859</v>
      </c>
      <c r="P1964" s="56"/>
    </row>
    <row r="1965" spans="1:16" ht="15.75" customHeight="1" x14ac:dyDescent="0.2">
      <c r="A1965" s="49">
        <v>2545</v>
      </c>
      <c r="B1965" s="11" t="s">
        <v>1857</v>
      </c>
      <c r="C1965" s="11" t="s">
        <v>1849</v>
      </c>
      <c r="D1965" s="6" t="s">
        <v>1850</v>
      </c>
      <c r="E1965" s="11" t="s">
        <v>5168</v>
      </c>
      <c r="F1965" s="12" t="s">
        <v>5168</v>
      </c>
      <c r="G1965" s="12" t="s">
        <v>5197</v>
      </c>
      <c r="H1965" s="12" t="s">
        <v>5283</v>
      </c>
      <c r="I1965" s="12" t="s">
        <v>5435</v>
      </c>
      <c r="J1965" s="11" t="s">
        <v>1856</v>
      </c>
      <c r="K1965" s="11" t="s">
        <v>1852</v>
      </c>
      <c r="L1965" s="11" t="s">
        <v>1853</v>
      </c>
      <c r="M1965" s="11" t="s">
        <v>5436</v>
      </c>
      <c r="N1965" s="12"/>
      <c r="O1965" s="11" t="s">
        <v>2755</v>
      </c>
      <c r="P1965" s="56"/>
    </row>
    <row r="1966" spans="1:16" ht="15.75" customHeight="1" x14ac:dyDescent="0.2">
      <c r="A1966" s="49">
        <v>2632</v>
      </c>
      <c r="B1966" s="11" t="s">
        <v>1857</v>
      </c>
      <c r="C1966" s="11" t="s">
        <v>1849</v>
      </c>
      <c r="D1966" s="6" t="s">
        <v>1850</v>
      </c>
      <c r="E1966" s="11" t="s">
        <v>5168</v>
      </c>
      <c r="F1966" s="12" t="s">
        <v>5168</v>
      </c>
      <c r="G1966" s="12" t="s">
        <v>5217</v>
      </c>
      <c r="H1966" s="12" t="s">
        <v>3548</v>
      </c>
      <c r="I1966" s="12" t="s">
        <v>5437</v>
      </c>
      <c r="J1966" s="11" t="s">
        <v>1856</v>
      </c>
      <c r="K1966" s="11" t="s">
        <v>1852</v>
      </c>
      <c r="L1966" s="11" t="s">
        <v>1853</v>
      </c>
      <c r="M1966" s="11" t="s">
        <v>5438</v>
      </c>
      <c r="N1966" s="12"/>
      <c r="O1966" s="11" t="s">
        <v>1859</v>
      </c>
      <c r="P1966" s="56"/>
    </row>
    <row r="1967" spans="1:16" ht="15.75" customHeight="1" x14ac:dyDescent="0.2">
      <c r="A1967" s="49">
        <v>2672</v>
      </c>
      <c r="B1967" s="11" t="s">
        <v>1857</v>
      </c>
      <c r="C1967" s="11" t="s">
        <v>1849</v>
      </c>
      <c r="D1967" s="6" t="s">
        <v>1850</v>
      </c>
      <c r="E1967" s="11" t="s">
        <v>5168</v>
      </c>
      <c r="F1967" s="12" t="s">
        <v>5168</v>
      </c>
      <c r="G1967" s="12" t="s">
        <v>5175</v>
      </c>
      <c r="H1967" s="12" t="s">
        <v>5258</v>
      </c>
      <c r="I1967" s="12" t="s">
        <v>5439</v>
      </c>
      <c r="J1967" s="11" t="s">
        <v>1856</v>
      </c>
      <c r="K1967" s="11" t="s">
        <v>1852</v>
      </c>
      <c r="L1967" s="11" t="s">
        <v>1853</v>
      </c>
      <c r="M1967" s="11" t="s">
        <v>5440</v>
      </c>
      <c r="N1967" s="12"/>
      <c r="O1967" s="11" t="s">
        <v>1858</v>
      </c>
      <c r="P1967" s="56"/>
    </row>
    <row r="1968" spans="1:16" ht="15.75" customHeight="1" x14ac:dyDescent="0.2">
      <c r="A1968" s="49">
        <v>2589</v>
      </c>
      <c r="B1968" s="11" t="s">
        <v>1857</v>
      </c>
      <c r="C1968" s="11" t="s">
        <v>1849</v>
      </c>
      <c r="D1968" s="6" t="s">
        <v>1850</v>
      </c>
      <c r="E1968" s="11" t="s">
        <v>5168</v>
      </c>
      <c r="F1968" s="12" t="s">
        <v>5168</v>
      </c>
      <c r="G1968" s="12" t="s">
        <v>5217</v>
      </c>
      <c r="H1968" s="12" t="s">
        <v>5217</v>
      </c>
      <c r="I1968" s="12" t="s">
        <v>5441</v>
      </c>
      <c r="J1968" s="11" t="s">
        <v>1856</v>
      </c>
      <c r="K1968" s="11" t="s">
        <v>1852</v>
      </c>
      <c r="L1968" s="11" t="s">
        <v>1853</v>
      </c>
      <c r="M1968" s="11" t="s">
        <v>5442</v>
      </c>
      <c r="N1968" s="12"/>
      <c r="O1968" s="11" t="s">
        <v>1859</v>
      </c>
      <c r="P1968" s="56"/>
    </row>
    <row r="1969" spans="1:16" ht="15.75" customHeight="1" x14ac:dyDescent="0.2">
      <c r="A1969" s="49">
        <v>2623</v>
      </c>
      <c r="B1969" s="11" t="s">
        <v>1857</v>
      </c>
      <c r="C1969" s="11" t="s">
        <v>1849</v>
      </c>
      <c r="D1969" s="6" t="s">
        <v>1850</v>
      </c>
      <c r="E1969" s="11" t="s">
        <v>5168</v>
      </c>
      <c r="F1969" s="12" t="s">
        <v>5168</v>
      </c>
      <c r="G1969" s="12" t="s">
        <v>5217</v>
      </c>
      <c r="H1969" s="12" t="s">
        <v>5326</v>
      </c>
      <c r="I1969" s="12" t="s">
        <v>5443</v>
      </c>
      <c r="J1969" s="11" t="s">
        <v>1856</v>
      </c>
      <c r="K1969" s="11" t="s">
        <v>1852</v>
      </c>
      <c r="L1969" s="11" t="s">
        <v>1853</v>
      </c>
      <c r="M1969" s="11" t="s">
        <v>2047</v>
      </c>
      <c r="N1969" s="12"/>
      <c r="O1969" s="11" t="s">
        <v>1858</v>
      </c>
      <c r="P1969" s="56"/>
    </row>
    <row r="1970" spans="1:16" ht="15.75" customHeight="1" x14ac:dyDescent="0.2">
      <c r="A1970" s="49">
        <v>5887</v>
      </c>
      <c r="B1970" s="11" t="s">
        <v>1857</v>
      </c>
      <c r="C1970" s="11" t="s">
        <v>1849</v>
      </c>
      <c r="D1970" s="6" t="s">
        <v>1850</v>
      </c>
      <c r="E1970" s="11" t="s">
        <v>5168</v>
      </c>
      <c r="F1970" s="12" t="s">
        <v>5168</v>
      </c>
      <c r="G1970" s="12" t="s">
        <v>5197</v>
      </c>
      <c r="H1970" s="12" t="s">
        <v>5282</v>
      </c>
      <c r="I1970" s="12" t="s">
        <v>5444</v>
      </c>
      <c r="J1970" s="11" t="s">
        <v>1856</v>
      </c>
      <c r="K1970" s="11" t="s">
        <v>1852</v>
      </c>
      <c r="L1970" s="11" t="s">
        <v>1853</v>
      </c>
      <c r="M1970" s="11" t="s">
        <v>5445</v>
      </c>
      <c r="N1970" s="12"/>
      <c r="O1970" s="11" t="s">
        <v>1859</v>
      </c>
      <c r="P1970" s="56"/>
    </row>
    <row r="1971" spans="1:16" ht="15.75" customHeight="1" x14ac:dyDescent="0.2">
      <c r="A1971" s="49">
        <v>2516</v>
      </c>
      <c r="B1971" s="11" t="s">
        <v>1857</v>
      </c>
      <c r="C1971" s="11" t="s">
        <v>1849</v>
      </c>
      <c r="D1971" s="6" t="s">
        <v>1850</v>
      </c>
      <c r="E1971" s="11" t="s">
        <v>5168</v>
      </c>
      <c r="F1971" s="12" t="s">
        <v>5168</v>
      </c>
      <c r="G1971" s="12" t="s">
        <v>5197</v>
      </c>
      <c r="H1971" s="12" t="s">
        <v>5198</v>
      </c>
      <c r="I1971" s="12" t="s">
        <v>5446</v>
      </c>
      <c r="J1971" s="11" t="s">
        <v>1856</v>
      </c>
      <c r="K1971" s="11" t="s">
        <v>1852</v>
      </c>
      <c r="L1971" s="11" t="s">
        <v>1853</v>
      </c>
      <c r="M1971" s="11" t="s">
        <v>5447</v>
      </c>
      <c r="N1971" s="12"/>
      <c r="O1971" s="11" t="s">
        <v>1859</v>
      </c>
      <c r="P1971" s="56"/>
    </row>
    <row r="1972" spans="1:16" ht="15.75" customHeight="1" x14ac:dyDescent="0.2">
      <c r="A1972" s="49">
        <v>2502</v>
      </c>
      <c r="B1972" s="11" t="s">
        <v>1857</v>
      </c>
      <c r="C1972" s="11" t="s">
        <v>1849</v>
      </c>
      <c r="D1972" s="6" t="s">
        <v>1850</v>
      </c>
      <c r="E1972" s="11" t="s">
        <v>5168</v>
      </c>
      <c r="F1972" s="12" t="s">
        <v>5168</v>
      </c>
      <c r="G1972" s="12" t="s">
        <v>5197</v>
      </c>
      <c r="H1972" s="12" t="s">
        <v>5198</v>
      </c>
      <c r="I1972" s="12" t="s">
        <v>5448</v>
      </c>
      <c r="J1972" s="11" t="s">
        <v>1856</v>
      </c>
      <c r="K1972" s="11" t="s">
        <v>1852</v>
      </c>
      <c r="L1972" s="11" t="s">
        <v>1853</v>
      </c>
      <c r="M1972" s="11" t="s">
        <v>5449</v>
      </c>
      <c r="N1972" s="12"/>
      <c r="O1972" s="11" t="s">
        <v>1859</v>
      </c>
      <c r="P1972" s="56"/>
    </row>
    <row r="1973" spans="1:16" ht="15.75" customHeight="1" x14ac:dyDescent="0.2">
      <c r="A1973" s="49">
        <v>5668</v>
      </c>
      <c r="B1973" s="11" t="s">
        <v>1857</v>
      </c>
      <c r="C1973" s="11" t="s">
        <v>1849</v>
      </c>
      <c r="D1973" s="6" t="s">
        <v>1850</v>
      </c>
      <c r="E1973" s="11" t="s">
        <v>5168</v>
      </c>
      <c r="F1973" s="12" t="s">
        <v>5168</v>
      </c>
      <c r="G1973" s="12" t="s">
        <v>5172</v>
      </c>
      <c r="H1973" s="12" t="s">
        <v>5181</v>
      </c>
      <c r="I1973" s="12" t="s">
        <v>5450</v>
      </c>
      <c r="J1973" s="11" t="s">
        <v>1856</v>
      </c>
      <c r="K1973" s="11" t="s">
        <v>1852</v>
      </c>
      <c r="L1973" s="11" t="s">
        <v>1853</v>
      </c>
      <c r="M1973" s="11" t="s">
        <v>5451</v>
      </c>
      <c r="N1973" s="12"/>
      <c r="O1973" s="11" t="s">
        <v>1858</v>
      </c>
      <c r="P1973" s="56"/>
    </row>
    <row r="1974" spans="1:16" ht="15.75" customHeight="1" x14ac:dyDescent="0.2">
      <c r="A1974" s="49">
        <v>2576</v>
      </c>
      <c r="B1974" s="11" t="s">
        <v>1857</v>
      </c>
      <c r="C1974" s="11" t="s">
        <v>1849</v>
      </c>
      <c r="D1974" s="6" t="s">
        <v>1850</v>
      </c>
      <c r="E1974" s="11" t="s">
        <v>5168</v>
      </c>
      <c r="F1974" s="12" t="s">
        <v>5168</v>
      </c>
      <c r="G1974" s="12" t="s">
        <v>5172</v>
      </c>
      <c r="H1974" s="12" t="s">
        <v>5248</v>
      </c>
      <c r="I1974" s="12" t="s">
        <v>2483</v>
      </c>
      <c r="J1974" s="11" t="s">
        <v>1856</v>
      </c>
      <c r="K1974" s="11" t="s">
        <v>1852</v>
      </c>
      <c r="L1974" s="11" t="s">
        <v>1853</v>
      </c>
      <c r="M1974" s="11" t="s">
        <v>5452</v>
      </c>
      <c r="N1974" s="12"/>
      <c r="O1974" s="11" t="s">
        <v>1859</v>
      </c>
      <c r="P1974" s="56"/>
    </row>
    <row r="1975" spans="1:16" ht="15.75" customHeight="1" x14ac:dyDescent="0.2">
      <c r="A1975" s="49">
        <v>2595</v>
      </c>
      <c r="B1975" s="11" t="s">
        <v>1857</v>
      </c>
      <c r="C1975" s="11" t="s">
        <v>1849</v>
      </c>
      <c r="D1975" s="6" t="s">
        <v>1850</v>
      </c>
      <c r="E1975" s="11" t="s">
        <v>5168</v>
      </c>
      <c r="F1975" s="12" t="s">
        <v>5168</v>
      </c>
      <c r="G1975" s="12" t="s">
        <v>5217</v>
      </c>
      <c r="H1975" s="12" t="s">
        <v>5313</v>
      </c>
      <c r="I1975" s="12" t="s">
        <v>4937</v>
      </c>
      <c r="J1975" s="11" t="s">
        <v>1856</v>
      </c>
      <c r="K1975" s="11" t="s">
        <v>1852</v>
      </c>
      <c r="L1975" s="11" t="s">
        <v>1853</v>
      </c>
      <c r="M1975" s="11" t="s">
        <v>5453</v>
      </c>
      <c r="N1975" s="12"/>
      <c r="O1975" s="11" t="s">
        <v>1859</v>
      </c>
      <c r="P1975" s="56"/>
    </row>
    <row r="1976" spans="1:16" ht="15.75" customHeight="1" x14ac:dyDescent="0.2">
      <c r="A1976" s="49">
        <v>2483</v>
      </c>
      <c r="B1976" s="11" t="s">
        <v>1857</v>
      </c>
      <c r="C1976" s="11" t="s">
        <v>1849</v>
      </c>
      <c r="D1976" s="6" t="s">
        <v>1850</v>
      </c>
      <c r="E1976" s="11" t="s">
        <v>5168</v>
      </c>
      <c r="F1976" s="12" t="s">
        <v>5168</v>
      </c>
      <c r="G1976" s="12" t="s">
        <v>5169</v>
      </c>
      <c r="H1976" s="12" t="s">
        <v>5169</v>
      </c>
      <c r="I1976" s="12" t="s">
        <v>5454</v>
      </c>
      <c r="J1976" s="11" t="s">
        <v>1851</v>
      </c>
      <c r="K1976" s="11" t="s">
        <v>1852</v>
      </c>
      <c r="L1976" s="11" t="s">
        <v>1853</v>
      </c>
      <c r="M1976" s="11" t="s">
        <v>1861</v>
      </c>
      <c r="N1976" s="12"/>
      <c r="O1976" s="11" t="s">
        <v>1858</v>
      </c>
      <c r="P1976" s="56"/>
    </row>
    <row r="1977" spans="1:16" ht="15.75" customHeight="1" x14ac:dyDescent="0.2">
      <c r="A1977" s="49">
        <v>2492</v>
      </c>
      <c r="B1977" s="11" t="s">
        <v>1857</v>
      </c>
      <c r="C1977" s="11" t="s">
        <v>1849</v>
      </c>
      <c r="D1977" s="6" t="s">
        <v>1850</v>
      </c>
      <c r="E1977" s="11" t="s">
        <v>5168</v>
      </c>
      <c r="F1977" s="12" t="s">
        <v>5168</v>
      </c>
      <c r="G1977" s="12" t="s">
        <v>5169</v>
      </c>
      <c r="H1977" s="12" t="s">
        <v>5183</v>
      </c>
      <c r="I1977" s="12" t="s">
        <v>5455</v>
      </c>
      <c r="J1977" s="11" t="s">
        <v>1851</v>
      </c>
      <c r="K1977" s="11" t="s">
        <v>1852</v>
      </c>
      <c r="L1977" s="11" t="s">
        <v>1853</v>
      </c>
      <c r="M1977" s="11" t="s">
        <v>1861</v>
      </c>
      <c r="N1977" s="12"/>
      <c r="O1977" s="11" t="s">
        <v>1858</v>
      </c>
      <c r="P1977" s="56"/>
    </row>
    <row r="1978" spans="1:16" ht="15.75" customHeight="1" x14ac:dyDescent="0.2">
      <c r="A1978" s="49">
        <v>2498</v>
      </c>
      <c r="B1978" s="11" t="s">
        <v>1857</v>
      </c>
      <c r="C1978" s="11" t="s">
        <v>1849</v>
      </c>
      <c r="D1978" s="6" t="s">
        <v>1850</v>
      </c>
      <c r="E1978" s="11" t="s">
        <v>5168</v>
      </c>
      <c r="F1978" s="12" t="s">
        <v>5168</v>
      </c>
      <c r="G1978" s="12" t="s">
        <v>5197</v>
      </c>
      <c r="H1978" s="12" t="s">
        <v>5179</v>
      </c>
      <c r="I1978" s="12" t="s">
        <v>5456</v>
      </c>
      <c r="J1978" s="11" t="s">
        <v>1856</v>
      </c>
      <c r="K1978" s="11" t="s">
        <v>1852</v>
      </c>
      <c r="L1978" s="11" t="s">
        <v>1853</v>
      </c>
      <c r="M1978" s="11" t="s">
        <v>2244</v>
      </c>
      <c r="N1978" s="12"/>
      <c r="O1978" s="11" t="s">
        <v>1858</v>
      </c>
      <c r="P1978" s="56"/>
    </row>
    <row r="1979" spans="1:16" ht="15.75" customHeight="1" x14ac:dyDescent="0.2">
      <c r="A1979" s="48">
        <v>2597</v>
      </c>
      <c r="B1979" s="11" t="s">
        <v>1857</v>
      </c>
      <c r="C1979" s="11" t="s">
        <v>1849</v>
      </c>
      <c r="D1979" s="6" t="s">
        <v>1850</v>
      </c>
      <c r="E1979" s="11" t="s">
        <v>5168</v>
      </c>
      <c r="F1979" s="12" t="s">
        <v>5168</v>
      </c>
      <c r="G1979" s="12" t="s">
        <v>5217</v>
      </c>
      <c r="H1979" s="12" t="s">
        <v>5217</v>
      </c>
      <c r="I1979" s="12" t="s">
        <v>5457</v>
      </c>
      <c r="J1979" s="11" t="s">
        <v>1851</v>
      </c>
      <c r="K1979" s="11" t="s">
        <v>1852</v>
      </c>
      <c r="L1979" s="11" t="s">
        <v>1853</v>
      </c>
      <c r="M1979" s="11" t="s">
        <v>1861</v>
      </c>
      <c r="N1979" s="12"/>
      <c r="O1979" s="11" t="s">
        <v>1858</v>
      </c>
      <c r="P1979" s="56"/>
    </row>
    <row r="1980" spans="1:16" ht="15.75" customHeight="1" x14ac:dyDescent="0.2">
      <c r="A1980" s="49">
        <v>2695</v>
      </c>
      <c r="B1980" s="11" t="s">
        <v>1857</v>
      </c>
      <c r="C1980" s="11" t="s">
        <v>1849</v>
      </c>
      <c r="D1980" s="6" t="s">
        <v>1850</v>
      </c>
      <c r="E1980" s="11" t="s">
        <v>5168</v>
      </c>
      <c r="F1980" s="12" t="s">
        <v>5168</v>
      </c>
      <c r="G1980" s="12" t="s">
        <v>5230</v>
      </c>
      <c r="H1980" s="12" t="s">
        <v>5458</v>
      </c>
      <c r="I1980" s="12" t="s">
        <v>5459</v>
      </c>
      <c r="J1980" s="11" t="s">
        <v>1856</v>
      </c>
      <c r="K1980" s="11" t="s">
        <v>1852</v>
      </c>
      <c r="L1980" s="11" t="s">
        <v>1853</v>
      </c>
      <c r="M1980" s="11" t="s">
        <v>2244</v>
      </c>
      <c r="N1980" s="12"/>
      <c r="O1980" s="11" t="s">
        <v>1858</v>
      </c>
      <c r="P1980" s="56"/>
    </row>
    <row r="1981" spans="1:16" ht="15.75" customHeight="1" x14ac:dyDescent="0.2">
      <c r="A1981" s="49">
        <v>2552</v>
      </c>
      <c r="B1981" s="11" t="s">
        <v>1857</v>
      </c>
      <c r="C1981" s="11" t="s">
        <v>1849</v>
      </c>
      <c r="D1981" s="6" t="s">
        <v>1850</v>
      </c>
      <c r="E1981" s="11" t="s">
        <v>5168</v>
      </c>
      <c r="F1981" s="12" t="s">
        <v>5168</v>
      </c>
      <c r="G1981" s="12" t="s">
        <v>5172</v>
      </c>
      <c r="H1981" s="12" t="s">
        <v>5204</v>
      </c>
      <c r="I1981" s="12" t="s">
        <v>5460</v>
      </c>
      <c r="J1981" s="11" t="s">
        <v>1856</v>
      </c>
      <c r="K1981" s="11" t="s">
        <v>1852</v>
      </c>
      <c r="L1981" s="11" t="s">
        <v>1853</v>
      </c>
      <c r="M1981" s="11" t="s">
        <v>5461</v>
      </c>
      <c r="N1981" s="12"/>
      <c r="O1981" s="11" t="s">
        <v>1858</v>
      </c>
      <c r="P1981" s="56"/>
    </row>
    <row r="1982" spans="1:16" ht="15.75" customHeight="1" x14ac:dyDescent="0.2">
      <c r="A1982" s="49">
        <v>2659</v>
      </c>
      <c r="B1982" s="11" t="s">
        <v>1857</v>
      </c>
      <c r="C1982" s="11" t="s">
        <v>1849</v>
      </c>
      <c r="D1982" s="6" t="s">
        <v>1850</v>
      </c>
      <c r="E1982" s="11" t="s">
        <v>5168</v>
      </c>
      <c r="F1982" s="12" t="s">
        <v>5168</v>
      </c>
      <c r="G1982" s="12" t="s">
        <v>5186</v>
      </c>
      <c r="H1982" s="12" t="s">
        <v>5349</v>
      </c>
      <c r="I1982" s="12" t="s">
        <v>5462</v>
      </c>
      <c r="J1982" s="11" t="s">
        <v>1856</v>
      </c>
      <c r="K1982" s="11" t="s">
        <v>1852</v>
      </c>
      <c r="L1982" s="11" t="s">
        <v>1853</v>
      </c>
      <c r="M1982" s="11" t="s">
        <v>1861</v>
      </c>
      <c r="N1982" s="12"/>
      <c r="O1982" s="11" t="s">
        <v>1858</v>
      </c>
      <c r="P1982" s="56"/>
    </row>
    <row r="1983" spans="1:16" ht="15.75" customHeight="1" x14ac:dyDescent="0.2">
      <c r="A1983" s="49">
        <v>2698</v>
      </c>
      <c r="B1983" s="11" t="s">
        <v>1857</v>
      </c>
      <c r="C1983" s="11" t="s">
        <v>1849</v>
      </c>
      <c r="D1983" s="6" t="s">
        <v>1850</v>
      </c>
      <c r="E1983" s="11" t="s">
        <v>5168</v>
      </c>
      <c r="F1983" s="12" t="s">
        <v>5168</v>
      </c>
      <c r="G1983" s="12" t="s">
        <v>5230</v>
      </c>
      <c r="H1983" s="12" t="s">
        <v>5230</v>
      </c>
      <c r="I1983" s="12" t="s">
        <v>5463</v>
      </c>
      <c r="J1983" s="11" t="s">
        <v>1856</v>
      </c>
      <c r="K1983" s="11" t="s">
        <v>1852</v>
      </c>
      <c r="L1983" s="11" t="s">
        <v>1853</v>
      </c>
      <c r="M1983" s="11" t="s">
        <v>2244</v>
      </c>
      <c r="N1983" s="12"/>
      <c r="O1983" s="11" t="s">
        <v>1860</v>
      </c>
      <c r="P1983" s="56"/>
    </row>
    <row r="1984" spans="1:16" ht="15.75" customHeight="1" x14ac:dyDescent="0.2">
      <c r="A1984" s="49">
        <v>2482</v>
      </c>
      <c r="B1984" s="11" t="s">
        <v>1857</v>
      </c>
      <c r="C1984" s="11" t="s">
        <v>1849</v>
      </c>
      <c r="D1984" s="6" t="s">
        <v>1850</v>
      </c>
      <c r="E1984" s="11" t="s">
        <v>5168</v>
      </c>
      <c r="F1984" s="12" t="s">
        <v>5168</v>
      </c>
      <c r="G1984" s="12" t="s">
        <v>5169</v>
      </c>
      <c r="H1984" s="12" t="s">
        <v>5233</v>
      </c>
      <c r="I1984" s="12" t="s">
        <v>5464</v>
      </c>
      <c r="J1984" s="11" t="s">
        <v>1851</v>
      </c>
      <c r="K1984" s="11" t="s">
        <v>1852</v>
      </c>
      <c r="L1984" s="11" t="s">
        <v>1853</v>
      </c>
      <c r="M1984" s="11" t="s">
        <v>1861</v>
      </c>
      <c r="N1984" s="12"/>
      <c r="O1984" s="11" t="s">
        <v>1858</v>
      </c>
      <c r="P1984" s="56"/>
    </row>
    <row r="1985" spans="1:16" ht="15.75" customHeight="1" x14ac:dyDescent="0.2">
      <c r="A1985" s="49">
        <v>2647</v>
      </c>
      <c r="B1985" s="11" t="s">
        <v>1857</v>
      </c>
      <c r="C1985" s="11" t="s">
        <v>1849</v>
      </c>
      <c r="D1985" s="6" t="s">
        <v>1850</v>
      </c>
      <c r="E1985" s="11" t="s">
        <v>5168</v>
      </c>
      <c r="F1985" s="12" t="s">
        <v>5168</v>
      </c>
      <c r="G1985" s="12" t="s">
        <v>5186</v>
      </c>
      <c r="H1985" s="12" t="s">
        <v>3637</v>
      </c>
      <c r="I1985" s="12" t="s">
        <v>5465</v>
      </c>
      <c r="J1985" s="11" t="s">
        <v>1856</v>
      </c>
      <c r="K1985" s="11" t="s">
        <v>1852</v>
      </c>
      <c r="L1985" s="11" t="s">
        <v>1853</v>
      </c>
      <c r="M1985" s="11" t="s">
        <v>2244</v>
      </c>
      <c r="N1985" s="12"/>
      <c r="O1985" s="11" t="s">
        <v>1858</v>
      </c>
      <c r="P1985" s="56"/>
    </row>
    <row r="1986" spans="1:16" ht="15.75" customHeight="1" x14ac:dyDescent="0.2">
      <c r="A1986" s="49">
        <v>2624</v>
      </c>
      <c r="B1986" s="11" t="s">
        <v>1857</v>
      </c>
      <c r="C1986" s="11" t="s">
        <v>1849</v>
      </c>
      <c r="D1986" s="6" t="s">
        <v>1850</v>
      </c>
      <c r="E1986" s="11" t="s">
        <v>5168</v>
      </c>
      <c r="F1986" s="12" t="s">
        <v>5168</v>
      </c>
      <c r="G1986" s="12" t="s">
        <v>5217</v>
      </c>
      <c r="H1986" s="12" t="s">
        <v>5326</v>
      </c>
      <c r="I1986" s="12" t="s">
        <v>5466</v>
      </c>
      <c r="J1986" s="11" t="s">
        <v>1856</v>
      </c>
      <c r="K1986" s="11" t="s">
        <v>1852</v>
      </c>
      <c r="L1986" s="11" t="s">
        <v>1853</v>
      </c>
      <c r="M1986" s="11" t="s">
        <v>5467</v>
      </c>
      <c r="N1986" s="12"/>
      <c r="O1986" s="11" t="s">
        <v>2334</v>
      </c>
      <c r="P1986" s="56" t="s">
        <v>2796</v>
      </c>
    </row>
    <row r="1987" spans="1:16" ht="15.75" customHeight="1" x14ac:dyDescent="0.2">
      <c r="A1987" s="49">
        <v>5408</v>
      </c>
      <c r="B1987" s="11" t="s">
        <v>1857</v>
      </c>
      <c r="C1987" s="11" t="s">
        <v>1849</v>
      </c>
      <c r="D1987" s="6" t="s">
        <v>1850</v>
      </c>
      <c r="E1987" s="11" t="s">
        <v>5168</v>
      </c>
      <c r="F1987" s="12" t="s">
        <v>5168</v>
      </c>
      <c r="G1987" s="12" t="s">
        <v>5197</v>
      </c>
      <c r="H1987" s="12" t="s">
        <v>5179</v>
      </c>
      <c r="I1987" s="12" t="s">
        <v>5468</v>
      </c>
      <c r="J1987" s="11" t="s">
        <v>1856</v>
      </c>
      <c r="K1987" s="11" t="s">
        <v>1852</v>
      </c>
      <c r="L1987" s="11" t="s">
        <v>1853</v>
      </c>
      <c r="M1987" s="11" t="s">
        <v>5469</v>
      </c>
      <c r="N1987" s="12"/>
      <c r="O1987" s="11" t="s">
        <v>2022</v>
      </c>
      <c r="P1987" s="56" t="s">
        <v>2796</v>
      </c>
    </row>
    <row r="1988" spans="1:16" ht="15.75" customHeight="1" x14ac:dyDescent="0.2">
      <c r="A1988" s="49">
        <v>2697</v>
      </c>
      <c r="B1988" s="11" t="s">
        <v>1857</v>
      </c>
      <c r="C1988" s="11" t="s">
        <v>1849</v>
      </c>
      <c r="D1988" s="6" t="s">
        <v>1850</v>
      </c>
      <c r="E1988" s="11" t="s">
        <v>5168</v>
      </c>
      <c r="F1988" s="12" t="s">
        <v>5168</v>
      </c>
      <c r="G1988" s="12" t="s">
        <v>5230</v>
      </c>
      <c r="H1988" s="12" t="s">
        <v>5458</v>
      </c>
      <c r="I1988" s="12" t="s">
        <v>5470</v>
      </c>
      <c r="J1988" s="11" t="s">
        <v>1856</v>
      </c>
      <c r="K1988" s="11" t="s">
        <v>1852</v>
      </c>
      <c r="L1988" s="11" t="s">
        <v>1853</v>
      </c>
      <c r="M1988" s="11" t="s">
        <v>5471</v>
      </c>
      <c r="N1988" s="12"/>
      <c r="O1988" s="11" t="s">
        <v>2408</v>
      </c>
      <c r="P1988" s="56" t="s">
        <v>5472</v>
      </c>
    </row>
    <row r="1989" spans="1:16" ht="15.75" customHeight="1" x14ac:dyDescent="0.2">
      <c r="A1989" s="48">
        <v>4671</v>
      </c>
      <c r="B1989" s="11" t="s">
        <v>1857</v>
      </c>
      <c r="C1989" s="11" t="s">
        <v>1849</v>
      </c>
      <c r="D1989" s="6" t="s">
        <v>1850</v>
      </c>
      <c r="E1989" s="11" t="s">
        <v>5168</v>
      </c>
      <c r="F1989" s="12" t="s">
        <v>5168</v>
      </c>
      <c r="G1989" s="12" t="s">
        <v>5230</v>
      </c>
      <c r="H1989" s="59" t="s">
        <v>5458</v>
      </c>
      <c r="I1989" s="12" t="s">
        <v>5473</v>
      </c>
      <c r="J1989" s="11" t="s">
        <v>1856</v>
      </c>
      <c r="K1989" s="11" t="s">
        <v>1852</v>
      </c>
      <c r="L1989" s="11" t="s">
        <v>1853</v>
      </c>
      <c r="M1989" s="11" t="s">
        <v>5474</v>
      </c>
      <c r="N1989" s="12" t="s">
        <v>5475</v>
      </c>
      <c r="O1989" s="11" t="s">
        <v>3016</v>
      </c>
      <c r="P1989" s="56" t="s">
        <v>2796</v>
      </c>
    </row>
    <row r="1990" spans="1:16" ht="15.75" customHeight="1" x14ac:dyDescent="0.2">
      <c r="A1990" s="49">
        <v>2675</v>
      </c>
      <c r="B1990" s="11" t="s">
        <v>1857</v>
      </c>
      <c r="C1990" s="11" t="s">
        <v>1849</v>
      </c>
      <c r="D1990" s="6" t="s">
        <v>1850</v>
      </c>
      <c r="E1990" s="11" t="s">
        <v>5168</v>
      </c>
      <c r="F1990" s="12" t="s">
        <v>5168</v>
      </c>
      <c r="G1990" s="12" t="s">
        <v>5175</v>
      </c>
      <c r="H1990" s="12" t="s">
        <v>5306</v>
      </c>
      <c r="I1990" s="12" t="s">
        <v>5476</v>
      </c>
      <c r="J1990" s="11" t="s">
        <v>1856</v>
      </c>
      <c r="K1990" s="11" t="s">
        <v>1852</v>
      </c>
      <c r="L1990" s="11" t="s">
        <v>1853</v>
      </c>
      <c r="M1990" s="11" t="s">
        <v>5477</v>
      </c>
      <c r="N1990" s="12"/>
      <c r="O1990" s="11" t="s">
        <v>1859</v>
      </c>
      <c r="P1990" s="56"/>
    </row>
    <row r="1991" spans="1:16" ht="15.75" customHeight="1" x14ac:dyDescent="0.2">
      <c r="A1991" s="49">
        <v>2704</v>
      </c>
      <c r="B1991" s="11" t="s">
        <v>1857</v>
      </c>
      <c r="C1991" s="11" t="s">
        <v>1849</v>
      </c>
      <c r="D1991" s="6" t="s">
        <v>1850</v>
      </c>
      <c r="E1991" s="11" t="s">
        <v>5168</v>
      </c>
      <c r="F1991" s="12" t="s">
        <v>5168</v>
      </c>
      <c r="G1991" s="12" t="s">
        <v>5230</v>
      </c>
      <c r="H1991" s="12" t="s">
        <v>5478</v>
      </c>
      <c r="I1991" s="12" t="s">
        <v>4392</v>
      </c>
      <c r="J1991" s="11" t="s">
        <v>1856</v>
      </c>
      <c r="K1991" s="11" t="s">
        <v>1852</v>
      </c>
      <c r="L1991" s="11" t="s">
        <v>1853</v>
      </c>
      <c r="M1991" s="11" t="s">
        <v>3819</v>
      </c>
      <c r="N1991" s="12"/>
      <c r="O1991" s="11" t="s">
        <v>1860</v>
      </c>
      <c r="P1991" s="56"/>
    </row>
    <row r="1992" spans="1:16" ht="15.75" customHeight="1" x14ac:dyDescent="0.2">
      <c r="A1992" s="49">
        <v>2543</v>
      </c>
      <c r="B1992" s="11" t="s">
        <v>1857</v>
      </c>
      <c r="C1992" s="11" t="s">
        <v>1849</v>
      </c>
      <c r="D1992" s="6" t="s">
        <v>1850</v>
      </c>
      <c r="E1992" s="11" t="s">
        <v>5168</v>
      </c>
      <c r="F1992" s="12" t="s">
        <v>5168</v>
      </c>
      <c r="G1992" s="12" t="s">
        <v>5197</v>
      </c>
      <c r="H1992" s="12" t="s">
        <v>5283</v>
      </c>
      <c r="I1992" s="12" t="s">
        <v>5479</v>
      </c>
      <c r="J1992" s="11" t="s">
        <v>1856</v>
      </c>
      <c r="K1992" s="11" t="s">
        <v>1852</v>
      </c>
      <c r="L1992" s="11" t="s">
        <v>1853</v>
      </c>
      <c r="M1992" s="11" t="s">
        <v>5480</v>
      </c>
      <c r="N1992" s="12"/>
      <c r="O1992" s="11" t="s">
        <v>1858</v>
      </c>
      <c r="P1992" s="56"/>
    </row>
    <row r="1993" spans="1:16" ht="15.75" customHeight="1" x14ac:dyDescent="0.2">
      <c r="A1993" s="49">
        <v>2676</v>
      </c>
      <c r="B1993" s="11" t="s">
        <v>1857</v>
      </c>
      <c r="C1993" s="11" t="s">
        <v>1849</v>
      </c>
      <c r="D1993" s="6" t="s">
        <v>1850</v>
      </c>
      <c r="E1993" s="11" t="s">
        <v>5168</v>
      </c>
      <c r="F1993" s="12" t="s">
        <v>5168</v>
      </c>
      <c r="G1993" s="12" t="s">
        <v>5175</v>
      </c>
      <c r="H1993" s="12" t="s">
        <v>5306</v>
      </c>
      <c r="I1993" s="12" t="s">
        <v>5481</v>
      </c>
      <c r="J1993" s="11" t="s">
        <v>1856</v>
      </c>
      <c r="K1993" s="11" t="s">
        <v>1852</v>
      </c>
      <c r="L1993" s="11" t="s">
        <v>1853</v>
      </c>
      <c r="M1993" s="11" t="s">
        <v>5482</v>
      </c>
      <c r="N1993" s="12"/>
      <c r="O1993" s="11" t="s">
        <v>1858</v>
      </c>
      <c r="P1993" s="56"/>
    </row>
    <row r="1994" spans="1:16" ht="15.75" customHeight="1" x14ac:dyDescent="0.2">
      <c r="A1994" s="48">
        <v>2522</v>
      </c>
      <c r="B1994" s="11" t="s">
        <v>1857</v>
      </c>
      <c r="C1994" s="11" t="s">
        <v>1849</v>
      </c>
      <c r="D1994" s="6" t="s">
        <v>1850</v>
      </c>
      <c r="E1994" s="11" t="s">
        <v>5168</v>
      </c>
      <c r="F1994" s="12" t="s">
        <v>5168</v>
      </c>
      <c r="G1994" s="12" t="s">
        <v>5197</v>
      </c>
      <c r="H1994" s="12" t="s">
        <v>5272</v>
      </c>
      <c r="I1994" s="12" t="s">
        <v>5483</v>
      </c>
      <c r="J1994" s="11" t="s">
        <v>1856</v>
      </c>
      <c r="K1994" s="11" t="s">
        <v>1852</v>
      </c>
      <c r="L1994" s="11" t="s">
        <v>1853</v>
      </c>
      <c r="M1994" s="11" t="s">
        <v>5484</v>
      </c>
      <c r="N1994" s="12"/>
      <c r="O1994" s="11" t="s">
        <v>1859</v>
      </c>
      <c r="P1994" s="56"/>
    </row>
    <row r="1995" spans="1:16" ht="15.75" customHeight="1" x14ac:dyDescent="0.2">
      <c r="A1995" s="49">
        <v>2551</v>
      </c>
      <c r="B1995" s="11" t="s">
        <v>1857</v>
      </c>
      <c r="C1995" s="11" t="s">
        <v>1849</v>
      </c>
      <c r="D1995" s="6" t="s">
        <v>1850</v>
      </c>
      <c r="E1995" s="11" t="s">
        <v>5168</v>
      </c>
      <c r="F1995" s="12" t="s">
        <v>5168</v>
      </c>
      <c r="G1995" s="12" t="s">
        <v>5172</v>
      </c>
      <c r="H1995" s="12" t="s">
        <v>5204</v>
      </c>
      <c r="I1995" s="12" t="s">
        <v>5485</v>
      </c>
      <c r="J1995" s="11" t="s">
        <v>1856</v>
      </c>
      <c r="K1995" s="11" t="s">
        <v>1852</v>
      </c>
      <c r="L1995" s="11" t="s">
        <v>1853</v>
      </c>
      <c r="M1995" s="11" t="s">
        <v>5486</v>
      </c>
      <c r="N1995" s="12"/>
      <c r="O1995" s="11" t="s">
        <v>1859</v>
      </c>
      <c r="P1995" s="56"/>
    </row>
    <row r="1996" spans="1:16" ht="15.75" customHeight="1" x14ac:dyDescent="0.2">
      <c r="A1996" s="49">
        <v>2663</v>
      </c>
      <c r="B1996" s="11" t="s">
        <v>1857</v>
      </c>
      <c r="C1996" s="11" t="s">
        <v>1849</v>
      </c>
      <c r="D1996" s="6" t="s">
        <v>1850</v>
      </c>
      <c r="E1996" s="11" t="s">
        <v>5168</v>
      </c>
      <c r="F1996" s="12" t="s">
        <v>5168</v>
      </c>
      <c r="G1996" s="12" t="s">
        <v>5175</v>
      </c>
      <c r="H1996" s="12" t="s">
        <v>5192</v>
      </c>
      <c r="I1996" s="12" t="s">
        <v>5487</v>
      </c>
      <c r="J1996" s="11" t="s">
        <v>1856</v>
      </c>
      <c r="K1996" s="11" t="s">
        <v>1852</v>
      </c>
      <c r="L1996" s="11" t="s">
        <v>1853</v>
      </c>
      <c r="M1996" s="11" t="s">
        <v>5488</v>
      </c>
      <c r="N1996" s="12"/>
      <c r="O1996" s="11" t="s">
        <v>1858</v>
      </c>
      <c r="P1996" s="56"/>
    </row>
    <row r="1997" spans="1:16" ht="15.75" customHeight="1" x14ac:dyDescent="0.2">
      <c r="A1997" s="49">
        <v>2656</v>
      </c>
      <c r="B1997" s="11" t="s">
        <v>1857</v>
      </c>
      <c r="C1997" s="11" t="s">
        <v>1849</v>
      </c>
      <c r="D1997" s="6" t="s">
        <v>1850</v>
      </c>
      <c r="E1997" s="11" t="s">
        <v>5168</v>
      </c>
      <c r="F1997" s="12" t="s">
        <v>5168</v>
      </c>
      <c r="G1997" s="12" t="s">
        <v>5186</v>
      </c>
      <c r="H1997" s="12" t="s">
        <v>5426</v>
      </c>
      <c r="I1997" s="12" t="s">
        <v>5489</v>
      </c>
      <c r="J1997" s="11" t="s">
        <v>1856</v>
      </c>
      <c r="K1997" s="11" t="s">
        <v>1852</v>
      </c>
      <c r="L1997" s="11" t="s">
        <v>1853</v>
      </c>
      <c r="M1997" s="11" t="s">
        <v>5398</v>
      </c>
      <c r="N1997" s="12"/>
      <c r="O1997" s="11" t="s">
        <v>1858</v>
      </c>
      <c r="P1997" s="56"/>
    </row>
    <row r="1998" spans="1:16" ht="15.75" customHeight="1" x14ac:dyDescent="0.2">
      <c r="A1998" s="49">
        <v>2582</v>
      </c>
      <c r="B1998" s="11" t="s">
        <v>1857</v>
      </c>
      <c r="C1998" s="11" t="s">
        <v>1849</v>
      </c>
      <c r="D1998" s="6" t="s">
        <v>1850</v>
      </c>
      <c r="E1998" s="11" t="s">
        <v>5168</v>
      </c>
      <c r="F1998" s="12" t="s">
        <v>5168</v>
      </c>
      <c r="G1998" s="12" t="s">
        <v>5172</v>
      </c>
      <c r="H1998" s="12" t="s">
        <v>5318</v>
      </c>
      <c r="I1998" s="12" t="s">
        <v>5490</v>
      </c>
      <c r="J1998" s="11" t="s">
        <v>1856</v>
      </c>
      <c r="K1998" s="11" t="s">
        <v>1852</v>
      </c>
      <c r="L1998" s="11" t="s">
        <v>1853</v>
      </c>
      <c r="M1998" s="11" t="s">
        <v>1952</v>
      </c>
      <c r="N1998" s="12"/>
      <c r="O1998" s="11" t="s">
        <v>1858</v>
      </c>
      <c r="P1998" s="56"/>
    </row>
    <row r="1999" spans="1:16" ht="15.75" customHeight="1" x14ac:dyDescent="0.2">
      <c r="A1999" s="49">
        <v>2613</v>
      </c>
      <c r="B1999" s="11" t="s">
        <v>1857</v>
      </c>
      <c r="C1999" s="11" t="s">
        <v>1849</v>
      </c>
      <c r="D1999" s="6" t="s">
        <v>1850</v>
      </c>
      <c r="E1999" s="11" t="s">
        <v>5168</v>
      </c>
      <c r="F1999" s="12" t="s">
        <v>5168</v>
      </c>
      <c r="G1999" s="12" t="s">
        <v>5217</v>
      </c>
      <c r="H1999" s="12" t="s">
        <v>5326</v>
      </c>
      <c r="I1999" s="12" t="s">
        <v>5491</v>
      </c>
      <c r="J1999" s="11" t="s">
        <v>1856</v>
      </c>
      <c r="K1999" s="11" t="s">
        <v>1852</v>
      </c>
      <c r="L1999" s="11" t="s">
        <v>1853</v>
      </c>
      <c r="M1999" s="11" t="s">
        <v>5408</v>
      </c>
      <c r="N1999" s="12"/>
      <c r="O1999" s="11" t="s">
        <v>1859</v>
      </c>
      <c r="P1999" s="56"/>
    </row>
    <row r="2000" spans="1:16" ht="15.75" customHeight="1" x14ac:dyDescent="0.2">
      <c r="A2000" s="49">
        <v>2706</v>
      </c>
      <c r="B2000" s="11" t="s">
        <v>1857</v>
      </c>
      <c r="C2000" s="11" t="s">
        <v>1849</v>
      </c>
      <c r="D2000" s="6" t="s">
        <v>1850</v>
      </c>
      <c r="E2000" s="11" t="s">
        <v>5168</v>
      </c>
      <c r="F2000" s="12" t="s">
        <v>5168</v>
      </c>
      <c r="G2000" s="12" t="s">
        <v>5230</v>
      </c>
      <c r="H2000" s="12" t="s">
        <v>5478</v>
      </c>
      <c r="I2000" s="12" t="s">
        <v>5492</v>
      </c>
      <c r="J2000" s="11" t="s">
        <v>1856</v>
      </c>
      <c r="K2000" s="11" t="s">
        <v>1852</v>
      </c>
      <c r="L2000" s="11" t="s">
        <v>1853</v>
      </c>
      <c r="M2000" s="11" t="s">
        <v>5493</v>
      </c>
      <c r="N2000" s="12"/>
      <c r="O2000" s="11" t="s">
        <v>1858</v>
      </c>
      <c r="P2000" s="56"/>
    </row>
    <row r="2001" spans="1:16" ht="15.75" customHeight="1" x14ac:dyDescent="0.2">
      <c r="A2001" s="49">
        <v>2700</v>
      </c>
      <c r="B2001" s="11" t="s">
        <v>1857</v>
      </c>
      <c r="C2001" s="11" t="s">
        <v>1849</v>
      </c>
      <c r="D2001" s="6" t="s">
        <v>1850</v>
      </c>
      <c r="E2001" s="11" t="s">
        <v>5168</v>
      </c>
      <c r="F2001" s="12" t="s">
        <v>5168</v>
      </c>
      <c r="G2001" s="12" t="s">
        <v>5230</v>
      </c>
      <c r="H2001" s="12" t="s">
        <v>5230</v>
      </c>
      <c r="I2001" s="12" t="s">
        <v>4574</v>
      </c>
      <c r="J2001" s="11" t="s">
        <v>1856</v>
      </c>
      <c r="K2001" s="11" t="s">
        <v>1852</v>
      </c>
      <c r="L2001" s="11" t="s">
        <v>1853</v>
      </c>
      <c r="M2001" s="11" t="s">
        <v>1854</v>
      </c>
      <c r="N2001" s="12"/>
      <c r="O2001" s="11" t="s">
        <v>1858</v>
      </c>
      <c r="P2001" s="56"/>
    </row>
    <row r="2002" spans="1:16" ht="15.75" customHeight="1" x14ac:dyDescent="0.2">
      <c r="A2002" s="48">
        <v>2593</v>
      </c>
      <c r="B2002" s="11" t="s">
        <v>1871</v>
      </c>
      <c r="C2002" s="11" t="s">
        <v>1849</v>
      </c>
      <c r="D2002" s="6" t="s">
        <v>1850</v>
      </c>
      <c r="E2002" s="11" t="s">
        <v>5168</v>
      </c>
      <c r="F2002" s="12" t="s">
        <v>5168</v>
      </c>
      <c r="G2002" s="12" t="s">
        <v>5217</v>
      </c>
      <c r="H2002" s="12" t="s">
        <v>5217</v>
      </c>
      <c r="I2002" s="12" t="s">
        <v>5494</v>
      </c>
      <c r="J2002" s="11" t="s">
        <v>1851</v>
      </c>
      <c r="K2002" s="11" t="s">
        <v>1852</v>
      </c>
      <c r="L2002" s="11" t="s">
        <v>1853</v>
      </c>
      <c r="M2002" s="11" t="s">
        <v>5495</v>
      </c>
      <c r="N2002" s="12"/>
      <c r="O2002" s="11" t="s">
        <v>1866</v>
      </c>
      <c r="P2002" s="56" t="s">
        <v>3343</v>
      </c>
    </row>
    <row r="2003" spans="1:16" ht="15.75" customHeight="1" x14ac:dyDescent="0.2">
      <c r="A2003" s="49">
        <v>16091</v>
      </c>
      <c r="B2003" s="11" t="s">
        <v>1871</v>
      </c>
      <c r="C2003" s="11" t="s">
        <v>1849</v>
      </c>
      <c r="D2003" s="6" t="s">
        <v>1850</v>
      </c>
      <c r="E2003" s="12" t="s">
        <v>5168</v>
      </c>
      <c r="F2003" s="12" t="s">
        <v>5168</v>
      </c>
      <c r="G2003" s="12" t="s">
        <v>5172</v>
      </c>
      <c r="H2003" s="12" t="s">
        <v>5267</v>
      </c>
      <c r="I2003" s="12" t="s">
        <v>5374</v>
      </c>
      <c r="J2003" s="11" t="s">
        <v>1856</v>
      </c>
      <c r="K2003" s="11" t="s">
        <v>1852</v>
      </c>
      <c r="L2003" s="11" t="s">
        <v>1853</v>
      </c>
      <c r="M2003" s="12" t="s">
        <v>5496</v>
      </c>
      <c r="N2003" s="12"/>
      <c r="O2003" s="11" t="s">
        <v>2022</v>
      </c>
      <c r="P2003" s="56" t="s">
        <v>1863</v>
      </c>
    </row>
    <row r="2004" spans="1:16" ht="15.75" customHeight="1" x14ac:dyDescent="0.2">
      <c r="A2004" s="48">
        <v>2644</v>
      </c>
      <c r="B2004" s="11" t="s">
        <v>1871</v>
      </c>
      <c r="C2004" s="11" t="s">
        <v>1849</v>
      </c>
      <c r="D2004" s="6" t="s">
        <v>1850</v>
      </c>
      <c r="E2004" s="11" t="s">
        <v>5168</v>
      </c>
      <c r="F2004" s="12" t="s">
        <v>5168</v>
      </c>
      <c r="G2004" s="12" t="s">
        <v>5186</v>
      </c>
      <c r="H2004" s="12" t="s">
        <v>5186</v>
      </c>
      <c r="I2004" s="12" t="s">
        <v>5497</v>
      </c>
      <c r="J2004" s="11" t="s">
        <v>1851</v>
      </c>
      <c r="K2004" s="11" t="s">
        <v>1852</v>
      </c>
      <c r="L2004" s="11" t="s">
        <v>1853</v>
      </c>
      <c r="M2004" s="11" t="s">
        <v>5498</v>
      </c>
      <c r="N2004" s="12"/>
      <c r="O2004" s="11" t="s">
        <v>1864</v>
      </c>
      <c r="P2004" s="56" t="s">
        <v>1863</v>
      </c>
    </row>
    <row r="2005" spans="1:16" ht="15.75" customHeight="1" x14ac:dyDescent="0.2">
      <c r="A2005" s="48">
        <v>15170</v>
      </c>
      <c r="B2005" s="11" t="s">
        <v>1871</v>
      </c>
      <c r="C2005" s="11" t="s">
        <v>1849</v>
      </c>
      <c r="D2005" s="6" t="s">
        <v>1850</v>
      </c>
      <c r="E2005" s="11" t="s">
        <v>5168</v>
      </c>
      <c r="F2005" s="12" t="s">
        <v>5168</v>
      </c>
      <c r="G2005" s="12" t="s">
        <v>5169</v>
      </c>
      <c r="H2005" s="12" t="s">
        <v>5233</v>
      </c>
      <c r="I2005" s="12" t="s">
        <v>5499</v>
      </c>
      <c r="J2005" s="11" t="s">
        <v>1851</v>
      </c>
      <c r="K2005" s="11" t="s">
        <v>1852</v>
      </c>
      <c r="L2005" s="11" t="s">
        <v>1853</v>
      </c>
      <c r="M2005" s="11" t="s">
        <v>5500</v>
      </c>
      <c r="N2005" s="12"/>
      <c r="O2005" s="11" t="s">
        <v>1859</v>
      </c>
      <c r="P2005" s="56"/>
    </row>
    <row r="2006" spans="1:16" ht="15.75" customHeight="1" x14ac:dyDescent="0.2">
      <c r="A2006" s="48">
        <v>2474</v>
      </c>
      <c r="B2006" s="11" t="s">
        <v>1871</v>
      </c>
      <c r="C2006" s="11" t="s">
        <v>1849</v>
      </c>
      <c r="D2006" s="6" t="s">
        <v>1850</v>
      </c>
      <c r="E2006" s="11" t="s">
        <v>5168</v>
      </c>
      <c r="F2006" s="12" t="s">
        <v>5168</v>
      </c>
      <c r="G2006" s="12" t="s">
        <v>5169</v>
      </c>
      <c r="H2006" s="12" t="s">
        <v>5169</v>
      </c>
      <c r="I2006" s="12" t="s">
        <v>5501</v>
      </c>
      <c r="J2006" s="11" t="s">
        <v>1851</v>
      </c>
      <c r="K2006" s="11" t="s">
        <v>1852</v>
      </c>
      <c r="L2006" s="11" t="s">
        <v>1853</v>
      </c>
      <c r="M2006" s="11" t="s">
        <v>5502</v>
      </c>
      <c r="N2006" s="12"/>
      <c r="O2006" s="11" t="s">
        <v>1866</v>
      </c>
      <c r="P2006" s="56" t="s">
        <v>3343</v>
      </c>
    </row>
    <row r="2007" spans="1:16" ht="15.75" customHeight="1" x14ac:dyDescent="0.2">
      <c r="A2007" s="48">
        <v>15167</v>
      </c>
      <c r="B2007" s="11" t="s">
        <v>1871</v>
      </c>
      <c r="C2007" s="11" t="s">
        <v>1849</v>
      </c>
      <c r="D2007" s="6" t="s">
        <v>1850</v>
      </c>
      <c r="E2007" s="11" t="s">
        <v>5168</v>
      </c>
      <c r="F2007" s="12" t="s">
        <v>5168</v>
      </c>
      <c r="G2007" s="12" t="s">
        <v>5169</v>
      </c>
      <c r="H2007" s="12" t="s">
        <v>5169</v>
      </c>
      <c r="I2007" s="12" t="s">
        <v>5503</v>
      </c>
      <c r="J2007" s="11" t="s">
        <v>1851</v>
      </c>
      <c r="K2007" s="11" t="s">
        <v>1852</v>
      </c>
      <c r="L2007" s="11" t="s">
        <v>1853</v>
      </c>
      <c r="M2007" s="11" t="s">
        <v>1854</v>
      </c>
      <c r="N2007" s="12"/>
      <c r="O2007" s="11" t="s">
        <v>1864</v>
      </c>
      <c r="P2007" s="56"/>
    </row>
    <row r="2008" spans="1:16" ht="15.75" customHeight="1" x14ac:dyDescent="0.2">
      <c r="A2008" s="48">
        <v>15165</v>
      </c>
      <c r="B2008" s="11" t="s">
        <v>1871</v>
      </c>
      <c r="C2008" s="11" t="s">
        <v>1849</v>
      </c>
      <c r="D2008" s="6" t="s">
        <v>1850</v>
      </c>
      <c r="E2008" s="11" t="s">
        <v>5168</v>
      </c>
      <c r="F2008" s="12" t="s">
        <v>5168</v>
      </c>
      <c r="G2008" s="12" t="s">
        <v>5197</v>
      </c>
      <c r="H2008" s="12" t="s">
        <v>5198</v>
      </c>
      <c r="I2008" s="12" t="s">
        <v>5504</v>
      </c>
      <c r="J2008" s="11" t="s">
        <v>1856</v>
      </c>
      <c r="K2008" s="11" t="s">
        <v>1852</v>
      </c>
      <c r="L2008" s="11" t="s">
        <v>1853</v>
      </c>
      <c r="M2008" s="11" t="s">
        <v>5505</v>
      </c>
      <c r="N2008" s="12"/>
      <c r="O2008" s="11" t="s">
        <v>1864</v>
      </c>
      <c r="P2008" s="56"/>
    </row>
    <row r="2009" spans="1:16" ht="15.75" customHeight="1" x14ac:dyDescent="0.2">
      <c r="A2009" s="48">
        <v>15166</v>
      </c>
      <c r="B2009" s="11" t="s">
        <v>1871</v>
      </c>
      <c r="C2009" s="11" t="s">
        <v>1849</v>
      </c>
      <c r="D2009" s="6" t="s">
        <v>1850</v>
      </c>
      <c r="E2009" s="11" t="s">
        <v>5168</v>
      </c>
      <c r="F2009" s="12" t="s">
        <v>5168</v>
      </c>
      <c r="G2009" s="12" t="s">
        <v>5172</v>
      </c>
      <c r="H2009" s="12" t="s">
        <v>5337</v>
      </c>
      <c r="I2009" s="12" t="s">
        <v>5506</v>
      </c>
      <c r="J2009" s="11" t="s">
        <v>1856</v>
      </c>
      <c r="K2009" s="11" t="s">
        <v>1852</v>
      </c>
      <c r="L2009" s="11" t="s">
        <v>1853</v>
      </c>
      <c r="M2009" s="11" t="s">
        <v>5505</v>
      </c>
      <c r="N2009" s="12"/>
      <c r="O2009" s="11" t="s">
        <v>1874</v>
      </c>
      <c r="P2009" s="56"/>
    </row>
    <row r="2010" spans="1:16" ht="15.75" customHeight="1" x14ac:dyDescent="0.2">
      <c r="A2010" s="48">
        <v>15161</v>
      </c>
      <c r="B2010" s="11" t="s">
        <v>1871</v>
      </c>
      <c r="C2010" s="11" t="s">
        <v>1849</v>
      </c>
      <c r="D2010" s="6" t="s">
        <v>1850</v>
      </c>
      <c r="E2010" s="11" t="s">
        <v>5168</v>
      </c>
      <c r="F2010" s="12" t="s">
        <v>5168</v>
      </c>
      <c r="G2010" s="12" t="s">
        <v>5217</v>
      </c>
      <c r="H2010" s="12" t="s">
        <v>5313</v>
      </c>
      <c r="I2010" s="12" t="s">
        <v>5507</v>
      </c>
      <c r="J2010" s="11" t="s">
        <v>1856</v>
      </c>
      <c r="K2010" s="11" t="s">
        <v>1852</v>
      </c>
      <c r="L2010" s="11" t="s">
        <v>1853</v>
      </c>
      <c r="M2010" s="11" t="s">
        <v>5496</v>
      </c>
      <c r="N2010" s="12"/>
      <c r="O2010" s="11" t="s">
        <v>1874</v>
      </c>
      <c r="P2010" s="56" t="s">
        <v>1863</v>
      </c>
    </row>
    <row r="2011" spans="1:16" ht="15.75" customHeight="1" x14ac:dyDescent="0.2">
      <c r="A2011" s="48">
        <v>15164</v>
      </c>
      <c r="B2011" s="11" t="s">
        <v>1871</v>
      </c>
      <c r="C2011" s="11" t="s">
        <v>1849</v>
      </c>
      <c r="D2011" s="6" t="s">
        <v>1850</v>
      </c>
      <c r="E2011" s="11" t="s">
        <v>5168</v>
      </c>
      <c r="F2011" s="12" t="s">
        <v>5168</v>
      </c>
      <c r="G2011" s="12" t="s">
        <v>5197</v>
      </c>
      <c r="H2011" s="12" t="s">
        <v>5272</v>
      </c>
      <c r="I2011" s="12" t="s">
        <v>5508</v>
      </c>
      <c r="J2011" s="11" t="s">
        <v>1856</v>
      </c>
      <c r="K2011" s="11" t="s">
        <v>1852</v>
      </c>
      <c r="L2011" s="11" t="s">
        <v>1853</v>
      </c>
      <c r="M2011" s="11" t="s">
        <v>5505</v>
      </c>
      <c r="N2011" s="12"/>
      <c r="O2011" s="11" t="s">
        <v>3016</v>
      </c>
      <c r="P2011" s="56" t="s">
        <v>1863</v>
      </c>
    </row>
    <row r="2012" spans="1:16" ht="15.75" customHeight="1" x14ac:dyDescent="0.2">
      <c r="A2012" s="48">
        <v>15163</v>
      </c>
      <c r="B2012" s="11" t="s">
        <v>1871</v>
      </c>
      <c r="C2012" s="11" t="s">
        <v>1849</v>
      </c>
      <c r="D2012" s="6" t="s">
        <v>1850</v>
      </c>
      <c r="E2012" s="11" t="s">
        <v>5168</v>
      </c>
      <c r="F2012" s="12" t="s">
        <v>5168</v>
      </c>
      <c r="G2012" s="12" t="s">
        <v>5172</v>
      </c>
      <c r="H2012" s="12" t="s">
        <v>5248</v>
      </c>
      <c r="I2012" s="12" t="s">
        <v>5509</v>
      </c>
      <c r="J2012" s="11" t="s">
        <v>1856</v>
      </c>
      <c r="K2012" s="11" t="s">
        <v>1852</v>
      </c>
      <c r="L2012" s="11" t="s">
        <v>1853</v>
      </c>
      <c r="M2012" s="11" t="s">
        <v>5496</v>
      </c>
      <c r="N2012" s="12"/>
      <c r="O2012" s="11" t="s">
        <v>1874</v>
      </c>
      <c r="P2012" s="56" t="s">
        <v>3343</v>
      </c>
    </row>
    <row r="2013" spans="1:16" ht="15.75" customHeight="1" x14ac:dyDescent="0.2">
      <c r="A2013" s="48">
        <v>15423</v>
      </c>
      <c r="B2013" s="11" t="s">
        <v>1871</v>
      </c>
      <c r="C2013" s="11" t="s">
        <v>1849</v>
      </c>
      <c r="D2013" s="6" t="s">
        <v>4242</v>
      </c>
      <c r="E2013" s="11" t="s">
        <v>5168</v>
      </c>
      <c r="F2013" s="12" t="s">
        <v>5168</v>
      </c>
      <c r="G2013" s="12" t="s">
        <v>5169</v>
      </c>
      <c r="H2013" s="12" t="s">
        <v>5169</v>
      </c>
      <c r="I2013" s="12" t="s">
        <v>5510</v>
      </c>
      <c r="J2013" s="11" t="s">
        <v>1851</v>
      </c>
      <c r="K2013" s="11" t="s">
        <v>1852</v>
      </c>
      <c r="L2013" s="11" t="s">
        <v>1853</v>
      </c>
      <c r="M2013" s="11" t="s">
        <v>1854</v>
      </c>
      <c r="N2013" s="12"/>
      <c r="O2013" s="11" t="s">
        <v>5511</v>
      </c>
      <c r="P2013" s="56"/>
    </row>
    <row r="2014" spans="1:16" ht="15.75" customHeight="1" x14ac:dyDescent="0.2">
      <c r="A2014" s="49">
        <v>7571</v>
      </c>
      <c r="B2014" s="11" t="s">
        <v>1857</v>
      </c>
      <c r="C2014" s="11" t="s">
        <v>1849</v>
      </c>
      <c r="D2014" s="6" t="s">
        <v>1875</v>
      </c>
      <c r="E2014" s="11" t="s">
        <v>5168</v>
      </c>
      <c r="F2014" s="12" t="s">
        <v>5168</v>
      </c>
      <c r="G2014" s="12" t="s">
        <v>5169</v>
      </c>
      <c r="H2014" s="58" t="s">
        <v>5181</v>
      </c>
      <c r="I2014" s="12" t="s">
        <v>5512</v>
      </c>
      <c r="J2014" s="11" t="s">
        <v>1851</v>
      </c>
      <c r="K2014" s="11" t="s">
        <v>1852</v>
      </c>
      <c r="L2014" s="11" t="s">
        <v>1853</v>
      </c>
      <c r="M2014" s="11" t="s">
        <v>1854</v>
      </c>
      <c r="N2014" s="12"/>
      <c r="O2014" s="11" t="s">
        <v>1854</v>
      </c>
      <c r="P2014" s="56"/>
    </row>
    <row r="2015" spans="1:16" ht="15.75" customHeight="1" x14ac:dyDescent="0.2">
      <c r="A2015" s="49">
        <v>7572</v>
      </c>
      <c r="B2015" s="11" t="s">
        <v>1857</v>
      </c>
      <c r="C2015" s="11" t="s">
        <v>1849</v>
      </c>
      <c r="D2015" s="6" t="s">
        <v>1875</v>
      </c>
      <c r="E2015" s="11" t="s">
        <v>5168</v>
      </c>
      <c r="F2015" s="12" t="s">
        <v>5168</v>
      </c>
      <c r="G2015" s="12" t="s">
        <v>5169</v>
      </c>
      <c r="H2015" s="12" t="s">
        <v>5233</v>
      </c>
      <c r="I2015" s="12" t="s">
        <v>5513</v>
      </c>
      <c r="J2015" s="11" t="s">
        <v>1851</v>
      </c>
      <c r="K2015" s="11" t="s">
        <v>1852</v>
      </c>
      <c r="L2015" s="11" t="s">
        <v>1853</v>
      </c>
      <c r="M2015" s="11" t="s">
        <v>1854</v>
      </c>
      <c r="N2015" s="12"/>
      <c r="O2015" s="11" t="s">
        <v>1854</v>
      </c>
      <c r="P2015" s="56" t="s">
        <v>5203</v>
      </c>
    </row>
    <row r="2016" spans="1:16" ht="15.75" customHeight="1" x14ac:dyDescent="0.2">
      <c r="A2016" s="48">
        <v>6104</v>
      </c>
      <c r="B2016" s="11" t="s">
        <v>1857</v>
      </c>
      <c r="C2016" s="11" t="s">
        <v>1876</v>
      </c>
      <c r="D2016" s="6" t="s">
        <v>1850</v>
      </c>
      <c r="E2016" s="11" t="s">
        <v>5168</v>
      </c>
      <c r="F2016" s="12" t="s">
        <v>5168</v>
      </c>
      <c r="G2016" s="12" t="s">
        <v>5169</v>
      </c>
      <c r="H2016" s="12" t="s">
        <v>5169</v>
      </c>
      <c r="I2016" s="12" t="s">
        <v>5514</v>
      </c>
      <c r="J2016" s="11" t="s">
        <v>1851</v>
      </c>
      <c r="K2016" s="11" t="s">
        <v>1852</v>
      </c>
      <c r="L2016" s="11" t="s">
        <v>1853</v>
      </c>
      <c r="M2016" s="11" t="s">
        <v>5515</v>
      </c>
      <c r="N2016" s="12"/>
      <c r="O2016" s="11" t="s">
        <v>1867</v>
      </c>
      <c r="P2016" s="56" t="s">
        <v>1865</v>
      </c>
    </row>
    <row r="2017" spans="1:16" ht="15.75" customHeight="1" x14ac:dyDescent="0.2">
      <c r="A2017" s="48">
        <v>6103</v>
      </c>
      <c r="B2017" s="11" t="s">
        <v>1857</v>
      </c>
      <c r="C2017" s="11" t="s">
        <v>1876</v>
      </c>
      <c r="D2017" s="6" t="s">
        <v>1850</v>
      </c>
      <c r="E2017" s="11" t="s">
        <v>5168</v>
      </c>
      <c r="F2017" s="12" t="s">
        <v>5168</v>
      </c>
      <c r="G2017" s="12" t="s">
        <v>5169</v>
      </c>
      <c r="H2017" s="12" t="s">
        <v>5169</v>
      </c>
      <c r="I2017" s="12" t="s">
        <v>5516</v>
      </c>
      <c r="J2017" s="11" t="s">
        <v>1851</v>
      </c>
      <c r="K2017" s="11" t="s">
        <v>1852</v>
      </c>
      <c r="L2017" s="11" t="s">
        <v>1853</v>
      </c>
      <c r="M2017" s="11" t="s">
        <v>5517</v>
      </c>
      <c r="N2017" s="12"/>
      <c r="O2017" s="11" t="s">
        <v>1858</v>
      </c>
      <c r="P2017" s="56"/>
    </row>
    <row r="2018" spans="1:16" ht="15.75" customHeight="1" x14ac:dyDescent="0.2">
      <c r="A2018" s="48">
        <v>6107</v>
      </c>
      <c r="B2018" s="11" t="s">
        <v>1857</v>
      </c>
      <c r="C2018" s="11" t="s">
        <v>1876</v>
      </c>
      <c r="D2018" s="6" t="s">
        <v>1850</v>
      </c>
      <c r="E2018" s="11" t="s">
        <v>5168</v>
      </c>
      <c r="F2018" s="12" t="s">
        <v>5168</v>
      </c>
      <c r="G2018" s="12" t="s">
        <v>5169</v>
      </c>
      <c r="H2018" s="12" t="s">
        <v>5169</v>
      </c>
      <c r="I2018" s="12" t="s">
        <v>5518</v>
      </c>
      <c r="J2018" s="11" t="s">
        <v>1851</v>
      </c>
      <c r="K2018" s="11" t="s">
        <v>1852</v>
      </c>
      <c r="L2018" s="11" t="s">
        <v>1853</v>
      </c>
      <c r="M2018" s="11" t="s">
        <v>5519</v>
      </c>
      <c r="N2018" s="12"/>
      <c r="O2018" s="11" t="s">
        <v>1864</v>
      </c>
      <c r="P2018" s="56" t="s">
        <v>5520</v>
      </c>
    </row>
    <row r="2019" spans="1:16" ht="15.75" customHeight="1" x14ac:dyDescent="0.2">
      <c r="A2019" s="48">
        <v>6918</v>
      </c>
      <c r="B2019" s="11" t="s">
        <v>1857</v>
      </c>
      <c r="C2019" s="11" t="s">
        <v>1876</v>
      </c>
      <c r="D2019" s="6" t="s">
        <v>1850</v>
      </c>
      <c r="E2019" s="11" t="s">
        <v>5168</v>
      </c>
      <c r="F2019" s="12" t="s">
        <v>5168</v>
      </c>
      <c r="G2019" s="12" t="s">
        <v>5169</v>
      </c>
      <c r="H2019" s="12" t="s">
        <v>5169</v>
      </c>
      <c r="I2019" s="12" t="s">
        <v>5521</v>
      </c>
      <c r="J2019" s="11" t="s">
        <v>1851</v>
      </c>
      <c r="K2019" s="11" t="s">
        <v>1852</v>
      </c>
      <c r="L2019" s="11" t="s">
        <v>1853</v>
      </c>
      <c r="M2019" s="11" t="s">
        <v>5522</v>
      </c>
      <c r="N2019" s="12"/>
      <c r="O2019" s="11" t="s">
        <v>1860</v>
      </c>
      <c r="P2019" s="56"/>
    </row>
    <row r="2020" spans="1:16" ht="15.75" customHeight="1" x14ac:dyDescent="0.2">
      <c r="A2020" s="48">
        <v>6105</v>
      </c>
      <c r="B2020" s="11" t="s">
        <v>1857</v>
      </c>
      <c r="C2020" s="11" t="s">
        <v>1876</v>
      </c>
      <c r="D2020" s="6" t="s">
        <v>1850</v>
      </c>
      <c r="E2020" s="11" t="s">
        <v>5168</v>
      </c>
      <c r="F2020" s="12" t="s">
        <v>5168</v>
      </c>
      <c r="G2020" s="12" t="s">
        <v>5169</v>
      </c>
      <c r="H2020" s="12" t="s">
        <v>5169</v>
      </c>
      <c r="I2020" s="12" t="s">
        <v>5523</v>
      </c>
      <c r="J2020" s="11" t="s">
        <v>1851</v>
      </c>
      <c r="K2020" s="11" t="s">
        <v>1852</v>
      </c>
      <c r="L2020" s="11" t="s">
        <v>1853</v>
      </c>
      <c r="M2020" s="11" t="s">
        <v>5524</v>
      </c>
      <c r="N2020" s="12" t="s">
        <v>5525</v>
      </c>
      <c r="O2020" s="11" t="s">
        <v>1867</v>
      </c>
      <c r="P2020" s="56" t="s">
        <v>1865</v>
      </c>
    </row>
    <row r="2021" spans="1:16" ht="15.75" customHeight="1" x14ac:dyDescent="0.2">
      <c r="A2021" s="49">
        <v>7553</v>
      </c>
      <c r="B2021" s="11" t="s">
        <v>1857</v>
      </c>
      <c r="C2021" s="11" t="s">
        <v>1876</v>
      </c>
      <c r="D2021" s="6" t="s">
        <v>1850</v>
      </c>
      <c r="E2021" s="12" t="s">
        <v>5168</v>
      </c>
      <c r="F2021" s="12" t="s">
        <v>5168</v>
      </c>
      <c r="G2021" s="12" t="s">
        <v>5169</v>
      </c>
      <c r="H2021" s="12" t="s">
        <v>5233</v>
      </c>
      <c r="I2021" s="12" t="s">
        <v>5526</v>
      </c>
      <c r="J2021" s="11" t="s">
        <v>1851</v>
      </c>
      <c r="K2021" s="11" t="s">
        <v>1852</v>
      </c>
      <c r="L2021" s="11" t="s">
        <v>1853</v>
      </c>
      <c r="M2021" s="11" t="s">
        <v>5527</v>
      </c>
      <c r="N2021" s="12"/>
      <c r="O2021" s="11" t="s">
        <v>1858</v>
      </c>
      <c r="P2021" s="56"/>
    </row>
    <row r="2022" spans="1:16" ht="15.75" customHeight="1" x14ac:dyDescent="0.2">
      <c r="A2022" s="49">
        <v>15854</v>
      </c>
      <c r="B2022" s="11" t="s">
        <v>1871</v>
      </c>
      <c r="C2022" s="11" t="s">
        <v>1876</v>
      </c>
      <c r="D2022" s="6" t="s">
        <v>1850</v>
      </c>
      <c r="E2022" s="11" t="s">
        <v>5168</v>
      </c>
      <c r="F2022" s="12" t="s">
        <v>5168</v>
      </c>
      <c r="G2022" s="12" t="s">
        <v>5169</v>
      </c>
      <c r="H2022" s="12" t="s">
        <v>5169</v>
      </c>
      <c r="I2022" s="12" t="s">
        <v>5528</v>
      </c>
      <c r="J2022" s="11" t="s">
        <v>1851</v>
      </c>
      <c r="K2022" s="11" t="s">
        <v>1852</v>
      </c>
      <c r="L2022" s="11" t="s">
        <v>1853</v>
      </c>
      <c r="M2022" s="11" t="s">
        <v>5529</v>
      </c>
      <c r="N2022" s="12"/>
      <c r="O2022" s="11" t="s">
        <v>1866</v>
      </c>
      <c r="P2022" s="56"/>
    </row>
    <row r="2023" spans="1:16" ht="15.75" customHeight="1" x14ac:dyDescent="0.2">
      <c r="A2023" s="49">
        <v>6919</v>
      </c>
      <c r="B2023" s="11" t="s">
        <v>1871</v>
      </c>
      <c r="C2023" s="11" t="s">
        <v>1876</v>
      </c>
      <c r="D2023" s="6" t="s">
        <v>1850</v>
      </c>
      <c r="E2023" s="12" t="s">
        <v>5168</v>
      </c>
      <c r="F2023" s="12" t="s">
        <v>5168</v>
      </c>
      <c r="G2023" s="12" t="s">
        <v>5169</v>
      </c>
      <c r="H2023" s="12" t="s">
        <v>5181</v>
      </c>
      <c r="I2023" s="12" t="s">
        <v>5530</v>
      </c>
      <c r="J2023" s="11" t="s">
        <v>1851</v>
      </c>
      <c r="K2023" s="11" t="s">
        <v>1852</v>
      </c>
      <c r="L2023" s="11" t="s">
        <v>1853</v>
      </c>
      <c r="M2023" s="11" t="s">
        <v>5531</v>
      </c>
      <c r="N2023" s="12"/>
      <c r="O2023" s="11" t="s">
        <v>1866</v>
      </c>
      <c r="P2023" s="56" t="s">
        <v>3476</v>
      </c>
    </row>
    <row r="2024" spans="1:16" ht="15.75" customHeight="1" x14ac:dyDescent="0.2">
      <c r="A2024" s="49">
        <v>6915</v>
      </c>
      <c r="B2024" s="11" t="s">
        <v>1871</v>
      </c>
      <c r="C2024" s="11" t="s">
        <v>1876</v>
      </c>
      <c r="D2024" s="6" t="s">
        <v>1850</v>
      </c>
      <c r="E2024" s="11" t="s">
        <v>5168</v>
      </c>
      <c r="F2024" s="12" t="s">
        <v>5168</v>
      </c>
      <c r="G2024" s="12" t="s">
        <v>5169</v>
      </c>
      <c r="H2024" s="12" t="s">
        <v>5169</v>
      </c>
      <c r="I2024" s="12" t="s">
        <v>5532</v>
      </c>
      <c r="J2024" s="11" t="s">
        <v>1851</v>
      </c>
      <c r="K2024" s="11" t="s">
        <v>1852</v>
      </c>
      <c r="L2024" s="11" t="s">
        <v>1853</v>
      </c>
      <c r="M2024" s="11" t="s">
        <v>5533</v>
      </c>
      <c r="N2024" s="12"/>
      <c r="O2024" s="11" t="s">
        <v>1859</v>
      </c>
      <c r="P2024" s="56"/>
    </row>
    <row r="2025" spans="1:16" ht="15.75" customHeight="1" x14ac:dyDescent="0.2">
      <c r="A2025" s="48">
        <v>15172</v>
      </c>
      <c r="B2025" s="11" t="s">
        <v>1871</v>
      </c>
      <c r="C2025" s="11" t="s">
        <v>1876</v>
      </c>
      <c r="D2025" s="6" t="s">
        <v>1850</v>
      </c>
      <c r="E2025" s="11" t="s">
        <v>5168</v>
      </c>
      <c r="F2025" s="12" t="s">
        <v>5168</v>
      </c>
      <c r="G2025" s="12" t="s">
        <v>5169</v>
      </c>
      <c r="H2025" s="12" t="s">
        <v>5169</v>
      </c>
      <c r="I2025" s="12" t="s">
        <v>5534</v>
      </c>
      <c r="J2025" s="11" t="s">
        <v>1851</v>
      </c>
      <c r="K2025" s="11" t="s">
        <v>1852</v>
      </c>
      <c r="L2025" s="11" t="s">
        <v>1853</v>
      </c>
      <c r="M2025" s="11" t="s">
        <v>5535</v>
      </c>
      <c r="N2025" s="12"/>
      <c r="O2025" s="11" t="s">
        <v>1864</v>
      </c>
      <c r="P2025" s="56"/>
    </row>
    <row r="2026" spans="1:16" ht="15.75" customHeight="1" x14ac:dyDescent="0.2">
      <c r="A2026" s="49">
        <v>6916</v>
      </c>
      <c r="B2026" s="11" t="s">
        <v>1871</v>
      </c>
      <c r="C2026" s="11" t="s">
        <v>1876</v>
      </c>
      <c r="D2026" s="6" t="s">
        <v>1850</v>
      </c>
      <c r="E2026" s="11" t="s">
        <v>5168</v>
      </c>
      <c r="F2026" s="12" t="s">
        <v>5168</v>
      </c>
      <c r="G2026" s="12" t="s">
        <v>5169</v>
      </c>
      <c r="H2026" s="12" t="s">
        <v>5233</v>
      </c>
      <c r="I2026" s="12" t="s">
        <v>5536</v>
      </c>
      <c r="J2026" s="11" t="s">
        <v>1851</v>
      </c>
      <c r="K2026" s="11" t="s">
        <v>1852</v>
      </c>
      <c r="L2026" s="11" t="s">
        <v>1853</v>
      </c>
      <c r="M2026" s="11" t="s">
        <v>5537</v>
      </c>
      <c r="N2026" s="12"/>
      <c r="O2026" s="11" t="s">
        <v>5538</v>
      </c>
      <c r="P2026" s="56" t="s">
        <v>1865</v>
      </c>
    </row>
    <row r="2027" spans="1:16" ht="15.75" customHeight="1" x14ac:dyDescent="0.2">
      <c r="A2027" s="49">
        <v>15996</v>
      </c>
      <c r="B2027" s="11" t="s">
        <v>1848</v>
      </c>
      <c r="C2027" s="11" t="s">
        <v>1876</v>
      </c>
      <c r="D2027" s="6" t="s">
        <v>4242</v>
      </c>
      <c r="E2027" s="12" t="s">
        <v>5168</v>
      </c>
      <c r="F2027" s="12" t="s">
        <v>5168</v>
      </c>
      <c r="G2027" s="12" t="s">
        <v>5169</v>
      </c>
      <c r="H2027" s="12" t="s">
        <v>5233</v>
      </c>
      <c r="I2027" s="12" t="s">
        <v>5539</v>
      </c>
      <c r="J2027" s="11" t="s">
        <v>1851</v>
      </c>
      <c r="K2027" s="11" t="s">
        <v>1852</v>
      </c>
      <c r="L2027" s="11" t="s">
        <v>1853</v>
      </c>
      <c r="M2027" s="11" t="s">
        <v>1854</v>
      </c>
      <c r="N2027" s="12"/>
      <c r="O2027" s="11" t="s">
        <v>1855</v>
      </c>
      <c r="P2027" s="56"/>
    </row>
    <row r="2028" spans="1:16" ht="15.75" customHeight="1" x14ac:dyDescent="0.2">
      <c r="A2028" s="49">
        <v>15999</v>
      </c>
      <c r="B2028" s="11" t="s">
        <v>1848</v>
      </c>
      <c r="C2028" s="11" t="s">
        <v>1876</v>
      </c>
      <c r="D2028" s="6" t="s">
        <v>4242</v>
      </c>
      <c r="E2028" s="12" t="s">
        <v>5168</v>
      </c>
      <c r="F2028" s="12" t="s">
        <v>5168</v>
      </c>
      <c r="G2028" s="12" t="s">
        <v>5169</v>
      </c>
      <c r="H2028" s="12" t="s">
        <v>5233</v>
      </c>
      <c r="I2028" s="12" t="s">
        <v>5540</v>
      </c>
      <c r="J2028" s="11" t="s">
        <v>1851</v>
      </c>
      <c r="K2028" s="11" t="s">
        <v>1852</v>
      </c>
      <c r="L2028" s="11" t="s">
        <v>1853</v>
      </c>
      <c r="M2028" s="11" t="s">
        <v>1854</v>
      </c>
      <c r="N2028" s="12"/>
      <c r="O2028" s="11" t="s">
        <v>1855</v>
      </c>
      <c r="P2028" s="56"/>
    </row>
    <row r="2029" spans="1:16" ht="15.75" customHeight="1" x14ac:dyDescent="0.2">
      <c r="A2029" s="49">
        <v>15914</v>
      </c>
      <c r="B2029" s="11" t="s">
        <v>1848</v>
      </c>
      <c r="C2029" s="11" t="s">
        <v>1849</v>
      </c>
      <c r="D2029" s="6" t="s">
        <v>1850</v>
      </c>
      <c r="E2029" s="12" t="s">
        <v>5541</v>
      </c>
      <c r="F2029" s="12" t="s">
        <v>5541</v>
      </c>
      <c r="G2029" s="12" t="s">
        <v>5542</v>
      </c>
      <c r="H2029" s="12" t="s">
        <v>5542</v>
      </c>
      <c r="I2029" s="12" t="s">
        <v>5543</v>
      </c>
      <c r="J2029" s="11" t="s">
        <v>1856</v>
      </c>
      <c r="K2029" s="11" t="s">
        <v>1852</v>
      </c>
      <c r="L2029" s="11" t="s">
        <v>1853</v>
      </c>
      <c r="M2029" s="11" t="s">
        <v>1854</v>
      </c>
      <c r="N2029" s="12"/>
      <c r="O2029" s="11" t="s">
        <v>1855</v>
      </c>
      <c r="P2029" s="56"/>
    </row>
    <row r="2030" spans="1:16" ht="15.75" customHeight="1" x14ac:dyDescent="0.2">
      <c r="A2030" s="49">
        <v>15915</v>
      </c>
      <c r="B2030" s="11" t="s">
        <v>1848</v>
      </c>
      <c r="C2030" s="11" t="s">
        <v>1849</v>
      </c>
      <c r="D2030" s="6" t="s">
        <v>1850</v>
      </c>
      <c r="E2030" s="12" t="s">
        <v>5541</v>
      </c>
      <c r="F2030" s="12" t="s">
        <v>5541</v>
      </c>
      <c r="G2030" s="12" t="s">
        <v>2255</v>
      </c>
      <c r="H2030" s="12" t="s">
        <v>2255</v>
      </c>
      <c r="I2030" s="12" t="s">
        <v>5544</v>
      </c>
      <c r="J2030" s="11" t="s">
        <v>1856</v>
      </c>
      <c r="K2030" s="11" t="s">
        <v>1852</v>
      </c>
      <c r="L2030" s="11" t="s">
        <v>1853</v>
      </c>
      <c r="M2030" s="11" t="s">
        <v>1854</v>
      </c>
      <c r="N2030" s="12"/>
      <c r="O2030" s="11" t="s">
        <v>1855</v>
      </c>
      <c r="P2030" s="56"/>
    </row>
    <row r="2031" spans="1:16" ht="15.75" customHeight="1" x14ac:dyDescent="0.2">
      <c r="A2031" s="49">
        <v>15916</v>
      </c>
      <c r="B2031" s="11" t="s">
        <v>1848</v>
      </c>
      <c r="C2031" s="11" t="s">
        <v>1849</v>
      </c>
      <c r="D2031" s="6" t="s">
        <v>1850</v>
      </c>
      <c r="E2031" s="12" t="s">
        <v>5541</v>
      </c>
      <c r="F2031" s="12" t="s">
        <v>5541</v>
      </c>
      <c r="G2031" s="12" t="s">
        <v>2255</v>
      </c>
      <c r="H2031" s="12" t="s">
        <v>2677</v>
      </c>
      <c r="I2031" s="12" t="s">
        <v>5545</v>
      </c>
      <c r="J2031" s="11" t="s">
        <v>1856</v>
      </c>
      <c r="K2031" s="11" t="s">
        <v>1852</v>
      </c>
      <c r="L2031" s="11" t="s">
        <v>1853</v>
      </c>
      <c r="M2031" s="11" t="s">
        <v>1854</v>
      </c>
      <c r="N2031" s="12"/>
      <c r="O2031" s="11" t="s">
        <v>1855</v>
      </c>
      <c r="P2031" s="56"/>
    </row>
    <row r="2032" spans="1:16" ht="15.75" customHeight="1" x14ac:dyDescent="0.2">
      <c r="A2032" s="49">
        <v>15917</v>
      </c>
      <c r="B2032" s="11" t="s">
        <v>1848</v>
      </c>
      <c r="C2032" s="11" t="s">
        <v>1849</v>
      </c>
      <c r="D2032" s="6" t="s">
        <v>1850</v>
      </c>
      <c r="E2032" s="12" t="s">
        <v>5541</v>
      </c>
      <c r="F2032" s="12" t="s">
        <v>5541</v>
      </c>
      <c r="G2032" s="12" t="s">
        <v>5541</v>
      </c>
      <c r="H2032" s="12" t="s">
        <v>5546</v>
      </c>
      <c r="I2032" s="12" t="s">
        <v>5547</v>
      </c>
      <c r="J2032" s="11" t="s">
        <v>1856</v>
      </c>
      <c r="K2032" s="11" t="s">
        <v>1852</v>
      </c>
      <c r="L2032" s="11" t="s">
        <v>1853</v>
      </c>
      <c r="M2032" s="11" t="s">
        <v>1854</v>
      </c>
      <c r="N2032" s="12"/>
      <c r="O2032" s="11" t="s">
        <v>1855</v>
      </c>
      <c r="P2032" s="56"/>
    </row>
    <row r="2033" spans="1:16" ht="15.75" customHeight="1" x14ac:dyDescent="0.2">
      <c r="A2033" s="49">
        <v>15918</v>
      </c>
      <c r="B2033" s="11" t="s">
        <v>1848</v>
      </c>
      <c r="C2033" s="11" t="s">
        <v>1849</v>
      </c>
      <c r="D2033" s="6" t="s">
        <v>1850</v>
      </c>
      <c r="E2033" s="12" t="s">
        <v>5541</v>
      </c>
      <c r="F2033" s="12" t="s">
        <v>5541</v>
      </c>
      <c r="G2033" s="12" t="s">
        <v>5541</v>
      </c>
      <c r="H2033" s="12" t="s">
        <v>5548</v>
      </c>
      <c r="I2033" s="12" t="s">
        <v>5549</v>
      </c>
      <c r="J2033" s="11" t="s">
        <v>1856</v>
      </c>
      <c r="K2033" s="11" t="s">
        <v>1852</v>
      </c>
      <c r="L2033" s="11" t="s">
        <v>1853</v>
      </c>
      <c r="M2033" s="11" t="s">
        <v>1854</v>
      </c>
      <c r="N2033" s="12"/>
      <c r="O2033" s="11" t="s">
        <v>1855</v>
      </c>
      <c r="P2033" s="56"/>
    </row>
    <row r="2034" spans="1:16" ht="15.75" customHeight="1" x14ac:dyDescent="0.2">
      <c r="A2034" s="49">
        <v>15919</v>
      </c>
      <c r="B2034" s="11" t="s">
        <v>1848</v>
      </c>
      <c r="C2034" s="11" t="s">
        <v>1849</v>
      </c>
      <c r="D2034" s="6" t="s">
        <v>1850</v>
      </c>
      <c r="E2034" s="12" t="s">
        <v>5541</v>
      </c>
      <c r="F2034" s="12" t="s">
        <v>5541</v>
      </c>
      <c r="G2034" s="12" t="s">
        <v>5541</v>
      </c>
      <c r="H2034" s="12" t="s">
        <v>5550</v>
      </c>
      <c r="I2034" s="12" t="s">
        <v>5551</v>
      </c>
      <c r="J2034" s="11" t="s">
        <v>1856</v>
      </c>
      <c r="K2034" s="11" t="s">
        <v>1852</v>
      </c>
      <c r="L2034" s="11" t="s">
        <v>1853</v>
      </c>
      <c r="M2034" s="11" t="s">
        <v>1854</v>
      </c>
      <c r="N2034" s="12"/>
      <c r="O2034" s="11" t="s">
        <v>1855</v>
      </c>
      <c r="P2034" s="56"/>
    </row>
    <row r="2035" spans="1:16" ht="15.75" customHeight="1" x14ac:dyDescent="0.2">
      <c r="A2035" s="49">
        <v>15920</v>
      </c>
      <c r="B2035" s="11" t="s">
        <v>1848</v>
      </c>
      <c r="C2035" s="11" t="s">
        <v>1849</v>
      </c>
      <c r="D2035" s="6" t="s">
        <v>1850</v>
      </c>
      <c r="E2035" s="12" t="s">
        <v>5541</v>
      </c>
      <c r="F2035" s="12" t="s">
        <v>5541</v>
      </c>
      <c r="G2035" s="12" t="s">
        <v>5541</v>
      </c>
      <c r="H2035" s="12" t="s">
        <v>5552</v>
      </c>
      <c r="I2035" s="12" t="s">
        <v>5553</v>
      </c>
      <c r="J2035" s="11" t="s">
        <v>1856</v>
      </c>
      <c r="K2035" s="11" t="s">
        <v>1852</v>
      </c>
      <c r="L2035" s="11" t="s">
        <v>1853</v>
      </c>
      <c r="M2035" s="11" t="s">
        <v>1854</v>
      </c>
      <c r="N2035" s="12"/>
      <c r="O2035" s="11" t="s">
        <v>1855</v>
      </c>
      <c r="P2035" s="56"/>
    </row>
    <row r="2036" spans="1:16" ht="15.75" customHeight="1" x14ac:dyDescent="0.2">
      <c r="A2036" s="49">
        <v>15921</v>
      </c>
      <c r="B2036" s="11" t="s">
        <v>1848</v>
      </c>
      <c r="C2036" s="11" t="s">
        <v>1849</v>
      </c>
      <c r="D2036" s="6" t="s">
        <v>1850</v>
      </c>
      <c r="E2036" s="12" t="s">
        <v>5541</v>
      </c>
      <c r="F2036" s="12" t="s">
        <v>5541</v>
      </c>
      <c r="G2036" s="12" t="s">
        <v>5541</v>
      </c>
      <c r="H2036" s="12" t="s">
        <v>5554</v>
      </c>
      <c r="I2036" s="12" t="s">
        <v>5555</v>
      </c>
      <c r="J2036" s="11" t="s">
        <v>1856</v>
      </c>
      <c r="K2036" s="11" t="s">
        <v>1852</v>
      </c>
      <c r="L2036" s="11" t="s">
        <v>1853</v>
      </c>
      <c r="M2036" s="11" t="s">
        <v>1854</v>
      </c>
      <c r="N2036" s="12"/>
      <c r="O2036" s="11" t="s">
        <v>1855</v>
      </c>
      <c r="P2036" s="56"/>
    </row>
    <row r="2037" spans="1:16" ht="15.75" customHeight="1" x14ac:dyDescent="0.2">
      <c r="A2037" s="49">
        <v>15922</v>
      </c>
      <c r="B2037" s="11" t="s">
        <v>1848</v>
      </c>
      <c r="C2037" s="11" t="s">
        <v>1849</v>
      </c>
      <c r="D2037" s="6" t="s">
        <v>1850</v>
      </c>
      <c r="E2037" s="12" t="s">
        <v>5541</v>
      </c>
      <c r="F2037" s="12" t="s">
        <v>5541</v>
      </c>
      <c r="G2037" s="12" t="s">
        <v>5541</v>
      </c>
      <c r="H2037" s="12" t="s">
        <v>5556</v>
      </c>
      <c r="I2037" s="12" t="s">
        <v>5557</v>
      </c>
      <c r="J2037" s="11" t="s">
        <v>1856</v>
      </c>
      <c r="K2037" s="11" t="s">
        <v>1852</v>
      </c>
      <c r="L2037" s="11" t="s">
        <v>1853</v>
      </c>
      <c r="M2037" s="11" t="s">
        <v>1854</v>
      </c>
      <c r="N2037" s="12"/>
      <c r="O2037" s="11" t="s">
        <v>1855</v>
      </c>
      <c r="P2037" s="56"/>
    </row>
    <row r="2038" spans="1:16" ht="15.75" customHeight="1" x14ac:dyDescent="0.2">
      <c r="A2038" s="49">
        <v>15923</v>
      </c>
      <c r="B2038" s="11" t="s">
        <v>1848</v>
      </c>
      <c r="C2038" s="11" t="s">
        <v>1849</v>
      </c>
      <c r="D2038" s="6" t="s">
        <v>1850</v>
      </c>
      <c r="E2038" s="12" t="s">
        <v>5541</v>
      </c>
      <c r="F2038" s="12" t="s">
        <v>5541</v>
      </c>
      <c r="G2038" s="12" t="s">
        <v>5558</v>
      </c>
      <c r="H2038" s="12" t="s">
        <v>5558</v>
      </c>
      <c r="I2038" s="12" t="s">
        <v>5559</v>
      </c>
      <c r="J2038" s="11" t="s">
        <v>1856</v>
      </c>
      <c r="K2038" s="11" t="s">
        <v>1852</v>
      </c>
      <c r="L2038" s="11" t="s">
        <v>1853</v>
      </c>
      <c r="M2038" s="11" t="s">
        <v>1854</v>
      </c>
      <c r="N2038" s="12"/>
      <c r="O2038" s="11" t="s">
        <v>1855</v>
      </c>
      <c r="P2038" s="56"/>
    </row>
    <row r="2039" spans="1:16" ht="15.75" customHeight="1" x14ac:dyDescent="0.2">
      <c r="A2039" s="49">
        <v>15924</v>
      </c>
      <c r="B2039" s="11" t="s">
        <v>1848</v>
      </c>
      <c r="C2039" s="11" t="s">
        <v>1849</v>
      </c>
      <c r="D2039" s="6" t="s">
        <v>1850</v>
      </c>
      <c r="E2039" s="12" t="s">
        <v>5541</v>
      </c>
      <c r="F2039" s="12" t="s">
        <v>5541</v>
      </c>
      <c r="G2039" s="12" t="s">
        <v>5558</v>
      </c>
      <c r="H2039" s="12" t="s">
        <v>5560</v>
      </c>
      <c r="I2039" s="12" t="s">
        <v>5561</v>
      </c>
      <c r="J2039" s="11" t="s">
        <v>1856</v>
      </c>
      <c r="K2039" s="11" t="s">
        <v>1852</v>
      </c>
      <c r="L2039" s="11" t="s">
        <v>1853</v>
      </c>
      <c r="M2039" s="11" t="s">
        <v>1854</v>
      </c>
      <c r="N2039" s="12"/>
      <c r="O2039" s="11" t="s">
        <v>1855</v>
      </c>
      <c r="P2039" s="56"/>
    </row>
    <row r="2040" spans="1:16" ht="15.75" customHeight="1" x14ac:dyDescent="0.2">
      <c r="A2040" s="49">
        <v>15925</v>
      </c>
      <c r="B2040" s="11" t="s">
        <v>1848</v>
      </c>
      <c r="C2040" s="11" t="s">
        <v>1849</v>
      </c>
      <c r="D2040" s="6" t="s">
        <v>1850</v>
      </c>
      <c r="E2040" s="12" t="s">
        <v>5541</v>
      </c>
      <c r="F2040" s="12" t="s">
        <v>5541</v>
      </c>
      <c r="G2040" s="12" t="s">
        <v>5562</v>
      </c>
      <c r="H2040" s="12" t="s">
        <v>5562</v>
      </c>
      <c r="I2040" s="12" t="s">
        <v>5563</v>
      </c>
      <c r="J2040" s="11" t="s">
        <v>1856</v>
      </c>
      <c r="K2040" s="11" t="s">
        <v>1852</v>
      </c>
      <c r="L2040" s="11" t="s">
        <v>1853</v>
      </c>
      <c r="M2040" s="11" t="s">
        <v>1854</v>
      </c>
      <c r="N2040" s="12"/>
      <c r="O2040" s="11" t="s">
        <v>1855</v>
      </c>
      <c r="P2040" s="56"/>
    </row>
    <row r="2041" spans="1:16" ht="15.75" customHeight="1" x14ac:dyDescent="0.2">
      <c r="A2041" s="49">
        <v>15926</v>
      </c>
      <c r="B2041" s="11" t="s">
        <v>1848</v>
      </c>
      <c r="C2041" s="11" t="s">
        <v>1849</v>
      </c>
      <c r="D2041" s="6" t="s">
        <v>1850</v>
      </c>
      <c r="E2041" s="12" t="s">
        <v>5541</v>
      </c>
      <c r="F2041" s="12" t="s">
        <v>5541</v>
      </c>
      <c r="G2041" s="12" t="s">
        <v>5564</v>
      </c>
      <c r="H2041" s="12" t="s">
        <v>5564</v>
      </c>
      <c r="I2041" s="12" t="s">
        <v>5565</v>
      </c>
      <c r="J2041" s="11" t="s">
        <v>1856</v>
      </c>
      <c r="K2041" s="11" t="s">
        <v>1852</v>
      </c>
      <c r="L2041" s="11" t="s">
        <v>1853</v>
      </c>
      <c r="M2041" s="11" t="s">
        <v>1854</v>
      </c>
      <c r="N2041" s="12"/>
      <c r="O2041" s="11" t="s">
        <v>1855</v>
      </c>
      <c r="P2041" s="56"/>
    </row>
    <row r="2042" spans="1:16" ht="15.75" customHeight="1" x14ac:dyDescent="0.2">
      <c r="A2042" s="49">
        <v>16136</v>
      </c>
      <c r="B2042" s="11" t="s">
        <v>1848</v>
      </c>
      <c r="C2042" s="11" t="s">
        <v>1849</v>
      </c>
      <c r="D2042" s="6" t="s">
        <v>1850</v>
      </c>
      <c r="E2042" s="12" t="s">
        <v>5541</v>
      </c>
      <c r="F2042" s="12" t="s">
        <v>5541</v>
      </c>
      <c r="G2042" s="12" t="s">
        <v>5542</v>
      </c>
      <c r="H2042" s="12" t="s">
        <v>5566</v>
      </c>
      <c r="I2042" s="12" t="s">
        <v>5567</v>
      </c>
      <c r="J2042" s="11" t="s">
        <v>1856</v>
      </c>
      <c r="K2042" s="11" t="s">
        <v>1852</v>
      </c>
      <c r="L2042" s="11" t="s">
        <v>1853</v>
      </c>
      <c r="M2042" s="11" t="s">
        <v>1854</v>
      </c>
      <c r="N2042" s="12"/>
      <c r="O2042" s="11" t="s">
        <v>1855</v>
      </c>
      <c r="P2042" s="56"/>
    </row>
    <row r="2043" spans="1:16" ht="15.75" customHeight="1" x14ac:dyDescent="0.2">
      <c r="A2043" s="49">
        <v>16137</v>
      </c>
      <c r="B2043" s="11" t="s">
        <v>1848</v>
      </c>
      <c r="C2043" s="11" t="s">
        <v>1849</v>
      </c>
      <c r="D2043" s="6" t="s">
        <v>1850</v>
      </c>
      <c r="E2043" s="12" t="s">
        <v>5541</v>
      </c>
      <c r="F2043" s="12" t="s">
        <v>5541</v>
      </c>
      <c r="G2043" s="12" t="s">
        <v>2255</v>
      </c>
      <c r="H2043" s="12" t="s">
        <v>5568</v>
      </c>
      <c r="I2043" s="12" t="s">
        <v>5569</v>
      </c>
      <c r="J2043" s="11" t="s">
        <v>1856</v>
      </c>
      <c r="K2043" s="11" t="s">
        <v>1852</v>
      </c>
      <c r="L2043" s="11" t="s">
        <v>1853</v>
      </c>
      <c r="M2043" s="11" t="s">
        <v>1854</v>
      </c>
      <c r="N2043" s="12"/>
      <c r="O2043" s="11" t="s">
        <v>1855</v>
      </c>
      <c r="P2043" s="56"/>
    </row>
    <row r="2044" spans="1:16" ht="15.75" customHeight="1" x14ac:dyDescent="0.2">
      <c r="A2044" s="48">
        <v>5834</v>
      </c>
      <c r="B2044" s="11" t="s">
        <v>2240</v>
      </c>
      <c r="C2044" s="11" t="s">
        <v>1849</v>
      </c>
      <c r="D2044" s="6" t="s">
        <v>1850</v>
      </c>
      <c r="E2044" s="11" t="s">
        <v>5541</v>
      </c>
      <c r="F2044" s="12" t="s">
        <v>5541</v>
      </c>
      <c r="G2044" s="12" t="s">
        <v>5542</v>
      </c>
      <c r="H2044" s="12" t="s">
        <v>5542</v>
      </c>
      <c r="I2044" s="12" t="s">
        <v>5570</v>
      </c>
      <c r="J2044" s="11" t="s">
        <v>1851</v>
      </c>
      <c r="K2044" s="11" t="s">
        <v>1852</v>
      </c>
      <c r="L2044" s="11" t="s">
        <v>1853</v>
      </c>
      <c r="M2044" s="11" t="s">
        <v>1854</v>
      </c>
      <c r="N2044" s="12"/>
      <c r="O2044" s="11" t="s">
        <v>1855</v>
      </c>
      <c r="P2044" s="56"/>
    </row>
    <row r="2045" spans="1:16" ht="15.75" customHeight="1" x14ac:dyDescent="0.2">
      <c r="A2045" s="48">
        <v>6341</v>
      </c>
      <c r="B2045" s="11" t="s">
        <v>2240</v>
      </c>
      <c r="C2045" s="11" t="s">
        <v>1849</v>
      </c>
      <c r="D2045" s="6" t="s">
        <v>1850</v>
      </c>
      <c r="E2045" s="11" t="s">
        <v>5541</v>
      </c>
      <c r="F2045" s="12" t="s">
        <v>5541</v>
      </c>
      <c r="G2045" s="12" t="s">
        <v>5541</v>
      </c>
      <c r="H2045" s="12" t="s">
        <v>5546</v>
      </c>
      <c r="I2045" s="12" t="s">
        <v>5571</v>
      </c>
      <c r="J2045" s="11" t="s">
        <v>1851</v>
      </c>
      <c r="K2045" s="11" t="s">
        <v>1852</v>
      </c>
      <c r="L2045" s="11" t="s">
        <v>1853</v>
      </c>
      <c r="M2045" s="11" t="s">
        <v>1854</v>
      </c>
      <c r="N2045" s="12"/>
      <c r="O2045" s="11" t="s">
        <v>1855</v>
      </c>
      <c r="P2045" s="56"/>
    </row>
    <row r="2046" spans="1:16" ht="15.75" customHeight="1" x14ac:dyDescent="0.2">
      <c r="A2046" s="48">
        <v>2811</v>
      </c>
      <c r="B2046" s="11" t="s">
        <v>2240</v>
      </c>
      <c r="C2046" s="11" t="s">
        <v>1849</v>
      </c>
      <c r="D2046" s="6" t="s">
        <v>1850</v>
      </c>
      <c r="E2046" s="11" t="s">
        <v>5541</v>
      </c>
      <c r="F2046" s="12" t="s">
        <v>5541</v>
      </c>
      <c r="G2046" s="12" t="s">
        <v>2255</v>
      </c>
      <c r="H2046" s="12" t="s">
        <v>2255</v>
      </c>
      <c r="I2046" s="12" t="s">
        <v>5572</v>
      </c>
      <c r="J2046" s="11" t="s">
        <v>1851</v>
      </c>
      <c r="K2046" s="11" t="s">
        <v>1852</v>
      </c>
      <c r="L2046" s="11" t="s">
        <v>1853</v>
      </c>
      <c r="M2046" s="11" t="s">
        <v>1854</v>
      </c>
      <c r="N2046" s="12"/>
      <c r="O2046" s="11" t="s">
        <v>1855</v>
      </c>
      <c r="P2046" s="56"/>
    </row>
    <row r="2047" spans="1:16" ht="15.75" customHeight="1" x14ac:dyDescent="0.2">
      <c r="A2047" s="49">
        <v>2926</v>
      </c>
      <c r="B2047" s="11" t="s">
        <v>1857</v>
      </c>
      <c r="C2047" s="11" t="s">
        <v>1849</v>
      </c>
      <c r="D2047" s="6" t="s">
        <v>1850</v>
      </c>
      <c r="E2047" s="11" t="s">
        <v>5541</v>
      </c>
      <c r="F2047" s="12" t="s">
        <v>5541</v>
      </c>
      <c r="G2047" s="12" t="s">
        <v>3553</v>
      </c>
      <c r="H2047" s="12" t="s">
        <v>5573</v>
      </c>
      <c r="I2047" s="12" t="s">
        <v>5574</v>
      </c>
      <c r="J2047" s="11" t="s">
        <v>1856</v>
      </c>
      <c r="K2047" s="11" t="s">
        <v>1852</v>
      </c>
      <c r="L2047" s="11" t="s">
        <v>1853</v>
      </c>
      <c r="M2047" s="11" t="s">
        <v>5575</v>
      </c>
      <c r="N2047" s="12" t="s">
        <v>5576</v>
      </c>
      <c r="O2047" s="11" t="s">
        <v>1859</v>
      </c>
      <c r="P2047" s="56"/>
    </row>
    <row r="2048" spans="1:16" ht="15.75" customHeight="1" x14ac:dyDescent="0.2">
      <c r="A2048" s="49">
        <v>2947</v>
      </c>
      <c r="B2048" s="11" t="s">
        <v>1857</v>
      </c>
      <c r="C2048" s="11" t="s">
        <v>1849</v>
      </c>
      <c r="D2048" s="6" t="s">
        <v>1850</v>
      </c>
      <c r="E2048" s="11" t="s">
        <v>5541</v>
      </c>
      <c r="F2048" s="12" t="s">
        <v>5541</v>
      </c>
      <c r="G2048" s="12" t="s">
        <v>5564</v>
      </c>
      <c r="H2048" s="12" t="s">
        <v>5577</v>
      </c>
      <c r="I2048" s="12" t="s">
        <v>1896</v>
      </c>
      <c r="J2048" s="11" t="s">
        <v>1856</v>
      </c>
      <c r="K2048" s="11" t="s">
        <v>1852</v>
      </c>
      <c r="L2048" s="11" t="s">
        <v>1853</v>
      </c>
      <c r="M2048" s="11" t="s">
        <v>5578</v>
      </c>
      <c r="N2048" s="12"/>
      <c r="O2048" s="11" t="s">
        <v>1859</v>
      </c>
      <c r="P2048" s="56"/>
    </row>
    <row r="2049" spans="1:16" ht="15.75" customHeight="1" x14ac:dyDescent="0.2">
      <c r="A2049" s="49">
        <v>2782</v>
      </c>
      <c r="B2049" s="11" t="s">
        <v>1857</v>
      </c>
      <c r="C2049" s="11" t="s">
        <v>1849</v>
      </c>
      <c r="D2049" s="6" t="s">
        <v>1850</v>
      </c>
      <c r="E2049" s="11" t="s">
        <v>5541</v>
      </c>
      <c r="F2049" s="12" t="s">
        <v>5541</v>
      </c>
      <c r="G2049" s="12" t="s">
        <v>2255</v>
      </c>
      <c r="H2049" s="12" t="s">
        <v>5579</v>
      </c>
      <c r="I2049" s="12" t="s">
        <v>5580</v>
      </c>
      <c r="J2049" s="11" t="s">
        <v>1856</v>
      </c>
      <c r="K2049" s="11" t="s">
        <v>1852</v>
      </c>
      <c r="L2049" s="11" t="s">
        <v>1853</v>
      </c>
      <c r="M2049" s="11" t="s">
        <v>4884</v>
      </c>
      <c r="N2049" s="12" t="s">
        <v>5581</v>
      </c>
      <c r="O2049" s="11" t="s">
        <v>1859</v>
      </c>
      <c r="P2049" s="56"/>
    </row>
    <row r="2050" spans="1:16" ht="15.75" customHeight="1" x14ac:dyDescent="0.2">
      <c r="A2050" s="49">
        <v>2760</v>
      </c>
      <c r="B2050" s="11" t="s">
        <v>1857</v>
      </c>
      <c r="C2050" s="11" t="s">
        <v>1849</v>
      </c>
      <c r="D2050" s="6" t="s">
        <v>1850</v>
      </c>
      <c r="E2050" s="11" t="s">
        <v>5541</v>
      </c>
      <c r="F2050" s="12" t="s">
        <v>5541</v>
      </c>
      <c r="G2050" s="12" t="s">
        <v>2255</v>
      </c>
      <c r="H2050" s="12" t="s">
        <v>5582</v>
      </c>
      <c r="I2050" s="12" t="s">
        <v>5583</v>
      </c>
      <c r="J2050" s="11" t="s">
        <v>1856</v>
      </c>
      <c r="K2050" s="11" t="s">
        <v>1852</v>
      </c>
      <c r="L2050" s="11" t="s">
        <v>1853</v>
      </c>
      <c r="M2050" s="11" t="s">
        <v>5584</v>
      </c>
      <c r="N2050" s="12" t="s">
        <v>5585</v>
      </c>
      <c r="O2050" s="11" t="s">
        <v>1858</v>
      </c>
      <c r="P2050" s="56"/>
    </row>
    <row r="2051" spans="1:16" ht="15.75" customHeight="1" x14ac:dyDescent="0.2">
      <c r="A2051" s="49">
        <v>2951</v>
      </c>
      <c r="B2051" s="11" t="s">
        <v>1857</v>
      </c>
      <c r="C2051" s="11" t="s">
        <v>1849</v>
      </c>
      <c r="D2051" s="6" t="s">
        <v>1850</v>
      </c>
      <c r="E2051" s="11" t="s">
        <v>5541</v>
      </c>
      <c r="F2051" s="12" t="s">
        <v>5541</v>
      </c>
      <c r="G2051" s="12" t="s">
        <v>5564</v>
      </c>
      <c r="H2051" s="12" t="s">
        <v>5586</v>
      </c>
      <c r="I2051" s="12" t="s">
        <v>5587</v>
      </c>
      <c r="J2051" s="11" t="s">
        <v>1856</v>
      </c>
      <c r="K2051" s="11" t="s">
        <v>1852</v>
      </c>
      <c r="L2051" s="11" t="s">
        <v>1853</v>
      </c>
      <c r="M2051" s="11" t="s">
        <v>5588</v>
      </c>
      <c r="N2051" s="12" t="s">
        <v>5589</v>
      </c>
      <c r="O2051" s="11" t="s">
        <v>1859</v>
      </c>
      <c r="P2051" s="56"/>
    </row>
    <row r="2052" spans="1:16" ht="15.75" customHeight="1" x14ac:dyDescent="0.2">
      <c r="A2052" s="49">
        <v>2970</v>
      </c>
      <c r="B2052" s="11" t="s">
        <v>1857</v>
      </c>
      <c r="C2052" s="11" t="s">
        <v>1849</v>
      </c>
      <c r="D2052" s="6" t="s">
        <v>1850</v>
      </c>
      <c r="E2052" s="11" t="s">
        <v>5541</v>
      </c>
      <c r="F2052" s="12" t="s">
        <v>5541</v>
      </c>
      <c r="G2052" s="12" t="s">
        <v>5564</v>
      </c>
      <c r="H2052" s="12" t="s">
        <v>5590</v>
      </c>
      <c r="I2052" s="12" t="s">
        <v>5591</v>
      </c>
      <c r="J2052" s="11" t="s">
        <v>1856</v>
      </c>
      <c r="K2052" s="11" t="s">
        <v>1852</v>
      </c>
      <c r="L2052" s="11" t="s">
        <v>1853</v>
      </c>
      <c r="M2052" s="11" t="s">
        <v>5592</v>
      </c>
      <c r="N2052" s="12"/>
      <c r="O2052" s="11" t="s">
        <v>2755</v>
      </c>
      <c r="P2052" s="56"/>
    </row>
    <row r="2053" spans="1:16" ht="15.75" customHeight="1" x14ac:dyDescent="0.2">
      <c r="A2053" s="49">
        <v>2780</v>
      </c>
      <c r="B2053" s="11" t="s">
        <v>1857</v>
      </c>
      <c r="C2053" s="11" t="s">
        <v>1849</v>
      </c>
      <c r="D2053" s="6" t="s">
        <v>1850</v>
      </c>
      <c r="E2053" s="11" t="s">
        <v>5541</v>
      </c>
      <c r="F2053" s="12" t="s">
        <v>5541</v>
      </c>
      <c r="G2053" s="12" t="s">
        <v>2255</v>
      </c>
      <c r="H2053" s="12" t="s">
        <v>5593</v>
      </c>
      <c r="I2053" s="12" t="s">
        <v>5594</v>
      </c>
      <c r="J2053" s="11" t="s">
        <v>1856</v>
      </c>
      <c r="K2053" s="11" t="s">
        <v>1852</v>
      </c>
      <c r="L2053" s="11" t="s">
        <v>1853</v>
      </c>
      <c r="M2053" s="11" t="s">
        <v>5595</v>
      </c>
      <c r="N2053" s="12" t="s">
        <v>5596</v>
      </c>
      <c r="O2053" s="11" t="s">
        <v>1858</v>
      </c>
      <c r="P2053" s="56"/>
    </row>
    <row r="2054" spans="1:16" ht="15.75" customHeight="1" x14ac:dyDescent="0.2">
      <c r="A2054" s="49">
        <v>2730</v>
      </c>
      <c r="B2054" s="11" t="s">
        <v>1857</v>
      </c>
      <c r="C2054" s="11" t="s">
        <v>1849</v>
      </c>
      <c r="D2054" s="6" t="s">
        <v>1850</v>
      </c>
      <c r="E2054" s="11" t="s">
        <v>5541</v>
      </c>
      <c r="F2054" s="12" t="s">
        <v>5541</v>
      </c>
      <c r="G2054" s="12" t="s">
        <v>5542</v>
      </c>
      <c r="H2054" s="12" t="s">
        <v>5597</v>
      </c>
      <c r="I2054" s="12" t="s">
        <v>5598</v>
      </c>
      <c r="J2054" s="11" t="s">
        <v>1856</v>
      </c>
      <c r="K2054" s="11" t="s">
        <v>1852</v>
      </c>
      <c r="L2054" s="11" t="s">
        <v>1853</v>
      </c>
      <c r="M2054" s="11" t="s">
        <v>1854</v>
      </c>
      <c r="N2054" s="12"/>
      <c r="O2054" s="11" t="s">
        <v>1860</v>
      </c>
      <c r="P2054" s="56"/>
    </row>
    <row r="2055" spans="1:16" ht="15.75" customHeight="1" x14ac:dyDescent="0.2">
      <c r="A2055" s="49">
        <v>2945</v>
      </c>
      <c r="B2055" s="11" t="s">
        <v>1857</v>
      </c>
      <c r="C2055" s="11" t="s">
        <v>1849</v>
      </c>
      <c r="D2055" s="6" t="s">
        <v>1850</v>
      </c>
      <c r="E2055" s="11" t="s">
        <v>5541</v>
      </c>
      <c r="F2055" s="12" t="s">
        <v>5541</v>
      </c>
      <c r="G2055" s="12" t="s">
        <v>5564</v>
      </c>
      <c r="H2055" s="12" t="s">
        <v>5599</v>
      </c>
      <c r="I2055" s="12" t="s">
        <v>5600</v>
      </c>
      <c r="J2055" s="11" t="s">
        <v>1856</v>
      </c>
      <c r="K2055" s="11" t="s">
        <v>1852</v>
      </c>
      <c r="L2055" s="11" t="s">
        <v>1853</v>
      </c>
      <c r="M2055" s="11" t="s">
        <v>1958</v>
      </c>
      <c r="N2055" s="12"/>
      <c r="O2055" s="11" t="s">
        <v>1859</v>
      </c>
      <c r="P2055" s="56"/>
    </row>
    <row r="2056" spans="1:16" ht="15.75" customHeight="1" x14ac:dyDescent="0.2">
      <c r="A2056" s="48">
        <v>2864</v>
      </c>
      <c r="B2056" s="11" t="s">
        <v>1857</v>
      </c>
      <c r="C2056" s="11" t="s">
        <v>1849</v>
      </c>
      <c r="D2056" s="6" t="s">
        <v>1850</v>
      </c>
      <c r="E2056" s="11" t="s">
        <v>5541</v>
      </c>
      <c r="F2056" s="12" t="s">
        <v>5541</v>
      </c>
      <c r="G2056" s="12" t="s">
        <v>5558</v>
      </c>
      <c r="H2056" s="12" t="s">
        <v>5601</v>
      </c>
      <c r="I2056" s="12" t="s">
        <v>5602</v>
      </c>
      <c r="J2056" s="11" t="s">
        <v>1856</v>
      </c>
      <c r="K2056" s="11" t="s">
        <v>1852</v>
      </c>
      <c r="L2056" s="11" t="s">
        <v>1853</v>
      </c>
      <c r="M2056" s="11" t="s">
        <v>3819</v>
      </c>
      <c r="N2056" s="12" t="s">
        <v>2767</v>
      </c>
      <c r="O2056" s="11" t="s">
        <v>3228</v>
      </c>
      <c r="P2056" s="56" t="s">
        <v>1863</v>
      </c>
    </row>
    <row r="2057" spans="1:16" ht="15.75" customHeight="1" x14ac:dyDescent="0.2">
      <c r="A2057" s="49">
        <v>2870</v>
      </c>
      <c r="B2057" s="11" t="s">
        <v>1857</v>
      </c>
      <c r="C2057" s="11" t="s">
        <v>1849</v>
      </c>
      <c r="D2057" s="6" t="s">
        <v>1850</v>
      </c>
      <c r="E2057" s="11" t="s">
        <v>5541</v>
      </c>
      <c r="F2057" s="12" t="s">
        <v>5541</v>
      </c>
      <c r="G2057" s="12" t="s">
        <v>5558</v>
      </c>
      <c r="H2057" s="12" t="s">
        <v>5603</v>
      </c>
      <c r="I2057" s="12" t="s">
        <v>5604</v>
      </c>
      <c r="J2057" s="11" t="s">
        <v>1856</v>
      </c>
      <c r="K2057" s="11" t="s">
        <v>1852</v>
      </c>
      <c r="L2057" s="11" t="s">
        <v>1853</v>
      </c>
      <c r="M2057" s="11" t="s">
        <v>1854</v>
      </c>
      <c r="N2057" s="12"/>
      <c r="O2057" s="11" t="s">
        <v>1860</v>
      </c>
      <c r="P2057" s="56"/>
    </row>
    <row r="2058" spans="1:16" ht="15.75" customHeight="1" x14ac:dyDescent="0.2">
      <c r="A2058" s="49">
        <v>2896</v>
      </c>
      <c r="B2058" s="11" t="s">
        <v>1857</v>
      </c>
      <c r="C2058" s="11" t="s">
        <v>1849</v>
      </c>
      <c r="D2058" s="6" t="s">
        <v>1850</v>
      </c>
      <c r="E2058" s="11" t="s">
        <v>5541</v>
      </c>
      <c r="F2058" s="12" t="s">
        <v>5541</v>
      </c>
      <c r="G2058" s="12" t="s">
        <v>5558</v>
      </c>
      <c r="H2058" s="12" t="s">
        <v>5605</v>
      </c>
      <c r="I2058" s="12" t="s">
        <v>5606</v>
      </c>
      <c r="J2058" s="11" t="s">
        <v>1856</v>
      </c>
      <c r="K2058" s="11" t="s">
        <v>1852</v>
      </c>
      <c r="L2058" s="11" t="s">
        <v>1853</v>
      </c>
      <c r="M2058" s="11" t="s">
        <v>5607</v>
      </c>
      <c r="N2058" s="12"/>
      <c r="O2058" s="11" t="s">
        <v>1859</v>
      </c>
      <c r="P2058" s="56"/>
    </row>
    <row r="2059" spans="1:16" ht="15.75" customHeight="1" x14ac:dyDescent="0.2">
      <c r="A2059" s="49">
        <v>2971</v>
      </c>
      <c r="B2059" s="11" t="s">
        <v>1857</v>
      </c>
      <c r="C2059" s="11" t="s">
        <v>1849</v>
      </c>
      <c r="D2059" s="6" t="s">
        <v>1850</v>
      </c>
      <c r="E2059" s="11" t="s">
        <v>5541</v>
      </c>
      <c r="F2059" s="12" t="s">
        <v>5541</v>
      </c>
      <c r="G2059" s="12" t="s">
        <v>5564</v>
      </c>
      <c r="H2059" s="12" t="s">
        <v>5608</v>
      </c>
      <c r="I2059" s="12" t="s">
        <v>5609</v>
      </c>
      <c r="J2059" s="11" t="s">
        <v>1856</v>
      </c>
      <c r="K2059" s="11" t="s">
        <v>1852</v>
      </c>
      <c r="L2059" s="11" t="s">
        <v>1853</v>
      </c>
      <c r="M2059" s="11" t="s">
        <v>5607</v>
      </c>
      <c r="N2059" s="12"/>
      <c r="O2059" s="11" t="s">
        <v>1858</v>
      </c>
      <c r="P2059" s="56"/>
    </row>
    <row r="2060" spans="1:16" ht="15.75" customHeight="1" x14ac:dyDescent="0.2">
      <c r="A2060" s="49">
        <v>2922</v>
      </c>
      <c r="B2060" s="11" t="s">
        <v>1857</v>
      </c>
      <c r="C2060" s="11" t="s">
        <v>1849</v>
      </c>
      <c r="D2060" s="6" t="s">
        <v>1850</v>
      </c>
      <c r="E2060" s="11" t="s">
        <v>5541</v>
      </c>
      <c r="F2060" s="12" t="s">
        <v>5541</v>
      </c>
      <c r="G2060" s="12" t="s">
        <v>3553</v>
      </c>
      <c r="H2060" s="12" t="s">
        <v>5610</v>
      </c>
      <c r="I2060" s="12" t="s">
        <v>5611</v>
      </c>
      <c r="J2060" s="11" t="s">
        <v>1856</v>
      </c>
      <c r="K2060" s="11" t="s">
        <v>1852</v>
      </c>
      <c r="L2060" s="11" t="s">
        <v>1853</v>
      </c>
      <c r="M2060" s="11" t="s">
        <v>1854</v>
      </c>
      <c r="N2060" s="12"/>
      <c r="O2060" s="11" t="s">
        <v>1859</v>
      </c>
      <c r="P2060" s="56"/>
    </row>
    <row r="2061" spans="1:16" ht="15.75" customHeight="1" x14ac:dyDescent="0.2">
      <c r="A2061" s="49">
        <v>5269</v>
      </c>
      <c r="B2061" s="11" t="s">
        <v>1857</v>
      </c>
      <c r="C2061" s="11" t="s">
        <v>1849</v>
      </c>
      <c r="D2061" s="6" t="s">
        <v>1850</v>
      </c>
      <c r="E2061" s="11" t="s">
        <v>5541</v>
      </c>
      <c r="F2061" s="12" t="s">
        <v>5541</v>
      </c>
      <c r="G2061" s="12" t="s">
        <v>2255</v>
      </c>
      <c r="H2061" s="12" t="s">
        <v>4832</v>
      </c>
      <c r="I2061" s="12" t="s">
        <v>5612</v>
      </c>
      <c r="J2061" s="11" t="s">
        <v>1856</v>
      </c>
      <c r="K2061" s="11" t="s">
        <v>1852</v>
      </c>
      <c r="L2061" s="11" t="s">
        <v>1853</v>
      </c>
      <c r="M2061" s="11" t="s">
        <v>5613</v>
      </c>
      <c r="N2061" s="12" t="s">
        <v>5614</v>
      </c>
      <c r="O2061" s="11" t="s">
        <v>2022</v>
      </c>
      <c r="P2061" s="56" t="s">
        <v>3364</v>
      </c>
    </row>
    <row r="2062" spans="1:16" ht="15.75" customHeight="1" x14ac:dyDescent="0.2">
      <c r="A2062" s="49">
        <v>2972</v>
      </c>
      <c r="B2062" s="11" t="s">
        <v>1857</v>
      </c>
      <c r="C2062" s="11" t="s">
        <v>1849</v>
      </c>
      <c r="D2062" s="6" t="s">
        <v>1850</v>
      </c>
      <c r="E2062" s="11" t="s">
        <v>5541</v>
      </c>
      <c r="F2062" s="12" t="s">
        <v>5541</v>
      </c>
      <c r="G2062" s="12" t="s">
        <v>5564</v>
      </c>
      <c r="H2062" s="12" t="s">
        <v>5590</v>
      </c>
      <c r="I2062" s="12" t="s">
        <v>5615</v>
      </c>
      <c r="J2062" s="11" t="s">
        <v>1856</v>
      </c>
      <c r="K2062" s="11" t="s">
        <v>1852</v>
      </c>
      <c r="L2062" s="11" t="s">
        <v>1853</v>
      </c>
      <c r="M2062" s="11" t="s">
        <v>5616</v>
      </c>
      <c r="N2062" s="12" t="s">
        <v>5617</v>
      </c>
      <c r="O2062" s="11" t="s">
        <v>1859</v>
      </c>
      <c r="P2062" s="56"/>
    </row>
    <row r="2063" spans="1:16" ht="15.75" customHeight="1" x14ac:dyDescent="0.2">
      <c r="A2063" s="49">
        <v>2931</v>
      </c>
      <c r="B2063" s="11" t="s">
        <v>1857</v>
      </c>
      <c r="C2063" s="11" t="s">
        <v>1849</v>
      </c>
      <c r="D2063" s="6" t="s">
        <v>1850</v>
      </c>
      <c r="E2063" s="11" t="s">
        <v>5541</v>
      </c>
      <c r="F2063" s="12" t="s">
        <v>5541</v>
      </c>
      <c r="G2063" s="12" t="s">
        <v>3553</v>
      </c>
      <c r="H2063" s="12" t="s">
        <v>5618</v>
      </c>
      <c r="I2063" s="12" t="s">
        <v>5619</v>
      </c>
      <c r="J2063" s="11" t="s">
        <v>1856</v>
      </c>
      <c r="K2063" s="11" t="s">
        <v>1852</v>
      </c>
      <c r="L2063" s="11" t="s">
        <v>1853</v>
      </c>
      <c r="M2063" s="11" t="s">
        <v>1854</v>
      </c>
      <c r="N2063" s="12"/>
      <c r="O2063" s="11" t="s">
        <v>1859</v>
      </c>
      <c r="P2063" s="56"/>
    </row>
    <row r="2064" spans="1:16" ht="15.75" customHeight="1" x14ac:dyDescent="0.2">
      <c r="A2064" s="49">
        <v>2871</v>
      </c>
      <c r="B2064" s="11" t="s">
        <v>1857</v>
      </c>
      <c r="C2064" s="11" t="s">
        <v>1849</v>
      </c>
      <c r="D2064" s="6" t="s">
        <v>1850</v>
      </c>
      <c r="E2064" s="11" t="s">
        <v>5541</v>
      </c>
      <c r="F2064" s="12" t="s">
        <v>5541</v>
      </c>
      <c r="G2064" s="12" t="s">
        <v>5558</v>
      </c>
      <c r="H2064" s="12" t="s">
        <v>5620</v>
      </c>
      <c r="I2064" s="12" t="s">
        <v>5621</v>
      </c>
      <c r="J2064" s="11" t="s">
        <v>1856</v>
      </c>
      <c r="K2064" s="11" t="s">
        <v>1852</v>
      </c>
      <c r="L2064" s="11" t="s">
        <v>1853</v>
      </c>
      <c r="M2064" s="11" t="s">
        <v>1854</v>
      </c>
      <c r="N2064" s="12"/>
      <c r="O2064" s="11" t="s">
        <v>1858</v>
      </c>
      <c r="P2064" s="56"/>
    </row>
    <row r="2065" spans="1:16" ht="15.75" customHeight="1" x14ac:dyDescent="0.2">
      <c r="A2065" s="49">
        <v>2711</v>
      </c>
      <c r="B2065" s="11" t="s">
        <v>1857</v>
      </c>
      <c r="C2065" s="11" t="s">
        <v>1849</v>
      </c>
      <c r="D2065" s="6" t="s">
        <v>1850</v>
      </c>
      <c r="E2065" s="11" t="s">
        <v>5541</v>
      </c>
      <c r="F2065" s="12" t="s">
        <v>5541</v>
      </c>
      <c r="G2065" s="12" t="s">
        <v>5542</v>
      </c>
      <c r="H2065" s="12" t="s">
        <v>5542</v>
      </c>
      <c r="I2065" s="12" t="s">
        <v>5622</v>
      </c>
      <c r="J2065" s="11" t="s">
        <v>1851</v>
      </c>
      <c r="K2065" s="11" t="s">
        <v>1852</v>
      </c>
      <c r="L2065" s="11" t="s">
        <v>1853</v>
      </c>
      <c r="M2065" s="11" t="s">
        <v>5623</v>
      </c>
      <c r="N2065" s="12" t="s">
        <v>5624</v>
      </c>
      <c r="O2065" s="11" t="s">
        <v>1866</v>
      </c>
      <c r="P2065" s="56" t="s">
        <v>3343</v>
      </c>
    </row>
    <row r="2066" spans="1:16" ht="15.75" customHeight="1" x14ac:dyDescent="0.2">
      <c r="A2066" s="49">
        <v>2738</v>
      </c>
      <c r="B2066" s="11" t="s">
        <v>1857</v>
      </c>
      <c r="C2066" s="11" t="s">
        <v>1849</v>
      </c>
      <c r="D2066" s="6" t="s">
        <v>1850</v>
      </c>
      <c r="E2066" s="11" t="s">
        <v>5541</v>
      </c>
      <c r="F2066" s="12" t="s">
        <v>5541</v>
      </c>
      <c r="G2066" s="12" t="s">
        <v>2255</v>
      </c>
      <c r="H2066" s="12" t="s">
        <v>2255</v>
      </c>
      <c r="I2066" s="12" t="s">
        <v>5625</v>
      </c>
      <c r="J2066" s="11" t="s">
        <v>1851</v>
      </c>
      <c r="K2066" s="11" t="s">
        <v>1852</v>
      </c>
      <c r="L2066" s="11" t="s">
        <v>1853</v>
      </c>
      <c r="M2066" s="11" t="s">
        <v>5626</v>
      </c>
      <c r="N2066" s="12" t="s">
        <v>5627</v>
      </c>
      <c r="O2066" s="11" t="s">
        <v>1866</v>
      </c>
      <c r="P2066" s="56" t="s">
        <v>5628</v>
      </c>
    </row>
    <row r="2067" spans="1:16" ht="15.75" customHeight="1" x14ac:dyDescent="0.2">
      <c r="A2067" s="49">
        <v>2850</v>
      </c>
      <c r="B2067" s="11" t="s">
        <v>1857</v>
      </c>
      <c r="C2067" s="11" t="s">
        <v>1849</v>
      </c>
      <c r="D2067" s="6" t="s">
        <v>1850</v>
      </c>
      <c r="E2067" s="11" t="s">
        <v>5541</v>
      </c>
      <c r="F2067" s="12" t="s">
        <v>5541</v>
      </c>
      <c r="G2067" s="12" t="s">
        <v>5558</v>
      </c>
      <c r="H2067" s="12" t="s">
        <v>5558</v>
      </c>
      <c r="I2067" s="12" t="s">
        <v>5629</v>
      </c>
      <c r="J2067" s="11" t="s">
        <v>1856</v>
      </c>
      <c r="K2067" s="11" t="s">
        <v>1852</v>
      </c>
      <c r="L2067" s="11" t="s">
        <v>1853</v>
      </c>
      <c r="M2067" s="11" t="s">
        <v>5630</v>
      </c>
      <c r="N2067" s="12" t="s">
        <v>5631</v>
      </c>
      <c r="O2067" s="11" t="s">
        <v>1866</v>
      </c>
      <c r="P2067" s="56" t="s">
        <v>2614</v>
      </c>
    </row>
    <row r="2068" spans="1:16" ht="15.75" customHeight="1" x14ac:dyDescent="0.2">
      <c r="A2068" s="49">
        <v>2721</v>
      </c>
      <c r="B2068" s="11" t="s">
        <v>1857</v>
      </c>
      <c r="C2068" s="11" t="s">
        <v>1849</v>
      </c>
      <c r="D2068" s="6" t="s">
        <v>1850</v>
      </c>
      <c r="E2068" s="11" t="s">
        <v>5541</v>
      </c>
      <c r="F2068" s="12" t="s">
        <v>5541</v>
      </c>
      <c r="G2068" s="12" t="s">
        <v>5542</v>
      </c>
      <c r="H2068" s="12" t="s">
        <v>5632</v>
      </c>
      <c r="I2068" s="12" t="s">
        <v>5633</v>
      </c>
      <c r="J2068" s="11" t="s">
        <v>1856</v>
      </c>
      <c r="K2068" s="11" t="s">
        <v>1852</v>
      </c>
      <c r="L2068" s="11" t="s">
        <v>1853</v>
      </c>
      <c r="M2068" s="11" t="s">
        <v>3614</v>
      </c>
      <c r="N2068" s="12"/>
      <c r="O2068" s="11" t="s">
        <v>1859</v>
      </c>
      <c r="P2068" s="56"/>
    </row>
    <row r="2069" spans="1:16" ht="15.75" customHeight="1" x14ac:dyDescent="0.2">
      <c r="A2069" s="49">
        <v>2842</v>
      </c>
      <c r="B2069" s="11" t="s">
        <v>1857</v>
      </c>
      <c r="C2069" s="11" t="s">
        <v>1849</v>
      </c>
      <c r="D2069" s="6" t="s">
        <v>1850</v>
      </c>
      <c r="E2069" s="11" t="s">
        <v>5541</v>
      </c>
      <c r="F2069" s="12" t="s">
        <v>5541</v>
      </c>
      <c r="G2069" s="12" t="s">
        <v>5541</v>
      </c>
      <c r="H2069" s="12" t="s">
        <v>5550</v>
      </c>
      <c r="I2069" s="12" t="s">
        <v>5634</v>
      </c>
      <c r="J2069" s="11" t="s">
        <v>1856</v>
      </c>
      <c r="K2069" s="11" t="s">
        <v>1852</v>
      </c>
      <c r="L2069" s="11" t="s">
        <v>1853</v>
      </c>
      <c r="M2069" s="11" t="s">
        <v>1854</v>
      </c>
      <c r="N2069" s="12"/>
      <c r="O2069" s="11" t="s">
        <v>1858</v>
      </c>
      <c r="P2069" s="56"/>
    </row>
    <row r="2070" spans="1:16" ht="15.75" customHeight="1" x14ac:dyDescent="0.2">
      <c r="A2070" s="49">
        <v>2882</v>
      </c>
      <c r="B2070" s="11" t="s">
        <v>1857</v>
      </c>
      <c r="C2070" s="11" t="s">
        <v>1849</v>
      </c>
      <c r="D2070" s="6" t="s">
        <v>1850</v>
      </c>
      <c r="E2070" s="11" t="s">
        <v>5541</v>
      </c>
      <c r="F2070" s="12" t="s">
        <v>5541</v>
      </c>
      <c r="G2070" s="12" t="s">
        <v>5558</v>
      </c>
      <c r="H2070" s="12" t="s">
        <v>5635</v>
      </c>
      <c r="I2070" s="12" t="s">
        <v>5636</v>
      </c>
      <c r="J2070" s="11" t="s">
        <v>1856</v>
      </c>
      <c r="K2070" s="11" t="s">
        <v>1852</v>
      </c>
      <c r="L2070" s="11" t="s">
        <v>1853</v>
      </c>
      <c r="M2070" s="11" t="s">
        <v>5637</v>
      </c>
      <c r="N2070" s="12"/>
      <c r="O2070" s="11" t="s">
        <v>1859</v>
      </c>
      <c r="P2070" s="56"/>
    </row>
    <row r="2071" spans="1:16" ht="15.75" customHeight="1" x14ac:dyDescent="0.2">
      <c r="A2071" s="49">
        <v>2874</v>
      </c>
      <c r="B2071" s="11" t="s">
        <v>1857</v>
      </c>
      <c r="C2071" s="11" t="s">
        <v>1849</v>
      </c>
      <c r="D2071" s="6" t="s">
        <v>1850</v>
      </c>
      <c r="E2071" s="11" t="s">
        <v>5541</v>
      </c>
      <c r="F2071" s="12" t="s">
        <v>5541</v>
      </c>
      <c r="G2071" s="12" t="s">
        <v>5558</v>
      </c>
      <c r="H2071" s="12" t="s">
        <v>5337</v>
      </c>
      <c r="I2071" s="12" t="s">
        <v>5638</v>
      </c>
      <c r="J2071" s="11" t="s">
        <v>1856</v>
      </c>
      <c r="K2071" s="11" t="s">
        <v>1852</v>
      </c>
      <c r="L2071" s="11" t="s">
        <v>1853</v>
      </c>
      <c r="M2071" s="11" t="s">
        <v>5639</v>
      </c>
      <c r="N2071" s="12" t="s">
        <v>5640</v>
      </c>
      <c r="O2071" s="11" t="s">
        <v>1859</v>
      </c>
      <c r="P2071" s="56"/>
    </row>
    <row r="2072" spans="1:16" ht="15.75" customHeight="1" x14ac:dyDescent="0.2">
      <c r="A2072" s="49">
        <v>2958</v>
      </c>
      <c r="B2072" s="11" t="s">
        <v>1857</v>
      </c>
      <c r="C2072" s="11" t="s">
        <v>1849</v>
      </c>
      <c r="D2072" s="6" t="s">
        <v>1850</v>
      </c>
      <c r="E2072" s="11" t="s">
        <v>5541</v>
      </c>
      <c r="F2072" s="12" t="s">
        <v>5541</v>
      </c>
      <c r="G2072" s="12" t="s">
        <v>5564</v>
      </c>
      <c r="H2072" s="12" t="s">
        <v>5641</v>
      </c>
      <c r="I2072" s="12" t="s">
        <v>5642</v>
      </c>
      <c r="J2072" s="11" t="s">
        <v>1856</v>
      </c>
      <c r="K2072" s="11" t="s">
        <v>1852</v>
      </c>
      <c r="L2072" s="11" t="s">
        <v>1853</v>
      </c>
      <c r="M2072" s="11" t="s">
        <v>5643</v>
      </c>
      <c r="N2072" s="12"/>
      <c r="O2072" s="11" t="s">
        <v>1858</v>
      </c>
      <c r="P2072" s="56"/>
    </row>
    <row r="2073" spans="1:16" ht="15.75" customHeight="1" x14ac:dyDescent="0.2">
      <c r="A2073" s="49">
        <v>2963</v>
      </c>
      <c r="B2073" s="11" t="s">
        <v>1857</v>
      </c>
      <c r="C2073" s="11" t="s">
        <v>1849</v>
      </c>
      <c r="D2073" s="6" t="s">
        <v>1850</v>
      </c>
      <c r="E2073" s="11" t="s">
        <v>5541</v>
      </c>
      <c r="F2073" s="12" t="s">
        <v>5541</v>
      </c>
      <c r="G2073" s="12" t="s">
        <v>5564</v>
      </c>
      <c r="H2073" s="12" t="s">
        <v>5644</v>
      </c>
      <c r="I2073" s="12" t="s">
        <v>5645</v>
      </c>
      <c r="J2073" s="11" t="s">
        <v>1856</v>
      </c>
      <c r="K2073" s="11" t="s">
        <v>1852</v>
      </c>
      <c r="L2073" s="11" t="s">
        <v>1853</v>
      </c>
      <c r="M2073" s="11" t="s">
        <v>3819</v>
      </c>
      <c r="N2073" s="12" t="s">
        <v>5646</v>
      </c>
      <c r="O2073" s="11" t="s">
        <v>1859</v>
      </c>
      <c r="P2073" s="56"/>
    </row>
    <row r="2074" spans="1:16" ht="15.75" customHeight="1" x14ac:dyDescent="0.2">
      <c r="A2074" s="49">
        <v>2941</v>
      </c>
      <c r="B2074" s="11" t="s">
        <v>1857</v>
      </c>
      <c r="C2074" s="11" t="s">
        <v>1849</v>
      </c>
      <c r="D2074" s="6" t="s">
        <v>1850</v>
      </c>
      <c r="E2074" s="11" t="s">
        <v>5541</v>
      </c>
      <c r="F2074" s="12" t="s">
        <v>5541</v>
      </c>
      <c r="G2074" s="12" t="s">
        <v>5564</v>
      </c>
      <c r="H2074" s="12" t="s">
        <v>5599</v>
      </c>
      <c r="I2074" s="12" t="s">
        <v>5647</v>
      </c>
      <c r="J2074" s="11" t="s">
        <v>1856</v>
      </c>
      <c r="K2074" s="11" t="s">
        <v>1852</v>
      </c>
      <c r="L2074" s="11" t="s">
        <v>1853</v>
      </c>
      <c r="M2074" s="11" t="s">
        <v>1854</v>
      </c>
      <c r="N2074" s="12"/>
      <c r="O2074" s="11" t="s">
        <v>1859</v>
      </c>
      <c r="P2074" s="56"/>
    </row>
    <row r="2075" spans="1:16" ht="15.75" customHeight="1" x14ac:dyDescent="0.2">
      <c r="A2075" s="49">
        <v>2814</v>
      </c>
      <c r="B2075" s="11" t="s">
        <v>1857</v>
      </c>
      <c r="C2075" s="11" t="s">
        <v>1849</v>
      </c>
      <c r="D2075" s="6" t="s">
        <v>1850</v>
      </c>
      <c r="E2075" s="11" t="s">
        <v>5541</v>
      </c>
      <c r="F2075" s="12" t="s">
        <v>5541</v>
      </c>
      <c r="G2075" s="12" t="s">
        <v>5541</v>
      </c>
      <c r="H2075" s="12" t="s">
        <v>4315</v>
      </c>
      <c r="I2075" s="12" t="s">
        <v>5648</v>
      </c>
      <c r="J2075" s="11" t="s">
        <v>1856</v>
      </c>
      <c r="K2075" s="11" t="s">
        <v>1852</v>
      </c>
      <c r="L2075" s="11" t="s">
        <v>1853</v>
      </c>
      <c r="M2075" s="11" t="s">
        <v>1854</v>
      </c>
      <c r="N2075" s="12"/>
      <c r="O2075" s="11" t="s">
        <v>1859</v>
      </c>
      <c r="P2075" s="56"/>
    </row>
    <row r="2076" spans="1:16" ht="15.75" customHeight="1" x14ac:dyDescent="0.2">
      <c r="A2076" s="49">
        <v>2835</v>
      </c>
      <c r="B2076" s="11" t="s">
        <v>1857</v>
      </c>
      <c r="C2076" s="11" t="s">
        <v>1849</v>
      </c>
      <c r="D2076" s="6" t="s">
        <v>1850</v>
      </c>
      <c r="E2076" s="11" t="s">
        <v>5541</v>
      </c>
      <c r="F2076" s="12" t="s">
        <v>5541</v>
      </c>
      <c r="G2076" s="12" t="s">
        <v>5541</v>
      </c>
      <c r="H2076" s="12" t="s">
        <v>5554</v>
      </c>
      <c r="I2076" s="12" t="s">
        <v>5649</v>
      </c>
      <c r="J2076" s="11" t="s">
        <v>1856</v>
      </c>
      <c r="K2076" s="11" t="s">
        <v>1852</v>
      </c>
      <c r="L2076" s="11" t="s">
        <v>1853</v>
      </c>
      <c r="M2076" s="11" t="s">
        <v>1854</v>
      </c>
      <c r="N2076" s="12"/>
      <c r="O2076" s="11" t="s">
        <v>1858</v>
      </c>
      <c r="P2076" s="56"/>
    </row>
    <row r="2077" spans="1:16" ht="15.75" customHeight="1" x14ac:dyDescent="0.2">
      <c r="A2077" s="49">
        <v>2734</v>
      </c>
      <c r="B2077" s="11" t="s">
        <v>1857</v>
      </c>
      <c r="C2077" s="11" t="s">
        <v>1849</v>
      </c>
      <c r="D2077" s="6" t="s">
        <v>1850</v>
      </c>
      <c r="E2077" s="11" t="s">
        <v>5541</v>
      </c>
      <c r="F2077" s="12" t="s">
        <v>5541</v>
      </c>
      <c r="G2077" s="12" t="s">
        <v>5542</v>
      </c>
      <c r="H2077" s="12" t="s">
        <v>5650</v>
      </c>
      <c r="I2077" s="12" t="s">
        <v>3715</v>
      </c>
      <c r="J2077" s="11" t="s">
        <v>1856</v>
      </c>
      <c r="K2077" s="11" t="s">
        <v>1852</v>
      </c>
      <c r="L2077" s="11" t="s">
        <v>1853</v>
      </c>
      <c r="M2077" s="11" t="s">
        <v>1854</v>
      </c>
      <c r="N2077" s="12"/>
      <c r="O2077" s="11" t="s">
        <v>1859</v>
      </c>
      <c r="P2077" s="56"/>
    </row>
    <row r="2078" spans="1:16" ht="15.75" customHeight="1" x14ac:dyDescent="0.2">
      <c r="A2078" s="49">
        <v>2880</v>
      </c>
      <c r="B2078" s="11" t="s">
        <v>1857</v>
      </c>
      <c r="C2078" s="11" t="s">
        <v>1849</v>
      </c>
      <c r="D2078" s="6" t="s">
        <v>1850</v>
      </c>
      <c r="E2078" s="11" t="s">
        <v>5541</v>
      </c>
      <c r="F2078" s="12" t="s">
        <v>5541</v>
      </c>
      <c r="G2078" s="12" t="s">
        <v>5558</v>
      </c>
      <c r="H2078" s="12" t="s">
        <v>5635</v>
      </c>
      <c r="I2078" s="12" t="s">
        <v>5301</v>
      </c>
      <c r="J2078" s="11" t="s">
        <v>1856</v>
      </c>
      <c r="K2078" s="11" t="s">
        <v>1852</v>
      </c>
      <c r="L2078" s="11" t="s">
        <v>1853</v>
      </c>
      <c r="M2078" s="11" t="s">
        <v>2549</v>
      </c>
      <c r="N2078" s="12"/>
      <c r="O2078" s="11" t="s">
        <v>1859</v>
      </c>
      <c r="P2078" s="56"/>
    </row>
    <row r="2079" spans="1:16" ht="15.75" customHeight="1" x14ac:dyDescent="0.2">
      <c r="A2079" s="49">
        <v>2766</v>
      </c>
      <c r="B2079" s="11" t="s">
        <v>1857</v>
      </c>
      <c r="C2079" s="11" t="s">
        <v>1849</v>
      </c>
      <c r="D2079" s="6" t="s">
        <v>1850</v>
      </c>
      <c r="E2079" s="11" t="s">
        <v>5541</v>
      </c>
      <c r="F2079" s="12" t="s">
        <v>5541</v>
      </c>
      <c r="G2079" s="12" t="s">
        <v>2255</v>
      </c>
      <c r="H2079" s="12" t="s">
        <v>5306</v>
      </c>
      <c r="I2079" s="12" t="s">
        <v>5481</v>
      </c>
      <c r="J2079" s="11" t="s">
        <v>1856</v>
      </c>
      <c r="K2079" s="11" t="s">
        <v>1852</v>
      </c>
      <c r="L2079" s="11" t="s">
        <v>1853</v>
      </c>
      <c r="M2079" s="11" t="s">
        <v>1854</v>
      </c>
      <c r="N2079" s="12"/>
      <c r="O2079" s="11" t="s">
        <v>1859</v>
      </c>
      <c r="P2079" s="56"/>
    </row>
    <row r="2080" spans="1:16" ht="15.75" customHeight="1" x14ac:dyDescent="0.2">
      <c r="A2080" s="49">
        <v>2865</v>
      </c>
      <c r="B2080" s="11" t="s">
        <v>1857</v>
      </c>
      <c r="C2080" s="11" t="s">
        <v>1849</v>
      </c>
      <c r="D2080" s="6" t="s">
        <v>1850</v>
      </c>
      <c r="E2080" s="11" t="s">
        <v>5541</v>
      </c>
      <c r="F2080" s="12" t="s">
        <v>5541</v>
      </c>
      <c r="G2080" s="12" t="s">
        <v>5558</v>
      </c>
      <c r="H2080" s="12" t="s">
        <v>5601</v>
      </c>
      <c r="I2080" s="12" t="s">
        <v>5651</v>
      </c>
      <c r="J2080" s="11" t="s">
        <v>1856</v>
      </c>
      <c r="K2080" s="11" t="s">
        <v>1852</v>
      </c>
      <c r="L2080" s="11" t="s">
        <v>1853</v>
      </c>
      <c r="M2080" s="11" t="s">
        <v>5652</v>
      </c>
      <c r="N2080" s="12"/>
      <c r="O2080" s="11" t="s">
        <v>1859</v>
      </c>
      <c r="P2080" s="56"/>
    </row>
    <row r="2081" spans="1:16" ht="15.75" customHeight="1" x14ac:dyDescent="0.2">
      <c r="A2081" s="49">
        <v>2862</v>
      </c>
      <c r="B2081" s="11" t="s">
        <v>1857</v>
      </c>
      <c r="C2081" s="11" t="s">
        <v>1849</v>
      </c>
      <c r="D2081" s="6" t="s">
        <v>1850</v>
      </c>
      <c r="E2081" s="11" t="s">
        <v>5541</v>
      </c>
      <c r="F2081" s="12" t="s">
        <v>5541</v>
      </c>
      <c r="G2081" s="12" t="s">
        <v>5558</v>
      </c>
      <c r="H2081" s="12" t="s">
        <v>5601</v>
      </c>
      <c r="I2081" s="12" t="s">
        <v>5653</v>
      </c>
      <c r="J2081" s="11" t="s">
        <v>1856</v>
      </c>
      <c r="K2081" s="11" t="s">
        <v>1852</v>
      </c>
      <c r="L2081" s="11" t="s">
        <v>1853</v>
      </c>
      <c r="M2081" s="11" t="s">
        <v>3639</v>
      </c>
      <c r="N2081" s="12"/>
      <c r="O2081" s="11" t="s">
        <v>1859</v>
      </c>
      <c r="P2081" s="56"/>
    </row>
    <row r="2082" spans="1:16" ht="15.75" customHeight="1" x14ac:dyDescent="0.2">
      <c r="A2082" s="49">
        <v>2920</v>
      </c>
      <c r="B2082" s="11" t="s">
        <v>1857</v>
      </c>
      <c r="C2082" s="11" t="s">
        <v>1849</v>
      </c>
      <c r="D2082" s="6" t="s">
        <v>1850</v>
      </c>
      <c r="E2082" s="11" t="s">
        <v>5541</v>
      </c>
      <c r="F2082" s="12" t="s">
        <v>5541</v>
      </c>
      <c r="G2082" s="12" t="s">
        <v>3553</v>
      </c>
      <c r="H2082" s="12" t="s">
        <v>3553</v>
      </c>
      <c r="I2082" s="12" t="s">
        <v>5654</v>
      </c>
      <c r="J2082" s="11" t="s">
        <v>1856</v>
      </c>
      <c r="K2082" s="11" t="s">
        <v>1852</v>
      </c>
      <c r="L2082" s="11" t="s">
        <v>1853</v>
      </c>
      <c r="M2082" s="11" t="s">
        <v>3630</v>
      </c>
      <c r="N2082" s="12" t="s">
        <v>5655</v>
      </c>
      <c r="O2082" s="11" t="s">
        <v>2334</v>
      </c>
      <c r="P2082" s="56" t="s">
        <v>4241</v>
      </c>
    </row>
    <row r="2083" spans="1:16" ht="15.75" customHeight="1" x14ac:dyDescent="0.2">
      <c r="A2083" s="49">
        <v>2847</v>
      </c>
      <c r="B2083" s="11" t="s">
        <v>1857</v>
      </c>
      <c r="C2083" s="11" t="s">
        <v>1849</v>
      </c>
      <c r="D2083" s="6" t="s">
        <v>1850</v>
      </c>
      <c r="E2083" s="11" t="s">
        <v>5541</v>
      </c>
      <c r="F2083" s="12" t="s">
        <v>5541</v>
      </c>
      <c r="G2083" s="12" t="s">
        <v>5541</v>
      </c>
      <c r="H2083" s="12" t="s">
        <v>5556</v>
      </c>
      <c r="I2083" s="12" t="s">
        <v>5656</v>
      </c>
      <c r="J2083" s="11" t="s">
        <v>1856</v>
      </c>
      <c r="K2083" s="11" t="s">
        <v>1852</v>
      </c>
      <c r="L2083" s="11" t="s">
        <v>1853</v>
      </c>
      <c r="M2083" s="11" t="s">
        <v>1861</v>
      </c>
      <c r="N2083" s="12"/>
      <c r="O2083" s="11" t="s">
        <v>1858</v>
      </c>
      <c r="P2083" s="56"/>
    </row>
    <row r="2084" spans="1:16" ht="15.75" customHeight="1" x14ac:dyDescent="0.2">
      <c r="A2084" s="49">
        <v>2777</v>
      </c>
      <c r="B2084" s="11" t="s">
        <v>1857</v>
      </c>
      <c r="C2084" s="11" t="s">
        <v>1849</v>
      </c>
      <c r="D2084" s="6" t="s">
        <v>1850</v>
      </c>
      <c r="E2084" s="11" t="s">
        <v>5541</v>
      </c>
      <c r="F2084" s="12" t="s">
        <v>5541</v>
      </c>
      <c r="G2084" s="12" t="s">
        <v>2255</v>
      </c>
      <c r="H2084" s="12" t="s">
        <v>5568</v>
      </c>
      <c r="I2084" s="12" t="s">
        <v>5657</v>
      </c>
      <c r="J2084" s="11" t="s">
        <v>1856</v>
      </c>
      <c r="K2084" s="11" t="s">
        <v>1852</v>
      </c>
      <c r="L2084" s="11" t="s">
        <v>1853</v>
      </c>
      <c r="M2084" s="11" t="s">
        <v>5658</v>
      </c>
      <c r="N2084" s="12" t="s">
        <v>5659</v>
      </c>
      <c r="O2084" s="11" t="s">
        <v>1858</v>
      </c>
      <c r="P2084" s="56"/>
    </row>
    <row r="2085" spans="1:16" ht="15.75" customHeight="1" x14ac:dyDescent="0.2">
      <c r="A2085" s="49">
        <v>2818</v>
      </c>
      <c r="B2085" s="11" t="s">
        <v>1857</v>
      </c>
      <c r="C2085" s="11" t="s">
        <v>1849</v>
      </c>
      <c r="D2085" s="6" t="s">
        <v>1850</v>
      </c>
      <c r="E2085" s="11" t="s">
        <v>5541</v>
      </c>
      <c r="F2085" s="12" t="s">
        <v>5541</v>
      </c>
      <c r="G2085" s="12" t="s">
        <v>5541</v>
      </c>
      <c r="H2085" s="12" t="s">
        <v>5552</v>
      </c>
      <c r="I2085" s="12" t="s">
        <v>5660</v>
      </c>
      <c r="J2085" s="11" t="s">
        <v>1856</v>
      </c>
      <c r="K2085" s="11" t="s">
        <v>1852</v>
      </c>
      <c r="L2085" s="11" t="s">
        <v>1853</v>
      </c>
      <c r="M2085" s="11" t="s">
        <v>2244</v>
      </c>
      <c r="N2085" s="12"/>
      <c r="O2085" s="11" t="s">
        <v>1858</v>
      </c>
      <c r="P2085" s="56"/>
    </row>
    <row r="2086" spans="1:16" ht="15.75" customHeight="1" x14ac:dyDescent="0.2">
      <c r="A2086" s="49">
        <v>2772</v>
      </c>
      <c r="B2086" s="11" t="s">
        <v>1857</v>
      </c>
      <c r="C2086" s="11" t="s">
        <v>1849</v>
      </c>
      <c r="D2086" s="6" t="s">
        <v>1850</v>
      </c>
      <c r="E2086" s="11" t="s">
        <v>5541</v>
      </c>
      <c r="F2086" s="12" t="s">
        <v>5541</v>
      </c>
      <c r="G2086" s="12" t="s">
        <v>2255</v>
      </c>
      <c r="H2086" s="12" t="s">
        <v>4832</v>
      </c>
      <c r="I2086" s="12" t="s">
        <v>5661</v>
      </c>
      <c r="J2086" s="11" t="s">
        <v>1856</v>
      </c>
      <c r="K2086" s="11" t="s">
        <v>1852</v>
      </c>
      <c r="L2086" s="11" t="s">
        <v>1853</v>
      </c>
      <c r="M2086" s="11" t="s">
        <v>1861</v>
      </c>
      <c r="N2086" s="12"/>
      <c r="O2086" s="11" t="s">
        <v>1858</v>
      </c>
      <c r="P2086" s="56"/>
    </row>
    <row r="2087" spans="1:16" ht="15.75" customHeight="1" x14ac:dyDescent="0.2">
      <c r="A2087" s="49">
        <v>2746</v>
      </c>
      <c r="B2087" s="11" t="s">
        <v>1857</v>
      </c>
      <c r="C2087" s="11" t="s">
        <v>1849</v>
      </c>
      <c r="D2087" s="6" t="s">
        <v>1850</v>
      </c>
      <c r="E2087" s="11" t="s">
        <v>5541</v>
      </c>
      <c r="F2087" s="12" t="s">
        <v>5541</v>
      </c>
      <c r="G2087" s="12" t="s">
        <v>2255</v>
      </c>
      <c r="H2087" s="12" t="s">
        <v>2255</v>
      </c>
      <c r="I2087" s="12" t="s">
        <v>5662</v>
      </c>
      <c r="J2087" s="11" t="s">
        <v>1851</v>
      </c>
      <c r="K2087" s="11" t="s">
        <v>1852</v>
      </c>
      <c r="L2087" s="11" t="s">
        <v>1853</v>
      </c>
      <c r="M2087" s="11" t="s">
        <v>5663</v>
      </c>
      <c r="N2087" s="12" t="s">
        <v>5664</v>
      </c>
      <c r="O2087" s="11" t="s">
        <v>1859</v>
      </c>
      <c r="P2087" s="56"/>
    </row>
    <row r="2088" spans="1:16" ht="15.75" customHeight="1" x14ac:dyDescent="0.2">
      <c r="A2088" s="49">
        <v>2840</v>
      </c>
      <c r="B2088" s="11" t="s">
        <v>1857</v>
      </c>
      <c r="C2088" s="11" t="s">
        <v>1849</v>
      </c>
      <c r="D2088" s="6" t="s">
        <v>1850</v>
      </c>
      <c r="E2088" s="11" t="s">
        <v>5541</v>
      </c>
      <c r="F2088" s="12" t="s">
        <v>5541</v>
      </c>
      <c r="G2088" s="12" t="s">
        <v>5541</v>
      </c>
      <c r="H2088" s="12" t="s">
        <v>5194</v>
      </c>
      <c r="I2088" s="12" t="s">
        <v>5665</v>
      </c>
      <c r="J2088" s="11" t="s">
        <v>1856</v>
      </c>
      <c r="K2088" s="11" t="s">
        <v>1852</v>
      </c>
      <c r="L2088" s="11" t="s">
        <v>1853</v>
      </c>
      <c r="M2088" s="11" t="s">
        <v>5666</v>
      </c>
      <c r="N2088" s="12" t="s">
        <v>5667</v>
      </c>
      <c r="O2088" s="11" t="s">
        <v>1858</v>
      </c>
      <c r="P2088" s="56"/>
    </row>
    <row r="2089" spans="1:16" ht="15.75" customHeight="1" x14ac:dyDescent="0.2">
      <c r="A2089" s="49">
        <v>2712</v>
      </c>
      <c r="B2089" s="11" t="s">
        <v>1857</v>
      </c>
      <c r="C2089" s="11" t="s">
        <v>1849</v>
      </c>
      <c r="D2089" s="6" t="s">
        <v>1850</v>
      </c>
      <c r="E2089" s="11" t="s">
        <v>5541</v>
      </c>
      <c r="F2089" s="12" t="s">
        <v>5541</v>
      </c>
      <c r="G2089" s="12" t="s">
        <v>5542</v>
      </c>
      <c r="H2089" s="12" t="s">
        <v>5542</v>
      </c>
      <c r="I2089" s="12" t="s">
        <v>5668</v>
      </c>
      <c r="J2089" s="11" t="s">
        <v>1851</v>
      </c>
      <c r="K2089" s="11" t="s">
        <v>1852</v>
      </c>
      <c r="L2089" s="11" t="s">
        <v>1853</v>
      </c>
      <c r="M2089" s="11" t="s">
        <v>5669</v>
      </c>
      <c r="N2089" s="12" t="s">
        <v>5670</v>
      </c>
      <c r="O2089" s="11" t="s">
        <v>1859</v>
      </c>
      <c r="P2089" s="56"/>
    </row>
    <row r="2090" spans="1:16" ht="15.75" customHeight="1" x14ac:dyDescent="0.2">
      <c r="A2090" s="49">
        <v>2816</v>
      </c>
      <c r="B2090" s="11" t="s">
        <v>1857</v>
      </c>
      <c r="C2090" s="11" t="s">
        <v>1849</v>
      </c>
      <c r="D2090" s="6" t="s">
        <v>1850</v>
      </c>
      <c r="E2090" s="11" t="s">
        <v>5541</v>
      </c>
      <c r="F2090" s="12" t="s">
        <v>5541</v>
      </c>
      <c r="G2090" s="12" t="s">
        <v>5541</v>
      </c>
      <c r="H2090" s="12" t="s">
        <v>5671</v>
      </c>
      <c r="I2090" s="12" t="s">
        <v>5672</v>
      </c>
      <c r="J2090" s="11" t="s">
        <v>1856</v>
      </c>
      <c r="K2090" s="11" t="s">
        <v>1852</v>
      </c>
      <c r="L2090" s="11" t="s">
        <v>1853</v>
      </c>
      <c r="M2090" s="11" t="s">
        <v>3694</v>
      </c>
      <c r="N2090" s="12" t="s">
        <v>2281</v>
      </c>
      <c r="O2090" s="11" t="s">
        <v>1858</v>
      </c>
      <c r="P2090" s="56"/>
    </row>
    <row r="2091" spans="1:16" ht="15.75" customHeight="1" x14ac:dyDescent="0.2">
      <c r="A2091" s="49">
        <v>2890</v>
      </c>
      <c r="B2091" s="11" t="s">
        <v>1857</v>
      </c>
      <c r="C2091" s="11" t="s">
        <v>1849</v>
      </c>
      <c r="D2091" s="6" t="s">
        <v>1850</v>
      </c>
      <c r="E2091" s="11" t="s">
        <v>5541</v>
      </c>
      <c r="F2091" s="12" t="s">
        <v>5541</v>
      </c>
      <c r="G2091" s="12" t="s">
        <v>5558</v>
      </c>
      <c r="H2091" s="12" t="s">
        <v>5560</v>
      </c>
      <c r="I2091" s="12" t="s">
        <v>5673</v>
      </c>
      <c r="J2091" s="11" t="s">
        <v>1856</v>
      </c>
      <c r="K2091" s="11" t="s">
        <v>1852</v>
      </c>
      <c r="L2091" s="11" t="s">
        <v>1853</v>
      </c>
      <c r="M2091" s="11" t="s">
        <v>5575</v>
      </c>
      <c r="N2091" s="12" t="s">
        <v>2281</v>
      </c>
      <c r="O2091" s="11" t="s">
        <v>1858</v>
      </c>
      <c r="P2091" s="56"/>
    </row>
    <row r="2092" spans="1:16" ht="15.75" customHeight="1" x14ac:dyDescent="0.2">
      <c r="A2092" s="49">
        <v>2836</v>
      </c>
      <c r="B2092" s="11" t="s">
        <v>1857</v>
      </c>
      <c r="C2092" s="11" t="s">
        <v>1849</v>
      </c>
      <c r="D2092" s="6" t="s">
        <v>1850</v>
      </c>
      <c r="E2092" s="11" t="s">
        <v>5541</v>
      </c>
      <c r="F2092" s="12" t="s">
        <v>5541</v>
      </c>
      <c r="G2092" s="12" t="s">
        <v>5541</v>
      </c>
      <c r="H2092" s="12" t="s">
        <v>5548</v>
      </c>
      <c r="I2092" s="12" t="s">
        <v>5674</v>
      </c>
      <c r="J2092" s="11" t="s">
        <v>1856</v>
      </c>
      <c r="K2092" s="11" t="s">
        <v>1852</v>
      </c>
      <c r="L2092" s="11" t="s">
        <v>1853</v>
      </c>
      <c r="M2092" s="11" t="s">
        <v>2244</v>
      </c>
      <c r="N2092" s="12"/>
      <c r="O2092" s="11" t="s">
        <v>1859</v>
      </c>
      <c r="P2092" s="56"/>
    </row>
    <row r="2093" spans="1:16" ht="15.75" customHeight="1" x14ac:dyDescent="0.2">
      <c r="A2093" s="49">
        <v>2831</v>
      </c>
      <c r="B2093" s="11" t="s">
        <v>1857</v>
      </c>
      <c r="C2093" s="11" t="s">
        <v>1849</v>
      </c>
      <c r="D2093" s="6" t="s">
        <v>1850</v>
      </c>
      <c r="E2093" s="11" t="s">
        <v>5541</v>
      </c>
      <c r="F2093" s="12" t="s">
        <v>5541</v>
      </c>
      <c r="G2093" s="12" t="s">
        <v>5541</v>
      </c>
      <c r="H2093" s="12" t="s">
        <v>5554</v>
      </c>
      <c r="I2093" s="12" t="s">
        <v>5675</v>
      </c>
      <c r="J2093" s="11" t="s">
        <v>1856</v>
      </c>
      <c r="K2093" s="11" t="s">
        <v>1852</v>
      </c>
      <c r="L2093" s="11" t="s">
        <v>1853</v>
      </c>
      <c r="M2093" s="11" t="s">
        <v>2244</v>
      </c>
      <c r="N2093" s="12"/>
      <c r="O2093" s="11" t="s">
        <v>1860</v>
      </c>
      <c r="P2093" s="56"/>
    </row>
    <row r="2094" spans="1:16" ht="15.75" customHeight="1" x14ac:dyDescent="0.2">
      <c r="A2094" s="49">
        <v>2790</v>
      </c>
      <c r="B2094" s="11" t="s">
        <v>1857</v>
      </c>
      <c r="C2094" s="11" t="s">
        <v>1849</v>
      </c>
      <c r="D2094" s="6" t="s">
        <v>1850</v>
      </c>
      <c r="E2094" s="11" t="s">
        <v>5541</v>
      </c>
      <c r="F2094" s="12" t="s">
        <v>5541</v>
      </c>
      <c r="G2094" s="12" t="s">
        <v>2255</v>
      </c>
      <c r="H2094" s="12" t="s">
        <v>2677</v>
      </c>
      <c r="I2094" s="12" t="s">
        <v>5676</v>
      </c>
      <c r="J2094" s="11" t="s">
        <v>1856</v>
      </c>
      <c r="K2094" s="11" t="s">
        <v>1852</v>
      </c>
      <c r="L2094" s="11" t="s">
        <v>1853</v>
      </c>
      <c r="M2094" s="11" t="s">
        <v>5677</v>
      </c>
      <c r="N2094" s="12" t="s">
        <v>5678</v>
      </c>
      <c r="O2094" s="11" t="s">
        <v>1858</v>
      </c>
      <c r="P2094" s="56"/>
    </row>
    <row r="2095" spans="1:16" ht="15.75" customHeight="1" x14ac:dyDescent="0.2">
      <c r="A2095" s="49">
        <v>2812</v>
      </c>
      <c r="B2095" s="11" t="s">
        <v>1857</v>
      </c>
      <c r="C2095" s="11" t="s">
        <v>1849</v>
      </c>
      <c r="D2095" s="6" t="s">
        <v>1850</v>
      </c>
      <c r="E2095" s="11" t="s">
        <v>5541</v>
      </c>
      <c r="F2095" s="12" t="s">
        <v>5541</v>
      </c>
      <c r="G2095" s="12" t="s">
        <v>5541</v>
      </c>
      <c r="H2095" s="12" t="s">
        <v>5679</v>
      </c>
      <c r="I2095" s="12" t="s">
        <v>5680</v>
      </c>
      <c r="J2095" s="11" t="s">
        <v>1851</v>
      </c>
      <c r="K2095" s="11" t="s">
        <v>1852</v>
      </c>
      <c r="L2095" s="11" t="s">
        <v>1853</v>
      </c>
      <c r="M2095" s="11" t="s">
        <v>5681</v>
      </c>
      <c r="N2095" s="12" t="s">
        <v>5682</v>
      </c>
      <c r="O2095" s="11" t="s">
        <v>1858</v>
      </c>
      <c r="P2095" s="56"/>
    </row>
    <row r="2096" spans="1:16" ht="15.75" customHeight="1" x14ac:dyDescent="0.2">
      <c r="A2096" s="49">
        <v>2900</v>
      </c>
      <c r="B2096" s="11" t="s">
        <v>1857</v>
      </c>
      <c r="C2096" s="11" t="s">
        <v>1849</v>
      </c>
      <c r="D2096" s="6" t="s">
        <v>1850</v>
      </c>
      <c r="E2096" s="11" t="s">
        <v>5541</v>
      </c>
      <c r="F2096" s="12" t="s">
        <v>5541</v>
      </c>
      <c r="G2096" s="12" t="s">
        <v>5562</v>
      </c>
      <c r="H2096" s="12" t="s">
        <v>5562</v>
      </c>
      <c r="I2096" s="12" t="s">
        <v>5683</v>
      </c>
      <c r="J2096" s="11" t="s">
        <v>1856</v>
      </c>
      <c r="K2096" s="11" t="s">
        <v>1852</v>
      </c>
      <c r="L2096" s="11" t="s">
        <v>1853</v>
      </c>
      <c r="M2096" s="11" t="s">
        <v>3630</v>
      </c>
      <c r="N2096" s="12" t="s">
        <v>5684</v>
      </c>
      <c r="O2096" s="11" t="s">
        <v>1858</v>
      </c>
      <c r="P2096" s="56"/>
    </row>
    <row r="2097" spans="1:16" ht="15.75" customHeight="1" x14ac:dyDescent="0.2">
      <c r="A2097" s="49">
        <v>2736</v>
      </c>
      <c r="B2097" s="11" t="s">
        <v>1857</v>
      </c>
      <c r="C2097" s="11" t="s">
        <v>1849</v>
      </c>
      <c r="D2097" s="6" t="s">
        <v>1850</v>
      </c>
      <c r="E2097" s="11" t="s">
        <v>5541</v>
      </c>
      <c r="F2097" s="12" t="s">
        <v>5541</v>
      </c>
      <c r="G2097" s="12" t="s">
        <v>2255</v>
      </c>
      <c r="H2097" s="12" t="s">
        <v>2255</v>
      </c>
      <c r="I2097" s="12" t="s">
        <v>5685</v>
      </c>
      <c r="J2097" s="11" t="s">
        <v>1851</v>
      </c>
      <c r="K2097" s="11" t="s">
        <v>1852</v>
      </c>
      <c r="L2097" s="11" t="s">
        <v>1853</v>
      </c>
      <c r="M2097" s="11" t="s">
        <v>2244</v>
      </c>
      <c r="N2097" s="12"/>
      <c r="O2097" s="11" t="s">
        <v>1859</v>
      </c>
      <c r="P2097" s="56"/>
    </row>
    <row r="2098" spans="1:16" ht="15.75" customHeight="1" x14ac:dyDescent="0.2">
      <c r="A2098" s="49">
        <v>2937</v>
      </c>
      <c r="B2098" s="11" t="s">
        <v>1857</v>
      </c>
      <c r="C2098" s="11" t="s">
        <v>1849</v>
      </c>
      <c r="D2098" s="6" t="s">
        <v>1850</v>
      </c>
      <c r="E2098" s="11" t="s">
        <v>5541</v>
      </c>
      <c r="F2098" s="12" t="s">
        <v>5541</v>
      </c>
      <c r="G2098" s="12" t="s">
        <v>5564</v>
      </c>
      <c r="H2098" s="12" t="s">
        <v>5564</v>
      </c>
      <c r="I2098" s="12" t="s">
        <v>5686</v>
      </c>
      <c r="J2098" s="11" t="s">
        <v>1856</v>
      </c>
      <c r="K2098" s="11" t="s">
        <v>1852</v>
      </c>
      <c r="L2098" s="11" t="s">
        <v>1853</v>
      </c>
      <c r="M2098" s="11" t="s">
        <v>2244</v>
      </c>
      <c r="N2098" s="12"/>
      <c r="O2098" s="11" t="s">
        <v>1858</v>
      </c>
      <c r="P2098" s="56"/>
    </row>
    <row r="2099" spans="1:16" ht="15.75" customHeight="1" x14ac:dyDescent="0.2">
      <c r="A2099" s="49">
        <v>2849</v>
      </c>
      <c r="B2099" s="11" t="s">
        <v>1857</v>
      </c>
      <c r="C2099" s="11" t="s">
        <v>1849</v>
      </c>
      <c r="D2099" s="6" t="s">
        <v>1850</v>
      </c>
      <c r="E2099" s="11" t="s">
        <v>5541</v>
      </c>
      <c r="F2099" s="12" t="s">
        <v>5541</v>
      </c>
      <c r="G2099" s="12" t="s">
        <v>5558</v>
      </c>
      <c r="H2099" s="12" t="s">
        <v>5558</v>
      </c>
      <c r="I2099" s="12" t="s">
        <v>5687</v>
      </c>
      <c r="J2099" s="11" t="s">
        <v>1856</v>
      </c>
      <c r="K2099" s="11" t="s">
        <v>1852</v>
      </c>
      <c r="L2099" s="11" t="s">
        <v>1853</v>
      </c>
      <c r="M2099" s="11" t="s">
        <v>2244</v>
      </c>
      <c r="N2099" s="12"/>
      <c r="O2099" s="11" t="s">
        <v>1858</v>
      </c>
      <c r="P2099" s="56"/>
    </row>
    <row r="2100" spans="1:16" ht="15.75" customHeight="1" x14ac:dyDescent="0.2">
      <c r="A2100" s="49">
        <v>2739</v>
      </c>
      <c r="B2100" s="11" t="s">
        <v>1857</v>
      </c>
      <c r="C2100" s="11" t="s">
        <v>1849</v>
      </c>
      <c r="D2100" s="6" t="s">
        <v>1850</v>
      </c>
      <c r="E2100" s="11" t="s">
        <v>5541</v>
      </c>
      <c r="F2100" s="12" t="s">
        <v>5541</v>
      </c>
      <c r="G2100" s="12" t="s">
        <v>2255</v>
      </c>
      <c r="H2100" s="12" t="s">
        <v>2255</v>
      </c>
      <c r="I2100" s="12" t="s">
        <v>5688</v>
      </c>
      <c r="J2100" s="11" t="s">
        <v>1856</v>
      </c>
      <c r="K2100" s="11" t="s">
        <v>1852</v>
      </c>
      <c r="L2100" s="11" t="s">
        <v>1853</v>
      </c>
      <c r="M2100" s="11" t="s">
        <v>2244</v>
      </c>
      <c r="N2100" s="12"/>
      <c r="O2100" s="11" t="s">
        <v>1858</v>
      </c>
      <c r="P2100" s="56"/>
    </row>
    <row r="2101" spans="1:16" ht="15.75" customHeight="1" x14ac:dyDescent="0.2">
      <c r="A2101" s="49">
        <v>2875</v>
      </c>
      <c r="B2101" s="11" t="s">
        <v>1857</v>
      </c>
      <c r="C2101" s="11" t="s">
        <v>1849</v>
      </c>
      <c r="D2101" s="6" t="s">
        <v>1850</v>
      </c>
      <c r="E2101" s="11" t="s">
        <v>5541</v>
      </c>
      <c r="F2101" s="12" t="s">
        <v>5541</v>
      </c>
      <c r="G2101" s="12" t="s">
        <v>5558</v>
      </c>
      <c r="H2101" s="12" t="s">
        <v>5689</v>
      </c>
      <c r="I2101" s="12" t="s">
        <v>5690</v>
      </c>
      <c r="J2101" s="11" t="s">
        <v>1856</v>
      </c>
      <c r="K2101" s="11" t="s">
        <v>1852</v>
      </c>
      <c r="L2101" s="11" t="s">
        <v>1853</v>
      </c>
      <c r="M2101" s="11" t="s">
        <v>1854</v>
      </c>
      <c r="N2101" s="12"/>
      <c r="O2101" s="11" t="s">
        <v>1859</v>
      </c>
      <c r="P2101" s="56"/>
    </row>
    <row r="2102" spans="1:16" ht="15.75" customHeight="1" x14ac:dyDescent="0.2">
      <c r="A2102" s="49">
        <v>2718</v>
      </c>
      <c r="B2102" s="11" t="s">
        <v>1857</v>
      </c>
      <c r="C2102" s="11" t="s">
        <v>1849</v>
      </c>
      <c r="D2102" s="6" t="s">
        <v>1850</v>
      </c>
      <c r="E2102" s="11" t="s">
        <v>5541</v>
      </c>
      <c r="F2102" s="12" t="s">
        <v>5541</v>
      </c>
      <c r="G2102" s="12" t="s">
        <v>5542</v>
      </c>
      <c r="H2102" s="12" t="s">
        <v>5566</v>
      </c>
      <c r="I2102" s="12" t="s">
        <v>5691</v>
      </c>
      <c r="J2102" s="11" t="s">
        <v>1856</v>
      </c>
      <c r="K2102" s="11" t="s">
        <v>1852</v>
      </c>
      <c r="L2102" s="11" t="s">
        <v>1853</v>
      </c>
      <c r="M2102" s="11" t="s">
        <v>5692</v>
      </c>
      <c r="N2102" s="12" t="s">
        <v>5693</v>
      </c>
      <c r="O2102" s="11" t="s">
        <v>1858</v>
      </c>
      <c r="P2102" s="56"/>
    </row>
    <row r="2103" spans="1:16" ht="15.75" customHeight="1" x14ac:dyDescent="0.2">
      <c r="A2103" s="49">
        <v>2966</v>
      </c>
      <c r="B2103" s="11" t="s">
        <v>1857</v>
      </c>
      <c r="C2103" s="11" t="s">
        <v>1849</v>
      </c>
      <c r="D2103" s="6" t="s">
        <v>1850</v>
      </c>
      <c r="E2103" s="11" t="s">
        <v>5541</v>
      </c>
      <c r="F2103" s="12" t="s">
        <v>5541</v>
      </c>
      <c r="G2103" s="12" t="s">
        <v>5564</v>
      </c>
      <c r="H2103" s="12" t="s">
        <v>5644</v>
      </c>
      <c r="I2103" s="12" t="s">
        <v>5694</v>
      </c>
      <c r="J2103" s="11" t="s">
        <v>1856</v>
      </c>
      <c r="K2103" s="11" t="s">
        <v>1852</v>
      </c>
      <c r="L2103" s="11" t="s">
        <v>1853</v>
      </c>
      <c r="M2103" s="11" t="s">
        <v>5695</v>
      </c>
      <c r="N2103" s="12"/>
      <c r="O2103" s="11" t="s">
        <v>1859</v>
      </c>
      <c r="P2103" s="56"/>
    </row>
    <row r="2104" spans="1:16" ht="15.75" customHeight="1" x14ac:dyDescent="0.2">
      <c r="A2104" s="48">
        <v>2978</v>
      </c>
      <c r="B2104" s="11" t="s">
        <v>1857</v>
      </c>
      <c r="C2104" s="11" t="s">
        <v>1849</v>
      </c>
      <c r="D2104" s="6" t="s">
        <v>1850</v>
      </c>
      <c r="E2104" s="11" t="s">
        <v>5541</v>
      </c>
      <c r="F2104" s="12" t="s">
        <v>5541</v>
      </c>
      <c r="G2104" s="12" t="s">
        <v>5564</v>
      </c>
      <c r="H2104" s="12" t="s">
        <v>5696</v>
      </c>
      <c r="I2104" s="12" t="s">
        <v>5697</v>
      </c>
      <c r="J2104" s="11" t="s">
        <v>1856</v>
      </c>
      <c r="K2104" s="11" t="s">
        <v>1852</v>
      </c>
      <c r="L2104" s="11" t="s">
        <v>1853</v>
      </c>
      <c r="M2104" s="11" t="s">
        <v>5698</v>
      </c>
      <c r="N2104" s="12" t="s">
        <v>2767</v>
      </c>
      <c r="O2104" s="11" t="s">
        <v>3228</v>
      </c>
      <c r="P2104" s="56" t="s">
        <v>1863</v>
      </c>
    </row>
    <row r="2105" spans="1:16" ht="15.75" customHeight="1" x14ac:dyDescent="0.2">
      <c r="A2105" s="49">
        <v>2722</v>
      </c>
      <c r="B2105" s="11" t="s">
        <v>1857</v>
      </c>
      <c r="C2105" s="11" t="s">
        <v>1849</v>
      </c>
      <c r="D2105" s="6" t="s">
        <v>1850</v>
      </c>
      <c r="E2105" s="11" t="s">
        <v>5541</v>
      </c>
      <c r="F2105" s="12" t="s">
        <v>5541</v>
      </c>
      <c r="G2105" s="12" t="s">
        <v>5542</v>
      </c>
      <c r="H2105" s="12" t="s">
        <v>5699</v>
      </c>
      <c r="I2105" s="12" t="s">
        <v>5700</v>
      </c>
      <c r="J2105" s="11" t="s">
        <v>1856</v>
      </c>
      <c r="K2105" s="11" t="s">
        <v>1852</v>
      </c>
      <c r="L2105" s="11" t="s">
        <v>1853</v>
      </c>
      <c r="M2105" s="11" t="s">
        <v>5701</v>
      </c>
      <c r="N2105" s="12" t="s">
        <v>5702</v>
      </c>
      <c r="O2105" s="11" t="s">
        <v>1859</v>
      </c>
      <c r="P2105" s="56"/>
    </row>
    <row r="2106" spans="1:16" ht="15.75" customHeight="1" x14ac:dyDescent="0.2">
      <c r="A2106" s="49">
        <v>2784</v>
      </c>
      <c r="B2106" s="11" t="s">
        <v>1857</v>
      </c>
      <c r="C2106" s="11" t="s">
        <v>1849</v>
      </c>
      <c r="D2106" s="6" t="s">
        <v>1850</v>
      </c>
      <c r="E2106" s="11" t="s">
        <v>5541</v>
      </c>
      <c r="F2106" s="12" t="s">
        <v>5541</v>
      </c>
      <c r="G2106" s="12" t="s">
        <v>2255</v>
      </c>
      <c r="H2106" s="12" t="s">
        <v>5703</v>
      </c>
      <c r="I2106" s="12" t="s">
        <v>5704</v>
      </c>
      <c r="J2106" s="11" t="s">
        <v>1856</v>
      </c>
      <c r="K2106" s="11" t="s">
        <v>1852</v>
      </c>
      <c r="L2106" s="11" t="s">
        <v>1853</v>
      </c>
      <c r="M2106" s="11" t="s">
        <v>3791</v>
      </c>
      <c r="N2106" s="12" t="s">
        <v>5705</v>
      </c>
      <c r="O2106" s="11" t="s">
        <v>1858</v>
      </c>
      <c r="P2106" s="56"/>
    </row>
    <row r="2107" spans="1:16" ht="15.75" customHeight="1" x14ac:dyDescent="0.2">
      <c r="A2107" s="49">
        <v>2723</v>
      </c>
      <c r="B2107" s="11" t="s">
        <v>1857</v>
      </c>
      <c r="C2107" s="11" t="s">
        <v>1849</v>
      </c>
      <c r="D2107" s="6" t="s">
        <v>1850</v>
      </c>
      <c r="E2107" s="11" t="s">
        <v>5541</v>
      </c>
      <c r="F2107" s="12" t="s">
        <v>5541</v>
      </c>
      <c r="G2107" s="12" t="s">
        <v>5542</v>
      </c>
      <c r="H2107" s="12" t="s">
        <v>5706</v>
      </c>
      <c r="I2107" s="12" t="s">
        <v>5707</v>
      </c>
      <c r="J2107" s="11" t="s">
        <v>1856</v>
      </c>
      <c r="K2107" s="11" t="s">
        <v>1852</v>
      </c>
      <c r="L2107" s="11" t="s">
        <v>1853</v>
      </c>
      <c r="M2107" s="11" t="s">
        <v>5708</v>
      </c>
      <c r="N2107" s="12" t="s">
        <v>5709</v>
      </c>
      <c r="O2107" s="11" t="s">
        <v>1858</v>
      </c>
      <c r="P2107" s="56"/>
    </row>
    <row r="2108" spans="1:16" ht="15.75" customHeight="1" x14ac:dyDescent="0.2">
      <c r="A2108" s="48">
        <v>2801</v>
      </c>
      <c r="B2108" s="11" t="s">
        <v>1857</v>
      </c>
      <c r="C2108" s="11" t="s">
        <v>1849</v>
      </c>
      <c r="D2108" s="6" t="s">
        <v>1850</v>
      </c>
      <c r="E2108" s="11" t="s">
        <v>5541</v>
      </c>
      <c r="F2108" s="12" t="s">
        <v>5541</v>
      </c>
      <c r="G2108" s="12" t="s">
        <v>5541</v>
      </c>
      <c r="H2108" s="12" t="s">
        <v>5679</v>
      </c>
      <c r="I2108" s="12" t="s">
        <v>5710</v>
      </c>
      <c r="J2108" s="11" t="s">
        <v>1851</v>
      </c>
      <c r="K2108" s="11" t="s">
        <v>1852</v>
      </c>
      <c r="L2108" s="11" t="s">
        <v>1853</v>
      </c>
      <c r="M2108" s="11" t="s">
        <v>5711</v>
      </c>
      <c r="N2108" s="12" t="s">
        <v>5712</v>
      </c>
      <c r="O2108" s="11" t="s">
        <v>1866</v>
      </c>
      <c r="P2108" s="56" t="s">
        <v>5713</v>
      </c>
    </row>
    <row r="2109" spans="1:16" ht="15.75" customHeight="1" x14ac:dyDescent="0.2">
      <c r="A2109" s="49">
        <v>2898</v>
      </c>
      <c r="B2109" s="11" t="s">
        <v>1857</v>
      </c>
      <c r="C2109" s="11" t="s">
        <v>1849</v>
      </c>
      <c r="D2109" s="6" t="s">
        <v>1850</v>
      </c>
      <c r="E2109" s="11" t="s">
        <v>5541</v>
      </c>
      <c r="F2109" s="12" t="s">
        <v>5541</v>
      </c>
      <c r="G2109" s="12" t="s">
        <v>5562</v>
      </c>
      <c r="H2109" s="12" t="s">
        <v>5562</v>
      </c>
      <c r="I2109" s="12" t="s">
        <v>5714</v>
      </c>
      <c r="J2109" s="11" t="s">
        <v>1856</v>
      </c>
      <c r="K2109" s="11" t="s">
        <v>1852</v>
      </c>
      <c r="L2109" s="11" t="s">
        <v>1853</v>
      </c>
      <c r="M2109" s="11" t="s">
        <v>1854</v>
      </c>
      <c r="N2109" s="12"/>
      <c r="O2109" s="11" t="s">
        <v>2022</v>
      </c>
      <c r="P2109" s="56" t="s">
        <v>2323</v>
      </c>
    </row>
    <row r="2110" spans="1:16" ht="15.75" customHeight="1" x14ac:dyDescent="0.2">
      <c r="A2110" s="48">
        <v>2955</v>
      </c>
      <c r="B2110" s="11" t="s">
        <v>1857</v>
      </c>
      <c r="C2110" s="11" t="s">
        <v>1849</v>
      </c>
      <c r="D2110" s="6" t="s">
        <v>1850</v>
      </c>
      <c r="E2110" s="11" t="s">
        <v>5541</v>
      </c>
      <c r="F2110" s="12" t="s">
        <v>5541</v>
      </c>
      <c r="G2110" s="12" t="s">
        <v>5564</v>
      </c>
      <c r="H2110" s="12" t="s">
        <v>5715</v>
      </c>
      <c r="I2110" s="12" t="s">
        <v>5716</v>
      </c>
      <c r="J2110" s="11" t="s">
        <v>1856</v>
      </c>
      <c r="K2110" s="11" t="s">
        <v>1852</v>
      </c>
      <c r="L2110" s="11" t="s">
        <v>1853</v>
      </c>
      <c r="M2110" s="11" t="s">
        <v>5717</v>
      </c>
      <c r="N2110" s="12" t="s">
        <v>5718</v>
      </c>
      <c r="O2110" s="11" t="s">
        <v>2022</v>
      </c>
      <c r="P2110" s="56" t="s">
        <v>5719</v>
      </c>
    </row>
    <row r="2111" spans="1:16" ht="15.75" customHeight="1" x14ac:dyDescent="0.2">
      <c r="A2111" s="48">
        <v>2808</v>
      </c>
      <c r="B2111" s="11" t="s">
        <v>1857</v>
      </c>
      <c r="C2111" s="11" t="s">
        <v>1849</v>
      </c>
      <c r="D2111" s="6" t="s">
        <v>1850</v>
      </c>
      <c r="E2111" s="11" t="s">
        <v>5541</v>
      </c>
      <c r="F2111" s="12" t="s">
        <v>5541</v>
      </c>
      <c r="G2111" s="12" t="s">
        <v>5541</v>
      </c>
      <c r="H2111" s="12" t="s">
        <v>5679</v>
      </c>
      <c r="I2111" s="12" t="s">
        <v>5720</v>
      </c>
      <c r="J2111" s="11" t="s">
        <v>1851</v>
      </c>
      <c r="K2111" s="11" t="s">
        <v>1852</v>
      </c>
      <c r="L2111" s="11" t="s">
        <v>1853</v>
      </c>
      <c r="M2111" s="11" t="s">
        <v>5721</v>
      </c>
      <c r="N2111" s="12"/>
      <c r="O2111" s="11" t="s">
        <v>2022</v>
      </c>
      <c r="P2111" s="56" t="s">
        <v>5722</v>
      </c>
    </row>
    <row r="2112" spans="1:16" ht="15.75" customHeight="1" x14ac:dyDescent="0.2">
      <c r="A2112" s="49">
        <v>2946</v>
      </c>
      <c r="B2112" s="11" t="s">
        <v>1857</v>
      </c>
      <c r="C2112" s="11" t="s">
        <v>1849</v>
      </c>
      <c r="D2112" s="6" t="s">
        <v>1850</v>
      </c>
      <c r="E2112" s="11" t="s">
        <v>5541</v>
      </c>
      <c r="F2112" s="12" t="s">
        <v>5541</v>
      </c>
      <c r="G2112" s="12" t="s">
        <v>5564</v>
      </c>
      <c r="H2112" s="12" t="s">
        <v>5723</v>
      </c>
      <c r="I2112" s="12" t="s">
        <v>5724</v>
      </c>
      <c r="J2112" s="11" t="s">
        <v>1856</v>
      </c>
      <c r="K2112" s="11" t="s">
        <v>1852</v>
      </c>
      <c r="L2112" s="11" t="s">
        <v>1853</v>
      </c>
      <c r="M2112" s="11" t="s">
        <v>5725</v>
      </c>
      <c r="N2112" s="12"/>
      <c r="O2112" s="11" t="s">
        <v>1860</v>
      </c>
      <c r="P2112" s="56"/>
    </row>
    <row r="2113" spans="1:16" ht="15.75" customHeight="1" x14ac:dyDescent="0.2">
      <c r="A2113" s="49">
        <v>2974</v>
      </c>
      <c r="B2113" s="11" t="s">
        <v>1857</v>
      </c>
      <c r="C2113" s="11" t="s">
        <v>1849</v>
      </c>
      <c r="D2113" s="6" t="s">
        <v>1850</v>
      </c>
      <c r="E2113" s="11" t="s">
        <v>5541</v>
      </c>
      <c r="F2113" s="12" t="s">
        <v>5541</v>
      </c>
      <c r="G2113" s="12" t="s">
        <v>5564</v>
      </c>
      <c r="H2113" s="12" t="s">
        <v>5590</v>
      </c>
      <c r="I2113" s="12" t="s">
        <v>5726</v>
      </c>
      <c r="J2113" s="11" t="s">
        <v>1856</v>
      </c>
      <c r="K2113" s="11" t="s">
        <v>1852</v>
      </c>
      <c r="L2113" s="11" t="s">
        <v>1853</v>
      </c>
      <c r="M2113" s="11" t="s">
        <v>5698</v>
      </c>
      <c r="N2113" s="12"/>
      <c r="O2113" s="11" t="s">
        <v>1858</v>
      </c>
      <c r="P2113" s="56"/>
    </row>
    <row r="2114" spans="1:16" ht="15.75" customHeight="1" x14ac:dyDescent="0.2">
      <c r="A2114" s="49">
        <v>2935</v>
      </c>
      <c r="B2114" s="11" t="s">
        <v>1857</v>
      </c>
      <c r="C2114" s="11" t="s">
        <v>1849</v>
      </c>
      <c r="D2114" s="6" t="s">
        <v>1850</v>
      </c>
      <c r="E2114" s="11" t="s">
        <v>5541</v>
      </c>
      <c r="F2114" s="12" t="s">
        <v>5541</v>
      </c>
      <c r="G2114" s="12" t="s">
        <v>3553</v>
      </c>
      <c r="H2114" s="12" t="s">
        <v>5618</v>
      </c>
      <c r="I2114" s="12" t="s">
        <v>5727</v>
      </c>
      <c r="J2114" s="11" t="s">
        <v>1856</v>
      </c>
      <c r="K2114" s="11" t="s">
        <v>1852</v>
      </c>
      <c r="L2114" s="11" t="s">
        <v>1853</v>
      </c>
      <c r="M2114" s="11" t="s">
        <v>5728</v>
      </c>
      <c r="N2114" s="12" t="s">
        <v>5729</v>
      </c>
      <c r="O2114" s="11" t="s">
        <v>1858</v>
      </c>
      <c r="P2114" s="56"/>
    </row>
    <row r="2115" spans="1:16" ht="15.75" customHeight="1" x14ac:dyDescent="0.2">
      <c r="A2115" s="49">
        <v>2929</v>
      </c>
      <c r="B2115" s="11" t="s">
        <v>1857</v>
      </c>
      <c r="C2115" s="11" t="s">
        <v>1849</v>
      </c>
      <c r="D2115" s="6" t="s">
        <v>1850</v>
      </c>
      <c r="E2115" s="11" t="s">
        <v>5541</v>
      </c>
      <c r="F2115" s="12" t="s">
        <v>5541</v>
      </c>
      <c r="G2115" s="12" t="s">
        <v>3553</v>
      </c>
      <c r="H2115" s="12" t="s">
        <v>3161</v>
      </c>
      <c r="I2115" s="12" t="s">
        <v>5346</v>
      </c>
      <c r="J2115" s="11" t="s">
        <v>1856</v>
      </c>
      <c r="K2115" s="11" t="s">
        <v>1852</v>
      </c>
      <c r="L2115" s="11" t="s">
        <v>1853</v>
      </c>
      <c r="M2115" s="11" t="s">
        <v>1854</v>
      </c>
      <c r="N2115" s="12"/>
      <c r="O2115" s="11" t="s">
        <v>1859</v>
      </c>
      <c r="P2115" s="56"/>
    </row>
    <row r="2116" spans="1:16" ht="15.75" customHeight="1" x14ac:dyDescent="0.2">
      <c r="A2116" s="49">
        <v>2952</v>
      </c>
      <c r="B2116" s="11" t="s">
        <v>1857</v>
      </c>
      <c r="C2116" s="11" t="s">
        <v>1849</v>
      </c>
      <c r="D2116" s="6" t="s">
        <v>1850</v>
      </c>
      <c r="E2116" s="11" t="s">
        <v>5541</v>
      </c>
      <c r="F2116" s="12" t="s">
        <v>5541</v>
      </c>
      <c r="G2116" s="12" t="s">
        <v>5564</v>
      </c>
      <c r="H2116" s="12" t="s">
        <v>5586</v>
      </c>
      <c r="I2116" s="12" t="s">
        <v>3051</v>
      </c>
      <c r="J2116" s="11" t="s">
        <v>1856</v>
      </c>
      <c r="K2116" s="11" t="s">
        <v>1852</v>
      </c>
      <c r="L2116" s="11" t="s">
        <v>1853</v>
      </c>
      <c r="M2116" s="11" t="s">
        <v>1952</v>
      </c>
      <c r="N2116" s="12"/>
      <c r="O2116" s="11" t="s">
        <v>1859</v>
      </c>
      <c r="P2116" s="56"/>
    </row>
    <row r="2117" spans="1:16" ht="15.75" customHeight="1" x14ac:dyDescent="0.2">
      <c r="A2117" s="49">
        <v>2710</v>
      </c>
      <c r="B2117" s="11" t="s">
        <v>1857</v>
      </c>
      <c r="C2117" s="11" t="s">
        <v>1849</v>
      </c>
      <c r="D2117" s="6" t="s">
        <v>1850</v>
      </c>
      <c r="E2117" s="11" t="s">
        <v>5541</v>
      </c>
      <c r="F2117" s="12" t="s">
        <v>5541</v>
      </c>
      <c r="G2117" s="12" t="s">
        <v>5542</v>
      </c>
      <c r="H2117" s="12" t="s">
        <v>5542</v>
      </c>
      <c r="I2117" s="12" t="s">
        <v>5730</v>
      </c>
      <c r="J2117" s="11" t="s">
        <v>1856</v>
      </c>
      <c r="K2117" s="11" t="s">
        <v>1852</v>
      </c>
      <c r="L2117" s="11" t="s">
        <v>1853</v>
      </c>
      <c r="M2117" s="11" t="s">
        <v>3602</v>
      </c>
      <c r="N2117" s="12"/>
      <c r="O2117" s="11" t="s">
        <v>1859</v>
      </c>
      <c r="P2117" s="56"/>
    </row>
    <row r="2118" spans="1:16" ht="15.75" customHeight="1" x14ac:dyDescent="0.2">
      <c r="A2118" s="49">
        <v>2919</v>
      </c>
      <c r="B2118" s="11" t="s">
        <v>1857</v>
      </c>
      <c r="C2118" s="11" t="s">
        <v>1849</v>
      </c>
      <c r="D2118" s="6" t="s">
        <v>1850</v>
      </c>
      <c r="E2118" s="11" t="s">
        <v>5541</v>
      </c>
      <c r="F2118" s="12" t="s">
        <v>5541</v>
      </c>
      <c r="G2118" s="12" t="s">
        <v>3553</v>
      </c>
      <c r="H2118" s="12" t="s">
        <v>3553</v>
      </c>
      <c r="I2118" s="12" t="s">
        <v>5731</v>
      </c>
      <c r="J2118" s="11" t="s">
        <v>1856</v>
      </c>
      <c r="K2118" s="11" t="s">
        <v>1852</v>
      </c>
      <c r="L2118" s="11" t="s">
        <v>1853</v>
      </c>
      <c r="M2118" s="11" t="s">
        <v>5732</v>
      </c>
      <c r="N2118" s="12"/>
      <c r="O2118" s="11" t="s">
        <v>1859</v>
      </c>
      <c r="P2118" s="56"/>
    </row>
    <row r="2119" spans="1:16" ht="15.75" customHeight="1" x14ac:dyDescent="0.2">
      <c r="A2119" s="49">
        <v>2828</v>
      </c>
      <c r="B2119" s="11" t="s">
        <v>1857</v>
      </c>
      <c r="C2119" s="11" t="s">
        <v>1849</v>
      </c>
      <c r="D2119" s="6" t="s">
        <v>1850</v>
      </c>
      <c r="E2119" s="11" t="s">
        <v>5541</v>
      </c>
      <c r="F2119" s="12" t="s">
        <v>5541</v>
      </c>
      <c r="G2119" s="12" t="s">
        <v>5541</v>
      </c>
      <c r="H2119" s="12" t="s">
        <v>5733</v>
      </c>
      <c r="I2119" s="12" t="s">
        <v>5734</v>
      </c>
      <c r="J2119" s="11" t="s">
        <v>1856</v>
      </c>
      <c r="K2119" s="11" t="s">
        <v>1852</v>
      </c>
      <c r="L2119" s="11" t="s">
        <v>1853</v>
      </c>
      <c r="M2119" s="11" t="s">
        <v>3894</v>
      </c>
      <c r="N2119" s="12"/>
      <c r="O2119" s="11" t="s">
        <v>1859</v>
      </c>
      <c r="P2119" s="56"/>
    </row>
    <row r="2120" spans="1:16" ht="15.75" customHeight="1" x14ac:dyDescent="0.2">
      <c r="A2120" s="49">
        <v>2715</v>
      </c>
      <c r="B2120" s="11" t="s">
        <v>1857</v>
      </c>
      <c r="C2120" s="11" t="s">
        <v>1849</v>
      </c>
      <c r="D2120" s="6" t="s">
        <v>1850</v>
      </c>
      <c r="E2120" s="11" t="s">
        <v>5541</v>
      </c>
      <c r="F2120" s="12" t="s">
        <v>5541</v>
      </c>
      <c r="G2120" s="12" t="s">
        <v>5542</v>
      </c>
      <c r="H2120" s="12" t="s">
        <v>5566</v>
      </c>
      <c r="I2120" s="12" t="s">
        <v>5735</v>
      </c>
      <c r="J2120" s="11" t="s">
        <v>1856</v>
      </c>
      <c r="K2120" s="11" t="s">
        <v>1852</v>
      </c>
      <c r="L2120" s="11" t="s">
        <v>1853</v>
      </c>
      <c r="M2120" s="11" t="s">
        <v>5736</v>
      </c>
      <c r="N2120" s="12" t="s">
        <v>5737</v>
      </c>
      <c r="O2120" s="11" t="s">
        <v>1859</v>
      </c>
      <c r="P2120" s="56"/>
    </row>
    <row r="2121" spans="1:16" ht="15.75" customHeight="1" x14ac:dyDescent="0.2">
      <c r="A2121" s="49">
        <v>2726</v>
      </c>
      <c r="B2121" s="11" t="s">
        <v>1857</v>
      </c>
      <c r="C2121" s="11" t="s">
        <v>1849</v>
      </c>
      <c r="D2121" s="6" t="s">
        <v>1850</v>
      </c>
      <c r="E2121" s="11" t="s">
        <v>5541</v>
      </c>
      <c r="F2121" s="12" t="s">
        <v>5541</v>
      </c>
      <c r="G2121" s="12" t="s">
        <v>5542</v>
      </c>
      <c r="H2121" s="12" t="s">
        <v>5738</v>
      </c>
      <c r="I2121" s="12" t="s">
        <v>5739</v>
      </c>
      <c r="J2121" s="11" t="s">
        <v>1856</v>
      </c>
      <c r="K2121" s="11" t="s">
        <v>1852</v>
      </c>
      <c r="L2121" s="11" t="s">
        <v>1853</v>
      </c>
      <c r="M2121" s="11" t="s">
        <v>5740</v>
      </c>
      <c r="N2121" s="12"/>
      <c r="O2121" s="11" t="s">
        <v>1858</v>
      </c>
      <c r="P2121" s="56"/>
    </row>
    <row r="2122" spans="1:16" ht="15.75" customHeight="1" x14ac:dyDescent="0.2">
      <c r="A2122" s="49">
        <v>2867</v>
      </c>
      <c r="B2122" s="11" t="s">
        <v>1857</v>
      </c>
      <c r="C2122" s="11" t="s">
        <v>1849</v>
      </c>
      <c r="D2122" s="6" t="s">
        <v>1850</v>
      </c>
      <c r="E2122" s="11" t="s">
        <v>5541</v>
      </c>
      <c r="F2122" s="12" t="s">
        <v>5541</v>
      </c>
      <c r="G2122" s="12" t="s">
        <v>5558</v>
      </c>
      <c r="H2122" s="12" t="s">
        <v>5601</v>
      </c>
      <c r="I2122" s="12" t="s">
        <v>5741</v>
      </c>
      <c r="J2122" s="11" t="s">
        <v>1856</v>
      </c>
      <c r="K2122" s="11" t="s">
        <v>1852</v>
      </c>
      <c r="L2122" s="11" t="s">
        <v>1853</v>
      </c>
      <c r="M2122" s="11" t="s">
        <v>5742</v>
      </c>
      <c r="N2122" s="12" t="s">
        <v>5743</v>
      </c>
      <c r="O2122" s="11" t="s">
        <v>1859</v>
      </c>
      <c r="P2122" s="56"/>
    </row>
    <row r="2123" spans="1:16" ht="15.75" customHeight="1" x14ac:dyDescent="0.2">
      <c r="A2123" s="49">
        <v>2959</v>
      </c>
      <c r="B2123" s="11" t="s">
        <v>1857</v>
      </c>
      <c r="C2123" s="11" t="s">
        <v>1849</v>
      </c>
      <c r="D2123" s="6" t="s">
        <v>1850</v>
      </c>
      <c r="E2123" s="11" t="s">
        <v>5541</v>
      </c>
      <c r="F2123" s="12" t="s">
        <v>5541</v>
      </c>
      <c r="G2123" s="12" t="s">
        <v>5564</v>
      </c>
      <c r="H2123" s="12" t="s">
        <v>5641</v>
      </c>
      <c r="I2123" s="12" t="s">
        <v>5744</v>
      </c>
      <c r="J2123" s="11" t="s">
        <v>1856</v>
      </c>
      <c r="K2123" s="11" t="s">
        <v>1852</v>
      </c>
      <c r="L2123" s="11" t="s">
        <v>1853</v>
      </c>
      <c r="M2123" s="11" t="s">
        <v>5745</v>
      </c>
      <c r="N2123" s="12" t="s">
        <v>5746</v>
      </c>
      <c r="O2123" s="11" t="s">
        <v>1858</v>
      </c>
      <c r="P2123" s="56"/>
    </row>
    <row r="2124" spans="1:16" ht="15.75" customHeight="1" x14ac:dyDescent="0.2">
      <c r="A2124" s="49">
        <v>2960</v>
      </c>
      <c r="B2124" s="11" t="s">
        <v>1857</v>
      </c>
      <c r="C2124" s="11" t="s">
        <v>1849</v>
      </c>
      <c r="D2124" s="6" t="s">
        <v>1850</v>
      </c>
      <c r="E2124" s="11" t="s">
        <v>5541</v>
      </c>
      <c r="F2124" s="12" t="s">
        <v>5541</v>
      </c>
      <c r="G2124" s="12" t="s">
        <v>5564</v>
      </c>
      <c r="H2124" s="12" t="s">
        <v>5641</v>
      </c>
      <c r="I2124" s="12" t="s">
        <v>5747</v>
      </c>
      <c r="J2124" s="11" t="s">
        <v>1856</v>
      </c>
      <c r="K2124" s="11" t="s">
        <v>1852</v>
      </c>
      <c r="L2124" s="11" t="s">
        <v>1853</v>
      </c>
      <c r="M2124" s="11" t="s">
        <v>1958</v>
      </c>
      <c r="N2124" s="12"/>
      <c r="O2124" s="11" t="s">
        <v>1859</v>
      </c>
      <c r="P2124" s="56"/>
    </row>
    <row r="2125" spans="1:16" ht="15.75" customHeight="1" x14ac:dyDescent="0.2">
      <c r="A2125" s="49">
        <v>2775</v>
      </c>
      <c r="B2125" s="11" t="s">
        <v>1857</v>
      </c>
      <c r="C2125" s="11" t="s">
        <v>1849</v>
      </c>
      <c r="D2125" s="6" t="s">
        <v>1850</v>
      </c>
      <c r="E2125" s="11" t="s">
        <v>5541</v>
      </c>
      <c r="F2125" s="12" t="s">
        <v>5541</v>
      </c>
      <c r="G2125" s="12" t="s">
        <v>2255</v>
      </c>
      <c r="H2125" s="12" t="s">
        <v>5748</v>
      </c>
      <c r="I2125" s="12" t="s">
        <v>5749</v>
      </c>
      <c r="J2125" s="11" t="s">
        <v>1856</v>
      </c>
      <c r="K2125" s="11" t="s">
        <v>1852</v>
      </c>
      <c r="L2125" s="11" t="s">
        <v>1853</v>
      </c>
      <c r="M2125" s="11" t="s">
        <v>5750</v>
      </c>
      <c r="N2125" s="12" t="s">
        <v>5751</v>
      </c>
      <c r="O2125" s="11" t="s">
        <v>1858</v>
      </c>
      <c r="P2125" s="56"/>
    </row>
    <row r="2126" spans="1:16" ht="15.75" customHeight="1" x14ac:dyDescent="0.2">
      <c r="A2126" s="49">
        <v>2976</v>
      </c>
      <c r="B2126" s="11" t="s">
        <v>1857</v>
      </c>
      <c r="C2126" s="11" t="s">
        <v>1849</v>
      </c>
      <c r="D2126" s="6" t="s">
        <v>1850</v>
      </c>
      <c r="E2126" s="11" t="s">
        <v>5541</v>
      </c>
      <c r="F2126" s="12" t="s">
        <v>5541</v>
      </c>
      <c r="G2126" s="12" t="s">
        <v>5564</v>
      </c>
      <c r="H2126" s="12" t="s">
        <v>5696</v>
      </c>
      <c r="I2126" s="12" t="s">
        <v>5752</v>
      </c>
      <c r="J2126" s="11" t="s">
        <v>1856</v>
      </c>
      <c r="K2126" s="11" t="s">
        <v>1852</v>
      </c>
      <c r="L2126" s="11" t="s">
        <v>1853</v>
      </c>
      <c r="M2126" s="11" t="s">
        <v>5320</v>
      </c>
      <c r="N2126" s="12"/>
      <c r="O2126" s="11" t="s">
        <v>1859</v>
      </c>
      <c r="P2126" s="56"/>
    </row>
    <row r="2127" spans="1:16" ht="15.75" customHeight="1" x14ac:dyDescent="0.2">
      <c r="A2127" s="49">
        <v>2969</v>
      </c>
      <c r="B2127" s="11" t="s">
        <v>1857</v>
      </c>
      <c r="C2127" s="11" t="s">
        <v>1849</v>
      </c>
      <c r="D2127" s="6" t="s">
        <v>1850</v>
      </c>
      <c r="E2127" s="11" t="s">
        <v>5541</v>
      </c>
      <c r="F2127" s="12" t="s">
        <v>5541</v>
      </c>
      <c r="G2127" s="12" t="s">
        <v>5564</v>
      </c>
      <c r="H2127" s="12" t="s">
        <v>5590</v>
      </c>
      <c r="I2127" s="12" t="s">
        <v>5753</v>
      </c>
      <c r="J2127" s="11" t="s">
        <v>1856</v>
      </c>
      <c r="K2127" s="11" t="s">
        <v>1852</v>
      </c>
      <c r="L2127" s="11" t="s">
        <v>1853</v>
      </c>
      <c r="M2127" s="11" t="s">
        <v>5754</v>
      </c>
      <c r="N2127" s="12"/>
      <c r="O2127" s="11" t="s">
        <v>1859</v>
      </c>
      <c r="P2127" s="56"/>
    </row>
    <row r="2128" spans="1:16" ht="15.75" customHeight="1" x14ac:dyDescent="0.2">
      <c r="A2128" s="49">
        <v>2822</v>
      </c>
      <c r="B2128" s="11" t="s">
        <v>1857</v>
      </c>
      <c r="C2128" s="11" t="s">
        <v>1849</v>
      </c>
      <c r="D2128" s="6" t="s">
        <v>1850</v>
      </c>
      <c r="E2128" s="11" t="s">
        <v>5541</v>
      </c>
      <c r="F2128" s="12" t="s">
        <v>5541</v>
      </c>
      <c r="G2128" s="12" t="s">
        <v>5541</v>
      </c>
      <c r="H2128" s="12" t="s">
        <v>5755</v>
      </c>
      <c r="I2128" s="12" t="s">
        <v>4628</v>
      </c>
      <c r="J2128" s="11" t="s">
        <v>1856</v>
      </c>
      <c r="K2128" s="11" t="s">
        <v>1852</v>
      </c>
      <c r="L2128" s="11" t="s">
        <v>1853</v>
      </c>
      <c r="M2128" s="11" t="s">
        <v>1854</v>
      </c>
      <c r="N2128" s="12"/>
      <c r="O2128" s="11" t="s">
        <v>1858</v>
      </c>
      <c r="P2128" s="56"/>
    </row>
    <row r="2129" spans="1:16" ht="15.75" customHeight="1" x14ac:dyDescent="0.2">
      <c r="A2129" s="49">
        <v>2824</v>
      </c>
      <c r="B2129" s="11" t="s">
        <v>1857</v>
      </c>
      <c r="C2129" s="11" t="s">
        <v>1849</v>
      </c>
      <c r="D2129" s="6" t="s">
        <v>1850</v>
      </c>
      <c r="E2129" s="11" t="s">
        <v>5541</v>
      </c>
      <c r="F2129" s="12" t="s">
        <v>5541</v>
      </c>
      <c r="G2129" s="12" t="s">
        <v>5541</v>
      </c>
      <c r="H2129" s="12" t="s">
        <v>5756</v>
      </c>
      <c r="I2129" s="12" t="s">
        <v>5372</v>
      </c>
      <c r="J2129" s="11" t="s">
        <v>1856</v>
      </c>
      <c r="K2129" s="11" t="s">
        <v>1852</v>
      </c>
      <c r="L2129" s="11" t="s">
        <v>1853</v>
      </c>
      <c r="M2129" s="11" t="s">
        <v>3569</v>
      </c>
      <c r="N2129" s="12"/>
      <c r="O2129" s="11" t="s">
        <v>1858</v>
      </c>
      <c r="P2129" s="56"/>
    </row>
    <row r="2130" spans="1:16" ht="15.75" customHeight="1" x14ac:dyDescent="0.2">
      <c r="A2130" s="49">
        <v>2841</v>
      </c>
      <c r="B2130" s="11" t="s">
        <v>1857</v>
      </c>
      <c r="C2130" s="11" t="s">
        <v>1849</v>
      </c>
      <c r="D2130" s="6" t="s">
        <v>1850</v>
      </c>
      <c r="E2130" s="11" t="s">
        <v>5541</v>
      </c>
      <c r="F2130" s="12" t="s">
        <v>5541</v>
      </c>
      <c r="G2130" s="12" t="s">
        <v>5541</v>
      </c>
      <c r="H2130" s="12" t="s">
        <v>5194</v>
      </c>
      <c r="I2130" s="12" t="s">
        <v>5757</v>
      </c>
      <c r="J2130" s="11" t="s">
        <v>1856</v>
      </c>
      <c r="K2130" s="11" t="s">
        <v>1852</v>
      </c>
      <c r="L2130" s="11" t="s">
        <v>1853</v>
      </c>
      <c r="M2130" s="11" t="s">
        <v>5758</v>
      </c>
      <c r="N2130" s="12" t="s">
        <v>5759</v>
      </c>
      <c r="O2130" s="11" t="s">
        <v>1859</v>
      </c>
      <c r="P2130" s="56"/>
    </row>
    <row r="2131" spans="1:16" ht="15.75" customHeight="1" x14ac:dyDescent="0.2">
      <c r="A2131" s="49">
        <v>2733</v>
      </c>
      <c r="B2131" s="11" t="s">
        <v>1857</v>
      </c>
      <c r="C2131" s="11" t="s">
        <v>1849</v>
      </c>
      <c r="D2131" s="6" t="s">
        <v>1850</v>
      </c>
      <c r="E2131" s="11" t="s">
        <v>5541</v>
      </c>
      <c r="F2131" s="12" t="s">
        <v>5541</v>
      </c>
      <c r="G2131" s="12" t="s">
        <v>5542</v>
      </c>
      <c r="H2131" s="12" t="s">
        <v>5760</v>
      </c>
      <c r="I2131" s="12" t="s">
        <v>5761</v>
      </c>
      <c r="J2131" s="11" t="s">
        <v>1856</v>
      </c>
      <c r="K2131" s="11" t="s">
        <v>1852</v>
      </c>
      <c r="L2131" s="11" t="s">
        <v>1853</v>
      </c>
      <c r="M2131" s="11" t="s">
        <v>5701</v>
      </c>
      <c r="N2131" s="12"/>
      <c r="O2131" s="11" t="s">
        <v>1858</v>
      </c>
      <c r="P2131" s="56"/>
    </row>
    <row r="2132" spans="1:16" ht="15.75" customHeight="1" x14ac:dyDescent="0.2">
      <c r="A2132" s="49">
        <v>2857</v>
      </c>
      <c r="B2132" s="11" t="s">
        <v>1857</v>
      </c>
      <c r="C2132" s="11" t="s">
        <v>1849</v>
      </c>
      <c r="D2132" s="6" t="s">
        <v>1850</v>
      </c>
      <c r="E2132" s="11" t="s">
        <v>5541</v>
      </c>
      <c r="F2132" s="12" t="s">
        <v>5541</v>
      </c>
      <c r="G2132" s="12" t="s">
        <v>5558</v>
      </c>
      <c r="H2132" s="12" t="s">
        <v>5762</v>
      </c>
      <c r="I2132" s="12" t="s">
        <v>5763</v>
      </c>
      <c r="J2132" s="11" t="s">
        <v>1856</v>
      </c>
      <c r="K2132" s="11" t="s">
        <v>1852</v>
      </c>
      <c r="L2132" s="11" t="s">
        <v>1853</v>
      </c>
      <c r="M2132" s="11" t="s">
        <v>5607</v>
      </c>
      <c r="N2132" s="12"/>
      <c r="O2132" s="11" t="s">
        <v>1858</v>
      </c>
      <c r="P2132" s="56"/>
    </row>
    <row r="2133" spans="1:16" ht="15.75" customHeight="1" x14ac:dyDescent="0.2">
      <c r="A2133" s="49">
        <v>2903</v>
      </c>
      <c r="B2133" s="11" t="s">
        <v>1857</v>
      </c>
      <c r="C2133" s="11" t="s">
        <v>1849</v>
      </c>
      <c r="D2133" s="6" t="s">
        <v>1850</v>
      </c>
      <c r="E2133" s="11" t="s">
        <v>5541</v>
      </c>
      <c r="F2133" s="12" t="s">
        <v>5541</v>
      </c>
      <c r="G2133" s="12" t="s">
        <v>5562</v>
      </c>
      <c r="H2133" s="12" t="s">
        <v>5562</v>
      </c>
      <c r="I2133" s="12" t="s">
        <v>5764</v>
      </c>
      <c r="J2133" s="11" t="s">
        <v>1856</v>
      </c>
      <c r="K2133" s="11" t="s">
        <v>1852</v>
      </c>
      <c r="L2133" s="11" t="s">
        <v>1853</v>
      </c>
      <c r="M2133" s="11" t="s">
        <v>3969</v>
      </c>
      <c r="N2133" s="12"/>
      <c r="O2133" s="11" t="s">
        <v>1859</v>
      </c>
      <c r="P2133" s="56"/>
    </row>
    <row r="2134" spans="1:16" ht="15.75" customHeight="1" x14ac:dyDescent="0.2">
      <c r="A2134" s="49">
        <v>2883</v>
      </c>
      <c r="B2134" s="11" t="s">
        <v>1857</v>
      </c>
      <c r="C2134" s="11" t="s">
        <v>1849</v>
      </c>
      <c r="D2134" s="6" t="s">
        <v>1850</v>
      </c>
      <c r="E2134" s="11" t="s">
        <v>5541</v>
      </c>
      <c r="F2134" s="12" t="s">
        <v>5541</v>
      </c>
      <c r="G2134" s="12" t="s">
        <v>5558</v>
      </c>
      <c r="H2134" s="12" t="s">
        <v>5635</v>
      </c>
      <c r="I2134" s="12" t="s">
        <v>5765</v>
      </c>
      <c r="J2134" s="11" t="s">
        <v>1856</v>
      </c>
      <c r="K2134" s="11" t="s">
        <v>1852</v>
      </c>
      <c r="L2134" s="11" t="s">
        <v>1853</v>
      </c>
      <c r="M2134" s="11" t="s">
        <v>5637</v>
      </c>
      <c r="N2134" s="12"/>
      <c r="O2134" s="11" t="s">
        <v>1859</v>
      </c>
      <c r="P2134" s="56"/>
    </row>
    <row r="2135" spans="1:16" ht="15.75" customHeight="1" x14ac:dyDescent="0.2">
      <c r="A2135" s="49">
        <v>2856</v>
      </c>
      <c r="B2135" s="11" t="s">
        <v>1857</v>
      </c>
      <c r="C2135" s="11" t="s">
        <v>1849</v>
      </c>
      <c r="D2135" s="6" t="s">
        <v>1850</v>
      </c>
      <c r="E2135" s="11" t="s">
        <v>5541</v>
      </c>
      <c r="F2135" s="12" t="s">
        <v>5541</v>
      </c>
      <c r="G2135" s="12" t="s">
        <v>5558</v>
      </c>
      <c r="H2135" s="12" t="s">
        <v>5558</v>
      </c>
      <c r="I2135" s="12" t="s">
        <v>5766</v>
      </c>
      <c r="J2135" s="11" t="s">
        <v>1856</v>
      </c>
      <c r="K2135" s="11" t="s">
        <v>1852</v>
      </c>
      <c r="L2135" s="11" t="s">
        <v>1853</v>
      </c>
      <c r="M2135" s="11" t="s">
        <v>4374</v>
      </c>
      <c r="N2135" s="12"/>
      <c r="O2135" s="11" t="s">
        <v>1859</v>
      </c>
      <c r="P2135" s="56"/>
    </row>
    <row r="2136" spans="1:16" ht="15.75" customHeight="1" x14ac:dyDescent="0.2">
      <c r="A2136" s="49">
        <v>2719</v>
      </c>
      <c r="B2136" s="11" t="s">
        <v>1857</v>
      </c>
      <c r="C2136" s="11" t="s">
        <v>1849</v>
      </c>
      <c r="D2136" s="6" t="s">
        <v>1850</v>
      </c>
      <c r="E2136" s="11" t="s">
        <v>5541</v>
      </c>
      <c r="F2136" s="12" t="s">
        <v>5541</v>
      </c>
      <c r="G2136" s="12" t="s">
        <v>5542</v>
      </c>
      <c r="H2136" s="12" t="s">
        <v>5767</v>
      </c>
      <c r="I2136" s="12" t="s">
        <v>5768</v>
      </c>
      <c r="J2136" s="11" t="s">
        <v>1856</v>
      </c>
      <c r="K2136" s="11" t="s">
        <v>1852</v>
      </c>
      <c r="L2136" s="11" t="s">
        <v>1853</v>
      </c>
      <c r="M2136" s="11" t="s">
        <v>5643</v>
      </c>
      <c r="N2136" s="12"/>
      <c r="O2136" s="11" t="s">
        <v>1859</v>
      </c>
      <c r="P2136" s="56"/>
    </row>
    <row r="2137" spans="1:16" ht="15.75" customHeight="1" x14ac:dyDescent="0.2">
      <c r="A2137" s="49">
        <v>2786</v>
      </c>
      <c r="B2137" s="11" t="s">
        <v>1857</v>
      </c>
      <c r="C2137" s="11" t="s">
        <v>1849</v>
      </c>
      <c r="D2137" s="6" t="s">
        <v>1850</v>
      </c>
      <c r="E2137" s="11" t="s">
        <v>5541</v>
      </c>
      <c r="F2137" s="12" t="s">
        <v>5541</v>
      </c>
      <c r="G2137" s="12" t="s">
        <v>2255</v>
      </c>
      <c r="H2137" s="12" t="s">
        <v>5769</v>
      </c>
      <c r="I2137" s="12" t="s">
        <v>5770</v>
      </c>
      <c r="J2137" s="11" t="s">
        <v>1856</v>
      </c>
      <c r="K2137" s="11" t="s">
        <v>1852</v>
      </c>
      <c r="L2137" s="11" t="s">
        <v>1853</v>
      </c>
      <c r="M2137" s="11" t="s">
        <v>5771</v>
      </c>
      <c r="N2137" s="12" t="s">
        <v>5772</v>
      </c>
      <c r="O2137" s="11" t="s">
        <v>1859</v>
      </c>
      <c r="P2137" s="56"/>
    </row>
    <row r="2138" spans="1:16" ht="15.75" customHeight="1" x14ac:dyDescent="0.2">
      <c r="A2138" s="49">
        <v>2794</v>
      </c>
      <c r="B2138" s="11" t="s">
        <v>1857</v>
      </c>
      <c r="C2138" s="11" t="s">
        <v>1849</v>
      </c>
      <c r="D2138" s="6" t="s">
        <v>1850</v>
      </c>
      <c r="E2138" s="11" t="s">
        <v>5541</v>
      </c>
      <c r="F2138" s="12" t="s">
        <v>5541</v>
      </c>
      <c r="G2138" s="12" t="s">
        <v>2255</v>
      </c>
      <c r="H2138" s="12" t="s">
        <v>5773</v>
      </c>
      <c r="I2138" s="12" t="s">
        <v>5774</v>
      </c>
      <c r="J2138" s="11" t="s">
        <v>1856</v>
      </c>
      <c r="K2138" s="11" t="s">
        <v>1852</v>
      </c>
      <c r="L2138" s="11" t="s">
        <v>1853</v>
      </c>
      <c r="M2138" s="11" t="s">
        <v>5775</v>
      </c>
      <c r="N2138" s="12"/>
      <c r="O2138" s="11" t="s">
        <v>1858</v>
      </c>
      <c r="P2138" s="56"/>
    </row>
    <row r="2139" spans="1:16" ht="15.75" customHeight="1" x14ac:dyDescent="0.2">
      <c r="A2139" s="49">
        <v>2908</v>
      </c>
      <c r="B2139" s="11" t="s">
        <v>1857</v>
      </c>
      <c r="C2139" s="11" t="s">
        <v>1849</v>
      </c>
      <c r="D2139" s="6" t="s">
        <v>1850</v>
      </c>
      <c r="E2139" s="11" t="s">
        <v>5541</v>
      </c>
      <c r="F2139" s="12" t="s">
        <v>5541</v>
      </c>
      <c r="G2139" s="12" t="s">
        <v>5562</v>
      </c>
      <c r="H2139" s="12" t="s">
        <v>5776</v>
      </c>
      <c r="I2139" s="12" t="s">
        <v>5774</v>
      </c>
      <c r="J2139" s="11" t="s">
        <v>1856</v>
      </c>
      <c r="K2139" s="11" t="s">
        <v>1852</v>
      </c>
      <c r="L2139" s="11" t="s">
        <v>1853</v>
      </c>
      <c r="M2139" s="11" t="s">
        <v>1952</v>
      </c>
      <c r="N2139" s="12"/>
      <c r="O2139" s="11" t="s">
        <v>1859</v>
      </c>
      <c r="P2139" s="56"/>
    </row>
    <row r="2140" spans="1:16" ht="15.75" customHeight="1" x14ac:dyDescent="0.2">
      <c r="A2140" s="49">
        <v>2904</v>
      </c>
      <c r="B2140" s="11" t="s">
        <v>1857</v>
      </c>
      <c r="C2140" s="11" t="s">
        <v>1849</v>
      </c>
      <c r="D2140" s="6" t="s">
        <v>1850</v>
      </c>
      <c r="E2140" s="11" t="s">
        <v>5541</v>
      </c>
      <c r="F2140" s="12" t="s">
        <v>5541</v>
      </c>
      <c r="G2140" s="12" t="s">
        <v>5562</v>
      </c>
      <c r="H2140" s="12" t="s">
        <v>5777</v>
      </c>
      <c r="I2140" s="12" t="s">
        <v>5778</v>
      </c>
      <c r="J2140" s="11" t="s">
        <v>1856</v>
      </c>
      <c r="K2140" s="11" t="s">
        <v>1852</v>
      </c>
      <c r="L2140" s="11" t="s">
        <v>1853</v>
      </c>
      <c r="M2140" s="11" t="s">
        <v>5779</v>
      </c>
      <c r="N2140" s="12" t="s">
        <v>5780</v>
      </c>
      <c r="O2140" s="11" t="s">
        <v>1858</v>
      </c>
      <c r="P2140" s="56"/>
    </row>
    <row r="2141" spans="1:16" ht="15.75" customHeight="1" x14ac:dyDescent="0.2">
      <c r="A2141" s="49">
        <v>2968</v>
      </c>
      <c r="B2141" s="11" t="s">
        <v>1857</v>
      </c>
      <c r="C2141" s="11" t="s">
        <v>1849</v>
      </c>
      <c r="D2141" s="6" t="s">
        <v>1850</v>
      </c>
      <c r="E2141" s="11" t="s">
        <v>5541</v>
      </c>
      <c r="F2141" s="12" t="s">
        <v>5541</v>
      </c>
      <c r="G2141" s="12" t="s">
        <v>5564</v>
      </c>
      <c r="H2141" s="12" t="s">
        <v>5590</v>
      </c>
      <c r="I2141" s="12" t="s">
        <v>5781</v>
      </c>
      <c r="J2141" s="11" t="s">
        <v>1856</v>
      </c>
      <c r="K2141" s="11" t="s">
        <v>1852</v>
      </c>
      <c r="L2141" s="11" t="s">
        <v>1853</v>
      </c>
      <c r="M2141" s="11" t="s">
        <v>2474</v>
      </c>
      <c r="N2141" s="12"/>
      <c r="O2141" s="11" t="s">
        <v>1859</v>
      </c>
      <c r="P2141" s="56"/>
    </row>
    <row r="2142" spans="1:16" ht="15.75" customHeight="1" x14ac:dyDescent="0.2">
      <c r="A2142" s="49">
        <v>2758</v>
      </c>
      <c r="B2142" s="11" t="s">
        <v>1857</v>
      </c>
      <c r="C2142" s="11" t="s">
        <v>1849</v>
      </c>
      <c r="D2142" s="6" t="s">
        <v>1850</v>
      </c>
      <c r="E2142" s="11" t="s">
        <v>5541</v>
      </c>
      <c r="F2142" s="12" t="s">
        <v>5541</v>
      </c>
      <c r="G2142" s="12" t="s">
        <v>2255</v>
      </c>
      <c r="H2142" s="12" t="s">
        <v>5782</v>
      </c>
      <c r="I2142" s="12" t="s">
        <v>5783</v>
      </c>
      <c r="J2142" s="11" t="s">
        <v>1856</v>
      </c>
      <c r="K2142" s="11" t="s">
        <v>1852</v>
      </c>
      <c r="L2142" s="11" t="s">
        <v>1853</v>
      </c>
      <c r="M2142" s="11" t="s">
        <v>5784</v>
      </c>
      <c r="N2142" s="12" t="s">
        <v>5785</v>
      </c>
      <c r="O2142" s="11" t="s">
        <v>1860</v>
      </c>
      <c r="P2142" s="56"/>
    </row>
    <row r="2143" spans="1:16" ht="15.75" customHeight="1" x14ac:dyDescent="0.2">
      <c r="A2143" s="49">
        <v>2913</v>
      </c>
      <c r="B2143" s="11" t="s">
        <v>1857</v>
      </c>
      <c r="C2143" s="11" t="s">
        <v>1849</v>
      </c>
      <c r="D2143" s="6" t="s">
        <v>1850</v>
      </c>
      <c r="E2143" s="11" t="s">
        <v>5541</v>
      </c>
      <c r="F2143" s="12" t="s">
        <v>5541</v>
      </c>
      <c r="G2143" s="12" t="s">
        <v>5562</v>
      </c>
      <c r="H2143" s="12" t="s">
        <v>5786</v>
      </c>
      <c r="I2143" s="12" t="s">
        <v>5787</v>
      </c>
      <c r="J2143" s="11" t="s">
        <v>1856</v>
      </c>
      <c r="K2143" s="11" t="s">
        <v>1852</v>
      </c>
      <c r="L2143" s="11" t="s">
        <v>1853</v>
      </c>
      <c r="M2143" s="11" t="s">
        <v>1854</v>
      </c>
      <c r="N2143" s="12"/>
      <c r="O2143" s="11" t="s">
        <v>1859</v>
      </c>
      <c r="P2143" s="56"/>
    </row>
    <row r="2144" spans="1:16" ht="15.75" customHeight="1" x14ac:dyDescent="0.2">
      <c r="A2144" s="49">
        <v>2943</v>
      </c>
      <c r="B2144" s="11" t="s">
        <v>1857</v>
      </c>
      <c r="C2144" s="11" t="s">
        <v>1849</v>
      </c>
      <c r="D2144" s="6" t="s">
        <v>1850</v>
      </c>
      <c r="E2144" s="11" t="s">
        <v>5541</v>
      </c>
      <c r="F2144" s="12" t="s">
        <v>5541</v>
      </c>
      <c r="G2144" s="12" t="s">
        <v>5564</v>
      </c>
      <c r="H2144" s="12" t="s">
        <v>5599</v>
      </c>
      <c r="I2144" s="12" t="s">
        <v>5788</v>
      </c>
      <c r="J2144" s="11" t="s">
        <v>1856</v>
      </c>
      <c r="K2144" s="11" t="s">
        <v>1852</v>
      </c>
      <c r="L2144" s="11" t="s">
        <v>1853</v>
      </c>
      <c r="M2144" s="11" t="s">
        <v>1952</v>
      </c>
      <c r="N2144" s="12"/>
      <c r="O2144" s="11" t="s">
        <v>1859</v>
      </c>
      <c r="P2144" s="56"/>
    </row>
    <row r="2145" spans="1:16" ht="15.75" customHeight="1" x14ac:dyDescent="0.2">
      <c r="A2145" s="49">
        <v>2954</v>
      </c>
      <c r="B2145" s="11" t="s">
        <v>1857</v>
      </c>
      <c r="C2145" s="11" t="s">
        <v>1849</v>
      </c>
      <c r="D2145" s="6" t="s">
        <v>1850</v>
      </c>
      <c r="E2145" s="11" t="s">
        <v>5541</v>
      </c>
      <c r="F2145" s="12" t="s">
        <v>5541</v>
      </c>
      <c r="G2145" s="12" t="s">
        <v>5564</v>
      </c>
      <c r="H2145" s="12" t="s">
        <v>5715</v>
      </c>
      <c r="I2145" s="12" t="s">
        <v>5789</v>
      </c>
      <c r="J2145" s="11" t="s">
        <v>1856</v>
      </c>
      <c r="K2145" s="11" t="s">
        <v>1852</v>
      </c>
      <c r="L2145" s="11" t="s">
        <v>1853</v>
      </c>
      <c r="M2145" s="11" t="s">
        <v>5607</v>
      </c>
      <c r="N2145" s="12"/>
      <c r="O2145" s="11" t="s">
        <v>1859</v>
      </c>
      <c r="P2145" s="56"/>
    </row>
    <row r="2146" spans="1:16" ht="15.75" customHeight="1" x14ac:dyDescent="0.2">
      <c r="A2146" s="49">
        <v>2800</v>
      </c>
      <c r="B2146" s="11" t="s">
        <v>1857</v>
      </c>
      <c r="C2146" s="11" t="s">
        <v>1849</v>
      </c>
      <c r="D2146" s="6" t="s">
        <v>1850</v>
      </c>
      <c r="E2146" s="11" t="s">
        <v>5541</v>
      </c>
      <c r="F2146" s="12" t="s">
        <v>5541</v>
      </c>
      <c r="G2146" s="12" t="s">
        <v>5541</v>
      </c>
      <c r="H2146" s="12" t="s">
        <v>5679</v>
      </c>
      <c r="I2146" s="12" t="s">
        <v>5790</v>
      </c>
      <c r="J2146" s="11" t="s">
        <v>1856</v>
      </c>
      <c r="K2146" s="11" t="s">
        <v>1852</v>
      </c>
      <c r="L2146" s="11" t="s">
        <v>1853</v>
      </c>
      <c r="M2146" s="11" t="s">
        <v>1854</v>
      </c>
      <c r="N2146" s="12"/>
      <c r="O2146" s="11" t="s">
        <v>1858</v>
      </c>
      <c r="P2146" s="56"/>
    </row>
    <row r="2147" spans="1:16" ht="15.75" customHeight="1" x14ac:dyDescent="0.2">
      <c r="A2147" s="49">
        <v>2789</v>
      </c>
      <c r="B2147" s="11" t="s">
        <v>1857</v>
      </c>
      <c r="C2147" s="11" t="s">
        <v>1849</v>
      </c>
      <c r="D2147" s="6" t="s">
        <v>1850</v>
      </c>
      <c r="E2147" s="11" t="s">
        <v>5541</v>
      </c>
      <c r="F2147" s="12" t="s">
        <v>5541</v>
      </c>
      <c r="G2147" s="12" t="s">
        <v>2255</v>
      </c>
      <c r="H2147" s="12" t="s">
        <v>5791</v>
      </c>
      <c r="I2147" s="12" t="s">
        <v>4928</v>
      </c>
      <c r="J2147" s="11" t="s">
        <v>1856</v>
      </c>
      <c r="K2147" s="11" t="s">
        <v>1852</v>
      </c>
      <c r="L2147" s="11" t="s">
        <v>1853</v>
      </c>
      <c r="M2147" s="11" t="s">
        <v>5792</v>
      </c>
      <c r="N2147" s="12" t="s">
        <v>5793</v>
      </c>
      <c r="O2147" s="11" t="s">
        <v>1859</v>
      </c>
      <c r="P2147" s="56"/>
    </row>
    <row r="2148" spans="1:16" ht="15.75" customHeight="1" x14ac:dyDescent="0.2">
      <c r="A2148" s="49">
        <v>2732</v>
      </c>
      <c r="B2148" s="11" t="s">
        <v>1857</v>
      </c>
      <c r="C2148" s="11" t="s">
        <v>1849</v>
      </c>
      <c r="D2148" s="6" t="s">
        <v>1850</v>
      </c>
      <c r="E2148" s="11" t="s">
        <v>5541</v>
      </c>
      <c r="F2148" s="12" t="s">
        <v>5541</v>
      </c>
      <c r="G2148" s="12" t="s">
        <v>5542</v>
      </c>
      <c r="H2148" s="12" t="s">
        <v>5650</v>
      </c>
      <c r="I2148" s="12" t="s">
        <v>2523</v>
      </c>
      <c r="J2148" s="11" t="s">
        <v>1856</v>
      </c>
      <c r="K2148" s="11" t="s">
        <v>1852</v>
      </c>
      <c r="L2148" s="11" t="s">
        <v>1853</v>
      </c>
      <c r="M2148" s="11" t="s">
        <v>1958</v>
      </c>
      <c r="N2148" s="12"/>
      <c r="O2148" s="11" t="s">
        <v>1858</v>
      </c>
      <c r="P2148" s="56"/>
    </row>
    <row r="2149" spans="1:16" ht="15.75" customHeight="1" x14ac:dyDescent="0.2">
      <c r="A2149" s="49">
        <v>2844</v>
      </c>
      <c r="B2149" s="11" t="s">
        <v>1857</v>
      </c>
      <c r="C2149" s="11" t="s">
        <v>1849</v>
      </c>
      <c r="D2149" s="6" t="s">
        <v>1850</v>
      </c>
      <c r="E2149" s="11" t="s">
        <v>5541</v>
      </c>
      <c r="F2149" s="12" t="s">
        <v>5541</v>
      </c>
      <c r="G2149" s="12" t="s">
        <v>5541</v>
      </c>
      <c r="H2149" s="12" t="s">
        <v>5794</v>
      </c>
      <c r="I2149" s="12" t="s">
        <v>5795</v>
      </c>
      <c r="J2149" s="11" t="s">
        <v>1856</v>
      </c>
      <c r="K2149" s="11" t="s">
        <v>1852</v>
      </c>
      <c r="L2149" s="11" t="s">
        <v>1853</v>
      </c>
      <c r="M2149" s="11" t="s">
        <v>1854</v>
      </c>
      <c r="N2149" s="12"/>
      <c r="O2149" s="11" t="s">
        <v>1858</v>
      </c>
      <c r="P2149" s="56"/>
    </row>
    <row r="2150" spans="1:16" ht="15.75" customHeight="1" x14ac:dyDescent="0.2">
      <c r="A2150" s="49">
        <v>2751</v>
      </c>
      <c r="B2150" s="11" t="s">
        <v>1857</v>
      </c>
      <c r="C2150" s="11" t="s">
        <v>1849</v>
      </c>
      <c r="D2150" s="6" t="s">
        <v>1850</v>
      </c>
      <c r="E2150" s="11" t="s">
        <v>5541</v>
      </c>
      <c r="F2150" s="12" t="s">
        <v>5541</v>
      </c>
      <c r="G2150" s="12" t="s">
        <v>2255</v>
      </c>
      <c r="H2150" s="12" t="s">
        <v>5796</v>
      </c>
      <c r="I2150" s="12" t="s">
        <v>5797</v>
      </c>
      <c r="J2150" s="11" t="s">
        <v>1856</v>
      </c>
      <c r="K2150" s="11" t="s">
        <v>1852</v>
      </c>
      <c r="L2150" s="11" t="s">
        <v>1853</v>
      </c>
      <c r="M2150" s="11" t="s">
        <v>3729</v>
      </c>
      <c r="N2150" s="12" t="s">
        <v>5798</v>
      </c>
      <c r="O2150" s="11" t="s">
        <v>1859</v>
      </c>
      <c r="P2150" s="56"/>
    </row>
    <row r="2151" spans="1:16" ht="15.75" customHeight="1" x14ac:dyDescent="0.2">
      <c r="A2151" s="49">
        <v>2876</v>
      </c>
      <c r="B2151" s="11" t="s">
        <v>1857</v>
      </c>
      <c r="C2151" s="11" t="s">
        <v>1849</v>
      </c>
      <c r="D2151" s="6" t="s">
        <v>1850</v>
      </c>
      <c r="E2151" s="11" t="s">
        <v>5541</v>
      </c>
      <c r="F2151" s="12" t="s">
        <v>5541</v>
      </c>
      <c r="G2151" s="12" t="s">
        <v>5558</v>
      </c>
      <c r="H2151" s="12" t="s">
        <v>2299</v>
      </c>
      <c r="I2151" s="12" t="s">
        <v>5799</v>
      </c>
      <c r="J2151" s="11" t="s">
        <v>1856</v>
      </c>
      <c r="K2151" s="11" t="s">
        <v>1852</v>
      </c>
      <c r="L2151" s="11" t="s">
        <v>1853</v>
      </c>
      <c r="M2151" s="11" t="s">
        <v>3639</v>
      </c>
      <c r="N2151" s="12"/>
      <c r="O2151" s="11" t="s">
        <v>1859</v>
      </c>
      <c r="P2151" s="56"/>
    </row>
    <row r="2152" spans="1:16" ht="15.75" customHeight="1" x14ac:dyDescent="0.2">
      <c r="A2152" s="49">
        <v>2793</v>
      </c>
      <c r="B2152" s="11" t="s">
        <v>1857</v>
      </c>
      <c r="C2152" s="11" t="s">
        <v>1849</v>
      </c>
      <c r="D2152" s="6" t="s">
        <v>1850</v>
      </c>
      <c r="E2152" s="11" t="s">
        <v>5541</v>
      </c>
      <c r="F2152" s="12" t="s">
        <v>5541</v>
      </c>
      <c r="G2152" s="12" t="s">
        <v>2255</v>
      </c>
      <c r="H2152" s="12" t="s">
        <v>5773</v>
      </c>
      <c r="I2152" s="12" t="s">
        <v>4937</v>
      </c>
      <c r="J2152" s="11" t="s">
        <v>1856</v>
      </c>
      <c r="K2152" s="11" t="s">
        <v>1852</v>
      </c>
      <c r="L2152" s="11" t="s">
        <v>1853</v>
      </c>
      <c r="M2152" s="11" t="s">
        <v>5800</v>
      </c>
      <c r="N2152" s="12" t="s">
        <v>5801</v>
      </c>
      <c r="O2152" s="11" t="s">
        <v>1859</v>
      </c>
      <c r="P2152" s="56"/>
    </row>
    <row r="2153" spans="1:16" ht="15.75" customHeight="1" x14ac:dyDescent="0.2">
      <c r="A2153" s="49">
        <v>2953</v>
      </c>
      <c r="B2153" s="11" t="s">
        <v>1857</v>
      </c>
      <c r="C2153" s="11" t="s">
        <v>1849</v>
      </c>
      <c r="D2153" s="6" t="s">
        <v>1850</v>
      </c>
      <c r="E2153" s="11" t="s">
        <v>5541</v>
      </c>
      <c r="F2153" s="12" t="s">
        <v>5541</v>
      </c>
      <c r="G2153" s="12" t="s">
        <v>5564</v>
      </c>
      <c r="H2153" s="12" t="s">
        <v>5586</v>
      </c>
      <c r="I2153" s="12" t="s">
        <v>5802</v>
      </c>
      <c r="J2153" s="11" t="s">
        <v>1856</v>
      </c>
      <c r="K2153" s="11" t="s">
        <v>1852</v>
      </c>
      <c r="L2153" s="11" t="s">
        <v>1853</v>
      </c>
      <c r="M2153" s="11" t="s">
        <v>3694</v>
      </c>
      <c r="N2153" s="12"/>
      <c r="O2153" s="11" t="s">
        <v>1859</v>
      </c>
      <c r="P2153" s="56"/>
    </row>
    <row r="2154" spans="1:16" ht="15.75" customHeight="1" x14ac:dyDescent="0.2">
      <c r="A2154" s="49">
        <v>2859</v>
      </c>
      <c r="B2154" s="11" t="s">
        <v>1857</v>
      </c>
      <c r="C2154" s="11" t="s">
        <v>1849</v>
      </c>
      <c r="D2154" s="6" t="s">
        <v>1850</v>
      </c>
      <c r="E2154" s="11" t="s">
        <v>5541</v>
      </c>
      <c r="F2154" s="12" t="s">
        <v>5541</v>
      </c>
      <c r="G2154" s="12" t="s">
        <v>5558</v>
      </c>
      <c r="H2154" s="12" t="s">
        <v>5762</v>
      </c>
      <c r="I2154" s="12" t="s">
        <v>2265</v>
      </c>
      <c r="J2154" s="11" t="s">
        <v>1856</v>
      </c>
      <c r="K2154" s="11" t="s">
        <v>1852</v>
      </c>
      <c r="L2154" s="11" t="s">
        <v>1853</v>
      </c>
      <c r="M2154" s="11" t="s">
        <v>1854</v>
      </c>
      <c r="N2154" s="12"/>
      <c r="O2154" s="11" t="s">
        <v>1858</v>
      </c>
      <c r="P2154" s="56"/>
    </row>
    <row r="2155" spans="1:16" ht="15.75" customHeight="1" x14ac:dyDescent="0.2">
      <c r="A2155" s="49">
        <v>2749</v>
      </c>
      <c r="B2155" s="11" t="s">
        <v>1857</v>
      </c>
      <c r="C2155" s="11" t="s">
        <v>1849</v>
      </c>
      <c r="D2155" s="6" t="s">
        <v>1850</v>
      </c>
      <c r="E2155" s="11" t="s">
        <v>5541</v>
      </c>
      <c r="F2155" s="12" t="s">
        <v>5541</v>
      </c>
      <c r="G2155" s="12" t="s">
        <v>2255</v>
      </c>
      <c r="H2155" s="12" t="s">
        <v>5803</v>
      </c>
      <c r="I2155" s="12" t="s">
        <v>5804</v>
      </c>
      <c r="J2155" s="11" t="s">
        <v>1856</v>
      </c>
      <c r="K2155" s="11" t="s">
        <v>1852</v>
      </c>
      <c r="L2155" s="11" t="s">
        <v>1853</v>
      </c>
      <c r="M2155" s="11" t="s">
        <v>1854</v>
      </c>
      <c r="N2155" s="12"/>
      <c r="O2155" s="11" t="s">
        <v>1858</v>
      </c>
      <c r="P2155" s="56"/>
    </row>
    <row r="2156" spans="1:16" ht="15.75" customHeight="1" x14ac:dyDescent="0.2">
      <c r="A2156" s="49">
        <v>2887</v>
      </c>
      <c r="B2156" s="11" t="s">
        <v>1857</v>
      </c>
      <c r="C2156" s="11" t="s">
        <v>1849</v>
      </c>
      <c r="D2156" s="6" t="s">
        <v>1850</v>
      </c>
      <c r="E2156" s="11" t="s">
        <v>5541</v>
      </c>
      <c r="F2156" s="12" t="s">
        <v>5541</v>
      </c>
      <c r="G2156" s="12" t="s">
        <v>5558</v>
      </c>
      <c r="H2156" s="12" t="s">
        <v>5560</v>
      </c>
      <c r="I2156" s="12" t="s">
        <v>5805</v>
      </c>
      <c r="J2156" s="11" t="s">
        <v>1856</v>
      </c>
      <c r="K2156" s="11" t="s">
        <v>1852</v>
      </c>
      <c r="L2156" s="11" t="s">
        <v>1853</v>
      </c>
      <c r="M2156" s="11" t="s">
        <v>3748</v>
      </c>
      <c r="N2156" s="12"/>
      <c r="O2156" s="11" t="s">
        <v>1858</v>
      </c>
      <c r="P2156" s="56"/>
    </row>
    <row r="2157" spans="1:16" ht="15.75" customHeight="1" x14ac:dyDescent="0.2">
      <c r="A2157" s="49">
        <v>2940</v>
      </c>
      <c r="B2157" s="11" t="s">
        <v>1857</v>
      </c>
      <c r="C2157" s="11" t="s">
        <v>1849</v>
      </c>
      <c r="D2157" s="6" t="s">
        <v>1850</v>
      </c>
      <c r="E2157" s="11" t="s">
        <v>5541</v>
      </c>
      <c r="F2157" s="12" t="s">
        <v>5541</v>
      </c>
      <c r="G2157" s="12" t="s">
        <v>5564</v>
      </c>
      <c r="H2157" s="12" t="s">
        <v>5564</v>
      </c>
      <c r="I2157" s="12" t="s">
        <v>5806</v>
      </c>
      <c r="J2157" s="11" t="s">
        <v>1856</v>
      </c>
      <c r="K2157" s="11" t="s">
        <v>1852</v>
      </c>
      <c r="L2157" s="11" t="s">
        <v>1853</v>
      </c>
      <c r="M2157" s="11" t="s">
        <v>5775</v>
      </c>
      <c r="N2157" s="12"/>
      <c r="O2157" s="11" t="s">
        <v>1858</v>
      </c>
      <c r="P2157" s="56"/>
    </row>
    <row r="2158" spans="1:16" ht="15.75" customHeight="1" x14ac:dyDescent="0.2">
      <c r="A2158" s="49">
        <v>2877</v>
      </c>
      <c r="B2158" s="11" t="s">
        <v>1857</v>
      </c>
      <c r="C2158" s="11" t="s">
        <v>1849</v>
      </c>
      <c r="D2158" s="6" t="s">
        <v>1850</v>
      </c>
      <c r="E2158" s="11" t="s">
        <v>5541</v>
      </c>
      <c r="F2158" s="12" t="s">
        <v>5541</v>
      </c>
      <c r="G2158" s="12" t="s">
        <v>5558</v>
      </c>
      <c r="H2158" s="12" t="s">
        <v>2299</v>
      </c>
      <c r="I2158" s="12" t="s">
        <v>905</v>
      </c>
      <c r="J2158" s="11" t="s">
        <v>1856</v>
      </c>
      <c r="K2158" s="11" t="s">
        <v>1852</v>
      </c>
      <c r="L2158" s="11" t="s">
        <v>1853</v>
      </c>
      <c r="M2158" s="11" t="s">
        <v>5575</v>
      </c>
      <c r="N2158" s="12"/>
      <c r="O2158" s="11" t="s">
        <v>1860</v>
      </c>
      <c r="P2158" s="56"/>
    </row>
    <row r="2159" spans="1:16" ht="15.75" customHeight="1" x14ac:dyDescent="0.2">
      <c r="A2159" s="49">
        <v>2756</v>
      </c>
      <c r="B2159" s="11" t="s">
        <v>1857</v>
      </c>
      <c r="C2159" s="11" t="s">
        <v>1849</v>
      </c>
      <c r="D2159" s="6" t="s">
        <v>1850</v>
      </c>
      <c r="E2159" s="11" t="s">
        <v>5541</v>
      </c>
      <c r="F2159" s="12" t="s">
        <v>5541</v>
      </c>
      <c r="G2159" s="12" t="s">
        <v>2255</v>
      </c>
      <c r="H2159" s="12" t="s">
        <v>5796</v>
      </c>
      <c r="I2159" s="12" t="s">
        <v>5807</v>
      </c>
      <c r="J2159" s="11" t="s">
        <v>1856</v>
      </c>
      <c r="K2159" s="11" t="s">
        <v>1852</v>
      </c>
      <c r="L2159" s="11" t="s">
        <v>1853</v>
      </c>
      <c r="M2159" s="11" t="s">
        <v>5808</v>
      </c>
      <c r="N2159" s="12" t="s">
        <v>5809</v>
      </c>
      <c r="O2159" s="11" t="s">
        <v>1858</v>
      </c>
      <c r="P2159" s="56"/>
    </row>
    <row r="2160" spans="1:16" ht="15.75" customHeight="1" x14ac:dyDescent="0.2">
      <c r="A2160" s="49">
        <v>2834</v>
      </c>
      <c r="B2160" s="11" t="s">
        <v>1857</v>
      </c>
      <c r="C2160" s="11" t="s">
        <v>1849</v>
      </c>
      <c r="D2160" s="6" t="s">
        <v>1850</v>
      </c>
      <c r="E2160" s="11" t="s">
        <v>5541</v>
      </c>
      <c r="F2160" s="12" t="s">
        <v>5541</v>
      </c>
      <c r="G2160" s="12" t="s">
        <v>5541</v>
      </c>
      <c r="H2160" s="12" t="s">
        <v>5554</v>
      </c>
      <c r="I2160" s="12" t="s">
        <v>5810</v>
      </c>
      <c r="J2160" s="11" t="s">
        <v>1856</v>
      </c>
      <c r="K2160" s="11" t="s">
        <v>1852</v>
      </c>
      <c r="L2160" s="11" t="s">
        <v>1853</v>
      </c>
      <c r="M2160" s="11" t="s">
        <v>4434</v>
      </c>
      <c r="N2160" s="12"/>
      <c r="O2160" s="11" t="s">
        <v>1858</v>
      </c>
      <c r="P2160" s="56"/>
    </row>
    <row r="2161" spans="1:16" ht="15.75" customHeight="1" x14ac:dyDescent="0.2">
      <c r="A2161" s="49">
        <v>2957</v>
      </c>
      <c r="B2161" s="11" t="s">
        <v>1857</v>
      </c>
      <c r="C2161" s="11" t="s">
        <v>1849</v>
      </c>
      <c r="D2161" s="6" t="s">
        <v>1850</v>
      </c>
      <c r="E2161" s="11" t="s">
        <v>5541</v>
      </c>
      <c r="F2161" s="12" t="s">
        <v>5541</v>
      </c>
      <c r="G2161" s="12" t="s">
        <v>5564</v>
      </c>
      <c r="H2161" s="12" t="s">
        <v>5715</v>
      </c>
      <c r="I2161" s="12" t="s">
        <v>5811</v>
      </c>
      <c r="J2161" s="11" t="s">
        <v>1856</v>
      </c>
      <c r="K2161" s="11" t="s">
        <v>1852</v>
      </c>
      <c r="L2161" s="11" t="s">
        <v>1853</v>
      </c>
      <c r="M2161" s="11" t="s">
        <v>5775</v>
      </c>
      <c r="N2161" s="12" t="s">
        <v>5812</v>
      </c>
      <c r="O2161" s="11" t="s">
        <v>1858</v>
      </c>
      <c r="P2161" s="56"/>
    </row>
    <row r="2162" spans="1:16" ht="15.75" customHeight="1" x14ac:dyDescent="0.2">
      <c r="A2162" s="49">
        <v>2795</v>
      </c>
      <c r="B2162" s="11" t="s">
        <v>1857</v>
      </c>
      <c r="C2162" s="11" t="s">
        <v>1849</v>
      </c>
      <c r="D2162" s="6" t="s">
        <v>1850</v>
      </c>
      <c r="E2162" s="11" t="s">
        <v>5541</v>
      </c>
      <c r="F2162" s="12" t="s">
        <v>5541</v>
      </c>
      <c r="G2162" s="12" t="s">
        <v>2255</v>
      </c>
      <c r="H2162" s="12" t="s">
        <v>5773</v>
      </c>
      <c r="I2162" s="12" t="s">
        <v>5813</v>
      </c>
      <c r="J2162" s="11" t="s">
        <v>1856</v>
      </c>
      <c r="K2162" s="11" t="s">
        <v>1852</v>
      </c>
      <c r="L2162" s="11" t="s">
        <v>1853</v>
      </c>
      <c r="M2162" s="11" t="s">
        <v>1854</v>
      </c>
      <c r="N2162" s="12"/>
      <c r="O2162" s="11" t="s">
        <v>1858</v>
      </c>
      <c r="P2162" s="56"/>
    </row>
    <row r="2163" spans="1:16" ht="15.75" customHeight="1" x14ac:dyDescent="0.2">
      <c r="A2163" s="49">
        <v>2764</v>
      </c>
      <c r="B2163" s="11" t="s">
        <v>1857</v>
      </c>
      <c r="C2163" s="11" t="s">
        <v>1849</v>
      </c>
      <c r="D2163" s="6" t="s">
        <v>1850</v>
      </c>
      <c r="E2163" s="11" t="s">
        <v>5541</v>
      </c>
      <c r="F2163" s="12" t="s">
        <v>5541</v>
      </c>
      <c r="G2163" s="12" t="s">
        <v>2255</v>
      </c>
      <c r="H2163" s="12" t="s">
        <v>5814</v>
      </c>
      <c r="I2163" s="12" t="s">
        <v>5815</v>
      </c>
      <c r="J2163" s="11" t="s">
        <v>1856</v>
      </c>
      <c r="K2163" s="11" t="s">
        <v>1852</v>
      </c>
      <c r="L2163" s="11" t="s">
        <v>1853</v>
      </c>
      <c r="M2163" s="11" t="s">
        <v>5816</v>
      </c>
      <c r="N2163" s="12" t="s">
        <v>5817</v>
      </c>
      <c r="O2163" s="11" t="s">
        <v>1858</v>
      </c>
      <c r="P2163" s="56"/>
    </row>
    <row r="2164" spans="1:16" ht="15.75" customHeight="1" x14ac:dyDescent="0.2">
      <c r="A2164" s="49">
        <v>2975</v>
      </c>
      <c r="B2164" s="11" t="s">
        <v>1857</v>
      </c>
      <c r="C2164" s="11" t="s">
        <v>1849</v>
      </c>
      <c r="D2164" s="6" t="s">
        <v>1850</v>
      </c>
      <c r="E2164" s="11" t="s">
        <v>5541</v>
      </c>
      <c r="F2164" s="12" t="s">
        <v>5541</v>
      </c>
      <c r="G2164" s="12" t="s">
        <v>5564</v>
      </c>
      <c r="H2164" s="12" t="s">
        <v>5590</v>
      </c>
      <c r="I2164" s="12" t="s">
        <v>5818</v>
      </c>
      <c r="J2164" s="11" t="s">
        <v>1856</v>
      </c>
      <c r="K2164" s="11" t="s">
        <v>1852</v>
      </c>
      <c r="L2164" s="11" t="s">
        <v>1853</v>
      </c>
      <c r="M2164" s="11" t="s">
        <v>5616</v>
      </c>
      <c r="N2164" s="12" t="s">
        <v>5819</v>
      </c>
      <c r="O2164" s="11" t="s">
        <v>1859</v>
      </c>
      <c r="P2164" s="56"/>
    </row>
    <row r="2165" spans="1:16" ht="15.75" customHeight="1" x14ac:dyDescent="0.2">
      <c r="A2165" s="49">
        <v>2823</v>
      </c>
      <c r="B2165" s="11" t="s">
        <v>1857</v>
      </c>
      <c r="C2165" s="11" t="s">
        <v>1849</v>
      </c>
      <c r="D2165" s="6" t="s">
        <v>1850</v>
      </c>
      <c r="E2165" s="11" t="s">
        <v>5541</v>
      </c>
      <c r="F2165" s="12" t="s">
        <v>5541</v>
      </c>
      <c r="G2165" s="12" t="s">
        <v>5541</v>
      </c>
      <c r="H2165" s="12" t="s">
        <v>5755</v>
      </c>
      <c r="I2165" s="12" t="s">
        <v>5820</v>
      </c>
      <c r="J2165" s="11" t="s">
        <v>1856</v>
      </c>
      <c r="K2165" s="11" t="s">
        <v>1852</v>
      </c>
      <c r="L2165" s="11" t="s">
        <v>1853</v>
      </c>
      <c r="M2165" s="11" t="s">
        <v>5821</v>
      </c>
      <c r="N2165" s="12" t="s">
        <v>5822</v>
      </c>
      <c r="O2165" s="11" t="s">
        <v>1858</v>
      </c>
      <c r="P2165" s="56"/>
    </row>
    <row r="2166" spans="1:16" ht="15.75" customHeight="1" x14ac:dyDescent="0.2">
      <c r="A2166" s="49">
        <v>2796</v>
      </c>
      <c r="B2166" s="11" t="s">
        <v>1857</v>
      </c>
      <c r="C2166" s="11" t="s">
        <v>1849</v>
      </c>
      <c r="D2166" s="6" t="s">
        <v>1850</v>
      </c>
      <c r="E2166" s="11" t="s">
        <v>5541</v>
      </c>
      <c r="F2166" s="12" t="s">
        <v>5541</v>
      </c>
      <c r="G2166" s="12" t="s">
        <v>2255</v>
      </c>
      <c r="H2166" s="12" t="s">
        <v>5823</v>
      </c>
      <c r="I2166" s="12" t="s">
        <v>1245</v>
      </c>
      <c r="J2166" s="11" t="s">
        <v>1856</v>
      </c>
      <c r="K2166" s="11" t="s">
        <v>1852</v>
      </c>
      <c r="L2166" s="11" t="s">
        <v>1853</v>
      </c>
      <c r="M2166" s="11" t="s">
        <v>5824</v>
      </c>
      <c r="N2166" s="12"/>
      <c r="O2166" s="11" t="s">
        <v>2755</v>
      </c>
      <c r="P2166" s="56"/>
    </row>
    <row r="2167" spans="1:16" ht="15.75" customHeight="1" x14ac:dyDescent="0.2">
      <c r="A2167" s="49">
        <v>2977</v>
      </c>
      <c r="B2167" s="11" t="s">
        <v>1857</v>
      </c>
      <c r="C2167" s="11" t="s">
        <v>1849</v>
      </c>
      <c r="D2167" s="6" t="s">
        <v>1850</v>
      </c>
      <c r="E2167" s="11" t="s">
        <v>5541</v>
      </c>
      <c r="F2167" s="12" t="s">
        <v>5541</v>
      </c>
      <c r="G2167" s="12" t="s">
        <v>5564</v>
      </c>
      <c r="H2167" s="12" t="s">
        <v>5696</v>
      </c>
      <c r="I2167" s="12" t="s">
        <v>5825</v>
      </c>
      <c r="J2167" s="11" t="s">
        <v>1856</v>
      </c>
      <c r="K2167" s="11" t="s">
        <v>1852</v>
      </c>
      <c r="L2167" s="11" t="s">
        <v>1853</v>
      </c>
      <c r="M2167" s="11" t="s">
        <v>5024</v>
      </c>
      <c r="N2167" s="12"/>
      <c r="O2167" s="11" t="s">
        <v>1860</v>
      </c>
      <c r="P2167" s="56"/>
    </row>
    <row r="2168" spans="1:16" ht="15.75" customHeight="1" x14ac:dyDescent="0.2">
      <c r="A2168" s="49">
        <v>2769</v>
      </c>
      <c r="B2168" s="11" t="s">
        <v>1857</v>
      </c>
      <c r="C2168" s="11" t="s">
        <v>1849</v>
      </c>
      <c r="D2168" s="6" t="s">
        <v>1850</v>
      </c>
      <c r="E2168" s="11" t="s">
        <v>5541</v>
      </c>
      <c r="F2168" s="12" t="s">
        <v>5541</v>
      </c>
      <c r="G2168" s="12" t="s">
        <v>2255</v>
      </c>
      <c r="H2168" s="12" t="s">
        <v>5826</v>
      </c>
      <c r="I2168" s="12" t="s">
        <v>5114</v>
      </c>
      <c r="J2168" s="11" t="s">
        <v>1856</v>
      </c>
      <c r="K2168" s="11" t="s">
        <v>1852</v>
      </c>
      <c r="L2168" s="11" t="s">
        <v>1853</v>
      </c>
      <c r="M2168" s="11" t="s">
        <v>1854</v>
      </c>
      <c r="N2168" s="12"/>
      <c r="O2168" s="11" t="s">
        <v>1858</v>
      </c>
      <c r="P2168" s="56"/>
    </row>
    <row r="2169" spans="1:16" ht="15.75" customHeight="1" x14ac:dyDescent="0.2">
      <c r="A2169" s="49">
        <v>2735</v>
      </c>
      <c r="B2169" s="11" t="s">
        <v>1857</v>
      </c>
      <c r="C2169" s="11" t="s">
        <v>1849</v>
      </c>
      <c r="D2169" s="6" t="s">
        <v>1850</v>
      </c>
      <c r="E2169" s="11" t="s">
        <v>5541</v>
      </c>
      <c r="F2169" s="12" t="s">
        <v>5541</v>
      </c>
      <c r="G2169" s="12" t="s">
        <v>5542</v>
      </c>
      <c r="H2169" s="12" t="s">
        <v>5760</v>
      </c>
      <c r="I2169" s="12" t="s">
        <v>5359</v>
      </c>
      <c r="J2169" s="11" t="s">
        <v>1856</v>
      </c>
      <c r="K2169" s="11" t="s">
        <v>1852</v>
      </c>
      <c r="L2169" s="11" t="s">
        <v>1853</v>
      </c>
      <c r="M2169" s="11" t="s">
        <v>4374</v>
      </c>
      <c r="N2169" s="12" t="s">
        <v>5827</v>
      </c>
      <c r="O2169" s="11" t="s">
        <v>1859</v>
      </c>
      <c r="P2169" s="56"/>
    </row>
    <row r="2170" spans="1:16" ht="15.75" customHeight="1" x14ac:dyDescent="0.2">
      <c r="A2170" s="49">
        <v>2748</v>
      </c>
      <c r="B2170" s="11" t="s">
        <v>1857</v>
      </c>
      <c r="C2170" s="11" t="s">
        <v>1849</v>
      </c>
      <c r="D2170" s="6" t="s">
        <v>1850</v>
      </c>
      <c r="E2170" s="11" t="s">
        <v>5541</v>
      </c>
      <c r="F2170" s="12" t="s">
        <v>5541</v>
      </c>
      <c r="G2170" s="12" t="s">
        <v>2255</v>
      </c>
      <c r="H2170" s="12" t="s">
        <v>5803</v>
      </c>
      <c r="I2170" s="12" t="s">
        <v>5374</v>
      </c>
      <c r="J2170" s="11" t="s">
        <v>1856</v>
      </c>
      <c r="K2170" s="11" t="s">
        <v>1852</v>
      </c>
      <c r="L2170" s="11" t="s">
        <v>1853</v>
      </c>
      <c r="M2170" s="11" t="s">
        <v>1854</v>
      </c>
      <c r="N2170" s="12"/>
      <c r="O2170" s="11" t="s">
        <v>1858</v>
      </c>
      <c r="P2170" s="56"/>
    </row>
    <row r="2171" spans="1:16" ht="15.75" customHeight="1" x14ac:dyDescent="0.2">
      <c r="A2171" s="49">
        <v>2829</v>
      </c>
      <c r="B2171" s="11" t="s">
        <v>1857</v>
      </c>
      <c r="C2171" s="11" t="s">
        <v>1849</v>
      </c>
      <c r="D2171" s="6" t="s">
        <v>1850</v>
      </c>
      <c r="E2171" s="11" t="s">
        <v>5541</v>
      </c>
      <c r="F2171" s="12" t="s">
        <v>5541</v>
      </c>
      <c r="G2171" s="12" t="s">
        <v>5541</v>
      </c>
      <c r="H2171" s="12" t="s">
        <v>2000</v>
      </c>
      <c r="I2171" s="12" t="s">
        <v>2063</v>
      </c>
      <c r="J2171" s="11" t="s">
        <v>1856</v>
      </c>
      <c r="K2171" s="11" t="s">
        <v>1852</v>
      </c>
      <c r="L2171" s="11" t="s">
        <v>1853</v>
      </c>
      <c r="M2171" s="11" t="s">
        <v>1854</v>
      </c>
      <c r="N2171" s="12"/>
      <c r="O2171" s="11" t="s">
        <v>1858</v>
      </c>
      <c r="P2171" s="56"/>
    </row>
    <row r="2172" spans="1:16" ht="15.75" customHeight="1" x14ac:dyDescent="0.2">
      <c r="A2172" s="49">
        <v>2853</v>
      </c>
      <c r="B2172" s="11" t="s">
        <v>1857</v>
      </c>
      <c r="C2172" s="11" t="s">
        <v>1849</v>
      </c>
      <c r="D2172" s="6" t="s">
        <v>1850</v>
      </c>
      <c r="E2172" s="11" t="s">
        <v>5541</v>
      </c>
      <c r="F2172" s="12" t="s">
        <v>5541</v>
      </c>
      <c r="G2172" s="12" t="s">
        <v>5558</v>
      </c>
      <c r="H2172" s="12" t="s">
        <v>5558</v>
      </c>
      <c r="I2172" s="12" t="s">
        <v>5405</v>
      </c>
      <c r="J2172" s="11" t="s">
        <v>1856</v>
      </c>
      <c r="K2172" s="11" t="s">
        <v>1852</v>
      </c>
      <c r="L2172" s="11" t="s">
        <v>1853</v>
      </c>
      <c r="M2172" s="11" t="s">
        <v>3694</v>
      </c>
      <c r="N2172" s="12"/>
      <c r="O2172" s="11" t="s">
        <v>1858</v>
      </c>
      <c r="P2172" s="56"/>
    </row>
    <row r="2173" spans="1:16" ht="15.75" customHeight="1" x14ac:dyDescent="0.2">
      <c r="A2173" s="49">
        <v>2911</v>
      </c>
      <c r="B2173" s="11" t="s">
        <v>1857</v>
      </c>
      <c r="C2173" s="11" t="s">
        <v>1849</v>
      </c>
      <c r="D2173" s="6" t="s">
        <v>1850</v>
      </c>
      <c r="E2173" s="11" t="s">
        <v>5541</v>
      </c>
      <c r="F2173" s="12" t="s">
        <v>5541</v>
      </c>
      <c r="G2173" s="12" t="s">
        <v>5562</v>
      </c>
      <c r="H2173" s="12" t="s">
        <v>5828</v>
      </c>
      <c r="I2173" s="12" t="s">
        <v>5829</v>
      </c>
      <c r="J2173" s="11" t="s">
        <v>1856</v>
      </c>
      <c r="K2173" s="11" t="s">
        <v>1852</v>
      </c>
      <c r="L2173" s="11" t="s">
        <v>1853</v>
      </c>
      <c r="M2173" s="11" t="s">
        <v>1854</v>
      </c>
      <c r="N2173" s="12"/>
      <c r="O2173" s="11" t="s">
        <v>1858</v>
      </c>
      <c r="P2173" s="56"/>
    </row>
    <row r="2174" spans="1:16" ht="15.75" customHeight="1" x14ac:dyDescent="0.2">
      <c r="A2174" s="49">
        <v>2762</v>
      </c>
      <c r="B2174" s="11" t="s">
        <v>1857</v>
      </c>
      <c r="C2174" s="11" t="s">
        <v>1849</v>
      </c>
      <c r="D2174" s="6" t="s">
        <v>1850</v>
      </c>
      <c r="E2174" s="11" t="s">
        <v>5541</v>
      </c>
      <c r="F2174" s="12" t="s">
        <v>5541</v>
      </c>
      <c r="G2174" s="12" t="s">
        <v>2255</v>
      </c>
      <c r="H2174" s="12" t="s">
        <v>5830</v>
      </c>
      <c r="I2174" s="12" t="s">
        <v>5831</v>
      </c>
      <c r="J2174" s="11" t="s">
        <v>1856</v>
      </c>
      <c r="K2174" s="11" t="s">
        <v>1852</v>
      </c>
      <c r="L2174" s="11" t="s">
        <v>1853</v>
      </c>
      <c r="M2174" s="11" t="s">
        <v>5832</v>
      </c>
      <c r="N2174" s="12" t="s">
        <v>5833</v>
      </c>
      <c r="O2174" s="11" t="s">
        <v>1858</v>
      </c>
      <c r="P2174" s="56"/>
    </row>
    <row r="2175" spans="1:16" ht="15.75" customHeight="1" x14ac:dyDescent="0.2">
      <c r="A2175" s="49">
        <v>2949</v>
      </c>
      <c r="B2175" s="11" t="s">
        <v>1857</v>
      </c>
      <c r="C2175" s="11" t="s">
        <v>1849</v>
      </c>
      <c r="D2175" s="6" t="s">
        <v>1850</v>
      </c>
      <c r="E2175" s="11" t="s">
        <v>5541</v>
      </c>
      <c r="F2175" s="12" t="s">
        <v>5541</v>
      </c>
      <c r="G2175" s="12" t="s">
        <v>5564</v>
      </c>
      <c r="H2175" s="12" t="s">
        <v>5577</v>
      </c>
      <c r="I2175" s="12" t="s">
        <v>5834</v>
      </c>
      <c r="J2175" s="11" t="s">
        <v>1856</v>
      </c>
      <c r="K2175" s="11" t="s">
        <v>1852</v>
      </c>
      <c r="L2175" s="11" t="s">
        <v>1853</v>
      </c>
      <c r="M2175" s="11" t="s">
        <v>5835</v>
      </c>
      <c r="N2175" s="12" t="s">
        <v>5836</v>
      </c>
      <c r="O2175" s="11" t="s">
        <v>1858</v>
      </c>
      <c r="P2175" s="56"/>
    </row>
    <row r="2176" spans="1:16" ht="15.75" customHeight="1" x14ac:dyDescent="0.2">
      <c r="A2176" s="49">
        <v>2783</v>
      </c>
      <c r="B2176" s="11" t="s">
        <v>1857</v>
      </c>
      <c r="C2176" s="11" t="s">
        <v>1849</v>
      </c>
      <c r="D2176" s="6" t="s">
        <v>1850</v>
      </c>
      <c r="E2176" s="11" t="s">
        <v>5541</v>
      </c>
      <c r="F2176" s="12" t="s">
        <v>5541</v>
      </c>
      <c r="G2176" s="12" t="s">
        <v>2255</v>
      </c>
      <c r="H2176" s="12" t="s">
        <v>2639</v>
      </c>
      <c r="I2176" s="12" t="s">
        <v>4954</v>
      </c>
      <c r="J2176" s="11" t="s">
        <v>1856</v>
      </c>
      <c r="K2176" s="11" t="s">
        <v>1852</v>
      </c>
      <c r="L2176" s="11" t="s">
        <v>1853</v>
      </c>
      <c r="M2176" s="11" t="s">
        <v>5837</v>
      </c>
      <c r="N2176" s="12" t="s">
        <v>5838</v>
      </c>
      <c r="O2176" s="11" t="s">
        <v>1859</v>
      </c>
      <c r="P2176" s="56"/>
    </row>
    <row r="2177" spans="1:16" ht="15.75" customHeight="1" x14ac:dyDescent="0.2">
      <c r="A2177" s="49">
        <v>2787</v>
      </c>
      <c r="B2177" s="11" t="s">
        <v>1857</v>
      </c>
      <c r="C2177" s="11" t="s">
        <v>1849</v>
      </c>
      <c r="D2177" s="6" t="s">
        <v>1850</v>
      </c>
      <c r="E2177" s="11" t="s">
        <v>5541</v>
      </c>
      <c r="F2177" s="12" t="s">
        <v>5541</v>
      </c>
      <c r="G2177" s="12" t="s">
        <v>2255</v>
      </c>
      <c r="H2177" s="12" t="s">
        <v>5839</v>
      </c>
      <c r="I2177" s="12" t="s">
        <v>5840</v>
      </c>
      <c r="J2177" s="11" t="s">
        <v>1856</v>
      </c>
      <c r="K2177" s="11" t="s">
        <v>1852</v>
      </c>
      <c r="L2177" s="11" t="s">
        <v>1853</v>
      </c>
      <c r="M2177" s="11" t="s">
        <v>1854</v>
      </c>
      <c r="N2177" s="12"/>
      <c r="O2177" s="11" t="s">
        <v>1858</v>
      </c>
      <c r="P2177" s="56"/>
    </row>
    <row r="2178" spans="1:16" ht="15.75" customHeight="1" x14ac:dyDescent="0.2">
      <c r="A2178" s="49">
        <v>2813</v>
      </c>
      <c r="B2178" s="11" t="s">
        <v>1857</v>
      </c>
      <c r="C2178" s="11" t="s">
        <v>1849</v>
      </c>
      <c r="D2178" s="6" t="s">
        <v>1850</v>
      </c>
      <c r="E2178" s="11" t="s">
        <v>5541</v>
      </c>
      <c r="F2178" s="12" t="s">
        <v>5541</v>
      </c>
      <c r="G2178" s="12" t="s">
        <v>5541</v>
      </c>
      <c r="H2178" s="12" t="s">
        <v>4315</v>
      </c>
      <c r="I2178" s="12" t="s">
        <v>5841</v>
      </c>
      <c r="J2178" s="11" t="s">
        <v>1856</v>
      </c>
      <c r="K2178" s="11" t="s">
        <v>1852</v>
      </c>
      <c r="L2178" s="11" t="s">
        <v>1853</v>
      </c>
      <c r="M2178" s="11" t="s">
        <v>5842</v>
      </c>
      <c r="N2178" s="12" t="s">
        <v>5843</v>
      </c>
      <c r="O2178" s="11" t="s">
        <v>1859</v>
      </c>
      <c r="P2178" s="56"/>
    </row>
    <row r="2179" spans="1:16" ht="15.75" customHeight="1" x14ac:dyDescent="0.2">
      <c r="A2179" s="49">
        <v>2725</v>
      </c>
      <c r="B2179" s="11" t="s">
        <v>1857</v>
      </c>
      <c r="C2179" s="11" t="s">
        <v>1849</v>
      </c>
      <c r="D2179" s="6" t="s">
        <v>1850</v>
      </c>
      <c r="E2179" s="11" t="s">
        <v>5541</v>
      </c>
      <c r="F2179" s="12" t="s">
        <v>5541</v>
      </c>
      <c r="G2179" s="12" t="s">
        <v>5542</v>
      </c>
      <c r="H2179" s="12" t="s">
        <v>5844</v>
      </c>
      <c r="I2179" s="12" t="s">
        <v>5845</v>
      </c>
      <c r="J2179" s="11" t="s">
        <v>1856</v>
      </c>
      <c r="K2179" s="11" t="s">
        <v>1852</v>
      </c>
      <c r="L2179" s="11" t="s">
        <v>1853</v>
      </c>
      <c r="M2179" s="11" t="s">
        <v>5846</v>
      </c>
      <c r="N2179" s="12" t="s">
        <v>5847</v>
      </c>
      <c r="O2179" s="11" t="s">
        <v>1858</v>
      </c>
      <c r="P2179" s="56"/>
    </row>
    <row r="2180" spans="1:16" ht="15.75" customHeight="1" x14ac:dyDescent="0.2">
      <c r="A2180" s="49">
        <v>2754</v>
      </c>
      <c r="B2180" s="11" t="s">
        <v>1857</v>
      </c>
      <c r="C2180" s="11" t="s">
        <v>1849</v>
      </c>
      <c r="D2180" s="6" t="s">
        <v>1850</v>
      </c>
      <c r="E2180" s="11" t="s">
        <v>5541</v>
      </c>
      <c r="F2180" s="12" t="s">
        <v>5541</v>
      </c>
      <c r="G2180" s="12" t="s">
        <v>2255</v>
      </c>
      <c r="H2180" s="12" t="s">
        <v>5796</v>
      </c>
      <c r="I2180" s="12" t="s">
        <v>5848</v>
      </c>
      <c r="J2180" s="11" t="s">
        <v>1856</v>
      </c>
      <c r="K2180" s="11" t="s">
        <v>1852</v>
      </c>
      <c r="L2180" s="11" t="s">
        <v>1853</v>
      </c>
      <c r="M2180" s="11" t="s">
        <v>5849</v>
      </c>
      <c r="N2180" s="12" t="s">
        <v>5850</v>
      </c>
      <c r="O2180" s="11" t="s">
        <v>1859</v>
      </c>
      <c r="P2180" s="56"/>
    </row>
    <row r="2181" spans="1:16" ht="15.75" customHeight="1" x14ac:dyDescent="0.2">
      <c r="A2181" s="49">
        <v>2845</v>
      </c>
      <c r="B2181" s="11" t="s">
        <v>1857</v>
      </c>
      <c r="C2181" s="11" t="s">
        <v>1849</v>
      </c>
      <c r="D2181" s="6" t="s">
        <v>1850</v>
      </c>
      <c r="E2181" s="11" t="s">
        <v>5541</v>
      </c>
      <c r="F2181" s="12" t="s">
        <v>5541</v>
      </c>
      <c r="G2181" s="12" t="s">
        <v>5541</v>
      </c>
      <c r="H2181" s="12" t="s">
        <v>5851</v>
      </c>
      <c r="I2181" s="12" t="s">
        <v>5852</v>
      </c>
      <c r="J2181" s="11" t="s">
        <v>1856</v>
      </c>
      <c r="K2181" s="11" t="s">
        <v>1852</v>
      </c>
      <c r="L2181" s="11" t="s">
        <v>1853</v>
      </c>
      <c r="M2181" s="11" t="s">
        <v>5775</v>
      </c>
      <c r="N2181" s="12"/>
      <c r="O2181" s="11" t="s">
        <v>1858</v>
      </c>
      <c r="P2181" s="56"/>
    </row>
    <row r="2182" spans="1:16" ht="15.75" customHeight="1" x14ac:dyDescent="0.2">
      <c r="A2182" s="49">
        <v>2826</v>
      </c>
      <c r="B2182" s="11" t="s">
        <v>1857</v>
      </c>
      <c r="C2182" s="11" t="s">
        <v>1849</v>
      </c>
      <c r="D2182" s="6" t="s">
        <v>1850</v>
      </c>
      <c r="E2182" s="11" t="s">
        <v>5541</v>
      </c>
      <c r="F2182" s="12" t="s">
        <v>5541</v>
      </c>
      <c r="G2182" s="12" t="s">
        <v>5541</v>
      </c>
      <c r="H2182" s="12" t="s">
        <v>5733</v>
      </c>
      <c r="I2182" s="12" t="s">
        <v>5853</v>
      </c>
      <c r="J2182" s="11" t="s">
        <v>1856</v>
      </c>
      <c r="K2182" s="11" t="s">
        <v>1852</v>
      </c>
      <c r="L2182" s="11" t="s">
        <v>1853</v>
      </c>
      <c r="M2182" s="11" t="s">
        <v>1854</v>
      </c>
      <c r="N2182" s="12"/>
      <c r="O2182" s="11" t="s">
        <v>1858</v>
      </c>
      <c r="P2182" s="56"/>
    </row>
    <row r="2183" spans="1:16" ht="15.75" customHeight="1" x14ac:dyDescent="0.2">
      <c r="A2183" s="48">
        <v>2851</v>
      </c>
      <c r="B2183" s="11" t="s">
        <v>1871</v>
      </c>
      <c r="C2183" s="11" t="s">
        <v>1849</v>
      </c>
      <c r="D2183" s="6" t="s">
        <v>1850</v>
      </c>
      <c r="E2183" s="11" t="s">
        <v>5541</v>
      </c>
      <c r="F2183" s="12" t="s">
        <v>5541</v>
      </c>
      <c r="G2183" s="12" t="s">
        <v>5558</v>
      </c>
      <c r="H2183" s="12" t="s">
        <v>5558</v>
      </c>
      <c r="I2183" s="12" t="s">
        <v>5854</v>
      </c>
      <c r="J2183" s="11" t="s">
        <v>1851</v>
      </c>
      <c r="K2183" s="11" t="s">
        <v>1852</v>
      </c>
      <c r="L2183" s="11" t="s">
        <v>1853</v>
      </c>
      <c r="M2183" s="11" t="s">
        <v>1854</v>
      </c>
      <c r="N2183" s="12"/>
      <c r="O2183" s="11" t="s">
        <v>1866</v>
      </c>
      <c r="P2183" s="56" t="s">
        <v>1863</v>
      </c>
    </row>
    <row r="2184" spans="1:16" ht="15.75" customHeight="1" x14ac:dyDescent="0.2">
      <c r="A2184" s="48">
        <v>15183</v>
      </c>
      <c r="B2184" s="11" t="s">
        <v>1871</v>
      </c>
      <c r="C2184" s="11" t="s">
        <v>1849</v>
      </c>
      <c r="D2184" s="6" t="s">
        <v>1850</v>
      </c>
      <c r="E2184" s="11" t="s">
        <v>5541</v>
      </c>
      <c r="F2184" s="12" t="s">
        <v>5541</v>
      </c>
      <c r="G2184" s="12" t="s">
        <v>2255</v>
      </c>
      <c r="H2184" s="12" t="s">
        <v>2255</v>
      </c>
      <c r="I2184" s="12" t="s">
        <v>5855</v>
      </c>
      <c r="J2184" s="11" t="s">
        <v>1851</v>
      </c>
      <c r="K2184" s="11" t="s">
        <v>1852</v>
      </c>
      <c r="L2184" s="11" t="s">
        <v>1853</v>
      </c>
      <c r="M2184" s="11" t="s">
        <v>1854</v>
      </c>
      <c r="N2184" s="12"/>
      <c r="O2184" s="11" t="s">
        <v>2022</v>
      </c>
      <c r="P2184" s="56"/>
    </row>
    <row r="2185" spans="1:16" ht="15.75" customHeight="1" x14ac:dyDescent="0.2">
      <c r="A2185" s="48">
        <v>15901</v>
      </c>
      <c r="B2185" s="11" t="s">
        <v>1871</v>
      </c>
      <c r="C2185" s="11" t="s">
        <v>1849</v>
      </c>
      <c r="D2185" s="6" t="s">
        <v>1850</v>
      </c>
      <c r="E2185" s="11" t="s">
        <v>5541</v>
      </c>
      <c r="F2185" s="12" t="s">
        <v>5541</v>
      </c>
      <c r="G2185" s="12" t="s">
        <v>3553</v>
      </c>
      <c r="H2185" s="12" t="s">
        <v>3161</v>
      </c>
      <c r="I2185" s="12" t="s">
        <v>5856</v>
      </c>
      <c r="J2185" s="11" t="s">
        <v>1856</v>
      </c>
      <c r="K2185" s="11" t="s">
        <v>1852</v>
      </c>
      <c r="L2185" s="11" t="s">
        <v>1853</v>
      </c>
      <c r="M2185" s="11" t="s">
        <v>1854</v>
      </c>
      <c r="N2185" s="12"/>
      <c r="O2185" s="11" t="s">
        <v>2022</v>
      </c>
      <c r="P2185" s="56"/>
    </row>
    <row r="2186" spans="1:16" ht="15.75" customHeight="1" x14ac:dyDescent="0.2">
      <c r="A2186" s="48">
        <v>2737</v>
      </c>
      <c r="B2186" s="11" t="s">
        <v>1871</v>
      </c>
      <c r="C2186" s="11" t="s">
        <v>1849</v>
      </c>
      <c r="D2186" s="6" t="s">
        <v>1850</v>
      </c>
      <c r="E2186" s="11" t="s">
        <v>5541</v>
      </c>
      <c r="F2186" s="12" t="s">
        <v>5541</v>
      </c>
      <c r="G2186" s="12" t="s">
        <v>2255</v>
      </c>
      <c r="H2186" s="12" t="s">
        <v>2255</v>
      </c>
      <c r="I2186" s="12" t="s">
        <v>5857</v>
      </c>
      <c r="J2186" s="11" t="s">
        <v>1851</v>
      </c>
      <c r="K2186" s="11" t="s">
        <v>1852</v>
      </c>
      <c r="L2186" s="11" t="s">
        <v>1853</v>
      </c>
      <c r="M2186" s="11" t="s">
        <v>1854</v>
      </c>
      <c r="N2186" s="12"/>
      <c r="O2186" s="11" t="s">
        <v>1866</v>
      </c>
      <c r="P2186" s="56" t="s">
        <v>5858</v>
      </c>
    </row>
    <row r="2187" spans="1:16" ht="15.75" customHeight="1" x14ac:dyDescent="0.2">
      <c r="A2187" s="48">
        <v>2939</v>
      </c>
      <c r="B2187" s="11" t="s">
        <v>1871</v>
      </c>
      <c r="C2187" s="11" t="s">
        <v>1849</v>
      </c>
      <c r="D2187" s="6" t="s">
        <v>1850</v>
      </c>
      <c r="E2187" s="11" t="s">
        <v>5541</v>
      </c>
      <c r="F2187" s="12" t="s">
        <v>5541</v>
      </c>
      <c r="G2187" s="12" t="s">
        <v>5564</v>
      </c>
      <c r="H2187" s="12" t="s">
        <v>5564</v>
      </c>
      <c r="I2187" s="12" t="s">
        <v>5859</v>
      </c>
      <c r="J2187" s="11" t="s">
        <v>1856</v>
      </c>
      <c r="K2187" s="11" t="s">
        <v>1852</v>
      </c>
      <c r="L2187" s="11" t="s">
        <v>1853</v>
      </c>
      <c r="M2187" s="11" t="s">
        <v>1854</v>
      </c>
      <c r="N2187" s="12"/>
      <c r="O2187" s="11" t="s">
        <v>2022</v>
      </c>
      <c r="P2187" s="56" t="s">
        <v>1863</v>
      </c>
    </row>
    <row r="2188" spans="1:16" ht="15.75" customHeight="1" x14ac:dyDescent="0.2">
      <c r="A2188" s="48">
        <v>2807</v>
      </c>
      <c r="B2188" s="11" t="s">
        <v>1871</v>
      </c>
      <c r="C2188" s="11" t="s">
        <v>1849</v>
      </c>
      <c r="D2188" s="6" t="s">
        <v>1850</v>
      </c>
      <c r="E2188" s="11" t="s">
        <v>5541</v>
      </c>
      <c r="F2188" s="12" t="s">
        <v>5541</v>
      </c>
      <c r="G2188" s="12" t="s">
        <v>5541</v>
      </c>
      <c r="H2188" s="12" t="s">
        <v>5679</v>
      </c>
      <c r="I2188" s="12" t="s">
        <v>5860</v>
      </c>
      <c r="J2188" s="11" t="s">
        <v>1851</v>
      </c>
      <c r="K2188" s="11" t="s">
        <v>1852</v>
      </c>
      <c r="L2188" s="11" t="s">
        <v>1853</v>
      </c>
      <c r="M2188" s="11" t="s">
        <v>1854</v>
      </c>
      <c r="N2188" s="12"/>
      <c r="O2188" s="11" t="s">
        <v>2022</v>
      </c>
      <c r="P2188" s="56" t="s">
        <v>5858</v>
      </c>
    </row>
    <row r="2189" spans="1:16" ht="15.75" customHeight="1" x14ac:dyDescent="0.2">
      <c r="A2189" s="52">
        <v>15180</v>
      </c>
      <c r="B2189" s="11" t="s">
        <v>1871</v>
      </c>
      <c r="C2189" s="11" t="s">
        <v>1849</v>
      </c>
      <c r="D2189" s="6" t="s">
        <v>1850</v>
      </c>
      <c r="E2189" s="11" t="s">
        <v>5541</v>
      </c>
      <c r="F2189" s="12" t="s">
        <v>5541</v>
      </c>
      <c r="G2189" s="60" t="s">
        <v>5541</v>
      </c>
      <c r="H2189" s="60" t="s">
        <v>5194</v>
      </c>
      <c r="I2189" s="12" t="s">
        <v>5861</v>
      </c>
      <c r="J2189" s="11" t="s">
        <v>1856</v>
      </c>
      <c r="K2189" s="11" t="s">
        <v>1852</v>
      </c>
      <c r="L2189" s="11" t="s">
        <v>1853</v>
      </c>
      <c r="M2189" s="11" t="s">
        <v>1854</v>
      </c>
      <c r="N2189" s="12"/>
      <c r="O2189" s="11" t="s">
        <v>2022</v>
      </c>
      <c r="P2189" s="56" t="s">
        <v>1863</v>
      </c>
    </row>
    <row r="2190" spans="1:16" ht="15.75" customHeight="1" x14ac:dyDescent="0.2">
      <c r="A2190" s="52">
        <v>15177</v>
      </c>
      <c r="B2190" s="11" t="s">
        <v>1871</v>
      </c>
      <c r="C2190" s="11" t="s">
        <v>1849</v>
      </c>
      <c r="D2190" s="6" t="s">
        <v>1850</v>
      </c>
      <c r="E2190" s="11" t="s">
        <v>5541</v>
      </c>
      <c r="F2190" s="12" t="s">
        <v>5541</v>
      </c>
      <c r="G2190" s="60" t="s">
        <v>5541</v>
      </c>
      <c r="H2190" s="60" t="s">
        <v>5671</v>
      </c>
      <c r="I2190" s="12" t="s">
        <v>5862</v>
      </c>
      <c r="J2190" s="11" t="s">
        <v>1856</v>
      </c>
      <c r="K2190" s="11" t="s">
        <v>1852</v>
      </c>
      <c r="L2190" s="11" t="s">
        <v>1853</v>
      </c>
      <c r="M2190" s="11" t="s">
        <v>1854</v>
      </c>
      <c r="N2190" s="12"/>
      <c r="O2190" s="11" t="s">
        <v>2022</v>
      </c>
      <c r="P2190" s="56" t="s">
        <v>4974</v>
      </c>
    </row>
    <row r="2191" spans="1:16" ht="15.75" customHeight="1" x14ac:dyDescent="0.2">
      <c r="A2191" s="48">
        <v>15044</v>
      </c>
      <c r="B2191" s="11" t="s">
        <v>1871</v>
      </c>
      <c r="C2191" s="11" t="s">
        <v>1849</v>
      </c>
      <c r="D2191" s="6" t="s">
        <v>1850</v>
      </c>
      <c r="E2191" s="11" t="s">
        <v>5541</v>
      </c>
      <c r="F2191" s="12" t="s">
        <v>5541</v>
      </c>
      <c r="G2191" s="12" t="s">
        <v>5541</v>
      </c>
      <c r="H2191" s="12" t="s">
        <v>5679</v>
      </c>
      <c r="I2191" s="12" t="s">
        <v>5863</v>
      </c>
      <c r="J2191" s="11" t="s">
        <v>1851</v>
      </c>
      <c r="K2191" s="11" t="s">
        <v>1852</v>
      </c>
      <c r="L2191" s="11" t="s">
        <v>1853</v>
      </c>
      <c r="M2191" s="11" t="s">
        <v>1854</v>
      </c>
      <c r="N2191" s="12"/>
      <c r="O2191" s="11" t="s">
        <v>2022</v>
      </c>
      <c r="P2191" s="56" t="s">
        <v>1863</v>
      </c>
    </row>
    <row r="2192" spans="1:16" ht="15.75" customHeight="1" x14ac:dyDescent="0.2">
      <c r="A2192" s="48">
        <v>2901</v>
      </c>
      <c r="B2192" s="11" t="s">
        <v>1871</v>
      </c>
      <c r="C2192" s="11" t="s">
        <v>1849</v>
      </c>
      <c r="D2192" s="6" t="s">
        <v>1850</v>
      </c>
      <c r="E2192" s="11" t="s">
        <v>5541</v>
      </c>
      <c r="F2192" s="12" t="s">
        <v>5541</v>
      </c>
      <c r="G2192" s="12" t="s">
        <v>5562</v>
      </c>
      <c r="H2192" s="12" t="s">
        <v>5562</v>
      </c>
      <c r="I2192" s="12" t="s">
        <v>5864</v>
      </c>
      <c r="J2192" s="11" t="s">
        <v>1856</v>
      </c>
      <c r="K2192" s="11" t="s">
        <v>1852</v>
      </c>
      <c r="L2192" s="11" t="s">
        <v>1853</v>
      </c>
      <c r="M2192" s="11" t="s">
        <v>1854</v>
      </c>
      <c r="N2192" s="12"/>
      <c r="O2192" s="11" t="s">
        <v>2022</v>
      </c>
      <c r="P2192" s="56" t="s">
        <v>1863</v>
      </c>
    </row>
    <row r="2193" spans="1:16" ht="15.75" customHeight="1" x14ac:dyDescent="0.2">
      <c r="A2193" s="48">
        <v>15390</v>
      </c>
      <c r="B2193" s="11" t="s">
        <v>1871</v>
      </c>
      <c r="C2193" s="11" t="s">
        <v>1849</v>
      </c>
      <c r="D2193" s="6" t="s">
        <v>1850</v>
      </c>
      <c r="E2193" s="11" t="s">
        <v>5541</v>
      </c>
      <c r="F2193" s="12" t="s">
        <v>5541</v>
      </c>
      <c r="G2193" s="12" t="s">
        <v>5541</v>
      </c>
      <c r="H2193" s="12" t="s">
        <v>5556</v>
      </c>
      <c r="I2193" s="12" t="s">
        <v>5865</v>
      </c>
      <c r="J2193" s="11" t="s">
        <v>1856</v>
      </c>
      <c r="K2193" s="11" t="s">
        <v>1852</v>
      </c>
      <c r="L2193" s="11" t="s">
        <v>1853</v>
      </c>
      <c r="M2193" s="11" t="s">
        <v>1854</v>
      </c>
      <c r="N2193" s="12"/>
      <c r="O2193" s="11" t="s">
        <v>2022</v>
      </c>
      <c r="P2193" s="56" t="s">
        <v>1863</v>
      </c>
    </row>
    <row r="2194" spans="1:16" ht="15.75" customHeight="1" x14ac:dyDescent="0.2">
      <c r="A2194" s="48">
        <v>15176</v>
      </c>
      <c r="B2194" s="11" t="s">
        <v>1871</v>
      </c>
      <c r="C2194" s="11" t="s">
        <v>1849</v>
      </c>
      <c r="D2194" s="6" t="s">
        <v>1850</v>
      </c>
      <c r="E2194" s="11" t="s">
        <v>5541</v>
      </c>
      <c r="F2194" s="12" t="s">
        <v>5541</v>
      </c>
      <c r="G2194" s="12" t="s">
        <v>2255</v>
      </c>
      <c r="H2194" s="12" t="s">
        <v>5782</v>
      </c>
      <c r="I2194" s="12" t="s">
        <v>5866</v>
      </c>
      <c r="J2194" s="11" t="s">
        <v>1856</v>
      </c>
      <c r="K2194" s="11" t="s">
        <v>1852</v>
      </c>
      <c r="L2194" s="11" t="s">
        <v>1853</v>
      </c>
      <c r="M2194" s="11" t="s">
        <v>1854</v>
      </c>
      <c r="N2194" s="12"/>
      <c r="O2194" s="11" t="s">
        <v>2022</v>
      </c>
      <c r="P2194" s="56" t="s">
        <v>1863</v>
      </c>
    </row>
    <row r="2195" spans="1:16" ht="15.75" customHeight="1" x14ac:dyDescent="0.2">
      <c r="A2195" s="48">
        <v>15178</v>
      </c>
      <c r="B2195" s="11" t="s">
        <v>1871</v>
      </c>
      <c r="C2195" s="11" t="s">
        <v>1849</v>
      </c>
      <c r="D2195" s="6" t="s">
        <v>1850</v>
      </c>
      <c r="E2195" s="11" t="s">
        <v>5541</v>
      </c>
      <c r="F2195" s="12" t="s">
        <v>5541</v>
      </c>
      <c r="G2195" s="12" t="s">
        <v>2255</v>
      </c>
      <c r="H2195" s="12" t="s">
        <v>5796</v>
      </c>
      <c r="I2195" s="12" t="s">
        <v>5867</v>
      </c>
      <c r="J2195" s="11" t="s">
        <v>1856</v>
      </c>
      <c r="K2195" s="11" t="s">
        <v>1852</v>
      </c>
      <c r="L2195" s="11" t="s">
        <v>1853</v>
      </c>
      <c r="M2195" s="11" t="s">
        <v>1854</v>
      </c>
      <c r="N2195" s="12"/>
      <c r="O2195" s="11" t="s">
        <v>2022</v>
      </c>
      <c r="P2195" s="56" t="s">
        <v>1863</v>
      </c>
    </row>
    <row r="2196" spans="1:16" ht="15.75" customHeight="1" x14ac:dyDescent="0.2">
      <c r="A2196" s="48">
        <v>15179</v>
      </c>
      <c r="B2196" s="11" t="s">
        <v>1871</v>
      </c>
      <c r="C2196" s="11" t="s">
        <v>1849</v>
      </c>
      <c r="D2196" s="6" t="s">
        <v>1850</v>
      </c>
      <c r="E2196" s="11" t="s">
        <v>5541</v>
      </c>
      <c r="F2196" s="12" t="s">
        <v>5541</v>
      </c>
      <c r="G2196" s="12" t="s">
        <v>5542</v>
      </c>
      <c r="H2196" s="12" t="s">
        <v>5542</v>
      </c>
      <c r="I2196" s="12" t="s">
        <v>5868</v>
      </c>
      <c r="J2196" s="11" t="s">
        <v>1851</v>
      </c>
      <c r="K2196" s="11" t="s">
        <v>1852</v>
      </c>
      <c r="L2196" s="11" t="s">
        <v>1853</v>
      </c>
      <c r="M2196" s="11" t="s">
        <v>1854</v>
      </c>
      <c r="N2196" s="12"/>
      <c r="O2196" s="11" t="s">
        <v>2022</v>
      </c>
      <c r="P2196" s="56" t="s">
        <v>1863</v>
      </c>
    </row>
    <row r="2197" spans="1:16" ht="15.75" customHeight="1" x14ac:dyDescent="0.2">
      <c r="A2197" s="48">
        <v>15181</v>
      </c>
      <c r="B2197" s="11" t="s">
        <v>1871</v>
      </c>
      <c r="C2197" s="11" t="s">
        <v>1849</v>
      </c>
      <c r="D2197" s="6" t="s">
        <v>1850</v>
      </c>
      <c r="E2197" s="11" t="s">
        <v>5541</v>
      </c>
      <c r="F2197" s="12" t="s">
        <v>5541</v>
      </c>
      <c r="G2197" s="12" t="s">
        <v>5558</v>
      </c>
      <c r="H2197" s="12" t="s">
        <v>5560</v>
      </c>
      <c r="I2197" s="12" t="s">
        <v>5869</v>
      </c>
      <c r="J2197" s="11" t="s">
        <v>1851</v>
      </c>
      <c r="K2197" s="11" t="s">
        <v>1852</v>
      </c>
      <c r="L2197" s="11" t="s">
        <v>1853</v>
      </c>
      <c r="M2197" s="11" t="s">
        <v>1854</v>
      </c>
      <c r="N2197" s="12"/>
      <c r="O2197" s="11" t="s">
        <v>2022</v>
      </c>
      <c r="P2197" s="56" t="s">
        <v>1863</v>
      </c>
    </row>
    <row r="2198" spans="1:16" ht="15.75" customHeight="1" x14ac:dyDescent="0.2">
      <c r="A2198" s="48">
        <v>15182</v>
      </c>
      <c r="B2198" s="11" t="s">
        <v>1871</v>
      </c>
      <c r="C2198" s="11" t="s">
        <v>1849</v>
      </c>
      <c r="D2198" s="6" t="s">
        <v>1850</v>
      </c>
      <c r="E2198" s="11" t="s">
        <v>5541</v>
      </c>
      <c r="F2198" s="12" t="s">
        <v>5541</v>
      </c>
      <c r="G2198" s="12" t="s">
        <v>5558</v>
      </c>
      <c r="H2198" s="12" t="s">
        <v>5762</v>
      </c>
      <c r="I2198" s="12" t="s">
        <v>5870</v>
      </c>
      <c r="J2198" s="11" t="s">
        <v>1856</v>
      </c>
      <c r="K2198" s="11" t="s">
        <v>1852</v>
      </c>
      <c r="L2198" s="11" t="s">
        <v>1853</v>
      </c>
      <c r="M2198" s="11" t="s">
        <v>1854</v>
      </c>
      <c r="N2198" s="12"/>
      <c r="O2198" s="11" t="s">
        <v>2022</v>
      </c>
      <c r="P2198" s="56" t="s">
        <v>1863</v>
      </c>
    </row>
    <row r="2199" spans="1:16" ht="15.75" customHeight="1" x14ac:dyDescent="0.2">
      <c r="A2199" s="48">
        <v>15391</v>
      </c>
      <c r="B2199" s="11" t="s">
        <v>1871</v>
      </c>
      <c r="C2199" s="11" t="s">
        <v>1849</v>
      </c>
      <c r="D2199" s="6" t="s">
        <v>1850</v>
      </c>
      <c r="E2199" s="11" t="s">
        <v>5541</v>
      </c>
      <c r="F2199" s="12" t="s">
        <v>5541</v>
      </c>
      <c r="G2199" s="12" t="s">
        <v>5541</v>
      </c>
      <c r="H2199" s="12" t="s">
        <v>5550</v>
      </c>
      <c r="I2199" s="12" t="s">
        <v>5871</v>
      </c>
      <c r="J2199" s="11" t="s">
        <v>1856</v>
      </c>
      <c r="K2199" s="11" t="s">
        <v>1852</v>
      </c>
      <c r="L2199" s="11" t="s">
        <v>1853</v>
      </c>
      <c r="M2199" s="11" t="s">
        <v>1854</v>
      </c>
      <c r="N2199" s="12"/>
      <c r="O2199" s="11" t="s">
        <v>2022</v>
      </c>
      <c r="P2199" s="56" t="s">
        <v>1863</v>
      </c>
    </row>
    <row r="2200" spans="1:16" ht="15.75" customHeight="1" x14ac:dyDescent="0.2">
      <c r="A2200" s="48">
        <v>15175</v>
      </c>
      <c r="B2200" s="11" t="s">
        <v>1871</v>
      </c>
      <c r="C2200" s="11" t="s">
        <v>1849</v>
      </c>
      <c r="D2200" s="6" t="s">
        <v>1850</v>
      </c>
      <c r="E2200" s="11" t="s">
        <v>5541</v>
      </c>
      <c r="F2200" s="12" t="s">
        <v>5541</v>
      </c>
      <c r="G2200" s="12" t="s">
        <v>2255</v>
      </c>
      <c r="H2200" s="12" t="s">
        <v>5872</v>
      </c>
      <c r="I2200" s="12" t="s">
        <v>5873</v>
      </c>
      <c r="J2200" s="11" t="s">
        <v>1851</v>
      </c>
      <c r="K2200" s="11" t="s">
        <v>1852</v>
      </c>
      <c r="L2200" s="11" t="s">
        <v>1853</v>
      </c>
      <c r="M2200" s="11" t="s">
        <v>1854</v>
      </c>
      <c r="N2200" s="12"/>
      <c r="O2200" s="11" t="s">
        <v>3016</v>
      </c>
      <c r="P2200" s="56" t="s">
        <v>1863</v>
      </c>
    </row>
    <row r="2201" spans="1:16" ht="15.75" customHeight="1" x14ac:dyDescent="0.2">
      <c r="A2201" s="49">
        <v>7573</v>
      </c>
      <c r="B2201" s="11" t="s">
        <v>1857</v>
      </c>
      <c r="C2201" s="11" t="s">
        <v>1849</v>
      </c>
      <c r="D2201" s="6" t="s">
        <v>1875</v>
      </c>
      <c r="E2201" s="11" t="s">
        <v>5541</v>
      </c>
      <c r="F2201" s="12" t="s">
        <v>5541</v>
      </c>
      <c r="G2201" s="12" t="s">
        <v>5541</v>
      </c>
      <c r="H2201" s="12" t="s">
        <v>5679</v>
      </c>
      <c r="I2201" s="12" t="s">
        <v>5874</v>
      </c>
      <c r="J2201" s="11" t="s">
        <v>1851</v>
      </c>
      <c r="K2201" s="11" t="s">
        <v>1852</v>
      </c>
      <c r="L2201" s="11" t="s">
        <v>1853</v>
      </c>
      <c r="M2201" s="11" t="s">
        <v>1854</v>
      </c>
      <c r="N2201" s="12"/>
      <c r="O2201" s="11" t="s">
        <v>1854</v>
      </c>
      <c r="P2201" s="56"/>
    </row>
    <row r="2202" spans="1:16" ht="15.75" customHeight="1" x14ac:dyDescent="0.2">
      <c r="A2202" s="49">
        <v>7574</v>
      </c>
      <c r="B2202" s="11" t="s">
        <v>1857</v>
      </c>
      <c r="C2202" s="11" t="s">
        <v>1849</v>
      </c>
      <c r="D2202" s="6" t="s">
        <v>1875</v>
      </c>
      <c r="E2202" s="12" t="s">
        <v>5541</v>
      </c>
      <c r="F2202" s="12" t="s">
        <v>5541</v>
      </c>
      <c r="G2202" s="12" t="s">
        <v>2255</v>
      </c>
      <c r="H2202" s="12" t="s">
        <v>2255</v>
      </c>
      <c r="I2202" s="12" t="s">
        <v>5875</v>
      </c>
      <c r="J2202" s="11" t="s">
        <v>1851</v>
      </c>
      <c r="K2202" s="11" t="s">
        <v>1852</v>
      </c>
      <c r="L2202" s="11" t="s">
        <v>1853</v>
      </c>
      <c r="M2202" s="11" t="s">
        <v>1854</v>
      </c>
      <c r="N2202" s="12"/>
      <c r="O2202" s="11" t="s">
        <v>1854</v>
      </c>
      <c r="P2202" s="56"/>
    </row>
    <row r="2203" spans="1:16" ht="15.75" customHeight="1" x14ac:dyDescent="0.2">
      <c r="A2203" s="49">
        <v>2757</v>
      </c>
      <c r="B2203" s="11" t="s">
        <v>1857</v>
      </c>
      <c r="C2203" s="11" t="s">
        <v>1849</v>
      </c>
      <c r="D2203" s="6" t="s">
        <v>4242</v>
      </c>
      <c r="E2203" s="11" t="s">
        <v>5541</v>
      </c>
      <c r="F2203" s="12" t="s">
        <v>5541</v>
      </c>
      <c r="G2203" s="12" t="s">
        <v>2255</v>
      </c>
      <c r="H2203" s="12" t="s">
        <v>5796</v>
      </c>
      <c r="I2203" s="12" t="s">
        <v>5876</v>
      </c>
      <c r="J2203" s="11" t="s">
        <v>1856</v>
      </c>
      <c r="K2203" s="11" t="s">
        <v>1852</v>
      </c>
      <c r="L2203" s="11" t="s">
        <v>1853</v>
      </c>
      <c r="M2203" s="11" t="s">
        <v>1854</v>
      </c>
      <c r="N2203" s="12"/>
      <c r="O2203" s="11" t="s">
        <v>1859</v>
      </c>
      <c r="P2203" s="56"/>
    </row>
    <row r="2204" spans="1:16" ht="15.75" customHeight="1" x14ac:dyDescent="0.2">
      <c r="A2204" s="49">
        <v>2740</v>
      </c>
      <c r="B2204" s="11" t="s">
        <v>1857</v>
      </c>
      <c r="C2204" s="11" t="s">
        <v>1849</v>
      </c>
      <c r="D2204" s="6" t="s">
        <v>2594</v>
      </c>
      <c r="E2204" s="11" t="s">
        <v>5541</v>
      </c>
      <c r="F2204" s="12" t="s">
        <v>5541</v>
      </c>
      <c r="G2204" s="12" t="s">
        <v>2255</v>
      </c>
      <c r="H2204" s="12" t="s">
        <v>2255</v>
      </c>
      <c r="I2204" s="12" t="s">
        <v>5877</v>
      </c>
      <c r="J2204" s="11" t="s">
        <v>1856</v>
      </c>
      <c r="K2204" s="11" t="s">
        <v>1852</v>
      </c>
      <c r="L2204" s="11" t="s">
        <v>1853</v>
      </c>
      <c r="M2204" s="11" t="s">
        <v>1854</v>
      </c>
      <c r="N2204" s="12"/>
      <c r="O2204" s="11" t="s">
        <v>2334</v>
      </c>
      <c r="P2204" s="56" t="s">
        <v>5878</v>
      </c>
    </row>
    <row r="2205" spans="1:16" ht="15.75" customHeight="1" x14ac:dyDescent="0.2">
      <c r="A2205" s="48">
        <v>6924</v>
      </c>
      <c r="B2205" s="11" t="s">
        <v>1857</v>
      </c>
      <c r="C2205" s="11" t="s">
        <v>1876</v>
      </c>
      <c r="D2205" s="6" t="s">
        <v>1850</v>
      </c>
      <c r="E2205" s="11" t="s">
        <v>5541</v>
      </c>
      <c r="F2205" s="12" t="s">
        <v>5541</v>
      </c>
      <c r="G2205" s="12" t="s">
        <v>5541</v>
      </c>
      <c r="H2205" s="12" t="s">
        <v>5556</v>
      </c>
      <c r="I2205" s="12" t="s">
        <v>5879</v>
      </c>
      <c r="J2205" s="11" t="s">
        <v>1851</v>
      </c>
      <c r="K2205" s="11" t="s">
        <v>1852</v>
      </c>
      <c r="L2205" s="11" t="s">
        <v>1853</v>
      </c>
      <c r="M2205" s="11" t="s">
        <v>1854</v>
      </c>
      <c r="N2205" s="12"/>
      <c r="O2205" s="11" t="s">
        <v>1860</v>
      </c>
      <c r="P2205" s="56" t="s">
        <v>1865</v>
      </c>
    </row>
    <row r="2206" spans="1:16" ht="15.75" customHeight="1" x14ac:dyDescent="0.2">
      <c r="A2206" s="48">
        <v>6920</v>
      </c>
      <c r="B2206" s="11" t="s">
        <v>1857</v>
      </c>
      <c r="C2206" s="11" t="s">
        <v>1876</v>
      </c>
      <c r="D2206" s="6" t="s">
        <v>1850</v>
      </c>
      <c r="E2206" s="11" t="s">
        <v>5541</v>
      </c>
      <c r="F2206" s="12" t="s">
        <v>5541</v>
      </c>
      <c r="G2206" s="12" t="s">
        <v>2255</v>
      </c>
      <c r="H2206" s="12" t="s">
        <v>2255</v>
      </c>
      <c r="I2206" s="12" t="s">
        <v>5880</v>
      </c>
      <c r="J2206" s="11" t="s">
        <v>1851</v>
      </c>
      <c r="K2206" s="11" t="s">
        <v>1852</v>
      </c>
      <c r="L2206" s="11" t="s">
        <v>1853</v>
      </c>
      <c r="M2206" s="11" t="s">
        <v>1854</v>
      </c>
      <c r="N2206" s="12"/>
      <c r="O2206" s="11" t="s">
        <v>1867</v>
      </c>
      <c r="P2206" s="56" t="s">
        <v>1865</v>
      </c>
    </row>
    <row r="2207" spans="1:16" ht="15.75" customHeight="1" x14ac:dyDescent="0.2">
      <c r="A2207" s="49">
        <v>7346</v>
      </c>
      <c r="B2207" s="11" t="s">
        <v>1857</v>
      </c>
      <c r="C2207" s="11" t="s">
        <v>1876</v>
      </c>
      <c r="D2207" s="6" t="s">
        <v>1850</v>
      </c>
      <c r="E2207" s="12" t="s">
        <v>5541</v>
      </c>
      <c r="F2207" s="12" t="s">
        <v>5541</v>
      </c>
      <c r="G2207" s="12" t="s">
        <v>5541</v>
      </c>
      <c r="H2207" s="12" t="s">
        <v>5679</v>
      </c>
      <c r="I2207" s="12" t="s">
        <v>5881</v>
      </c>
      <c r="J2207" s="11" t="s">
        <v>1851</v>
      </c>
      <c r="K2207" s="11" t="s">
        <v>1852</v>
      </c>
      <c r="L2207" s="11" t="s">
        <v>1853</v>
      </c>
      <c r="M2207" s="11" t="s">
        <v>5882</v>
      </c>
      <c r="N2207" s="12"/>
      <c r="O2207" s="11" t="s">
        <v>1860</v>
      </c>
      <c r="P2207" s="56"/>
    </row>
    <row r="2208" spans="1:16" ht="15.75" customHeight="1" x14ac:dyDescent="0.2">
      <c r="A2208" s="48">
        <v>6923</v>
      </c>
      <c r="B2208" s="11" t="s">
        <v>1857</v>
      </c>
      <c r="C2208" s="11" t="s">
        <v>1876</v>
      </c>
      <c r="D2208" s="6" t="s">
        <v>1850</v>
      </c>
      <c r="E2208" s="11" t="s">
        <v>5541</v>
      </c>
      <c r="F2208" s="12" t="s">
        <v>5541</v>
      </c>
      <c r="G2208" s="12" t="s">
        <v>5541</v>
      </c>
      <c r="H2208" s="12" t="s">
        <v>5679</v>
      </c>
      <c r="I2208" s="12" t="s">
        <v>5883</v>
      </c>
      <c r="J2208" s="11" t="s">
        <v>1851</v>
      </c>
      <c r="K2208" s="11" t="s">
        <v>1852</v>
      </c>
      <c r="L2208" s="11" t="s">
        <v>1853</v>
      </c>
      <c r="M2208" s="11" t="s">
        <v>5884</v>
      </c>
      <c r="N2208" s="12"/>
      <c r="O2208" s="11" t="s">
        <v>1867</v>
      </c>
      <c r="P2208" s="56" t="s">
        <v>1865</v>
      </c>
    </row>
    <row r="2209" spans="1:16" ht="15.75" customHeight="1" x14ac:dyDescent="0.2">
      <c r="A2209" s="48">
        <v>7345</v>
      </c>
      <c r="B2209" s="11" t="s">
        <v>1857</v>
      </c>
      <c r="C2209" s="11" t="s">
        <v>1876</v>
      </c>
      <c r="D2209" s="6" t="s">
        <v>1850</v>
      </c>
      <c r="E2209" s="12" t="s">
        <v>5541</v>
      </c>
      <c r="F2209" s="12" t="s">
        <v>5541</v>
      </c>
      <c r="G2209" s="12" t="s">
        <v>5541</v>
      </c>
      <c r="H2209" s="12" t="s">
        <v>5679</v>
      </c>
      <c r="I2209" s="12" t="s">
        <v>5885</v>
      </c>
      <c r="J2209" s="11" t="s">
        <v>1851</v>
      </c>
      <c r="K2209" s="11" t="s">
        <v>1852</v>
      </c>
      <c r="L2209" s="11" t="s">
        <v>1853</v>
      </c>
      <c r="M2209" s="11" t="s">
        <v>5886</v>
      </c>
      <c r="N2209" s="12"/>
      <c r="O2209" s="11" t="s">
        <v>1860</v>
      </c>
      <c r="P2209" s="56"/>
    </row>
    <row r="2210" spans="1:16" ht="15.75" customHeight="1" x14ac:dyDescent="0.2">
      <c r="A2210" s="49">
        <v>6921</v>
      </c>
      <c r="B2210" s="11" t="s">
        <v>1871</v>
      </c>
      <c r="C2210" s="11" t="s">
        <v>1876</v>
      </c>
      <c r="D2210" s="6" t="s">
        <v>1850</v>
      </c>
      <c r="E2210" s="11" t="s">
        <v>5541</v>
      </c>
      <c r="F2210" s="12" t="s">
        <v>5541</v>
      </c>
      <c r="G2210" s="60" t="s">
        <v>2255</v>
      </c>
      <c r="H2210" s="60" t="s">
        <v>2255</v>
      </c>
      <c r="I2210" s="12" t="s">
        <v>5887</v>
      </c>
      <c r="J2210" s="11" t="s">
        <v>1851</v>
      </c>
      <c r="K2210" s="11" t="s">
        <v>1852</v>
      </c>
      <c r="L2210" s="11" t="s">
        <v>1853</v>
      </c>
      <c r="M2210" s="11" t="s">
        <v>1854</v>
      </c>
      <c r="N2210" s="12"/>
      <c r="O2210" s="11" t="s">
        <v>1866</v>
      </c>
      <c r="P2210" s="56" t="s">
        <v>2614</v>
      </c>
    </row>
    <row r="2211" spans="1:16" ht="15.75" customHeight="1" x14ac:dyDescent="0.2">
      <c r="A2211" s="49">
        <v>15468</v>
      </c>
      <c r="B2211" s="11" t="s">
        <v>1848</v>
      </c>
      <c r="C2211" s="11" t="s">
        <v>1849</v>
      </c>
      <c r="D2211" s="6" t="s">
        <v>1850</v>
      </c>
      <c r="E2211" s="12" t="s">
        <v>5888</v>
      </c>
      <c r="F2211" s="12" t="s">
        <v>5889</v>
      </c>
      <c r="G2211" s="12" t="s">
        <v>5890</v>
      </c>
      <c r="H2211" s="12" t="s">
        <v>5891</v>
      </c>
      <c r="I2211" s="12" t="s">
        <v>5892</v>
      </c>
      <c r="J2211" s="11" t="s">
        <v>2246</v>
      </c>
      <c r="K2211" s="11" t="s">
        <v>2247</v>
      </c>
      <c r="L2211" s="11" t="s">
        <v>5893</v>
      </c>
      <c r="M2211" s="11" t="s">
        <v>1854</v>
      </c>
      <c r="N2211" s="12"/>
      <c r="O2211" s="11" t="s">
        <v>1855</v>
      </c>
      <c r="P2211" s="56"/>
    </row>
    <row r="2212" spans="1:16" ht="15.75" customHeight="1" x14ac:dyDescent="0.2">
      <c r="A2212" s="49">
        <v>15710</v>
      </c>
      <c r="B2212" s="11" t="s">
        <v>1848</v>
      </c>
      <c r="C2212" s="11" t="s">
        <v>1849</v>
      </c>
      <c r="D2212" s="6" t="s">
        <v>1850</v>
      </c>
      <c r="E2212" s="12" t="s">
        <v>5888</v>
      </c>
      <c r="F2212" s="12" t="s">
        <v>5889</v>
      </c>
      <c r="G2212" s="12" t="s">
        <v>5894</v>
      </c>
      <c r="H2212" s="12" t="s">
        <v>5895</v>
      </c>
      <c r="I2212" s="12" t="s">
        <v>5896</v>
      </c>
      <c r="J2212" s="11" t="s">
        <v>2246</v>
      </c>
      <c r="K2212" s="11" t="s">
        <v>2247</v>
      </c>
      <c r="L2212" s="11" t="s">
        <v>5893</v>
      </c>
      <c r="M2212" s="11" t="s">
        <v>1854</v>
      </c>
      <c r="N2212" s="12"/>
      <c r="O2212" s="11" t="s">
        <v>1855</v>
      </c>
      <c r="P2212" s="56"/>
    </row>
    <row r="2213" spans="1:16" ht="15.75" customHeight="1" x14ac:dyDescent="0.2">
      <c r="A2213" s="49">
        <v>15494</v>
      </c>
      <c r="B2213" s="11" t="s">
        <v>1848</v>
      </c>
      <c r="C2213" s="11" t="s">
        <v>1849</v>
      </c>
      <c r="D2213" s="6" t="s">
        <v>1850</v>
      </c>
      <c r="E2213" s="12" t="s">
        <v>5888</v>
      </c>
      <c r="F2213" s="12" t="s">
        <v>5889</v>
      </c>
      <c r="G2213" s="12" t="s">
        <v>5897</v>
      </c>
      <c r="H2213" s="12" t="s">
        <v>5898</v>
      </c>
      <c r="I2213" s="12" t="s">
        <v>5899</v>
      </c>
      <c r="J2213" s="11" t="s">
        <v>2246</v>
      </c>
      <c r="K2213" s="11" t="s">
        <v>2247</v>
      </c>
      <c r="L2213" s="11" t="s">
        <v>5893</v>
      </c>
      <c r="M2213" s="11" t="s">
        <v>1854</v>
      </c>
      <c r="N2213" s="12"/>
      <c r="O2213" s="11" t="s">
        <v>1855</v>
      </c>
      <c r="P2213" s="56"/>
    </row>
    <row r="2214" spans="1:16" ht="15.75" customHeight="1" x14ac:dyDescent="0.2">
      <c r="A2214" s="49">
        <v>15711</v>
      </c>
      <c r="B2214" s="11" t="s">
        <v>1848</v>
      </c>
      <c r="C2214" s="11" t="s">
        <v>1849</v>
      </c>
      <c r="D2214" s="6" t="s">
        <v>1850</v>
      </c>
      <c r="E2214" s="12" t="s">
        <v>5888</v>
      </c>
      <c r="F2214" s="12" t="s">
        <v>5889</v>
      </c>
      <c r="G2214" s="12" t="s">
        <v>5894</v>
      </c>
      <c r="H2214" s="12" t="s">
        <v>5900</v>
      </c>
      <c r="I2214" s="12" t="s">
        <v>5901</v>
      </c>
      <c r="J2214" s="11" t="s">
        <v>2246</v>
      </c>
      <c r="K2214" s="11" t="s">
        <v>2247</v>
      </c>
      <c r="L2214" s="11" t="s">
        <v>5893</v>
      </c>
      <c r="M2214" s="11" t="s">
        <v>1854</v>
      </c>
      <c r="N2214" s="12"/>
      <c r="O2214" s="11" t="s">
        <v>1855</v>
      </c>
      <c r="P2214" s="56"/>
    </row>
    <row r="2215" spans="1:16" ht="15.75" customHeight="1" x14ac:dyDescent="0.2">
      <c r="A2215" s="49">
        <v>15708</v>
      </c>
      <c r="B2215" s="11" t="s">
        <v>1848</v>
      </c>
      <c r="C2215" s="11" t="s">
        <v>1849</v>
      </c>
      <c r="D2215" s="6" t="s">
        <v>1850</v>
      </c>
      <c r="E2215" s="12" t="s">
        <v>5888</v>
      </c>
      <c r="F2215" s="12" t="s">
        <v>5889</v>
      </c>
      <c r="G2215" s="12" t="s">
        <v>5902</v>
      </c>
      <c r="H2215" s="12" t="s">
        <v>5903</v>
      </c>
      <c r="I2215" s="12" t="s">
        <v>5904</v>
      </c>
      <c r="J2215" s="11" t="s">
        <v>2246</v>
      </c>
      <c r="K2215" s="11" t="s">
        <v>2247</v>
      </c>
      <c r="L2215" s="11" t="s">
        <v>5893</v>
      </c>
      <c r="M2215" s="11" t="s">
        <v>1854</v>
      </c>
      <c r="N2215" s="12"/>
      <c r="O2215" s="11" t="s">
        <v>1855</v>
      </c>
      <c r="P2215" s="56"/>
    </row>
    <row r="2216" spans="1:16" ht="15.75" customHeight="1" x14ac:dyDescent="0.2">
      <c r="A2216" s="49">
        <v>15507</v>
      </c>
      <c r="B2216" s="11" t="s">
        <v>1848</v>
      </c>
      <c r="C2216" s="11" t="s">
        <v>1849</v>
      </c>
      <c r="D2216" s="6" t="s">
        <v>1850</v>
      </c>
      <c r="E2216" s="12" t="s">
        <v>5888</v>
      </c>
      <c r="F2216" s="12" t="s">
        <v>5889</v>
      </c>
      <c r="G2216" s="12" t="s">
        <v>5894</v>
      </c>
      <c r="H2216" s="12" t="s">
        <v>5905</v>
      </c>
      <c r="I2216" s="12" t="s">
        <v>5906</v>
      </c>
      <c r="J2216" s="11" t="s">
        <v>2246</v>
      </c>
      <c r="K2216" s="11" t="s">
        <v>2247</v>
      </c>
      <c r="L2216" s="11" t="s">
        <v>5893</v>
      </c>
      <c r="M2216" s="11" t="s">
        <v>1854</v>
      </c>
      <c r="N2216" s="12"/>
      <c r="O2216" s="11" t="s">
        <v>1855</v>
      </c>
      <c r="P2216" s="56"/>
    </row>
    <row r="2217" spans="1:16" ht="15.75" customHeight="1" x14ac:dyDescent="0.2">
      <c r="A2217" s="49">
        <v>15712</v>
      </c>
      <c r="B2217" s="11" t="s">
        <v>1848</v>
      </c>
      <c r="C2217" s="11" t="s">
        <v>1849</v>
      </c>
      <c r="D2217" s="6" t="s">
        <v>1850</v>
      </c>
      <c r="E2217" s="12" t="s">
        <v>5888</v>
      </c>
      <c r="F2217" s="12" t="s">
        <v>5889</v>
      </c>
      <c r="G2217" s="12" t="s">
        <v>5897</v>
      </c>
      <c r="H2217" s="12" t="s">
        <v>5898</v>
      </c>
      <c r="I2217" s="12" t="s">
        <v>5907</v>
      </c>
      <c r="J2217" s="11" t="s">
        <v>2246</v>
      </c>
      <c r="K2217" s="11" t="s">
        <v>2247</v>
      </c>
      <c r="L2217" s="11" t="s">
        <v>5893</v>
      </c>
      <c r="M2217" s="11" t="s">
        <v>1854</v>
      </c>
      <c r="N2217" s="12"/>
      <c r="O2217" s="11" t="s">
        <v>1855</v>
      </c>
      <c r="P2217" s="56"/>
    </row>
    <row r="2218" spans="1:16" ht="15.75" customHeight="1" x14ac:dyDescent="0.2">
      <c r="A2218" s="48">
        <v>16093</v>
      </c>
      <c r="B2218" s="11" t="s">
        <v>1848</v>
      </c>
      <c r="C2218" s="11" t="s">
        <v>1849</v>
      </c>
      <c r="D2218" s="6" t="s">
        <v>1850</v>
      </c>
      <c r="E2218" s="12" t="s">
        <v>5888</v>
      </c>
      <c r="F2218" s="12" t="s">
        <v>5889</v>
      </c>
      <c r="G2218" s="12" t="s">
        <v>5890</v>
      </c>
      <c r="H2218" s="12" t="s">
        <v>5908</v>
      </c>
      <c r="I2218" s="12" t="s">
        <v>5909</v>
      </c>
      <c r="J2218" s="11" t="s">
        <v>2246</v>
      </c>
      <c r="K2218" s="11" t="s">
        <v>2247</v>
      </c>
      <c r="L2218" s="11" t="s">
        <v>5893</v>
      </c>
      <c r="M2218" s="11" t="s">
        <v>1854</v>
      </c>
      <c r="N2218" s="12"/>
      <c r="O2218" s="11" t="s">
        <v>1855</v>
      </c>
      <c r="P2218" s="56"/>
    </row>
    <row r="2219" spans="1:16" ht="15.75" customHeight="1" x14ac:dyDescent="0.2">
      <c r="A2219" s="49">
        <v>15502</v>
      </c>
      <c r="B2219" s="11" t="s">
        <v>1848</v>
      </c>
      <c r="C2219" s="11" t="s">
        <v>1849</v>
      </c>
      <c r="D2219" s="6" t="s">
        <v>1850</v>
      </c>
      <c r="E2219" s="12" t="s">
        <v>5888</v>
      </c>
      <c r="F2219" s="12" t="s">
        <v>5889</v>
      </c>
      <c r="G2219" s="12" t="s">
        <v>5897</v>
      </c>
      <c r="H2219" s="12" t="s">
        <v>5910</v>
      </c>
      <c r="I2219" s="12" t="s">
        <v>5911</v>
      </c>
      <c r="J2219" s="11" t="s">
        <v>2246</v>
      </c>
      <c r="K2219" s="11" t="s">
        <v>2247</v>
      </c>
      <c r="L2219" s="11" t="s">
        <v>5893</v>
      </c>
      <c r="M2219" s="11" t="s">
        <v>1854</v>
      </c>
      <c r="N2219" s="12"/>
      <c r="O2219" s="11" t="s">
        <v>1855</v>
      </c>
      <c r="P2219" s="56"/>
    </row>
    <row r="2220" spans="1:16" ht="15.75" customHeight="1" x14ac:dyDescent="0.2">
      <c r="A2220" s="49">
        <v>15860</v>
      </c>
      <c r="B2220" s="11" t="s">
        <v>1848</v>
      </c>
      <c r="C2220" s="11" t="s">
        <v>1849</v>
      </c>
      <c r="D2220" s="6" t="s">
        <v>1850</v>
      </c>
      <c r="E2220" s="12" t="s">
        <v>5888</v>
      </c>
      <c r="F2220" s="12" t="s">
        <v>5889</v>
      </c>
      <c r="G2220" s="12" t="s">
        <v>5894</v>
      </c>
      <c r="H2220" s="12" t="s">
        <v>5912</v>
      </c>
      <c r="I2220" s="12" t="s">
        <v>5913</v>
      </c>
      <c r="J2220" s="11" t="s">
        <v>2246</v>
      </c>
      <c r="K2220" s="11" t="s">
        <v>2247</v>
      </c>
      <c r="L2220" s="11" t="s">
        <v>5893</v>
      </c>
      <c r="M2220" s="11" t="s">
        <v>1854</v>
      </c>
      <c r="N2220" s="12"/>
      <c r="O2220" s="11" t="s">
        <v>1855</v>
      </c>
      <c r="P2220" s="56"/>
    </row>
    <row r="2221" spans="1:16" ht="15.75" customHeight="1" x14ac:dyDescent="0.2">
      <c r="A2221" s="49">
        <v>15493</v>
      </c>
      <c r="B2221" s="11" t="s">
        <v>1848</v>
      </c>
      <c r="C2221" s="11" t="s">
        <v>1849</v>
      </c>
      <c r="D2221" s="6" t="s">
        <v>1850</v>
      </c>
      <c r="E2221" s="12" t="s">
        <v>5888</v>
      </c>
      <c r="F2221" s="12" t="s">
        <v>5889</v>
      </c>
      <c r="G2221" s="12" t="s">
        <v>5894</v>
      </c>
      <c r="H2221" s="12" t="s">
        <v>5895</v>
      </c>
      <c r="I2221" s="12" t="s">
        <v>5914</v>
      </c>
      <c r="J2221" s="11" t="s">
        <v>2246</v>
      </c>
      <c r="K2221" s="11" t="s">
        <v>2247</v>
      </c>
      <c r="L2221" s="11" t="s">
        <v>5893</v>
      </c>
      <c r="M2221" s="11" t="s">
        <v>1854</v>
      </c>
      <c r="N2221" s="12"/>
      <c r="O2221" s="11" t="s">
        <v>1855</v>
      </c>
      <c r="P2221" s="56"/>
    </row>
    <row r="2222" spans="1:16" ht="15.75" customHeight="1" x14ac:dyDescent="0.2">
      <c r="A2222" s="49">
        <v>15855</v>
      </c>
      <c r="B2222" s="11" t="s">
        <v>1848</v>
      </c>
      <c r="C2222" s="11" t="s">
        <v>1849</v>
      </c>
      <c r="D2222" s="6" t="s">
        <v>1850</v>
      </c>
      <c r="E2222" s="12" t="s">
        <v>5888</v>
      </c>
      <c r="F2222" s="12" t="s">
        <v>5889</v>
      </c>
      <c r="G2222" s="12" t="s">
        <v>5890</v>
      </c>
      <c r="H2222" s="12" t="s">
        <v>5703</v>
      </c>
      <c r="I2222" s="12" t="s">
        <v>5915</v>
      </c>
      <c r="J2222" s="11" t="s">
        <v>2246</v>
      </c>
      <c r="K2222" s="11" t="s">
        <v>2247</v>
      </c>
      <c r="L2222" s="11" t="s">
        <v>5893</v>
      </c>
      <c r="M2222" s="11" t="s">
        <v>1854</v>
      </c>
      <c r="N2222" s="12"/>
      <c r="O2222" s="11" t="s">
        <v>1855</v>
      </c>
      <c r="P2222" s="56"/>
    </row>
    <row r="2223" spans="1:16" ht="15.75" customHeight="1" x14ac:dyDescent="0.2">
      <c r="A2223" s="49">
        <v>15491</v>
      </c>
      <c r="B2223" s="11" t="s">
        <v>1848</v>
      </c>
      <c r="C2223" s="11" t="s">
        <v>1849</v>
      </c>
      <c r="D2223" s="6" t="s">
        <v>1850</v>
      </c>
      <c r="E2223" s="12" t="s">
        <v>5888</v>
      </c>
      <c r="F2223" s="12" t="s">
        <v>5889</v>
      </c>
      <c r="G2223" s="12" t="s">
        <v>5897</v>
      </c>
      <c r="H2223" s="12" t="s">
        <v>5898</v>
      </c>
      <c r="I2223" s="12" t="s">
        <v>5916</v>
      </c>
      <c r="J2223" s="11" t="s">
        <v>2246</v>
      </c>
      <c r="K2223" s="11" t="s">
        <v>2247</v>
      </c>
      <c r="L2223" s="11" t="s">
        <v>5893</v>
      </c>
      <c r="M2223" s="11" t="s">
        <v>1854</v>
      </c>
      <c r="N2223" s="12"/>
      <c r="O2223" s="11" t="s">
        <v>1855</v>
      </c>
      <c r="P2223" s="56"/>
    </row>
    <row r="2224" spans="1:16" ht="15.75" customHeight="1" x14ac:dyDescent="0.2">
      <c r="A2224" s="49">
        <v>15499</v>
      </c>
      <c r="B2224" s="11" t="s">
        <v>1848</v>
      </c>
      <c r="C2224" s="11" t="s">
        <v>1849</v>
      </c>
      <c r="D2224" s="6" t="s">
        <v>1850</v>
      </c>
      <c r="E2224" s="12" t="s">
        <v>5888</v>
      </c>
      <c r="F2224" s="12" t="s">
        <v>5889</v>
      </c>
      <c r="G2224" s="12" t="s">
        <v>5894</v>
      </c>
      <c r="H2224" s="12" t="s">
        <v>5912</v>
      </c>
      <c r="I2224" s="12" t="s">
        <v>5917</v>
      </c>
      <c r="J2224" s="11" t="s">
        <v>2246</v>
      </c>
      <c r="K2224" s="11" t="s">
        <v>2247</v>
      </c>
      <c r="L2224" s="11" t="s">
        <v>5893</v>
      </c>
      <c r="M2224" s="11" t="s">
        <v>1854</v>
      </c>
      <c r="N2224" s="12"/>
      <c r="O2224" s="11" t="s">
        <v>1855</v>
      </c>
      <c r="P2224" s="56"/>
    </row>
    <row r="2225" spans="1:16" ht="15.75" customHeight="1" x14ac:dyDescent="0.2">
      <c r="A2225" s="49">
        <v>15894</v>
      </c>
      <c r="B2225" s="11" t="s">
        <v>1848</v>
      </c>
      <c r="C2225" s="11" t="s">
        <v>1849</v>
      </c>
      <c r="D2225" s="6" t="s">
        <v>1850</v>
      </c>
      <c r="E2225" s="12" t="s">
        <v>5888</v>
      </c>
      <c r="F2225" s="12" t="s">
        <v>5889</v>
      </c>
      <c r="G2225" s="12" t="s">
        <v>5890</v>
      </c>
      <c r="H2225" s="12" t="s">
        <v>5891</v>
      </c>
      <c r="I2225" s="12" t="s">
        <v>5918</v>
      </c>
      <c r="J2225" s="11" t="s">
        <v>2246</v>
      </c>
      <c r="K2225" s="11" t="s">
        <v>2247</v>
      </c>
      <c r="L2225" s="11" t="s">
        <v>5893</v>
      </c>
      <c r="M2225" s="11" t="s">
        <v>1854</v>
      </c>
      <c r="N2225" s="12"/>
      <c r="O2225" s="11" t="s">
        <v>1855</v>
      </c>
      <c r="P2225" s="56"/>
    </row>
    <row r="2226" spans="1:16" ht="15.75" customHeight="1" x14ac:dyDescent="0.2">
      <c r="A2226" s="49">
        <v>15489</v>
      </c>
      <c r="B2226" s="11" t="s">
        <v>1848</v>
      </c>
      <c r="C2226" s="11" t="s">
        <v>1849</v>
      </c>
      <c r="D2226" s="6" t="s">
        <v>1850</v>
      </c>
      <c r="E2226" s="12" t="s">
        <v>5888</v>
      </c>
      <c r="F2226" s="12" t="s">
        <v>5889</v>
      </c>
      <c r="G2226" s="12" t="s">
        <v>5894</v>
      </c>
      <c r="H2226" s="12" t="s">
        <v>5919</v>
      </c>
      <c r="I2226" s="12" t="s">
        <v>5920</v>
      </c>
      <c r="J2226" s="11" t="s">
        <v>2246</v>
      </c>
      <c r="K2226" s="11" t="s">
        <v>2247</v>
      </c>
      <c r="L2226" s="11" t="s">
        <v>5893</v>
      </c>
      <c r="M2226" s="11" t="s">
        <v>1854</v>
      </c>
      <c r="N2226" s="12"/>
      <c r="O2226" s="11" t="s">
        <v>1855</v>
      </c>
      <c r="P2226" s="56"/>
    </row>
    <row r="2227" spans="1:16" ht="15.75" customHeight="1" x14ac:dyDescent="0.2">
      <c r="A2227" s="49">
        <v>15522</v>
      </c>
      <c r="B2227" s="11" t="s">
        <v>1848</v>
      </c>
      <c r="C2227" s="11" t="s">
        <v>1849</v>
      </c>
      <c r="D2227" s="6" t="s">
        <v>1850</v>
      </c>
      <c r="E2227" s="12" t="s">
        <v>5888</v>
      </c>
      <c r="F2227" s="12" t="s">
        <v>5889</v>
      </c>
      <c r="G2227" s="12" t="s">
        <v>5894</v>
      </c>
      <c r="H2227" s="12" t="s">
        <v>5921</v>
      </c>
      <c r="I2227" s="12" t="s">
        <v>5901</v>
      </c>
      <c r="J2227" s="11" t="s">
        <v>2246</v>
      </c>
      <c r="K2227" s="11" t="s">
        <v>2247</v>
      </c>
      <c r="L2227" s="11" t="s">
        <v>5893</v>
      </c>
      <c r="M2227" s="11" t="s">
        <v>1854</v>
      </c>
      <c r="N2227" s="12"/>
      <c r="O2227" s="11" t="s">
        <v>1855</v>
      </c>
      <c r="P2227" s="56"/>
    </row>
    <row r="2228" spans="1:16" ht="15.75" customHeight="1" x14ac:dyDescent="0.2">
      <c r="A2228" s="49">
        <v>15515</v>
      </c>
      <c r="B2228" s="11" t="s">
        <v>1848</v>
      </c>
      <c r="C2228" s="11" t="s">
        <v>1849</v>
      </c>
      <c r="D2228" s="6" t="s">
        <v>1850</v>
      </c>
      <c r="E2228" s="12" t="s">
        <v>5888</v>
      </c>
      <c r="F2228" s="12" t="s">
        <v>5889</v>
      </c>
      <c r="G2228" s="12" t="s">
        <v>5897</v>
      </c>
      <c r="H2228" s="12" t="s">
        <v>5910</v>
      </c>
      <c r="I2228" s="12" t="s">
        <v>5922</v>
      </c>
      <c r="J2228" s="11" t="s">
        <v>2246</v>
      </c>
      <c r="K2228" s="11" t="s">
        <v>2247</v>
      </c>
      <c r="L2228" s="11" t="s">
        <v>5893</v>
      </c>
      <c r="M2228" s="11" t="s">
        <v>1854</v>
      </c>
      <c r="N2228" s="12"/>
      <c r="O2228" s="11" t="s">
        <v>1855</v>
      </c>
      <c r="P2228" s="56"/>
    </row>
    <row r="2229" spans="1:16" ht="15.75" customHeight="1" x14ac:dyDescent="0.2">
      <c r="A2229" s="49">
        <v>15856</v>
      </c>
      <c r="B2229" s="11" t="s">
        <v>1848</v>
      </c>
      <c r="C2229" s="11" t="s">
        <v>1849</v>
      </c>
      <c r="D2229" s="6" t="s">
        <v>1850</v>
      </c>
      <c r="E2229" s="12" t="s">
        <v>5888</v>
      </c>
      <c r="F2229" s="12" t="s">
        <v>5889</v>
      </c>
      <c r="G2229" s="12" t="s">
        <v>5890</v>
      </c>
      <c r="H2229" s="12" t="s">
        <v>5923</v>
      </c>
      <c r="I2229" s="12" t="s">
        <v>5924</v>
      </c>
      <c r="J2229" s="11" t="s">
        <v>2246</v>
      </c>
      <c r="K2229" s="11" t="s">
        <v>2247</v>
      </c>
      <c r="L2229" s="11" t="s">
        <v>5893</v>
      </c>
      <c r="M2229" s="11" t="s">
        <v>1854</v>
      </c>
      <c r="N2229" s="12"/>
      <c r="O2229" s="11" t="s">
        <v>1855</v>
      </c>
      <c r="P2229" s="56"/>
    </row>
    <row r="2230" spans="1:16" ht="15.75" customHeight="1" x14ac:dyDescent="0.2">
      <c r="A2230" s="49">
        <v>15803</v>
      </c>
      <c r="B2230" s="11" t="s">
        <v>1848</v>
      </c>
      <c r="C2230" s="11" t="s">
        <v>1849</v>
      </c>
      <c r="D2230" s="6" t="s">
        <v>1850</v>
      </c>
      <c r="E2230" s="12" t="s">
        <v>5888</v>
      </c>
      <c r="F2230" s="12" t="s">
        <v>5889</v>
      </c>
      <c r="G2230" s="12" t="s">
        <v>5894</v>
      </c>
      <c r="H2230" s="12" t="s">
        <v>5925</v>
      </c>
      <c r="I2230" s="12" t="s">
        <v>5926</v>
      </c>
      <c r="J2230" s="11" t="s">
        <v>2246</v>
      </c>
      <c r="K2230" s="11" t="s">
        <v>2247</v>
      </c>
      <c r="L2230" s="11" t="s">
        <v>5893</v>
      </c>
      <c r="M2230" s="11" t="s">
        <v>1854</v>
      </c>
      <c r="N2230" s="12"/>
      <c r="O2230" s="11" t="s">
        <v>1855</v>
      </c>
      <c r="P2230" s="56"/>
    </row>
    <row r="2231" spans="1:16" ht="15.75" customHeight="1" x14ac:dyDescent="0.2">
      <c r="A2231" s="49">
        <v>15874</v>
      </c>
      <c r="B2231" s="11" t="s">
        <v>1848</v>
      </c>
      <c r="C2231" s="11" t="s">
        <v>1849</v>
      </c>
      <c r="D2231" s="6" t="s">
        <v>1850</v>
      </c>
      <c r="E2231" s="12" t="s">
        <v>5888</v>
      </c>
      <c r="F2231" s="12" t="s">
        <v>5889</v>
      </c>
      <c r="G2231" s="12" t="s">
        <v>5897</v>
      </c>
      <c r="H2231" s="12" t="s">
        <v>5898</v>
      </c>
      <c r="I2231" s="12" t="s">
        <v>5927</v>
      </c>
      <c r="J2231" s="11" t="s">
        <v>2246</v>
      </c>
      <c r="K2231" s="11" t="s">
        <v>2247</v>
      </c>
      <c r="L2231" s="11" t="s">
        <v>5893</v>
      </c>
      <c r="M2231" s="11" t="s">
        <v>1854</v>
      </c>
      <c r="N2231" s="12"/>
      <c r="O2231" s="11" t="s">
        <v>1855</v>
      </c>
      <c r="P2231" s="56"/>
    </row>
    <row r="2232" spans="1:16" ht="15.75" customHeight="1" x14ac:dyDescent="0.2">
      <c r="A2232" s="49">
        <v>15808</v>
      </c>
      <c r="B2232" s="11" t="s">
        <v>1848</v>
      </c>
      <c r="C2232" s="11" t="s">
        <v>1849</v>
      </c>
      <c r="D2232" s="6" t="s">
        <v>1850</v>
      </c>
      <c r="E2232" s="12" t="s">
        <v>5888</v>
      </c>
      <c r="F2232" s="12" t="s">
        <v>5889</v>
      </c>
      <c r="G2232" s="12" t="s">
        <v>5897</v>
      </c>
      <c r="H2232" s="12" t="s">
        <v>5898</v>
      </c>
      <c r="I2232" s="12" t="s">
        <v>5928</v>
      </c>
      <c r="J2232" s="11" t="s">
        <v>2246</v>
      </c>
      <c r="K2232" s="11" t="s">
        <v>2247</v>
      </c>
      <c r="L2232" s="11" t="s">
        <v>5893</v>
      </c>
      <c r="M2232" s="11" t="s">
        <v>1854</v>
      </c>
      <c r="N2232" s="12"/>
      <c r="O2232" s="11" t="s">
        <v>1855</v>
      </c>
      <c r="P2232" s="56"/>
    </row>
    <row r="2233" spans="1:16" ht="15.75" customHeight="1" x14ac:dyDescent="0.2">
      <c r="A2233" s="49">
        <v>15810</v>
      </c>
      <c r="B2233" s="11" t="s">
        <v>1848</v>
      </c>
      <c r="C2233" s="11" t="s">
        <v>1849</v>
      </c>
      <c r="D2233" s="6" t="s">
        <v>1850</v>
      </c>
      <c r="E2233" s="12" t="s">
        <v>5888</v>
      </c>
      <c r="F2233" s="12" t="s">
        <v>5889</v>
      </c>
      <c r="G2233" s="12" t="s">
        <v>5894</v>
      </c>
      <c r="H2233" s="12" t="s">
        <v>5929</v>
      </c>
      <c r="I2233" s="12" t="s">
        <v>5930</v>
      </c>
      <c r="J2233" s="11" t="s">
        <v>2246</v>
      </c>
      <c r="K2233" s="11" t="s">
        <v>2247</v>
      </c>
      <c r="L2233" s="11" t="s">
        <v>5893</v>
      </c>
      <c r="M2233" s="11" t="s">
        <v>1854</v>
      </c>
      <c r="N2233" s="12"/>
      <c r="O2233" s="11" t="s">
        <v>1855</v>
      </c>
      <c r="P2233" s="56"/>
    </row>
    <row r="2234" spans="1:16" ht="15.75" customHeight="1" x14ac:dyDescent="0.2">
      <c r="A2234" s="49">
        <v>15510</v>
      </c>
      <c r="B2234" s="11" t="s">
        <v>1848</v>
      </c>
      <c r="C2234" s="11" t="s">
        <v>1849</v>
      </c>
      <c r="D2234" s="6" t="s">
        <v>1850</v>
      </c>
      <c r="E2234" s="12" t="s">
        <v>5888</v>
      </c>
      <c r="F2234" s="12" t="s">
        <v>5889</v>
      </c>
      <c r="G2234" s="12" t="s">
        <v>5894</v>
      </c>
      <c r="H2234" s="12" t="s">
        <v>5900</v>
      </c>
      <c r="I2234" s="12" t="s">
        <v>5931</v>
      </c>
      <c r="J2234" s="11" t="s">
        <v>2246</v>
      </c>
      <c r="K2234" s="11" t="s">
        <v>2247</v>
      </c>
      <c r="L2234" s="11" t="s">
        <v>5893</v>
      </c>
      <c r="M2234" s="11" t="s">
        <v>1854</v>
      </c>
      <c r="N2234" s="12"/>
      <c r="O2234" s="11" t="s">
        <v>1855</v>
      </c>
      <c r="P2234" s="56"/>
    </row>
    <row r="2235" spans="1:16" ht="15.75" customHeight="1" x14ac:dyDescent="0.2">
      <c r="A2235" s="49">
        <v>15519</v>
      </c>
      <c r="B2235" s="11" t="s">
        <v>1848</v>
      </c>
      <c r="C2235" s="11" t="s">
        <v>1849</v>
      </c>
      <c r="D2235" s="6" t="s">
        <v>1850</v>
      </c>
      <c r="E2235" s="12" t="s">
        <v>5888</v>
      </c>
      <c r="F2235" s="12" t="s">
        <v>5889</v>
      </c>
      <c r="G2235" s="12" t="s">
        <v>5902</v>
      </c>
      <c r="H2235" s="12" t="s">
        <v>5932</v>
      </c>
      <c r="I2235" s="12" t="s">
        <v>5933</v>
      </c>
      <c r="J2235" s="11" t="s">
        <v>2246</v>
      </c>
      <c r="K2235" s="11" t="s">
        <v>2247</v>
      </c>
      <c r="L2235" s="11" t="s">
        <v>5893</v>
      </c>
      <c r="M2235" s="11" t="s">
        <v>1854</v>
      </c>
      <c r="N2235" s="12"/>
      <c r="O2235" s="11" t="s">
        <v>1855</v>
      </c>
      <c r="P2235" s="56"/>
    </row>
    <row r="2236" spans="1:16" ht="15.75" customHeight="1" x14ac:dyDescent="0.2">
      <c r="A2236" s="49">
        <v>15516</v>
      </c>
      <c r="B2236" s="11" t="s">
        <v>1848</v>
      </c>
      <c r="C2236" s="11" t="s">
        <v>1849</v>
      </c>
      <c r="D2236" s="6" t="s">
        <v>1850</v>
      </c>
      <c r="E2236" s="12" t="s">
        <v>5888</v>
      </c>
      <c r="F2236" s="12" t="s">
        <v>5889</v>
      </c>
      <c r="G2236" s="12" t="s">
        <v>5890</v>
      </c>
      <c r="H2236" s="12" t="s">
        <v>5934</v>
      </c>
      <c r="I2236" s="12" t="s">
        <v>5935</v>
      </c>
      <c r="J2236" s="11" t="s">
        <v>2246</v>
      </c>
      <c r="K2236" s="11" t="s">
        <v>2247</v>
      </c>
      <c r="L2236" s="11" t="s">
        <v>5893</v>
      </c>
      <c r="M2236" s="11" t="s">
        <v>1854</v>
      </c>
      <c r="N2236" s="12"/>
      <c r="O2236" s="11" t="s">
        <v>1855</v>
      </c>
      <c r="P2236" s="56"/>
    </row>
    <row r="2237" spans="1:16" ht="15.75" customHeight="1" x14ac:dyDescent="0.2">
      <c r="A2237" s="49">
        <v>15861</v>
      </c>
      <c r="B2237" s="11" t="s">
        <v>1848</v>
      </c>
      <c r="C2237" s="11" t="s">
        <v>1849</v>
      </c>
      <c r="D2237" s="6" t="s">
        <v>1850</v>
      </c>
      <c r="E2237" s="12" t="s">
        <v>5888</v>
      </c>
      <c r="F2237" s="12" t="s">
        <v>5889</v>
      </c>
      <c r="G2237" s="12" t="s">
        <v>5902</v>
      </c>
      <c r="H2237" s="12" t="s">
        <v>5936</v>
      </c>
      <c r="I2237" s="12" t="s">
        <v>5937</v>
      </c>
      <c r="J2237" s="11" t="s">
        <v>2246</v>
      </c>
      <c r="K2237" s="11" t="s">
        <v>2247</v>
      </c>
      <c r="L2237" s="11" t="s">
        <v>5893</v>
      </c>
      <c r="M2237" s="11" t="s">
        <v>1854</v>
      </c>
      <c r="N2237" s="12"/>
      <c r="O2237" s="11" t="s">
        <v>1855</v>
      </c>
      <c r="P2237" s="56"/>
    </row>
    <row r="2238" spans="1:16" ht="15.75" customHeight="1" x14ac:dyDescent="0.2">
      <c r="A2238" s="49">
        <v>15885</v>
      </c>
      <c r="B2238" s="11" t="s">
        <v>1848</v>
      </c>
      <c r="C2238" s="11" t="s">
        <v>1849</v>
      </c>
      <c r="D2238" s="6" t="s">
        <v>1850</v>
      </c>
      <c r="E2238" s="12" t="s">
        <v>5888</v>
      </c>
      <c r="F2238" s="12" t="s">
        <v>5889</v>
      </c>
      <c r="G2238" s="12" t="s">
        <v>5902</v>
      </c>
      <c r="H2238" s="12" t="s">
        <v>5932</v>
      </c>
      <c r="I2238" s="12" t="s">
        <v>5938</v>
      </c>
      <c r="J2238" s="11" t="s">
        <v>2246</v>
      </c>
      <c r="K2238" s="11" t="s">
        <v>2247</v>
      </c>
      <c r="L2238" s="11" t="s">
        <v>5893</v>
      </c>
      <c r="M2238" s="11" t="s">
        <v>1854</v>
      </c>
      <c r="N2238" s="12"/>
      <c r="O2238" s="11" t="s">
        <v>1855</v>
      </c>
      <c r="P2238" s="56"/>
    </row>
    <row r="2239" spans="1:16" ht="15.75" customHeight="1" x14ac:dyDescent="0.2">
      <c r="A2239" s="49">
        <v>15892</v>
      </c>
      <c r="B2239" s="11" t="s">
        <v>1848</v>
      </c>
      <c r="C2239" s="11" t="s">
        <v>1849</v>
      </c>
      <c r="D2239" s="6" t="s">
        <v>1850</v>
      </c>
      <c r="E2239" s="12" t="s">
        <v>5888</v>
      </c>
      <c r="F2239" s="12" t="s">
        <v>5889</v>
      </c>
      <c r="G2239" s="12" t="s">
        <v>5902</v>
      </c>
      <c r="H2239" s="12" t="s">
        <v>5939</v>
      </c>
      <c r="I2239" s="12" t="s">
        <v>5940</v>
      </c>
      <c r="J2239" s="11" t="s">
        <v>2246</v>
      </c>
      <c r="K2239" s="11" t="s">
        <v>2247</v>
      </c>
      <c r="L2239" s="11" t="s">
        <v>5893</v>
      </c>
      <c r="M2239" s="11" t="s">
        <v>1854</v>
      </c>
      <c r="N2239" s="12"/>
      <c r="O2239" s="11" t="s">
        <v>1855</v>
      </c>
      <c r="P2239" s="56"/>
    </row>
    <row r="2240" spans="1:16" ht="15.75" customHeight="1" x14ac:dyDescent="0.2">
      <c r="A2240" s="49">
        <v>15807</v>
      </c>
      <c r="B2240" s="11" t="s">
        <v>1848</v>
      </c>
      <c r="C2240" s="11" t="s">
        <v>1849</v>
      </c>
      <c r="D2240" s="6" t="s">
        <v>1850</v>
      </c>
      <c r="E2240" s="12" t="s">
        <v>5888</v>
      </c>
      <c r="F2240" s="12" t="s">
        <v>5889</v>
      </c>
      <c r="G2240" s="12" t="s">
        <v>5902</v>
      </c>
      <c r="H2240" s="12" t="s">
        <v>5941</v>
      </c>
      <c r="I2240" s="12" t="s">
        <v>5942</v>
      </c>
      <c r="J2240" s="11" t="s">
        <v>2246</v>
      </c>
      <c r="K2240" s="11" t="s">
        <v>2247</v>
      </c>
      <c r="L2240" s="11" t="s">
        <v>5893</v>
      </c>
      <c r="M2240" s="11" t="s">
        <v>1854</v>
      </c>
      <c r="N2240" s="12"/>
      <c r="O2240" s="11" t="s">
        <v>1855</v>
      </c>
      <c r="P2240" s="56"/>
    </row>
    <row r="2241" spans="1:16" ht="15.75" customHeight="1" x14ac:dyDescent="0.2">
      <c r="A2241" s="49">
        <v>15802</v>
      </c>
      <c r="B2241" s="11" t="s">
        <v>1848</v>
      </c>
      <c r="C2241" s="11" t="s">
        <v>1849</v>
      </c>
      <c r="D2241" s="6" t="s">
        <v>1850</v>
      </c>
      <c r="E2241" s="12" t="s">
        <v>5888</v>
      </c>
      <c r="F2241" s="12" t="s">
        <v>5889</v>
      </c>
      <c r="G2241" s="12" t="s">
        <v>5894</v>
      </c>
      <c r="H2241" s="12" t="s">
        <v>5900</v>
      </c>
      <c r="I2241" s="12" t="s">
        <v>5943</v>
      </c>
      <c r="J2241" s="11" t="s">
        <v>2246</v>
      </c>
      <c r="K2241" s="11" t="s">
        <v>2247</v>
      </c>
      <c r="L2241" s="11" t="s">
        <v>5893</v>
      </c>
      <c r="M2241" s="11" t="s">
        <v>1854</v>
      </c>
      <c r="N2241" s="12"/>
      <c r="O2241" s="11" t="s">
        <v>1855</v>
      </c>
      <c r="P2241" s="56"/>
    </row>
    <row r="2242" spans="1:16" ht="15.75" customHeight="1" x14ac:dyDescent="0.2">
      <c r="A2242" s="49">
        <v>15895</v>
      </c>
      <c r="B2242" s="11" t="s">
        <v>1848</v>
      </c>
      <c r="C2242" s="11" t="s">
        <v>1849</v>
      </c>
      <c r="D2242" s="6" t="s">
        <v>1850</v>
      </c>
      <c r="E2242" s="12" t="s">
        <v>5888</v>
      </c>
      <c r="F2242" s="12" t="s">
        <v>5889</v>
      </c>
      <c r="G2242" s="12" t="s">
        <v>5902</v>
      </c>
      <c r="H2242" s="12" t="s">
        <v>5944</v>
      </c>
      <c r="I2242" s="12" t="s">
        <v>5945</v>
      </c>
      <c r="J2242" s="11" t="s">
        <v>2246</v>
      </c>
      <c r="K2242" s="11" t="s">
        <v>2247</v>
      </c>
      <c r="L2242" s="11" t="s">
        <v>5893</v>
      </c>
      <c r="M2242" s="11" t="s">
        <v>1854</v>
      </c>
      <c r="N2242" s="12"/>
      <c r="O2242" s="11" t="s">
        <v>1855</v>
      </c>
      <c r="P2242" s="56"/>
    </row>
    <row r="2243" spans="1:16" ht="15.75" customHeight="1" x14ac:dyDescent="0.2">
      <c r="A2243" s="49">
        <v>15496</v>
      </c>
      <c r="B2243" s="11" t="s">
        <v>1848</v>
      </c>
      <c r="C2243" s="11" t="s">
        <v>1849</v>
      </c>
      <c r="D2243" s="6" t="s">
        <v>1850</v>
      </c>
      <c r="E2243" s="12" t="s">
        <v>5888</v>
      </c>
      <c r="F2243" s="12" t="s">
        <v>5889</v>
      </c>
      <c r="G2243" s="12" t="s">
        <v>5894</v>
      </c>
      <c r="H2243" s="12" t="s">
        <v>5912</v>
      </c>
      <c r="I2243" s="12" t="s">
        <v>5946</v>
      </c>
      <c r="J2243" s="11" t="s">
        <v>2246</v>
      </c>
      <c r="K2243" s="11" t="s">
        <v>2247</v>
      </c>
      <c r="L2243" s="11" t="s">
        <v>5893</v>
      </c>
      <c r="M2243" s="11" t="s">
        <v>1854</v>
      </c>
      <c r="N2243" s="12"/>
      <c r="O2243" s="11" t="s">
        <v>1855</v>
      </c>
      <c r="P2243" s="56"/>
    </row>
    <row r="2244" spans="1:16" ht="15.75" customHeight="1" x14ac:dyDescent="0.2">
      <c r="A2244" s="49">
        <v>15523</v>
      </c>
      <c r="B2244" s="11" t="s">
        <v>1848</v>
      </c>
      <c r="C2244" s="11" t="s">
        <v>1849</v>
      </c>
      <c r="D2244" s="6" t="s">
        <v>1850</v>
      </c>
      <c r="E2244" s="12" t="s">
        <v>5888</v>
      </c>
      <c r="F2244" s="12" t="s">
        <v>5889</v>
      </c>
      <c r="G2244" s="12" t="s">
        <v>5894</v>
      </c>
      <c r="H2244" s="12" t="s">
        <v>5912</v>
      </c>
      <c r="I2244" s="12" t="s">
        <v>5947</v>
      </c>
      <c r="J2244" s="11" t="s">
        <v>2246</v>
      </c>
      <c r="K2244" s="11" t="s">
        <v>2247</v>
      </c>
      <c r="L2244" s="11" t="s">
        <v>5893</v>
      </c>
      <c r="M2244" s="11" t="s">
        <v>1854</v>
      </c>
      <c r="N2244" s="12"/>
      <c r="O2244" s="11" t="s">
        <v>1855</v>
      </c>
      <c r="P2244" s="56"/>
    </row>
    <row r="2245" spans="1:16" ht="15.75" customHeight="1" x14ac:dyDescent="0.2">
      <c r="A2245" s="49">
        <v>15508</v>
      </c>
      <c r="B2245" s="11" t="s">
        <v>1848</v>
      </c>
      <c r="C2245" s="11" t="s">
        <v>1849</v>
      </c>
      <c r="D2245" s="6" t="s">
        <v>1850</v>
      </c>
      <c r="E2245" s="12" t="s">
        <v>5888</v>
      </c>
      <c r="F2245" s="12" t="s">
        <v>5889</v>
      </c>
      <c r="G2245" s="12" t="s">
        <v>5897</v>
      </c>
      <c r="H2245" s="12" t="s">
        <v>5910</v>
      </c>
      <c r="I2245" s="12" t="s">
        <v>5948</v>
      </c>
      <c r="J2245" s="11" t="s">
        <v>2246</v>
      </c>
      <c r="K2245" s="11" t="s">
        <v>2247</v>
      </c>
      <c r="L2245" s="11" t="s">
        <v>5893</v>
      </c>
      <c r="M2245" s="11" t="s">
        <v>1854</v>
      </c>
      <c r="N2245" s="12"/>
      <c r="O2245" s="11" t="s">
        <v>1855</v>
      </c>
      <c r="P2245" s="56"/>
    </row>
    <row r="2246" spans="1:16" ht="15.75" customHeight="1" x14ac:dyDescent="0.2">
      <c r="A2246" s="49">
        <v>15886</v>
      </c>
      <c r="B2246" s="11" t="s">
        <v>1848</v>
      </c>
      <c r="C2246" s="11" t="s">
        <v>1849</v>
      </c>
      <c r="D2246" s="6" t="s">
        <v>1850</v>
      </c>
      <c r="E2246" s="12" t="s">
        <v>5888</v>
      </c>
      <c r="F2246" s="12" t="s">
        <v>5889</v>
      </c>
      <c r="G2246" s="12" t="s">
        <v>5890</v>
      </c>
      <c r="H2246" s="12" t="s">
        <v>5949</v>
      </c>
      <c r="I2246" s="12" t="s">
        <v>5950</v>
      </c>
      <c r="J2246" s="11" t="s">
        <v>2246</v>
      </c>
      <c r="K2246" s="11" t="s">
        <v>2247</v>
      </c>
      <c r="L2246" s="11" t="s">
        <v>5893</v>
      </c>
      <c r="M2246" s="11" t="s">
        <v>1854</v>
      </c>
      <c r="N2246" s="12"/>
      <c r="O2246" s="11" t="s">
        <v>1855</v>
      </c>
      <c r="P2246" s="56"/>
    </row>
    <row r="2247" spans="1:16" ht="15.75" customHeight="1" x14ac:dyDescent="0.2">
      <c r="A2247" s="49">
        <v>15881</v>
      </c>
      <c r="B2247" s="11" t="s">
        <v>1848</v>
      </c>
      <c r="C2247" s="11" t="s">
        <v>1849</v>
      </c>
      <c r="D2247" s="6" t="s">
        <v>1850</v>
      </c>
      <c r="E2247" s="12" t="s">
        <v>5888</v>
      </c>
      <c r="F2247" s="12" t="s">
        <v>5889</v>
      </c>
      <c r="G2247" s="12" t="s">
        <v>5902</v>
      </c>
      <c r="H2247" s="12" t="s">
        <v>5951</v>
      </c>
      <c r="I2247" s="12" t="s">
        <v>5952</v>
      </c>
      <c r="J2247" s="11" t="s">
        <v>2246</v>
      </c>
      <c r="K2247" s="11" t="s">
        <v>2247</v>
      </c>
      <c r="L2247" s="11" t="s">
        <v>5893</v>
      </c>
      <c r="M2247" s="11" t="s">
        <v>1854</v>
      </c>
      <c r="N2247" s="12"/>
      <c r="O2247" s="11" t="s">
        <v>1855</v>
      </c>
      <c r="P2247" s="56"/>
    </row>
    <row r="2248" spans="1:16" ht="15.75" customHeight="1" x14ac:dyDescent="0.2">
      <c r="A2248" s="49">
        <v>15513</v>
      </c>
      <c r="B2248" s="11" t="s">
        <v>1848</v>
      </c>
      <c r="C2248" s="11" t="s">
        <v>1849</v>
      </c>
      <c r="D2248" s="6" t="s">
        <v>1850</v>
      </c>
      <c r="E2248" s="12" t="s">
        <v>5888</v>
      </c>
      <c r="F2248" s="12" t="s">
        <v>5889</v>
      </c>
      <c r="G2248" s="12" t="s">
        <v>5894</v>
      </c>
      <c r="H2248" s="12" t="s">
        <v>5929</v>
      </c>
      <c r="I2248" s="12" t="s">
        <v>5953</v>
      </c>
      <c r="J2248" s="11" t="s">
        <v>2246</v>
      </c>
      <c r="K2248" s="11" t="s">
        <v>2247</v>
      </c>
      <c r="L2248" s="11" t="s">
        <v>5893</v>
      </c>
      <c r="M2248" s="11" t="s">
        <v>1854</v>
      </c>
      <c r="N2248" s="12"/>
      <c r="O2248" s="11" t="s">
        <v>1855</v>
      </c>
      <c r="P2248" s="56"/>
    </row>
    <row r="2249" spans="1:16" ht="15.75" customHeight="1" x14ac:dyDescent="0.2">
      <c r="A2249" s="49">
        <v>15490</v>
      </c>
      <c r="B2249" s="11" t="s">
        <v>1848</v>
      </c>
      <c r="C2249" s="11" t="s">
        <v>1849</v>
      </c>
      <c r="D2249" s="6" t="s">
        <v>1850</v>
      </c>
      <c r="E2249" s="12" t="s">
        <v>5888</v>
      </c>
      <c r="F2249" s="12" t="s">
        <v>5889</v>
      </c>
      <c r="G2249" s="12" t="s">
        <v>5894</v>
      </c>
      <c r="H2249" s="12" t="s">
        <v>5919</v>
      </c>
      <c r="I2249" s="12" t="s">
        <v>5954</v>
      </c>
      <c r="J2249" s="11" t="s">
        <v>2246</v>
      </c>
      <c r="K2249" s="11" t="s">
        <v>2247</v>
      </c>
      <c r="L2249" s="11" t="s">
        <v>5893</v>
      </c>
      <c r="M2249" s="11" t="s">
        <v>1854</v>
      </c>
      <c r="N2249" s="12"/>
      <c r="O2249" s="11" t="s">
        <v>1855</v>
      </c>
      <c r="P2249" s="56"/>
    </row>
    <row r="2250" spans="1:16" ht="15.75" customHeight="1" x14ac:dyDescent="0.2">
      <c r="A2250" s="49">
        <v>15514</v>
      </c>
      <c r="B2250" s="11" t="s">
        <v>1848</v>
      </c>
      <c r="C2250" s="11" t="s">
        <v>1849</v>
      </c>
      <c r="D2250" s="6" t="s">
        <v>1850</v>
      </c>
      <c r="E2250" s="12" t="s">
        <v>5888</v>
      </c>
      <c r="F2250" s="12" t="s">
        <v>5889</v>
      </c>
      <c r="G2250" s="12" t="s">
        <v>5894</v>
      </c>
      <c r="H2250" s="12" t="s">
        <v>5929</v>
      </c>
      <c r="I2250" s="12" t="s">
        <v>5955</v>
      </c>
      <c r="J2250" s="11" t="s">
        <v>2246</v>
      </c>
      <c r="K2250" s="11" t="s">
        <v>2247</v>
      </c>
      <c r="L2250" s="11" t="s">
        <v>5893</v>
      </c>
      <c r="M2250" s="11" t="s">
        <v>1854</v>
      </c>
      <c r="N2250" s="12"/>
      <c r="O2250" s="11" t="s">
        <v>1855</v>
      </c>
      <c r="P2250" s="56"/>
    </row>
    <row r="2251" spans="1:16" ht="15.75" customHeight="1" x14ac:dyDescent="0.2">
      <c r="A2251" s="49">
        <v>15870</v>
      </c>
      <c r="B2251" s="11" t="s">
        <v>1848</v>
      </c>
      <c r="C2251" s="11" t="s">
        <v>1849</v>
      </c>
      <c r="D2251" s="6" t="s">
        <v>1850</v>
      </c>
      <c r="E2251" s="12" t="s">
        <v>5888</v>
      </c>
      <c r="F2251" s="12" t="s">
        <v>5889</v>
      </c>
      <c r="G2251" s="12" t="s">
        <v>5897</v>
      </c>
      <c r="H2251" s="12" t="s">
        <v>5910</v>
      </c>
      <c r="I2251" s="12" t="s">
        <v>5956</v>
      </c>
      <c r="J2251" s="11" t="s">
        <v>2246</v>
      </c>
      <c r="K2251" s="11" t="s">
        <v>2247</v>
      </c>
      <c r="L2251" s="11" t="s">
        <v>5893</v>
      </c>
      <c r="M2251" s="11" t="s">
        <v>1854</v>
      </c>
      <c r="N2251" s="12"/>
      <c r="O2251" s="11" t="s">
        <v>1855</v>
      </c>
      <c r="P2251" s="56"/>
    </row>
    <row r="2252" spans="1:16" ht="15.75" customHeight="1" x14ac:dyDescent="0.2">
      <c r="A2252" s="49">
        <v>15871</v>
      </c>
      <c r="B2252" s="11" t="s">
        <v>1848</v>
      </c>
      <c r="C2252" s="11" t="s">
        <v>1849</v>
      </c>
      <c r="D2252" s="6" t="s">
        <v>1850</v>
      </c>
      <c r="E2252" s="12" t="s">
        <v>5888</v>
      </c>
      <c r="F2252" s="12" t="s">
        <v>5889</v>
      </c>
      <c r="G2252" s="12" t="s">
        <v>5890</v>
      </c>
      <c r="H2252" s="12" t="s">
        <v>5703</v>
      </c>
      <c r="I2252" s="12" t="s">
        <v>5957</v>
      </c>
      <c r="J2252" s="11" t="s">
        <v>2246</v>
      </c>
      <c r="K2252" s="11" t="s">
        <v>2247</v>
      </c>
      <c r="L2252" s="11" t="s">
        <v>5893</v>
      </c>
      <c r="M2252" s="11" t="s">
        <v>1854</v>
      </c>
      <c r="N2252" s="12"/>
      <c r="O2252" s="11" t="s">
        <v>1855</v>
      </c>
      <c r="P2252" s="56"/>
    </row>
    <row r="2253" spans="1:16" ht="15.75" customHeight="1" x14ac:dyDescent="0.2">
      <c r="A2253" s="49">
        <v>15511</v>
      </c>
      <c r="B2253" s="11" t="s">
        <v>1848</v>
      </c>
      <c r="C2253" s="11" t="s">
        <v>1849</v>
      </c>
      <c r="D2253" s="6" t="s">
        <v>1850</v>
      </c>
      <c r="E2253" s="12" t="s">
        <v>5888</v>
      </c>
      <c r="F2253" s="12" t="s">
        <v>5889</v>
      </c>
      <c r="G2253" s="12" t="s">
        <v>5890</v>
      </c>
      <c r="H2253" s="12" t="s">
        <v>5958</v>
      </c>
      <c r="I2253" s="12" t="s">
        <v>5959</v>
      </c>
      <c r="J2253" s="11" t="s">
        <v>2246</v>
      </c>
      <c r="K2253" s="11" t="s">
        <v>2247</v>
      </c>
      <c r="L2253" s="11" t="s">
        <v>5893</v>
      </c>
      <c r="M2253" s="11" t="s">
        <v>1854</v>
      </c>
      <c r="N2253" s="12"/>
      <c r="O2253" s="11" t="s">
        <v>1855</v>
      </c>
      <c r="P2253" s="56"/>
    </row>
    <row r="2254" spans="1:16" ht="15.75" customHeight="1" x14ac:dyDescent="0.2">
      <c r="A2254" s="49">
        <v>15875</v>
      </c>
      <c r="B2254" s="11" t="s">
        <v>1848</v>
      </c>
      <c r="C2254" s="11" t="s">
        <v>1849</v>
      </c>
      <c r="D2254" s="6" t="s">
        <v>1850</v>
      </c>
      <c r="E2254" s="12" t="s">
        <v>5888</v>
      </c>
      <c r="F2254" s="12" t="s">
        <v>5889</v>
      </c>
      <c r="G2254" s="12" t="s">
        <v>5890</v>
      </c>
      <c r="H2254" s="12" t="s">
        <v>5960</v>
      </c>
      <c r="I2254" s="12" t="s">
        <v>5961</v>
      </c>
      <c r="J2254" s="11" t="s">
        <v>2246</v>
      </c>
      <c r="K2254" s="11" t="s">
        <v>2247</v>
      </c>
      <c r="L2254" s="11" t="s">
        <v>5893</v>
      </c>
      <c r="M2254" s="11" t="s">
        <v>1854</v>
      </c>
      <c r="N2254" s="12"/>
      <c r="O2254" s="11" t="s">
        <v>1855</v>
      </c>
      <c r="P2254" s="56"/>
    </row>
    <row r="2255" spans="1:16" ht="15.75" customHeight="1" x14ac:dyDescent="0.2">
      <c r="A2255" s="49">
        <v>15517</v>
      </c>
      <c r="B2255" s="11" t="s">
        <v>1848</v>
      </c>
      <c r="C2255" s="11" t="s">
        <v>1849</v>
      </c>
      <c r="D2255" s="6" t="s">
        <v>1850</v>
      </c>
      <c r="E2255" s="12" t="s">
        <v>5888</v>
      </c>
      <c r="F2255" s="12" t="s">
        <v>5889</v>
      </c>
      <c r="G2255" s="12" t="s">
        <v>5897</v>
      </c>
      <c r="H2255" s="12" t="s">
        <v>5962</v>
      </c>
      <c r="I2255" s="12" t="s">
        <v>5963</v>
      </c>
      <c r="J2255" s="11" t="s">
        <v>2246</v>
      </c>
      <c r="K2255" s="11" t="s">
        <v>2247</v>
      </c>
      <c r="L2255" s="11" t="s">
        <v>5893</v>
      </c>
      <c r="M2255" s="11" t="s">
        <v>1854</v>
      </c>
      <c r="N2255" s="12"/>
      <c r="O2255" s="11" t="s">
        <v>1855</v>
      </c>
      <c r="P2255" s="56"/>
    </row>
    <row r="2256" spans="1:16" ht="15.75" customHeight="1" x14ac:dyDescent="0.2">
      <c r="A2256" s="49">
        <v>15512</v>
      </c>
      <c r="B2256" s="11" t="s">
        <v>1848</v>
      </c>
      <c r="C2256" s="11" t="s">
        <v>1849</v>
      </c>
      <c r="D2256" s="6" t="s">
        <v>1850</v>
      </c>
      <c r="E2256" s="12" t="s">
        <v>5888</v>
      </c>
      <c r="F2256" s="12" t="s">
        <v>5889</v>
      </c>
      <c r="G2256" s="12" t="s">
        <v>5902</v>
      </c>
      <c r="H2256" s="12" t="s">
        <v>5951</v>
      </c>
      <c r="I2256" s="12" t="s">
        <v>5964</v>
      </c>
      <c r="J2256" s="11" t="s">
        <v>2246</v>
      </c>
      <c r="K2256" s="11" t="s">
        <v>2247</v>
      </c>
      <c r="L2256" s="11" t="s">
        <v>5893</v>
      </c>
      <c r="M2256" s="11" t="s">
        <v>1854</v>
      </c>
      <c r="N2256" s="12"/>
      <c r="O2256" s="11" t="s">
        <v>1855</v>
      </c>
      <c r="P2256" s="56"/>
    </row>
    <row r="2257" spans="1:16" ht="15.75" customHeight="1" x14ac:dyDescent="0.2">
      <c r="A2257" s="49">
        <v>15876</v>
      </c>
      <c r="B2257" s="11" t="s">
        <v>1848</v>
      </c>
      <c r="C2257" s="11" t="s">
        <v>1849</v>
      </c>
      <c r="D2257" s="6" t="s">
        <v>1850</v>
      </c>
      <c r="E2257" s="12" t="s">
        <v>5888</v>
      </c>
      <c r="F2257" s="12" t="s">
        <v>5889</v>
      </c>
      <c r="G2257" s="12" t="s">
        <v>5890</v>
      </c>
      <c r="H2257" s="12" t="s">
        <v>5965</v>
      </c>
      <c r="I2257" s="12" t="s">
        <v>5966</v>
      </c>
      <c r="J2257" s="11" t="s">
        <v>2246</v>
      </c>
      <c r="K2257" s="11" t="s">
        <v>2247</v>
      </c>
      <c r="L2257" s="11" t="s">
        <v>5893</v>
      </c>
      <c r="M2257" s="11" t="s">
        <v>1854</v>
      </c>
      <c r="N2257" s="12"/>
      <c r="O2257" s="11" t="s">
        <v>1855</v>
      </c>
      <c r="P2257" s="56"/>
    </row>
    <row r="2258" spans="1:16" ht="15.75" customHeight="1" x14ac:dyDescent="0.2">
      <c r="A2258" s="49">
        <v>15889</v>
      </c>
      <c r="B2258" s="11" t="s">
        <v>1848</v>
      </c>
      <c r="C2258" s="11" t="s">
        <v>1849</v>
      </c>
      <c r="D2258" s="6" t="s">
        <v>1850</v>
      </c>
      <c r="E2258" s="12" t="s">
        <v>5888</v>
      </c>
      <c r="F2258" s="12" t="s">
        <v>5889</v>
      </c>
      <c r="G2258" s="12" t="s">
        <v>5890</v>
      </c>
      <c r="H2258" s="12" t="s">
        <v>5967</v>
      </c>
      <c r="I2258" s="12" t="s">
        <v>5968</v>
      </c>
      <c r="J2258" s="11" t="s">
        <v>2246</v>
      </c>
      <c r="K2258" s="11" t="s">
        <v>2247</v>
      </c>
      <c r="L2258" s="11" t="s">
        <v>5893</v>
      </c>
      <c r="M2258" s="11" t="s">
        <v>1854</v>
      </c>
      <c r="N2258" s="12"/>
      <c r="O2258" s="11" t="s">
        <v>1855</v>
      </c>
      <c r="P2258" s="56"/>
    </row>
    <row r="2259" spans="1:16" ht="15.75" customHeight="1" x14ac:dyDescent="0.2">
      <c r="A2259" s="49">
        <v>15859</v>
      </c>
      <c r="B2259" s="11" t="s">
        <v>1848</v>
      </c>
      <c r="C2259" s="11" t="s">
        <v>1849</v>
      </c>
      <c r="D2259" s="6" t="s">
        <v>1850</v>
      </c>
      <c r="E2259" s="12" t="s">
        <v>5888</v>
      </c>
      <c r="F2259" s="12" t="s">
        <v>5889</v>
      </c>
      <c r="G2259" s="12" t="s">
        <v>5894</v>
      </c>
      <c r="H2259" s="12" t="s">
        <v>5925</v>
      </c>
      <c r="I2259" s="12" t="s">
        <v>5969</v>
      </c>
      <c r="J2259" s="11" t="s">
        <v>2246</v>
      </c>
      <c r="K2259" s="11" t="s">
        <v>2247</v>
      </c>
      <c r="L2259" s="11" t="s">
        <v>5893</v>
      </c>
      <c r="M2259" s="11" t="s">
        <v>1854</v>
      </c>
      <c r="N2259" s="12"/>
      <c r="O2259" s="11" t="s">
        <v>1855</v>
      </c>
      <c r="P2259" s="56"/>
    </row>
    <row r="2260" spans="1:16" ht="15.75" customHeight="1" x14ac:dyDescent="0.2">
      <c r="A2260" s="49">
        <v>15806</v>
      </c>
      <c r="B2260" s="11" t="s">
        <v>1848</v>
      </c>
      <c r="C2260" s="11" t="s">
        <v>1849</v>
      </c>
      <c r="D2260" s="6" t="s">
        <v>1850</v>
      </c>
      <c r="E2260" s="12" t="s">
        <v>5888</v>
      </c>
      <c r="F2260" s="12" t="s">
        <v>5889</v>
      </c>
      <c r="G2260" s="12" t="s">
        <v>5902</v>
      </c>
      <c r="H2260" s="12" t="s">
        <v>5903</v>
      </c>
      <c r="I2260" s="12" t="s">
        <v>5970</v>
      </c>
      <c r="J2260" s="11" t="s">
        <v>2246</v>
      </c>
      <c r="K2260" s="11" t="s">
        <v>2247</v>
      </c>
      <c r="L2260" s="11" t="s">
        <v>5893</v>
      </c>
      <c r="M2260" s="11" t="s">
        <v>1854</v>
      </c>
      <c r="N2260" s="12"/>
      <c r="O2260" s="11" t="s">
        <v>1855</v>
      </c>
      <c r="P2260" s="56"/>
    </row>
    <row r="2261" spans="1:16" ht="15.75" customHeight="1" x14ac:dyDescent="0.2">
      <c r="A2261" s="49">
        <v>15857</v>
      </c>
      <c r="B2261" s="11" t="s">
        <v>1848</v>
      </c>
      <c r="C2261" s="11" t="s">
        <v>1849</v>
      </c>
      <c r="D2261" s="6" t="s">
        <v>1850</v>
      </c>
      <c r="E2261" s="12" t="s">
        <v>5888</v>
      </c>
      <c r="F2261" s="12" t="s">
        <v>5889</v>
      </c>
      <c r="G2261" s="12" t="s">
        <v>5894</v>
      </c>
      <c r="H2261" s="12" t="s">
        <v>5905</v>
      </c>
      <c r="I2261" s="12" t="s">
        <v>5971</v>
      </c>
      <c r="J2261" s="11" t="s">
        <v>2246</v>
      </c>
      <c r="K2261" s="11" t="s">
        <v>2247</v>
      </c>
      <c r="L2261" s="11" t="s">
        <v>5893</v>
      </c>
      <c r="M2261" s="11" t="s">
        <v>1854</v>
      </c>
      <c r="N2261" s="12"/>
      <c r="O2261" s="11" t="s">
        <v>1855</v>
      </c>
      <c r="P2261" s="56"/>
    </row>
    <row r="2262" spans="1:16" ht="15.75" customHeight="1" x14ac:dyDescent="0.2">
      <c r="A2262" s="49">
        <v>15884</v>
      </c>
      <c r="B2262" s="11" t="s">
        <v>1848</v>
      </c>
      <c r="C2262" s="11" t="s">
        <v>1849</v>
      </c>
      <c r="D2262" s="6" t="s">
        <v>1850</v>
      </c>
      <c r="E2262" s="12" t="s">
        <v>5888</v>
      </c>
      <c r="F2262" s="12" t="s">
        <v>5889</v>
      </c>
      <c r="G2262" s="12" t="s">
        <v>5902</v>
      </c>
      <c r="H2262" s="12" t="s">
        <v>5903</v>
      </c>
      <c r="I2262" s="12" t="s">
        <v>5972</v>
      </c>
      <c r="J2262" s="11" t="s">
        <v>2246</v>
      </c>
      <c r="K2262" s="11" t="s">
        <v>2247</v>
      </c>
      <c r="L2262" s="11" t="s">
        <v>5893</v>
      </c>
      <c r="M2262" s="11" t="s">
        <v>1854</v>
      </c>
      <c r="N2262" s="12"/>
      <c r="O2262" s="11" t="s">
        <v>1855</v>
      </c>
      <c r="P2262" s="56"/>
    </row>
    <row r="2263" spans="1:16" ht="15.75" customHeight="1" x14ac:dyDescent="0.2">
      <c r="A2263" s="49">
        <v>15524</v>
      </c>
      <c r="B2263" s="11" t="s">
        <v>1848</v>
      </c>
      <c r="C2263" s="11" t="s">
        <v>1849</v>
      </c>
      <c r="D2263" s="6" t="s">
        <v>1850</v>
      </c>
      <c r="E2263" s="12" t="s">
        <v>5888</v>
      </c>
      <c r="F2263" s="12" t="s">
        <v>5889</v>
      </c>
      <c r="G2263" s="12" t="s">
        <v>5902</v>
      </c>
      <c r="H2263" s="12" t="s">
        <v>5951</v>
      </c>
      <c r="I2263" s="12" t="s">
        <v>5973</v>
      </c>
      <c r="J2263" s="11" t="s">
        <v>2246</v>
      </c>
      <c r="K2263" s="11" t="s">
        <v>2247</v>
      </c>
      <c r="L2263" s="11" t="s">
        <v>5893</v>
      </c>
      <c r="M2263" s="11" t="s">
        <v>1854</v>
      </c>
      <c r="N2263" s="12"/>
      <c r="O2263" s="11" t="s">
        <v>1855</v>
      </c>
      <c r="P2263" s="56"/>
    </row>
    <row r="2264" spans="1:16" ht="15.75" customHeight="1" x14ac:dyDescent="0.2">
      <c r="A2264" s="49">
        <v>15492</v>
      </c>
      <c r="B2264" s="11" t="s">
        <v>1848</v>
      </c>
      <c r="C2264" s="11" t="s">
        <v>1849</v>
      </c>
      <c r="D2264" s="6" t="s">
        <v>1850</v>
      </c>
      <c r="E2264" s="12" t="s">
        <v>5888</v>
      </c>
      <c r="F2264" s="12" t="s">
        <v>5889</v>
      </c>
      <c r="G2264" s="12" t="s">
        <v>5897</v>
      </c>
      <c r="H2264" s="12" t="s">
        <v>5962</v>
      </c>
      <c r="I2264" s="12" t="s">
        <v>5974</v>
      </c>
      <c r="J2264" s="11" t="s">
        <v>2246</v>
      </c>
      <c r="K2264" s="11" t="s">
        <v>2247</v>
      </c>
      <c r="L2264" s="11" t="s">
        <v>5893</v>
      </c>
      <c r="M2264" s="11" t="s">
        <v>1854</v>
      </c>
      <c r="N2264" s="12"/>
      <c r="O2264" s="11" t="s">
        <v>1855</v>
      </c>
      <c r="P2264" s="56"/>
    </row>
    <row r="2265" spans="1:16" ht="15.75" customHeight="1" x14ac:dyDescent="0.2">
      <c r="A2265" s="49">
        <v>15891</v>
      </c>
      <c r="B2265" s="11" t="s">
        <v>1848</v>
      </c>
      <c r="C2265" s="11" t="s">
        <v>1849</v>
      </c>
      <c r="D2265" s="6" t="s">
        <v>1850</v>
      </c>
      <c r="E2265" s="12" t="s">
        <v>5888</v>
      </c>
      <c r="F2265" s="12" t="s">
        <v>5889</v>
      </c>
      <c r="G2265" s="12" t="s">
        <v>5894</v>
      </c>
      <c r="H2265" s="12" t="s">
        <v>5905</v>
      </c>
      <c r="I2265" s="12" t="s">
        <v>5975</v>
      </c>
      <c r="J2265" s="11" t="s">
        <v>2246</v>
      </c>
      <c r="K2265" s="11" t="s">
        <v>2247</v>
      </c>
      <c r="L2265" s="11" t="s">
        <v>5893</v>
      </c>
      <c r="M2265" s="11" t="s">
        <v>1854</v>
      </c>
      <c r="N2265" s="12"/>
      <c r="O2265" s="11" t="s">
        <v>1855</v>
      </c>
      <c r="P2265" s="56"/>
    </row>
    <row r="2266" spans="1:16" ht="15.75" customHeight="1" x14ac:dyDescent="0.2">
      <c r="A2266" s="49">
        <v>15809</v>
      </c>
      <c r="B2266" s="11" t="s">
        <v>1848</v>
      </c>
      <c r="C2266" s="11" t="s">
        <v>1849</v>
      </c>
      <c r="D2266" s="6" t="s">
        <v>1850</v>
      </c>
      <c r="E2266" s="12" t="s">
        <v>5888</v>
      </c>
      <c r="F2266" s="12" t="s">
        <v>5889</v>
      </c>
      <c r="G2266" s="12" t="s">
        <v>5894</v>
      </c>
      <c r="H2266" s="12" t="s">
        <v>5929</v>
      </c>
      <c r="I2266" s="12" t="s">
        <v>5976</v>
      </c>
      <c r="J2266" s="11" t="s">
        <v>2246</v>
      </c>
      <c r="K2266" s="11" t="s">
        <v>2247</v>
      </c>
      <c r="L2266" s="11" t="s">
        <v>5893</v>
      </c>
      <c r="M2266" s="11" t="s">
        <v>1854</v>
      </c>
      <c r="N2266" s="12"/>
      <c r="O2266" s="11" t="s">
        <v>1855</v>
      </c>
      <c r="P2266" s="56"/>
    </row>
    <row r="2267" spans="1:16" ht="15.75" customHeight="1" x14ac:dyDescent="0.2">
      <c r="A2267" s="49">
        <v>15498</v>
      </c>
      <c r="B2267" s="11" t="s">
        <v>1848</v>
      </c>
      <c r="C2267" s="11" t="s">
        <v>1849</v>
      </c>
      <c r="D2267" s="6" t="s">
        <v>1850</v>
      </c>
      <c r="E2267" s="12" t="s">
        <v>5888</v>
      </c>
      <c r="F2267" s="12" t="s">
        <v>5889</v>
      </c>
      <c r="G2267" s="12" t="s">
        <v>5902</v>
      </c>
      <c r="H2267" s="12" t="s">
        <v>5932</v>
      </c>
      <c r="I2267" s="12" t="s">
        <v>5977</v>
      </c>
      <c r="J2267" s="11" t="s">
        <v>2246</v>
      </c>
      <c r="K2267" s="11" t="s">
        <v>2247</v>
      </c>
      <c r="L2267" s="11" t="s">
        <v>5893</v>
      </c>
      <c r="M2267" s="11" t="s">
        <v>1854</v>
      </c>
      <c r="N2267" s="12"/>
      <c r="O2267" s="11" t="s">
        <v>1855</v>
      </c>
      <c r="P2267" s="56"/>
    </row>
    <row r="2268" spans="1:16" ht="15.75" customHeight="1" x14ac:dyDescent="0.2">
      <c r="A2268" s="49">
        <v>15883</v>
      </c>
      <c r="B2268" s="11" t="s">
        <v>1848</v>
      </c>
      <c r="C2268" s="11" t="s">
        <v>1849</v>
      </c>
      <c r="D2268" s="6" t="s">
        <v>1850</v>
      </c>
      <c r="E2268" s="12" t="s">
        <v>5888</v>
      </c>
      <c r="F2268" s="12" t="s">
        <v>5889</v>
      </c>
      <c r="G2268" s="12" t="s">
        <v>5894</v>
      </c>
      <c r="H2268" s="12" t="s">
        <v>5912</v>
      </c>
      <c r="I2268" s="12" t="s">
        <v>5978</v>
      </c>
      <c r="J2268" s="11" t="s">
        <v>2246</v>
      </c>
      <c r="K2268" s="11" t="s">
        <v>2247</v>
      </c>
      <c r="L2268" s="11" t="s">
        <v>5893</v>
      </c>
      <c r="M2268" s="11" t="s">
        <v>1854</v>
      </c>
      <c r="N2268" s="12"/>
      <c r="O2268" s="11" t="s">
        <v>1855</v>
      </c>
      <c r="P2268" s="56"/>
    </row>
    <row r="2269" spans="1:16" ht="15.75" customHeight="1" x14ac:dyDescent="0.2">
      <c r="A2269" s="49">
        <v>15509</v>
      </c>
      <c r="B2269" s="11" t="s">
        <v>1848</v>
      </c>
      <c r="C2269" s="11" t="s">
        <v>1849</v>
      </c>
      <c r="D2269" s="6" t="s">
        <v>1850</v>
      </c>
      <c r="E2269" s="12" t="s">
        <v>5888</v>
      </c>
      <c r="F2269" s="12" t="s">
        <v>5889</v>
      </c>
      <c r="G2269" s="12" t="s">
        <v>5902</v>
      </c>
      <c r="H2269" s="12" t="s">
        <v>5903</v>
      </c>
      <c r="I2269" s="12" t="s">
        <v>5979</v>
      </c>
      <c r="J2269" s="11" t="s">
        <v>2246</v>
      </c>
      <c r="K2269" s="11" t="s">
        <v>2247</v>
      </c>
      <c r="L2269" s="11" t="s">
        <v>5893</v>
      </c>
      <c r="M2269" s="11" t="s">
        <v>1854</v>
      </c>
      <c r="N2269" s="12"/>
      <c r="O2269" s="11" t="s">
        <v>1855</v>
      </c>
      <c r="P2269" s="56"/>
    </row>
    <row r="2270" spans="1:16" ht="15.75" customHeight="1" x14ac:dyDescent="0.2">
      <c r="A2270" s="49">
        <v>15866</v>
      </c>
      <c r="B2270" s="11" t="s">
        <v>1848</v>
      </c>
      <c r="C2270" s="11" t="s">
        <v>1849</v>
      </c>
      <c r="D2270" s="6" t="s">
        <v>1850</v>
      </c>
      <c r="E2270" s="12" t="s">
        <v>5888</v>
      </c>
      <c r="F2270" s="12" t="s">
        <v>5889</v>
      </c>
      <c r="G2270" s="12" t="s">
        <v>5890</v>
      </c>
      <c r="H2270" s="12" t="s">
        <v>5965</v>
      </c>
      <c r="I2270" s="12" t="s">
        <v>5980</v>
      </c>
      <c r="J2270" s="11" t="s">
        <v>2246</v>
      </c>
      <c r="K2270" s="11" t="s">
        <v>2247</v>
      </c>
      <c r="L2270" s="11" t="s">
        <v>5893</v>
      </c>
      <c r="M2270" s="11" t="s">
        <v>1854</v>
      </c>
      <c r="N2270" s="12"/>
      <c r="O2270" s="11" t="s">
        <v>1855</v>
      </c>
      <c r="P2270" s="56"/>
    </row>
    <row r="2271" spans="1:16" ht="15.75" customHeight="1" x14ac:dyDescent="0.2">
      <c r="A2271" s="49">
        <v>15505</v>
      </c>
      <c r="B2271" s="11" t="s">
        <v>1848</v>
      </c>
      <c r="C2271" s="11" t="s">
        <v>1849</v>
      </c>
      <c r="D2271" s="6" t="s">
        <v>1850</v>
      </c>
      <c r="E2271" s="12" t="s">
        <v>5888</v>
      </c>
      <c r="F2271" s="12" t="s">
        <v>5889</v>
      </c>
      <c r="G2271" s="12" t="s">
        <v>5894</v>
      </c>
      <c r="H2271" s="12" t="s">
        <v>5895</v>
      </c>
      <c r="I2271" s="12" t="s">
        <v>5981</v>
      </c>
      <c r="J2271" s="11" t="s">
        <v>2246</v>
      </c>
      <c r="K2271" s="11" t="s">
        <v>2247</v>
      </c>
      <c r="L2271" s="11" t="s">
        <v>5893</v>
      </c>
      <c r="M2271" s="11" t="s">
        <v>1854</v>
      </c>
      <c r="N2271" s="12"/>
      <c r="O2271" s="11" t="s">
        <v>1855</v>
      </c>
      <c r="P2271" s="56"/>
    </row>
    <row r="2272" spans="1:16" ht="15.75" customHeight="1" x14ac:dyDescent="0.2">
      <c r="A2272" s="49">
        <v>15879</v>
      </c>
      <c r="B2272" s="11" t="s">
        <v>1848</v>
      </c>
      <c r="C2272" s="11" t="s">
        <v>1849</v>
      </c>
      <c r="D2272" s="6" t="s">
        <v>1850</v>
      </c>
      <c r="E2272" s="12" t="s">
        <v>5888</v>
      </c>
      <c r="F2272" s="12" t="s">
        <v>5889</v>
      </c>
      <c r="G2272" s="12" t="s">
        <v>5894</v>
      </c>
      <c r="H2272" s="12" t="s">
        <v>5929</v>
      </c>
      <c r="I2272" s="12" t="s">
        <v>5982</v>
      </c>
      <c r="J2272" s="11" t="s">
        <v>2246</v>
      </c>
      <c r="K2272" s="11" t="s">
        <v>2247</v>
      </c>
      <c r="L2272" s="11" t="s">
        <v>5893</v>
      </c>
      <c r="M2272" s="11" t="s">
        <v>1854</v>
      </c>
      <c r="N2272" s="12"/>
      <c r="O2272" s="11" t="s">
        <v>1855</v>
      </c>
      <c r="P2272" s="56"/>
    </row>
    <row r="2273" spans="1:16" ht="15.75" customHeight="1" x14ac:dyDescent="0.2">
      <c r="A2273" s="49">
        <v>15811</v>
      </c>
      <c r="B2273" s="11" t="s">
        <v>1848</v>
      </c>
      <c r="C2273" s="11" t="s">
        <v>1849</v>
      </c>
      <c r="D2273" s="6" t="s">
        <v>1850</v>
      </c>
      <c r="E2273" s="12" t="s">
        <v>5888</v>
      </c>
      <c r="F2273" s="12" t="s">
        <v>5889</v>
      </c>
      <c r="G2273" s="12" t="s">
        <v>5902</v>
      </c>
      <c r="H2273" s="12" t="s">
        <v>5939</v>
      </c>
      <c r="I2273" s="12" t="s">
        <v>5983</v>
      </c>
      <c r="J2273" s="11" t="s">
        <v>2246</v>
      </c>
      <c r="K2273" s="11" t="s">
        <v>2247</v>
      </c>
      <c r="L2273" s="11" t="s">
        <v>5893</v>
      </c>
      <c r="M2273" s="11" t="s">
        <v>1854</v>
      </c>
      <c r="N2273" s="12"/>
      <c r="O2273" s="11" t="s">
        <v>1855</v>
      </c>
      <c r="P2273" s="56"/>
    </row>
    <row r="2274" spans="1:16" ht="15.75" customHeight="1" x14ac:dyDescent="0.2">
      <c r="A2274" s="49">
        <v>15862</v>
      </c>
      <c r="B2274" s="11" t="s">
        <v>1848</v>
      </c>
      <c r="C2274" s="11" t="s">
        <v>1849</v>
      </c>
      <c r="D2274" s="6" t="s">
        <v>1850</v>
      </c>
      <c r="E2274" s="12" t="s">
        <v>5888</v>
      </c>
      <c r="F2274" s="12" t="s">
        <v>5889</v>
      </c>
      <c r="G2274" s="12" t="s">
        <v>5897</v>
      </c>
      <c r="H2274" s="12" t="s">
        <v>5984</v>
      </c>
      <c r="I2274" s="12" t="s">
        <v>5985</v>
      </c>
      <c r="J2274" s="11" t="s">
        <v>2246</v>
      </c>
      <c r="K2274" s="11" t="s">
        <v>2247</v>
      </c>
      <c r="L2274" s="11" t="s">
        <v>5893</v>
      </c>
      <c r="M2274" s="11" t="s">
        <v>1854</v>
      </c>
      <c r="N2274" s="12"/>
      <c r="O2274" s="11" t="s">
        <v>1855</v>
      </c>
      <c r="P2274" s="56"/>
    </row>
    <row r="2275" spans="1:16" ht="15.75" customHeight="1" x14ac:dyDescent="0.2">
      <c r="A2275" s="49">
        <v>15882</v>
      </c>
      <c r="B2275" s="11" t="s">
        <v>1848</v>
      </c>
      <c r="C2275" s="11" t="s">
        <v>1849</v>
      </c>
      <c r="D2275" s="6" t="s">
        <v>1850</v>
      </c>
      <c r="E2275" s="12" t="s">
        <v>5888</v>
      </c>
      <c r="F2275" s="12" t="s">
        <v>5889</v>
      </c>
      <c r="G2275" s="12" t="s">
        <v>5890</v>
      </c>
      <c r="H2275" s="12" t="s">
        <v>5923</v>
      </c>
      <c r="I2275" s="12" t="s">
        <v>5986</v>
      </c>
      <c r="J2275" s="11" t="s">
        <v>2246</v>
      </c>
      <c r="K2275" s="11" t="s">
        <v>2247</v>
      </c>
      <c r="L2275" s="11" t="s">
        <v>5893</v>
      </c>
      <c r="M2275" s="11" t="s">
        <v>1854</v>
      </c>
      <c r="N2275" s="12"/>
      <c r="O2275" s="11" t="s">
        <v>1855</v>
      </c>
      <c r="P2275" s="56"/>
    </row>
    <row r="2276" spans="1:16" ht="15.75" customHeight="1" x14ac:dyDescent="0.2">
      <c r="A2276" s="49">
        <v>15872</v>
      </c>
      <c r="B2276" s="11" t="s">
        <v>1848</v>
      </c>
      <c r="C2276" s="11" t="s">
        <v>1849</v>
      </c>
      <c r="D2276" s="6" t="s">
        <v>1850</v>
      </c>
      <c r="E2276" s="12" t="s">
        <v>5888</v>
      </c>
      <c r="F2276" s="12" t="s">
        <v>5889</v>
      </c>
      <c r="G2276" s="12" t="s">
        <v>5894</v>
      </c>
      <c r="H2276" s="12" t="s">
        <v>5900</v>
      </c>
      <c r="I2276" s="12" t="s">
        <v>5987</v>
      </c>
      <c r="J2276" s="11" t="s">
        <v>2246</v>
      </c>
      <c r="K2276" s="11" t="s">
        <v>2247</v>
      </c>
      <c r="L2276" s="11" t="s">
        <v>5893</v>
      </c>
      <c r="M2276" s="11" t="s">
        <v>1854</v>
      </c>
      <c r="N2276" s="12"/>
      <c r="O2276" s="11" t="s">
        <v>1855</v>
      </c>
      <c r="P2276" s="56"/>
    </row>
    <row r="2277" spans="1:16" ht="15.75" customHeight="1" x14ac:dyDescent="0.2">
      <c r="A2277" s="49">
        <v>15520</v>
      </c>
      <c r="B2277" s="11" t="s">
        <v>1848</v>
      </c>
      <c r="C2277" s="11" t="s">
        <v>1849</v>
      </c>
      <c r="D2277" s="6" t="s">
        <v>1850</v>
      </c>
      <c r="E2277" s="12" t="s">
        <v>5888</v>
      </c>
      <c r="F2277" s="12" t="s">
        <v>5889</v>
      </c>
      <c r="G2277" s="12" t="s">
        <v>5894</v>
      </c>
      <c r="H2277" s="12" t="s">
        <v>5919</v>
      </c>
      <c r="I2277" s="12" t="s">
        <v>5988</v>
      </c>
      <c r="J2277" s="11" t="s">
        <v>2246</v>
      </c>
      <c r="K2277" s="11" t="s">
        <v>2247</v>
      </c>
      <c r="L2277" s="11" t="s">
        <v>5893</v>
      </c>
      <c r="M2277" s="11" t="s">
        <v>1854</v>
      </c>
      <c r="N2277" s="12"/>
      <c r="O2277" s="11" t="s">
        <v>1855</v>
      </c>
      <c r="P2277" s="56"/>
    </row>
    <row r="2278" spans="1:16" ht="15.75" customHeight="1" x14ac:dyDescent="0.2">
      <c r="A2278" s="49">
        <v>15887</v>
      </c>
      <c r="B2278" s="11" t="s">
        <v>1848</v>
      </c>
      <c r="C2278" s="11" t="s">
        <v>1849</v>
      </c>
      <c r="D2278" s="6" t="s">
        <v>1850</v>
      </c>
      <c r="E2278" s="12" t="s">
        <v>5888</v>
      </c>
      <c r="F2278" s="12" t="s">
        <v>5889</v>
      </c>
      <c r="G2278" s="12" t="s">
        <v>5897</v>
      </c>
      <c r="H2278" s="12" t="s">
        <v>5984</v>
      </c>
      <c r="I2278" s="12" t="s">
        <v>5989</v>
      </c>
      <c r="J2278" s="11" t="s">
        <v>2246</v>
      </c>
      <c r="K2278" s="11" t="s">
        <v>2247</v>
      </c>
      <c r="L2278" s="11" t="s">
        <v>5893</v>
      </c>
      <c r="M2278" s="11" t="s">
        <v>1854</v>
      </c>
      <c r="N2278" s="12"/>
      <c r="O2278" s="11" t="s">
        <v>1855</v>
      </c>
      <c r="P2278" s="56"/>
    </row>
    <row r="2279" spans="1:16" ht="15.75" customHeight="1" x14ac:dyDescent="0.2">
      <c r="A2279" s="49">
        <v>15865</v>
      </c>
      <c r="B2279" s="11" t="s">
        <v>1848</v>
      </c>
      <c r="C2279" s="11" t="s">
        <v>1849</v>
      </c>
      <c r="D2279" s="6" t="s">
        <v>1850</v>
      </c>
      <c r="E2279" s="12" t="s">
        <v>5888</v>
      </c>
      <c r="F2279" s="12" t="s">
        <v>5889</v>
      </c>
      <c r="G2279" s="12" t="s">
        <v>5902</v>
      </c>
      <c r="H2279" s="12" t="s">
        <v>5903</v>
      </c>
      <c r="I2279" s="12" t="s">
        <v>5990</v>
      </c>
      <c r="J2279" s="11" t="s">
        <v>2246</v>
      </c>
      <c r="K2279" s="11" t="s">
        <v>2247</v>
      </c>
      <c r="L2279" s="11" t="s">
        <v>5893</v>
      </c>
      <c r="M2279" s="11" t="s">
        <v>1854</v>
      </c>
      <c r="N2279" s="12"/>
      <c r="O2279" s="11" t="s">
        <v>1855</v>
      </c>
      <c r="P2279" s="56"/>
    </row>
    <row r="2280" spans="1:16" ht="15.75" customHeight="1" x14ac:dyDescent="0.2">
      <c r="A2280" s="49">
        <v>15890</v>
      </c>
      <c r="B2280" s="11" t="s">
        <v>1848</v>
      </c>
      <c r="C2280" s="11" t="s">
        <v>1849</v>
      </c>
      <c r="D2280" s="6" t="s">
        <v>1850</v>
      </c>
      <c r="E2280" s="12" t="s">
        <v>5888</v>
      </c>
      <c r="F2280" s="12" t="s">
        <v>5889</v>
      </c>
      <c r="G2280" s="12" t="s">
        <v>5890</v>
      </c>
      <c r="H2280" s="12" t="s">
        <v>5934</v>
      </c>
      <c r="I2280" s="12" t="s">
        <v>5991</v>
      </c>
      <c r="J2280" s="11" t="s">
        <v>2246</v>
      </c>
      <c r="K2280" s="11" t="s">
        <v>2247</v>
      </c>
      <c r="L2280" s="11" t="s">
        <v>5893</v>
      </c>
      <c r="M2280" s="11" t="s">
        <v>1854</v>
      </c>
      <c r="N2280" s="12"/>
      <c r="O2280" s="11" t="s">
        <v>1855</v>
      </c>
      <c r="P2280" s="56"/>
    </row>
    <row r="2281" spans="1:16" ht="15.75" customHeight="1" x14ac:dyDescent="0.2">
      <c r="A2281" s="48">
        <v>16118</v>
      </c>
      <c r="B2281" s="11" t="s">
        <v>1848</v>
      </c>
      <c r="C2281" s="11" t="s">
        <v>1849</v>
      </c>
      <c r="D2281" s="6" t="s">
        <v>1850</v>
      </c>
      <c r="E2281" s="12" t="s">
        <v>5888</v>
      </c>
      <c r="F2281" s="12" t="s">
        <v>5889</v>
      </c>
      <c r="G2281" s="12" t="s">
        <v>5897</v>
      </c>
      <c r="H2281" s="12" t="s">
        <v>5898</v>
      </c>
      <c r="I2281" s="12" t="s">
        <v>5992</v>
      </c>
      <c r="J2281" s="11" t="s">
        <v>2246</v>
      </c>
      <c r="K2281" s="11" t="s">
        <v>2247</v>
      </c>
      <c r="L2281" s="11" t="s">
        <v>5893</v>
      </c>
      <c r="M2281" s="11" t="s">
        <v>1854</v>
      </c>
      <c r="N2281" s="12"/>
      <c r="O2281" s="11" t="s">
        <v>1855</v>
      </c>
      <c r="P2281" s="56"/>
    </row>
    <row r="2282" spans="1:16" ht="15.75" customHeight="1" x14ac:dyDescent="0.2">
      <c r="A2282" s="48">
        <v>4945</v>
      </c>
      <c r="B2282" s="11" t="s">
        <v>1857</v>
      </c>
      <c r="C2282" s="11" t="s">
        <v>1849</v>
      </c>
      <c r="D2282" s="6" t="s">
        <v>1850</v>
      </c>
      <c r="E2282" s="12" t="s">
        <v>5888</v>
      </c>
      <c r="F2282" s="12" t="s">
        <v>5889</v>
      </c>
      <c r="G2282" s="12" t="s">
        <v>5890</v>
      </c>
      <c r="H2282" s="12" t="s">
        <v>5993</v>
      </c>
      <c r="I2282" s="12" t="s">
        <v>5994</v>
      </c>
      <c r="J2282" s="11" t="s">
        <v>2246</v>
      </c>
      <c r="K2282" s="11" t="s">
        <v>2247</v>
      </c>
      <c r="L2282" s="11" t="s">
        <v>5893</v>
      </c>
      <c r="M2282" s="11" t="s">
        <v>5995</v>
      </c>
      <c r="N2282" s="12"/>
      <c r="O2282" s="11" t="s">
        <v>1858</v>
      </c>
      <c r="P2282" s="56"/>
    </row>
    <row r="2283" spans="1:16" ht="15.75" customHeight="1" x14ac:dyDescent="0.2">
      <c r="A2283" s="48">
        <v>1982</v>
      </c>
      <c r="B2283" s="11" t="s">
        <v>1857</v>
      </c>
      <c r="C2283" s="11" t="s">
        <v>1849</v>
      </c>
      <c r="D2283" s="6" t="s">
        <v>1850</v>
      </c>
      <c r="E2283" s="12" t="s">
        <v>5888</v>
      </c>
      <c r="F2283" s="12" t="s">
        <v>5889</v>
      </c>
      <c r="G2283" s="12" t="s">
        <v>5902</v>
      </c>
      <c r="H2283" s="12" t="s">
        <v>5939</v>
      </c>
      <c r="I2283" s="12" t="s">
        <v>5996</v>
      </c>
      <c r="J2283" s="11" t="s">
        <v>2246</v>
      </c>
      <c r="K2283" s="11" t="s">
        <v>2247</v>
      </c>
      <c r="L2283" s="11" t="s">
        <v>5893</v>
      </c>
      <c r="M2283" s="11" t="s">
        <v>5997</v>
      </c>
      <c r="N2283" s="12"/>
      <c r="O2283" s="11" t="s">
        <v>1858</v>
      </c>
      <c r="P2283" s="56"/>
    </row>
    <row r="2284" spans="1:16" ht="15.75" customHeight="1" x14ac:dyDescent="0.2">
      <c r="A2284" s="48">
        <v>2081</v>
      </c>
      <c r="B2284" s="11" t="s">
        <v>1857</v>
      </c>
      <c r="C2284" s="11" t="s">
        <v>1849</v>
      </c>
      <c r="D2284" s="6" t="s">
        <v>1850</v>
      </c>
      <c r="E2284" s="12" t="s">
        <v>5888</v>
      </c>
      <c r="F2284" s="12" t="s">
        <v>5889</v>
      </c>
      <c r="G2284" s="12" t="s">
        <v>5890</v>
      </c>
      <c r="H2284" s="12" t="s">
        <v>5891</v>
      </c>
      <c r="I2284" s="12" t="s">
        <v>5998</v>
      </c>
      <c r="J2284" s="11" t="s">
        <v>2246</v>
      </c>
      <c r="K2284" s="11" t="s">
        <v>2247</v>
      </c>
      <c r="L2284" s="11" t="s">
        <v>5893</v>
      </c>
      <c r="M2284" s="11" t="s">
        <v>5997</v>
      </c>
      <c r="N2284" s="12"/>
      <c r="O2284" s="11" t="s">
        <v>1860</v>
      </c>
      <c r="P2284" s="56"/>
    </row>
    <row r="2285" spans="1:16" ht="15.75" customHeight="1" x14ac:dyDescent="0.2">
      <c r="A2285" s="48">
        <v>5879</v>
      </c>
      <c r="B2285" s="11" t="s">
        <v>1857</v>
      </c>
      <c r="C2285" s="11" t="s">
        <v>1849</v>
      </c>
      <c r="D2285" s="6" t="s">
        <v>1850</v>
      </c>
      <c r="E2285" s="12" t="s">
        <v>5888</v>
      </c>
      <c r="F2285" s="12" t="s">
        <v>5889</v>
      </c>
      <c r="G2285" s="12" t="s">
        <v>5902</v>
      </c>
      <c r="H2285" s="12" t="s">
        <v>5939</v>
      </c>
      <c r="I2285" s="12" t="s">
        <v>5999</v>
      </c>
      <c r="J2285" s="11" t="s">
        <v>2246</v>
      </c>
      <c r="K2285" s="11" t="s">
        <v>2247</v>
      </c>
      <c r="L2285" s="11" t="s">
        <v>5893</v>
      </c>
      <c r="M2285" s="11" t="s">
        <v>1854</v>
      </c>
      <c r="N2285" s="12"/>
      <c r="O2285" s="11" t="s">
        <v>1858</v>
      </c>
      <c r="P2285" s="56"/>
    </row>
    <row r="2286" spans="1:16" ht="15.75" customHeight="1" x14ac:dyDescent="0.2">
      <c r="A2286" s="48">
        <v>5038</v>
      </c>
      <c r="B2286" s="11" t="s">
        <v>1857</v>
      </c>
      <c r="C2286" s="11" t="s">
        <v>1849</v>
      </c>
      <c r="D2286" s="6" t="s">
        <v>1850</v>
      </c>
      <c r="E2286" s="12" t="s">
        <v>5888</v>
      </c>
      <c r="F2286" s="12" t="s">
        <v>5889</v>
      </c>
      <c r="G2286" s="12" t="s">
        <v>5894</v>
      </c>
      <c r="H2286" s="12" t="s">
        <v>5919</v>
      </c>
      <c r="I2286" s="12" t="s">
        <v>6000</v>
      </c>
      <c r="J2286" s="11" t="s">
        <v>2246</v>
      </c>
      <c r="K2286" s="11" t="s">
        <v>2247</v>
      </c>
      <c r="L2286" s="11" t="s">
        <v>5893</v>
      </c>
      <c r="M2286" s="11" t="s">
        <v>5995</v>
      </c>
      <c r="N2286" s="12" t="s">
        <v>6001</v>
      </c>
      <c r="O2286" s="11" t="s">
        <v>1860</v>
      </c>
      <c r="P2286" s="56"/>
    </row>
    <row r="2287" spans="1:16" ht="15.75" customHeight="1" x14ac:dyDescent="0.2">
      <c r="A2287" s="48">
        <v>5171</v>
      </c>
      <c r="B2287" s="11" t="s">
        <v>1857</v>
      </c>
      <c r="C2287" s="11" t="s">
        <v>1849</v>
      </c>
      <c r="D2287" s="6" t="s">
        <v>1850</v>
      </c>
      <c r="E2287" s="12" t="s">
        <v>5888</v>
      </c>
      <c r="F2287" s="12" t="s">
        <v>5889</v>
      </c>
      <c r="G2287" s="12" t="s">
        <v>5902</v>
      </c>
      <c r="H2287" s="12" t="s">
        <v>6002</v>
      </c>
      <c r="I2287" s="12" t="s">
        <v>2253</v>
      </c>
      <c r="J2287" s="11" t="s">
        <v>2246</v>
      </c>
      <c r="K2287" s="11" t="s">
        <v>2247</v>
      </c>
      <c r="L2287" s="11" t="s">
        <v>5893</v>
      </c>
      <c r="M2287" s="11" t="s">
        <v>1854</v>
      </c>
      <c r="N2287" s="12"/>
      <c r="O2287" s="11" t="s">
        <v>1858</v>
      </c>
      <c r="P2287" s="56"/>
    </row>
    <row r="2288" spans="1:16" ht="15.75" customHeight="1" x14ac:dyDescent="0.2">
      <c r="A2288" s="48">
        <v>5233</v>
      </c>
      <c r="B2288" s="11" t="s">
        <v>1857</v>
      </c>
      <c r="C2288" s="11" t="s">
        <v>1849</v>
      </c>
      <c r="D2288" s="6" t="s">
        <v>1850</v>
      </c>
      <c r="E2288" s="12" t="s">
        <v>5888</v>
      </c>
      <c r="F2288" s="12" t="s">
        <v>5889</v>
      </c>
      <c r="G2288" s="12" t="s">
        <v>5890</v>
      </c>
      <c r="H2288" s="12" t="s">
        <v>6003</v>
      </c>
      <c r="I2288" s="12" t="s">
        <v>6004</v>
      </c>
      <c r="J2288" s="11" t="s">
        <v>2246</v>
      </c>
      <c r="K2288" s="11" t="s">
        <v>2247</v>
      </c>
      <c r="L2288" s="11" t="s">
        <v>5893</v>
      </c>
      <c r="M2288" s="11" t="s">
        <v>6005</v>
      </c>
      <c r="N2288" s="12"/>
      <c r="O2288" s="11" t="s">
        <v>1858</v>
      </c>
      <c r="P2288" s="56"/>
    </row>
    <row r="2289" spans="1:16" ht="15.75" customHeight="1" x14ac:dyDescent="0.2">
      <c r="A2289" s="48">
        <v>2143</v>
      </c>
      <c r="B2289" s="11" t="s">
        <v>1857</v>
      </c>
      <c r="C2289" s="11" t="s">
        <v>1849</v>
      </c>
      <c r="D2289" s="6" t="s">
        <v>1850</v>
      </c>
      <c r="E2289" s="12" t="s">
        <v>5888</v>
      </c>
      <c r="F2289" s="12" t="s">
        <v>5889</v>
      </c>
      <c r="G2289" s="12" t="s">
        <v>5890</v>
      </c>
      <c r="H2289" s="12" t="s">
        <v>5703</v>
      </c>
      <c r="I2289" s="12" t="s">
        <v>6006</v>
      </c>
      <c r="J2289" s="11" t="s">
        <v>2246</v>
      </c>
      <c r="K2289" s="11" t="s">
        <v>2247</v>
      </c>
      <c r="L2289" s="11" t="s">
        <v>5893</v>
      </c>
      <c r="M2289" s="11" t="s">
        <v>5995</v>
      </c>
      <c r="N2289" s="12"/>
      <c r="O2289" s="11" t="s">
        <v>1860</v>
      </c>
      <c r="P2289" s="56"/>
    </row>
    <row r="2290" spans="1:16" ht="15.75" customHeight="1" x14ac:dyDescent="0.2">
      <c r="A2290" s="49">
        <v>5086</v>
      </c>
      <c r="B2290" s="11" t="s">
        <v>1857</v>
      </c>
      <c r="C2290" s="11" t="s">
        <v>1849</v>
      </c>
      <c r="D2290" s="6" t="s">
        <v>1850</v>
      </c>
      <c r="E2290" s="12" t="s">
        <v>5888</v>
      </c>
      <c r="F2290" s="12" t="s">
        <v>5889</v>
      </c>
      <c r="G2290" s="12" t="s">
        <v>5890</v>
      </c>
      <c r="H2290" s="12" t="s">
        <v>5958</v>
      </c>
      <c r="I2290" s="12" t="s">
        <v>6007</v>
      </c>
      <c r="J2290" s="11" t="s">
        <v>2246</v>
      </c>
      <c r="K2290" s="11" t="s">
        <v>2247</v>
      </c>
      <c r="L2290" s="11" t="s">
        <v>5893</v>
      </c>
      <c r="M2290" s="11" t="s">
        <v>5995</v>
      </c>
      <c r="N2290" s="12"/>
      <c r="O2290" s="11" t="s">
        <v>1858</v>
      </c>
      <c r="P2290" s="56"/>
    </row>
    <row r="2291" spans="1:16" ht="15.75" customHeight="1" x14ac:dyDescent="0.2">
      <c r="A2291" s="48">
        <v>5069</v>
      </c>
      <c r="B2291" s="11" t="s">
        <v>1857</v>
      </c>
      <c r="C2291" s="11" t="s">
        <v>1849</v>
      </c>
      <c r="D2291" s="6" t="s">
        <v>1850</v>
      </c>
      <c r="E2291" s="12" t="s">
        <v>5888</v>
      </c>
      <c r="F2291" s="12" t="s">
        <v>5889</v>
      </c>
      <c r="G2291" s="12" t="s">
        <v>5890</v>
      </c>
      <c r="H2291" s="12" t="s">
        <v>5908</v>
      </c>
      <c r="I2291" s="12" t="s">
        <v>6008</v>
      </c>
      <c r="J2291" s="11" t="s">
        <v>2246</v>
      </c>
      <c r="K2291" s="11" t="s">
        <v>2247</v>
      </c>
      <c r="L2291" s="11" t="s">
        <v>5893</v>
      </c>
      <c r="M2291" s="11" t="s">
        <v>6009</v>
      </c>
      <c r="N2291" s="12"/>
      <c r="O2291" s="11" t="s">
        <v>1858</v>
      </c>
      <c r="P2291" s="56"/>
    </row>
    <row r="2292" spans="1:16" ht="15.75" customHeight="1" x14ac:dyDescent="0.2">
      <c r="A2292" s="48">
        <v>5230</v>
      </c>
      <c r="B2292" s="11" t="s">
        <v>1857</v>
      </c>
      <c r="C2292" s="11" t="s">
        <v>1849</v>
      </c>
      <c r="D2292" s="6" t="s">
        <v>1850</v>
      </c>
      <c r="E2292" s="12" t="s">
        <v>5888</v>
      </c>
      <c r="F2292" s="12" t="s">
        <v>5889</v>
      </c>
      <c r="G2292" s="12" t="s">
        <v>5890</v>
      </c>
      <c r="H2292" s="12" t="s">
        <v>5993</v>
      </c>
      <c r="I2292" s="12" t="s">
        <v>6010</v>
      </c>
      <c r="J2292" s="11" t="s">
        <v>2246</v>
      </c>
      <c r="K2292" s="11" t="s">
        <v>2247</v>
      </c>
      <c r="L2292" s="11" t="s">
        <v>5893</v>
      </c>
      <c r="M2292" s="11" t="s">
        <v>1854</v>
      </c>
      <c r="N2292" s="12"/>
      <c r="O2292" s="11" t="s">
        <v>1860</v>
      </c>
      <c r="P2292" s="56"/>
    </row>
    <row r="2293" spans="1:16" ht="15.75" customHeight="1" x14ac:dyDescent="0.2">
      <c r="A2293" s="48">
        <v>5122</v>
      </c>
      <c r="B2293" s="11" t="s">
        <v>1857</v>
      </c>
      <c r="C2293" s="11" t="s">
        <v>1849</v>
      </c>
      <c r="D2293" s="6" t="s">
        <v>1850</v>
      </c>
      <c r="E2293" s="12" t="s">
        <v>5888</v>
      </c>
      <c r="F2293" s="12" t="s">
        <v>5889</v>
      </c>
      <c r="G2293" s="12" t="s">
        <v>5894</v>
      </c>
      <c r="H2293" s="12" t="s">
        <v>5912</v>
      </c>
      <c r="I2293" s="12" t="s">
        <v>6011</v>
      </c>
      <c r="J2293" s="11" t="s">
        <v>2246</v>
      </c>
      <c r="K2293" s="11" t="s">
        <v>2247</v>
      </c>
      <c r="L2293" s="11" t="s">
        <v>5893</v>
      </c>
      <c r="M2293" s="11" t="s">
        <v>6012</v>
      </c>
      <c r="N2293" s="12" t="s">
        <v>6013</v>
      </c>
      <c r="O2293" s="11" t="s">
        <v>1867</v>
      </c>
      <c r="P2293" s="56" t="s">
        <v>3529</v>
      </c>
    </row>
    <row r="2294" spans="1:16" ht="15.75" customHeight="1" x14ac:dyDescent="0.2">
      <c r="A2294" s="48">
        <v>2050</v>
      </c>
      <c r="B2294" s="11" t="s">
        <v>1857</v>
      </c>
      <c r="C2294" s="11" t="s">
        <v>1849</v>
      </c>
      <c r="D2294" s="6" t="s">
        <v>1850</v>
      </c>
      <c r="E2294" s="12" t="s">
        <v>5888</v>
      </c>
      <c r="F2294" s="12" t="s">
        <v>5889</v>
      </c>
      <c r="G2294" s="12" t="s">
        <v>5902</v>
      </c>
      <c r="H2294" s="12" t="s">
        <v>6002</v>
      </c>
      <c r="I2294" s="12" t="s">
        <v>6014</v>
      </c>
      <c r="J2294" s="11" t="s">
        <v>2246</v>
      </c>
      <c r="K2294" s="11" t="s">
        <v>2247</v>
      </c>
      <c r="L2294" s="11" t="s">
        <v>5893</v>
      </c>
      <c r="M2294" s="11" t="s">
        <v>6015</v>
      </c>
      <c r="N2294" s="12"/>
      <c r="O2294" s="11" t="s">
        <v>1860</v>
      </c>
      <c r="P2294" s="56"/>
    </row>
    <row r="2295" spans="1:16" ht="15.75" customHeight="1" x14ac:dyDescent="0.2">
      <c r="A2295" s="48">
        <v>7307</v>
      </c>
      <c r="B2295" s="11" t="s">
        <v>1857</v>
      </c>
      <c r="C2295" s="11" t="s">
        <v>1849</v>
      </c>
      <c r="D2295" s="6" t="s">
        <v>1850</v>
      </c>
      <c r="E2295" s="12" t="s">
        <v>5888</v>
      </c>
      <c r="F2295" s="12" t="s">
        <v>5889</v>
      </c>
      <c r="G2295" s="12" t="s">
        <v>5897</v>
      </c>
      <c r="H2295" s="12" t="s">
        <v>5962</v>
      </c>
      <c r="I2295" s="12" t="s">
        <v>6016</v>
      </c>
      <c r="J2295" s="11" t="s">
        <v>2246</v>
      </c>
      <c r="K2295" s="11" t="s">
        <v>2247</v>
      </c>
      <c r="L2295" s="11" t="s">
        <v>5893</v>
      </c>
      <c r="M2295" s="11" t="s">
        <v>6017</v>
      </c>
      <c r="N2295" s="12"/>
      <c r="O2295" s="11" t="s">
        <v>1858</v>
      </c>
      <c r="P2295" s="56"/>
    </row>
    <row r="2296" spans="1:16" ht="15.75" customHeight="1" x14ac:dyDescent="0.2">
      <c r="A2296" s="48">
        <v>2080</v>
      </c>
      <c r="B2296" s="11" t="s">
        <v>1857</v>
      </c>
      <c r="C2296" s="11" t="s">
        <v>1849</v>
      </c>
      <c r="D2296" s="6" t="s">
        <v>1850</v>
      </c>
      <c r="E2296" s="12" t="s">
        <v>5888</v>
      </c>
      <c r="F2296" s="12" t="s">
        <v>5889</v>
      </c>
      <c r="G2296" s="12" t="s">
        <v>5890</v>
      </c>
      <c r="H2296" s="12" t="s">
        <v>5934</v>
      </c>
      <c r="I2296" s="12" t="s">
        <v>6018</v>
      </c>
      <c r="J2296" s="11" t="s">
        <v>2246</v>
      </c>
      <c r="K2296" s="11" t="s">
        <v>2247</v>
      </c>
      <c r="L2296" s="11" t="s">
        <v>5893</v>
      </c>
      <c r="M2296" s="11" t="s">
        <v>2707</v>
      </c>
      <c r="N2296" s="12"/>
      <c r="O2296" s="11" t="s">
        <v>1855</v>
      </c>
      <c r="P2296" s="56"/>
    </row>
    <row r="2297" spans="1:16" ht="15.75" customHeight="1" x14ac:dyDescent="0.2">
      <c r="A2297" s="49">
        <v>7298</v>
      </c>
      <c r="B2297" s="11" t="s">
        <v>1857</v>
      </c>
      <c r="C2297" s="11" t="s">
        <v>1849</v>
      </c>
      <c r="D2297" s="6" t="s">
        <v>1850</v>
      </c>
      <c r="E2297" s="12" t="s">
        <v>5888</v>
      </c>
      <c r="F2297" s="12" t="s">
        <v>5889</v>
      </c>
      <c r="G2297" s="12" t="s">
        <v>5890</v>
      </c>
      <c r="H2297" s="12" t="s">
        <v>6019</v>
      </c>
      <c r="I2297" s="12" t="s">
        <v>6020</v>
      </c>
      <c r="J2297" s="11" t="s">
        <v>2246</v>
      </c>
      <c r="K2297" s="11" t="s">
        <v>2247</v>
      </c>
      <c r="L2297" s="11" t="s">
        <v>5893</v>
      </c>
      <c r="M2297" s="11" t="s">
        <v>6021</v>
      </c>
      <c r="N2297" s="12"/>
      <c r="O2297" s="11" t="s">
        <v>1858</v>
      </c>
      <c r="P2297" s="56"/>
    </row>
    <row r="2298" spans="1:16" ht="15.75" customHeight="1" x14ac:dyDescent="0.2">
      <c r="A2298" s="48">
        <v>4961</v>
      </c>
      <c r="B2298" s="11" t="s">
        <v>1857</v>
      </c>
      <c r="C2298" s="11" t="s">
        <v>1849</v>
      </c>
      <c r="D2298" s="6" t="s">
        <v>1850</v>
      </c>
      <c r="E2298" s="12" t="s">
        <v>5888</v>
      </c>
      <c r="F2298" s="12" t="s">
        <v>5889</v>
      </c>
      <c r="G2298" s="12" t="s">
        <v>5902</v>
      </c>
      <c r="H2298" s="12" t="s">
        <v>5903</v>
      </c>
      <c r="I2298" s="12" t="s">
        <v>6022</v>
      </c>
      <c r="J2298" s="11" t="s">
        <v>2246</v>
      </c>
      <c r="K2298" s="11" t="s">
        <v>2247</v>
      </c>
      <c r="L2298" s="11" t="s">
        <v>5893</v>
      </c>
      <c r="M2298" s="11" t="s">
        <v>6023</v>
      </c>
      <c r="N2298" s="12" t="s">
        <v>6024</v>
      </c>
      <c r="O2298" s="11" t="s">
        <v>1867</v>
      </c>
      <c r="P2298" s="56" t="s">
        <v>1865</v>
      </c>
    </row>
    <row r="2299" spans="1:16" ht="15.75" customHeight="1" x14ac:dyDescent="0.2">
      <c r="A2299" s="48">
        <v>4960</v>
      </c>
      <c r="B2299" s="11" t="s">
        <v>1857</v>
      </c>
      <c r="C2299" s="11" t="s">
        <v>1849</v>
      </c>
      <c r="D2299" s="6" t="s">
        <v>1850</v>
      </c>
      <c r="E2299" s="12" t="s">
        <v>5888</v>
      </c>
      <c r="F2299" s="12" t="s">
        <v>5889</v>
      </c>
      <c r="G2299" s="12" t="s">
        <v>5902</v>
      </c>
      <c r="H2299" s="12" t="s">
        <v>5903</v>
      </c>
      <c r="I2299" s="12" t="s">
        <v>6025</v>
      </c>
      <c r="J2299" s="11" t="s">
        <v>2246</v>
      </c>
      <c r="K2299" s="11" t="s">
        <v>2247</v>
      </c>
      <c r="L2299" s="11" t="s">
        <v>5893</v>
      </c>
      <c r="M2299" s="11" t="s">
        <v>6026</v>
      </c>
      <c r="N2299" s="12"/>
      <c r="O2299" s="11" t="s">
        <v>1860</v>
      </c>
      <c r="P2299" s="56"/>
    </row>
    <row r="2300" spans="1:16" ht="15.75" customHeight="1" x14ac:dyDescent="0.2">
      <c r="A2300" s="48">
        <v>5054</v>
      </c>
      <c r="B2300" s="11" t="s">
        <v>1857</v>
      </c>
      <c r="C2300" s="11" t="s">
        <v>1849</v>
      </c>
      <c r="D2300" s="6" t="s">
        <v>1850</v>
      </c>
      <c r="E2300" s="12" t="s">
        <v>5888</v>
      </c>
      <c r="F2300" s="12" t="s">
        <v>5889</v>
      </c>
      <c r="G2300" s="12" t="s">
        <v>5902</v>
      </c>
      <c r="H2300" s="12" t="s">
        <v>5932</v>
      </c>
      <c r="I2300" s="12" t="s">
        <v>6027</v>
      </c>
      <c r="J2300" s="11" t="s">
        <v>2246</v>
      </c>
      <c r="K2300" s="11" t="s">
        <v>2247</v>
      </c>
      <c r="L2300" s="11" t="s">
        <v>5893</v>
      </c>
      <c r="M2300" s="11" t="s">
        <v>6028</v>
      </c>
      <c r="N2300" s="12" t="s">
        <v>6029</v>
      </c>
      <c r="O2300" s="11" t="s">
        <v>2334</v>
      </c>
      <c r="P2300" s="56"/>
    </row>
    <row r="2301" spans="1:16" ht="15.75" customHeight="1" x14ac:dyDescent="0.2">
      <c r="A2301" s="48">
        <v>4939</v>
      </c>
      <c r="B2301" s="11" t="s">
        <v>1857</v>
      </c>
      <c r="C2301" s="11" t="s">
        <v>1849</v>
      </c>
      <c r="D2301" s="6" t="s">
        <v>1850</v>
      </c>
      <c r="E2301" s="12" t="s">
        <v>5888</v>
      </c>
      <c r="F2301" s="12" t="s">
        <v>5889</v>
      </c>
      <c r="G2301" s="12" t="s">
        <v>5897</v>
      </c>
      <c r="H2301" s="12" t="s">
        <v>5910</v>
      </c>
      <c r="I2301" s="12" t="s">
        <v>3624</v>
      </c>
      <c r="J2301" s="11" t="s">
        <v>2246</v>
      </c>
      <c r="K2301" s="11" t="s">
        <v>2247</v>
      </c>
      <c r="L2301" s="11" t="s">
        <v>5893</v>
      </c>
      <c r="M2301" s="11" t="s">
        <v>6030</v>
      </c>
      <c r="N2301" s="12" t="s">
        <v>6031</v>
      </c>
      <c r="O2301" s="11" t="s">
        <v>1860</v>
      </c>
      <c r="P2301" s="56"/>
    </row>
    <row r="2302" spans="1:16" ht="15.75" customHeight="1" x14ac:dyDescent="0.2">
      <c r="A2302" s="48">
        <v>2170</v>
      </c>
      <c r="B2302" s="11" t="s">
        <v>1857</v>
      </c>
      <c r="C2302" s="11" t="s">
        <v>1849</v>
      </c>
      <c r="D2302" s="6" t="s">
        <v>1850</v>
      </c>
      <c r="E2302" s="12" t="s">
        <v>5888</v>
      </c>
      <c r="F2302" s="12" t="s">
        <v>5889</v>
      </c>
      <c r="G2302" s="12" t="s">
        <v>5890</v>
      </c>
      <c r="H2302" s="12" t="s">
        <v>5965</v>
      </c>
      <c r="I2302" s="12" t="s">
        <v>6032</v>
      </c>
      <c r="J2302" s="11" t="s">
        <v>2246</v>
      </c>
      <c r="K2302" s="11" t="s">
        <v>2247</v>
      </c>
      <c r="L2302" s="11" t="s">
        <v>5893</v>
      </c>
      <c r="M2302" s="11" t="s">
        <v>3927</v>
      </c>
      <c r="N2302" s="12"/>
      <c r="O2302" s="11" t="s">
        <v>1859</v>
      </c>
      <c r="P2302" s="56"/>
    </row>
    <row r="2303" spans="1:16" ht="15.75" customHeight="1" x14ac:dyDescent="0.2">
      <c r="A2303" s="48">
        <v>1974</v>
      </c>
      <c r="B2303" s="11" t="s">
        <v>1857</v>
      </c>
      <c r="C2303" s="11" t="s">
        <v>1849</v>
      </c>
      <c r="D2303" s="6" t="s">
        <v>1850</v>
      </c>
      <c r="E2303" s="12" t="s">
        <v>5888</v>
      </c>
      <c r="F2303" s="12" t="s">
        <v>5889</v>
      </c>
      <c r="G2303" s="12" t="s">
        <v>5890</v>
      </c>
      <c r="H2303" s="12" t="s">
        <v>5923</v>
      </c>
      <c r="I2303" s="12" t="s">
        <v>6033</v>
      </c>
      <c r="J2303" s="11" t="s">
        <v>2246</v>
      </c>
      <c r="K2303" s="11" t="s">
        <v>2247</v>
      </c>
      <c r="L2303" s="11" t="s">
        <v>5893</v>
      </c>
      <c r="M2303" s="11" t="s">
        <v>1854</v>
      </c>
      <c r="N2303" s="12"/>
      <c r="O2303" s="11" t="s">
        <v>1858</v>
      </c>
      <c r="P2303" s="56"/>
    </row>
    <row r="2304" spans="1:16" ht="15.75" customHeight="1" x14ac:dyDescent="0.2">
      <c r="A2304" s="48">
        <v>5172</v>
      </c>
      <c r="B2304" s="11" t="s">
        <v>1857</v>
      </c>
      <c r="C2304" s="11" t="s">
        <v>1849</v>
      </c>
      <c r="D2304" s="6" t="s">
        <v>1850</v>
      </c>
      <c r="E2304" s="12" t="s">
        <v>5888</v>
      </c>
      <c r="F2304" s="12" t="s">
        <v>5889</v>
      </c>
      <c r="G2304" s="12" t="s">
        <v>5902</v>
      </c>
      <c r="H2304" s="12" t="s">
        <v>5951</v>
      </c>
      <c r="I2304" s="12" t="s">
        <v>6034</v>
      </c>
      <c r="J2304" s="11" t="s">
        <v>2246</v>
      </c>
      <c r="K2304" s="11" t="s">
        <v>2247</v>
      </c>
      <c r="L2304" s="11" t="s">
        <v>5893</v>
      </c>
      <c r="M2304" s="11" t="s">
        <v>3927</v>
      </c>
      <c r="N2304" s="12" t="s">
        <v>2281</v>
      </c>
      <c r="O2304" s="11" t="s">
        <v>1860</v>
      </c>
      <c r="P2304" s="56"/>
    </row>
    <row r="2305" spans="1:16" ht="15.75" customHeight="1" x14ac:dyDescent="0.2">
      <c r="A2305" s="48">
        <v>4941</v>
      </c>
      <c r="B2305" s="11" t="s">
        <v>1857</v>
      </c>
      <c r="C2305" s="11" t="s">
        <v>1849</v>
      </c>
      <c r="D2305" s="6" t="s">
        <v>1850</v>
      </c>
      <c r="E2305" s="12" t="s">
        <v>5888</v>
      </c>
      <c r="F2305" s="12" t="s">
        <v>5889</v>
      </c>
      <c r="G2305" s="12" t="s">
        <v>5890</v>
      </c>
      <c r="H2305" s="12" t="s">
        <v>5923</v>
      </c>
      <c r="I2305" s="12" t="s">
        <v>6035</v>
      </c>
      <c r="J2305" s="11" t="s">
        <v>2246</v>
      </c>
      <c r="K2305" s="11" t="s">
        <v>2247</v>
      </c>
      <c r="L2305" s="11" t="s">
        <v>5893</v>
      </c>
      <c r="M2305" s="11" t="s">
        <v>6036</v>
      </c>
      <c r="N2305" s="12" t="s">
        <v>6037</v>
      </c>
      <c r="O2305" s="11" t="s">
        <v>1867</v>
      </c>
      <c r="P2305" s="56" t="s">
        <v>2819</v>
      </c>
    </row>
    <row r="2306" spans="1:16" ht="15.75" customHeight="1" x14ac:dyDescent="0.2">
      <c r="A2306" s="48">
        <v>2188</v>
      </c>
      <c r="B2306" s="11" t="s">
        <v>1857</v>
      </c>
      <c r="C2306" s="11" t="s">
        <v>1849</v>
      </c>
      <c r="D2306" s="6" t="s">
        <v>1850</v>
      </c>
      <c r="E2306" s="12" t="s">
        <v>5888</v>
      </c>
      <c r="F2306" s="12" t="s">
        <v>5889</v>
      </c>
      <c r="G2306" s="12" t="s">
        <v>5894</v>
      </c>
      <c r="H2306" s="12" t="s">
        <v>5900</v>
      </c>
      <c r="I2306" s="12" t="s">
        <v>6038</v>
      </c>
      <c r="J2306" s="11" t="s">
        <v>2246</v>
      </c>
      <c r="K2306" s="11" t="s">
        <v>2247</v>
      </c>
      <c r="L2306" s="11" t="s">
        <v>5893</v>
      </c>
      <c r="M2306" s="11" t="s">
        <v>6039</v>
      </c>
      <c r="N2306" s="12"/>
      <c r="O2306" s="11" t="s">
        <v>1867</v>
      </c>
      <c r="P2306" s="56" t="s">
        <v>6040</v>
      </c>
    </row>
    <row r="2307" spans="1:16" ht="15.75" customHeight="1" x14ac:dyDescent="0.2">
      <c r="A2307" s="48">
        <v>1988</v>
      </c>
      <c r="B2307" s="11" t="s">
        <v>1857</v>
      </c>
      <c r="C2307" s="11" t="s">
        <v>1849</v>
      </c>
      <c r="D2307" s="6" t="s">
        <v>1850</v>
      </c>
      <c r="E2307" s="12" t="s">
        <v>5888</v>
      </c>
      <c r="F2307" s="12" t="s">
        <v>5889</v>
      </c>
      <c r="G2307" s="12" t="s">
        <v>5902</v>
      </c>
      <c r="H2307" s="12" t="s">
        <v>6041</v>
      </c>
      <c r="I2307" s="12" t="s">
        <v>6042</v>
      </c>
      <c r="J2307" s="11" t="s">
        <v>2246</v>
      </c>
      <c r="K2307" s="11" t="s">
        <v>2247</v>
      </c>
      <c r="L2307" s="11" t="s">
        <v>5893</v>
      </c>
      <c r="M2307" s="11" t="s">
        <v>1854</v>
      </c>
      <c r="N2307" s="12"/>
      <c r="O2307" s="11" t="s">
        <v>1860</v>
      </c>
      <c r="P2307" s="56"/>
    </row>
    <row r="2308" spans="1:16" ht="15.75" customHeight="1" x14ac:dyDescent="0.2">
      <c r="A2308" s="48">
        <v>2183</v>
      </c>
      <c r="B2308" s="11" t="s">
        <v>1857</v>
      </c>
      <c r="C2308" s="11" t="s">
        <v>1849</v>
      </c>
      <c r="D2308" s="6" t="s">
        <v>1850</v>
      </c>
      <c r="E2308" s="12" t="s">
        <v>5888</v>
      </c>
      <c r="F2308" s="12" t="s">
        <v>5889</v>
      </c>
      <c r="G2308" s="12" t="s">
        <v>5894</v>
      </c>
      <c r="H2308" s="12" t="s">
        <v>5929</v>
      </c>
      <c r="I2308" s="12" t="s">
        <v>6043</v>
      </c>
      <c r="J2308" s="11" t="s">
        <v>2246</v>
      </c>
      <c r="K2308" s="11" t="s">
        <v>2247</v>
      </c>
      <c r="L2308" s="11" t="s">
        <v>5893</v>
      </c>
      <c r="M2308" s="11" t="s">
        <v>1854</v>
      </c>
      <c r="N2308" s="12"/>
      <c r="O2308" s="11" t="s">
        <v>1858</v>
      </c>
      <c r="P2308" s="56"/>
    </row>
    <row r="2309" spans="1:16" ht="15.75" customHeight="1" x14ac:dyDescent="0.2">
      <c r="A2309" s="48">
        <v>1968</v>
      </c>
      <c r="B2309" s="11" t="s">
        <v>1857</v>
      </c>
      <c r="C2309" s="11" t="s">
        <v>1849</v>
      </c>
      <c r="D2309" s="6" t="s">
        <v>1850</v>
      </c>
      <c r="E2309" s="12" t="s">
        <v>5888</v>
      </c>
      <c r="F2309" s="12" t="s">
        <v>5889</v>
      </c>
      <c r="G2309" s="12" t="s">
        <v>5897</v>
      </c>
      <c r="H2309" s="12" t="s">
        <v>5898</v>
      </c>
      <c r="I2309" s="12" t="s">
        <v>1944</v>
      </c>
      <c r="J2309" s="11" t="s">
        <v>2246</v>
      </c>
      <c r="K2309" s="11" t="s">
        <v>2247</v>
      </c>
      <c r="L2309" s="11" t="s">
        <v>5893</v>
      </c>
      <c r="M2309" s="11" t="s">
        <v>6005</v>
      </c>
      <c r="N2309" s="12"/>
      <c r="O2309" s="11" t="s">
        <v>1858</v>
      </c>
      <c r="P2309" s="56"/>
    </row>
    <row r="2310" spans="1:16" ht="15.75" customHeight="1" x14ac:dyDescent="0.2">
      <c r="A2310" s="48">
        <v>5031</v>
      </c>
      <c r="B2310" s="11" t="s">
        <v>1857</v>
      </c>
      <c r="C2310" s="11" t="s">
        <v>1849</v>
      </c>
      <c r="D2310" s="6" t="s">
        <v>1850</v>
      </c>
      <c r="E2310" s="12" t="s">
        <v>5888</v>
      </c>
      <c r="F2310" s="12" t="s">
        <v>5889</v>
      </c>
      <c r="G2310" s="12" t="s">
        <v>5902</v>
      </c>
      <c r="H2310" s="12" t="s">
        <v>6041</v>
      </c>
      <c r="I2310" s="12" t="s">
        <v>2808</v>
      </c>
      <c r="J2310" s="11" t="s">
        <v>2246</v>
      </c>
      <c r="K2310" s="11" t="s">
        <v>2247</v>
      </c>
      <c r="L2310" s="11" t="s">
        <v>5893</v>
      </c>
      <c r="M2310" s="11" t="s">
        <v>6044</v>
      </c>
      <c r="N2310" s="12" t="s">
        <v>6045</v>
      </c>
      <c r="O2310" s="11" t="s">
        <v>1867</v>
      </c>
      <c r="P2310" s="56" t="s">
        <v>3529</v>
      </c>
    </row>
    <row r="2311" spans="1:16" ht="15.75" customHeight="1" x14ac:dyDescent="0.2">
      <c r="A2311" s="48">
        <v>5202</v>
      </c>
      <c r="B2311" s="11" t="s">
        <v>1857</v>
      </c>
      <c r="C2311" s="11" t="s">
        <v>1849</v>
      </c>
      <c r="D2311" s="6" t="s">
        <v>1850</v>
      </c>
      <c r="E2311" s="12" t="s">
        <v>5888</v>
      </c>
      <c r="F2311" s="12" t="s">
        <v>5889</v>
      </c>
      <c r="G2311" s="12" t="s">
        <v>5894</v>
      </c>
      <c r="H2311" s="12" t="s">
        <v>5905</v>
      </c>
      <c r="I2311" s="12" t="s">
        <v>6046</v>
      </c>
      <c r="J2311" s="11" t="s">
        <v>2246</v>
      </c>
      <c r="K2311" s="11" t="s">
        <v>2247</v>
      </c>
      <c r="L2311" s="11" t="s">
        <v>5893</v>
      </c>
      <c r="M2311" s="11" t="s">
        <v>1854</v>
      </c>
      <c r="N2311" s="12"/>
      <c r="O2311" s="11" t="s">
        <v>1858</v>
      </c>
      <c r="P2311" s="56"/>
    </row>
    <row r="2312" spans="1:16" ht="15.75" customHeight="1" x14ac:dyDescent="0.2">
      <c r="A2312" s="48">
        <v>5237</v>
      </c>
      <c r="B2312" s="11" t="s">
        <v>1857</v>
      </c>
      <c r="C2312" s="11" t="s">
        <v>1849</v>
      </c>
      <c r="D2312" s="6" t="s">
        <v>1850</v>
      </c>
      <c r="E2312" s="12" t="s">
        <v>5888</v>
      </c>
      <c r="F2312" s="12" t="s">
        <v>5889</v>
      </c>
      <c r="G2312" s="12" t="s">
        <v>5897</v>
      </c>
      <c r="H2312" s="12" t="s">
        <v>5984</v>
      </c>
      <c r="I2312" s="12" t="s">
        <v>6047</v>
      </c>
      <c r="J2312" s="11" t="s">
        <v>2246</v>
      </c>
      <c r="K2312" s="11" t="s">
        <v>2247</v>
      </c>
      <c r="L2312" s="11" t="s">
        <v>5893</v>
      </c>
      <c r="M2312" s="11" t="s">
        <v>6048</v>
      </c>
      <c r="N2312" s="12"/>
      <c r="O2312" s="11" t="s">
        <v>1860</v>
      </c>
      <c r="P2312" s="56"/>
    </row>
    <row r="2313" spans="1:16" ht="15.75" customHeight="1" x14ac:dyDescent="0.2">
      <c r="A2313" s="48">
        <v>5179</v>
      </c>
      <c r="B2313" s="11" t="s">
        <v>1857</v>
      </c>
      <c r="C2313" s="11" t="s">
        <v>1849</v>
      </c>
      <c r="D2313" s="6" t="s">
        <v>1850</v>
      </c>
      <c r="E2313" s="12" t="s">
        <v>5888</v>
      </c>
      <c r="F2313" s="12" t="s">
        <v>5889</v>
      </c>
      <c r="G2313" s="12" t="s">
        <v>5902</v>
      </c>
      <c r="H2313" s="12" t="s">
        <v>5939</v>
      </c>
      <c r="I2313" s="12" t="s">
        <v>6049</v>
      </c>
      <c r="J2313" s="11" t="s">
        <v>2246</v>
      </c>
      <c r="K2313" s="11" t="s">
        <v>2247</v>
      </c>
      <c r="L2313" s="11" t="s">
        <v>5893</v>
      </c>
      <c r="M2313" s="11" t="s">
        <v>6050</v>
      </c>
      <c r="N2313" s="12" t="s">
        <v>6051</v>
      </c>
      <c r="O2313" s="11" t="s">
        <v>1860</v>
      </c>
      <c r="P2313" s="56"/>
    </row>
    <row r="2314" spans="1:16" ht="15.75" customHeight="1" x14ac:dyDescent="0.2">
      <c r="A2314" s="48">
        <v>5066</v>
      </c>
      <c r="B2314" s="11" t="s">
        <v>1857</v>
      </c>
      <c r="C2314" s="11" t="s">
        <v>1849</v>
      </c>
      <c r="D2314" s="6" t="s">
        <v>1850</v>
      </c>
      <c r="E2314" s="12" t="s">
        <v>5888</v>
      </c>
      <c r="F2314" s="12" t="s">
        <v>5889</v>
      </c>
      <c r="G2314" s="12" t="s">
        <v>5894</v>
      </c>
      <c r="H2314" s="12" t="s">
        <v>5921</v>
      </c>
      <c r="I2314" s="12" t="s">
        <v>6052</v>
      </c>
      <c r="J2314" s="11" t="s">
        <v>2246</v>
      </c>
      <c r="K2314" s="11" t="s">
        <v>2247</v>
      </c>
      <c r="L2314" s="11" t="s">
        <v>5893</v>
      </c>
      <c r="M2314" s="11" t="s">
        <v>1854</v>
      </c>
      <c r="N2314" s="12"/>
      <c r="O2314" s="11" t="s">
        <v>1860</v>
      </c>
      <c r="P2314" s="56"/>
    </row>
    <row r="2315" spans="1:16" ht="15.75" customHeight="1" x14ac:dyDescent="0.2">
      <c r="A2315" s="48">
        <v>4964</v>
      </c>
      <c r="B2315" s="11" t="s">
        <v>1857</v>
      </c>
      <c r="C2315" s="11" t="s">
        <v>1849</v>
      </c>
      <c r="D2315" s="6" t="s">
        <v>1850</v>
      </c>
      <c r="E2315" s="12" t="s">
        <v>5888</v>
      </c>
      <c r="F2315" s="12" t="s">
        <v>5889</v>
      </c>
      <c r="G2315" s="12" t="s">
        <v>5894</v>
      </c>
      <c r="H2315" s="12" t="s">
        <v>5921</v>
      </c>
      <c r="I2315" s="12" t="s">
        <v>6053</v>
      </c>
      <c r="J2315" s="11" t="s">
        <v>2246</v>
      </c>
      <c r="K2315" s="11" t="s">
        <v>2247</v>
      </c>
      <c r="L2315" s="11" t="s">
        <v>5893</v>
      </c>
      <c r="M2315" s="11" t="s">
        <v>6054</v>
      </c>
      <c r="N2315" s="12" t="s">
        <v>6055</v>
      </c>
      <c r="O2315" s="11" t="s">
        <v>1860</v>
      </c>
      <c r="P2315" s="56"/>
    </row>
    <row r="2316" spans="1:16" ht="15.75" customHeight="1" x14ac:dyDescent="0.2">
      <c r="A2316" s="48">
        <v>5035</v>
      </c>
      <c r="B2316" s="11" t="s">
        <v>1857</v>
      </c>
      <c r="C2316" s="11" t="s">
        <v>1849</v>
      </c>
      <c r="D2316" s="6" t="s">
        <v>1850</v>
      </c>
      <c r="E2316" s="12" t="s">
        <v>5888</v>
      </c>
      <c r="F2316" s="12" t="s">
        <v>5889</v>
      </c>
      <c r="G2316" s="12" t="s">
        <v>5890</v>
      </c>
      <c r="H2316" s="12" t="s">
        <v>5960</v>
      </c>
      <c r="I2316" s="12" t="s">
        <v>6056</v>
      </c>
      <c r="J2316" s="11" t="s">
        <v>2246</v>
      </c>
      <c r="K2316" s="11" t="s">
        <v>2247</v>
      </c>
      <c r="L2316" s="11" t="s">
        <v>5893</v>
      </c>
      <c r="M2316" s="11" t="s">
        <v>6057</v>
      </c>
      <c r="N2316" s="12"/>
      <c r="O2316" s="11" t="s">
        <v>1858</v>
      </c>
      <c r="P2316" s="56"/>
    </row>
    <row r="2317" spans="1:16" ht="15.75" customHeight="1" x14ac:dyDescent="0.2">
      <c r="A2317" s="48">
        <v>5188</v>
      </c>
      <c r="B2317" s="11" t="s">
        <v>1857</v>
      </c>
      <c r="C2317" s="11" t="s">
        <v>1849</v>
      </c>
      <c r="D2317" s="6" t="s">
        <v>1850</v>
      </c>
      <c r="E2317" s="12" t="s">
        <v>5888</v>
      </c>
      <c r="F2317" s="12" t="s">
        <v>5889</v>
      </c>
      <c r="G2317" s="12" t="s">
        <v>5902</v>
      </c>
      <c r="H2317" s="12" t="s">
        <v>5936</v>
      </c>
      <c r="I2317" s="12" t="s">
        <v>6058</v>
      </c>
      <c r="J2317" s="11" t="s">
        <v>2246</v>
      </c>
      <c r="K2317" s="11" t="s">
        <v>2247</v>
      </c>
      <c r="L2317" s="11" t="s">
        <v>5893</v>
      </c>
      <c r="M2317" s="11" t="s">
        <v>1854</v>
      </c>
      <c r="N2317" s="12"/>
      <c r="O2317" s="11" t="s">
        <v>1858</v>
      </c>
      <c r="P2317" s="56"/>
    </row>
    <row r="2318" spans="1:16" ht="15.75" customHeight="1" x14ac:dyDescent="0.2">
      <c r="A2318" s="48">
        <v>5213</v>
      </c>
      <c r="B2318" s="11" t="s">
        <v>1857</v>
      </c>
      <c r="C2318" s="11" t="s">
        <v>1849</v>
      </c>
      <c r="D2318" s="6" t="s">
        <v>1850</v>
      </c>
      <c r="E2318" s="12" t="s">
        <v>5888</v>
      </c>
      <c r="F2318" s="12" t="s">
        <v>5889</v>
      </c>
      <c r="G2318" s="12" t="s">
        <v>5890</v>
      </c>
      <c r="H2318" s="12" t="s">
        <v>5923</v>
      </c>
      <c r="I2318" s="12" t="s">
        <v>6059</v>
      </c>
      <c r="J2318" s="11" t="s">
        <v>2246</v>
      </c>
      <c r="K2318" s="11" t="s">
        <v>2247</v>
      </c>
      <c r="L2318" s="11" t="s">
        <v>5893</v>
      </c>
      <c r="M2318" s="11" t="s">
        <v>1854</v>
      </c>
      <c r="N2318" s="12"/>
      <c r="O2318" s="11" t="s">
        <v>1858</v>
      </c>
      <c r="P2318" s="56"/>
    </row>
    <row r="2319" spans="1:16" ht="15.75" customHeight="1" x14ac:dyDescent="0.2">
      <c r="A2319" s="48">
        <v>2195</v>
      </c>
      <c r="B2319" s="11" t="s">
        <v>1857</v>
      </c>
      <c r="C2319" s="11" t="s">
        <v>1849</v>
      </c>
      <c r="D2319" s="6" t="s">
        <v>1850</v>
      </c>
      <c r="E2319" s="12" t="s">
        <v>5888</v>
      </c>
      <c r="F2319" s="12" t="s">
        <v>5889</v>
      </c>
      <c r="G2319" s="12" t="s">
        <v>5894</v>
      </c>
      <c r="H2319" s="12" t="s">
        <v>5905</v>
      </c>
      <c r="I2319" s="12" t="s">
        <v>6060</v>
      </c>
      <c r="J2319" s="11" t="s">
        <v>2246</v>
      </c>
      <c r="K2319" s="11" t="s">
        <v>2247</v>
      </c>
      <c r="L2319" s="11" t="s">
        <v>5893</v>
      </c>
      <c r="M2319" s="11" t="s">
        <v>1854</v>
      </c>
      <c r="N2319" s="12"/>
      <c r="O2319" s="11" t="s">
        <v>1860</v>
      </c>
      <c r="P2319" s="56"/>
    </row>
    <row r="2320" spans="1:16" ht="15.75" customHeight="1" x14ac:dyDescent="0.2">
      <c r="A2320" s="48">
        <v>5074</v>
      </c>
      <c r="B2320" s="11" t="s">
        <v>1857</v>
      </c>
      <c r="C2320" s="11" t="s">
        <v>1849</v>
      </c>
      <c r="D2320" s="6" t="s">
        <v>1850</v>
      </c>
      <c r="E2320" s="12" t="s">
        <v>5888</v>
      </c>
      <c r="F2320" s="12" t="s">
        <v>5889</v>
      </c>
      <c r="G2320" s="12" t="s">
        <v>5890</v>
      </c>
      <c r="H2320" s="12" t="s">
        <v>6019</v>
      </c>
      <c r="I2320" s="12" t="s">
        <v>6061</v>
      </c>
      <c r="J2320" s="11" t="s">
        <v>2246</v>
      </c>
      <c r="K2320" s="11" t="s">
        <v>2247</v>
      </c>
      <c r="L2320" s="11" t="s">
        <v>5893</v>
      </c>
      <c r="M2320" s="11" t="s">
        <v>5995</v>
      </c>
      <c r="N2320" s="12"/>
      <c r="O2320" s="11" t="s">
        <v>1860</v>
      </c>
      <c r="P2320" s="56"/>
    </row>
    <row r="2321" spans="1:16" ht="15.75" customHeight="1" x14ac:dyDescent="0.2">
      <c r="A2321" s="48">
        <v>2089</v>
      </c>
      <c r="B2321" s="11" t="s">
        <v>1857</v>
      </c>
      <c r="C2321" s="11" t="s">
        <v>1849</v>
      </c>
      <c r="D2321" s="6" t="s">
        <v>1850</v>
      </c>
      <c r="E2321" s="12" t="s">
        <v>5888</v>
      </c>
      <c r="F2321" s="12" t="s">
        <v>5889</v>
      </c>
      <c r="G2321" s="12" t="s">
        <v>5890</v>
      </c>
      <c r="H2321" s="12" t="s">
        <v>6062</v>
      </c>
      <c r="I2321" s="12" t="s">
        <v>6063</v>
      </c>
      <c r="J2321" s="11" t="s">
        <v>2246</v>
      </c>
      <c r="K2321" s="11" t="s">
        <v>2247</v>
      </c>
      <c r="L2321" s="11" t="s">
        <v>5893</v>
      </c>
      <c r="M2321" s="11" t="s">
        <v>1854</v>
      </c>
      <c r="N2321" s="12"/>
      <c r="O2321" s="11" t="s">
        <v>1860</v>
      </c>
      <c r="P2321" s="56"/>
    </row>
    <row r="2322" spans="1:16" ht="15.75" customHeight="1" x14ac:dyDescent="0.2">
      <c r="A2322" s="48">
        <v>5118</v>
      </c>
      <c r="B2322" s="11" t="s">
        <v>1857</v>
      </c>
      <c r="C2322" s="11" t="s">
        <v>1849</v>
      </c>
      <c r="D2322" s="6" t="s">
        <v>1850</v>
      </c>
      <c r="E2322" s="12" t="s">
        <v>5888</v>
      </c>
      <c r="F2322" s="12" t="s">
        <v>5889</v>
      </c>
      <c r="G2322" s="12" t="s">
        <v>5890</v>
      </c>
      <c r="H2322" s="12" t="s">
        <v>5923</v>
      </c>
      <c r="I2322" s="12" t="s">
        <v>6064</v>
      </c>
      <c r="J2322" s="11" t="s">
        <v>2246</v>
      </c>
      <c r="K2322" s="11" t="s">
        <v>2247</v>
      </c>
      <c r="L2322" s="11" t="s">
        <v>5893</v>
      </c>
      <c r="M2322" s="11" t="s">
        <v>6005</v>
      </c>
      <c r="N2322" s="12"/>
      <c r="O2322" s="11" t="s">
        <v>1858</v>
      </c>
      <c r="P2322" s="56"/>
    </row>
    <row r="2323" spans="1:16" ht="15.75" customHeight="1" x14ac:dyDescent="0.2">
      <c r="A2323" s="48">
        <v>5204</v>
      </c>
      <c r="B2323" s="11" t="s">
        <v>1857</v>
      </c>
      <c r="C2323" s="11" t="s">
        <v>1849</v>
      </c>
      <c r="D2323" s="6" t="s">
        <v>1850</v>
      </c>
      <c r="E2323" s="12" t="s">
        <v>5888</v>
      </c>
      <c r="F2323" s="12" t="s">
        <v>5889</v>
      </c>
      <c r="G2323" s="12" t="s">
        <v>5894</v>
      </c>
      <c r="H2323" s="12" t="s">
        <v>5900</v>
      </c>
      <c r="I2323" s="12" t="s">
        <v>6065</v>
      </c>
      <c r="J2323" s="11" t="s">
        <v>2246</v>
      </c>
      <c r="K2323" s="11" t="s">
        <v>2247</v>
      </c>
      <c r="L2323" s="11" t="s">
        <v>5893</v>
      </c>
      <c r="M2323" s="11" t="s">
        <v>6066</v>
      </c>
      <c r="N2323" s="12"/>
      <c r="O2323" s="11" t="s">
        <v>1858</v>
      </c>
      <c r="P2323" s="56"/>
    </row>
    <row r="2324" spans="1:16" ht="15.75" customHeight="1" x14ac:dyDescent="0.2">
      <c r="A2324" s="48">
        <v>5077</v>
      </c>
      <c r="B2324" s="11" t="s">
        <v>1857</v>
      </c>
      <c r="C2324" s="11" t="s">
        <v>1849</v>
      </c>
      <c r="D2324" s="6" t="s">
        <v>1850</v>
      </c>
      <c r="E2324" s="12" t="s">
        <v>5888</v>
      </c>
      <c r="F2324" s="12" t="s">
        <v>5889</v>
      </c>
      <c r="G2324" s="12" t="s">
        <v>5890</v>
      </c>
      <c r="H2324" s="12" t="s">
        <v>5703</v>
      </c>
      <c r="I2324" s="12" t="s">
        <v>6067</v>
      </c>
      <c r="J2324" s="11" t="s">
        <v>2246</v>
      </c>
      <c r="K2324" s="11" t="s">
        <v>2247</v>
      </c>
      <c r="L2324" s="11" t="s">
        <v>5893</v>
      </c>
      <c r="M2324" s="11" t="s">
        <v>6068</v>
      </c>
      <c r="N2324" s="12"/>
      <c r="O2324" s="11" t="s">
        <v>1860</v>
      </c>
      <c r="P2324" s="56"/>
    </row>
    <row r="2325" spans="1:16" ht="15.75" customHeight="1" x14ac:dyDescent="0.2">
      <c r="A2325" s="48">
        <v>5186</v>
      </c>
      <c r="B2325" s="11" t="s">
        <v>1857</v>
      </c>
      <c r="C2325" s="11" t="s">
        <v>1849</v>
      </c>
      <c r="D2325" s="6" t="s">
        <v>1850</v>
      </c>
      <c r="E2325" s="12" t="s">
        <v>5888</v>
      </c>
      <c r="F2325" s="12" t="s">
        <v>5889</v>
      </c>
      <c r="G2325" s="12" t="s">
        <v>5902</v>
      </c>
      <c r="H2325" s="12" t="s">
        <v>5936</v>
      </c>
      <c r="I2325" s="12" t="s">
        <v>6069</v>
      </c>
      <c r="J2325" s="11" t="s">
        <v>2246</v>
      </c>
      <c r="K2325" s="11" t="s">
        <v>2247</v>
      </c>
      <c r="L2325" s="11" t="s">
        <v>5893</v>
      </c>
      <c r="M2325" s="11" t="s">
        <v>5995</v>
      </c>
      <c r="N2325" s="12" t="s">
        <v>6070</v>
      </c>
      <c r="O2325" s="11" t="s">
        <v>1858</v>
      </c>
      <c r="P2325" s="56"/>
    </row>
    <row r="2326" spans="1:16" ht="15.75" customHeight="1" x14ac:dyDescent="0.2">
      <c r="A2326" s="48">
        <v>1969</v>
      </c>
      <c r="B2326" s="11" t="s">
        <v>1857</v>
      </c>
      <c r="C2326" s="11" t="s">
        <v>1849</v>
      </c>
      <c r="D2326" s="6" t="s">
        <v>1850</v>
      </c>
      <c r="E2326" s="12" t="s">
        <v>5888</v>
      </c>
      <c r="F2326" s="12" t="s">
        <v>5889</v>
      </c>
      <c r="G2326" s="12" t="s">
        <v>5897</v>
      </c>
      <c r="H2326" s="12" t="s">
        <v>5898</v>
      </c>
      <c r="I2326" s="12" t="s">
        <v>6071</v>
      </c>
      <c r="J2326" s="11" t="s">
        <v>2246</v>
      </c>
      <c r="K2326" s="11" t="s">
        <v>2247</v>
      </c>
      <c r="L2326" s="11" t="s">
        <v>5893</v>
      </c>
      <c r="M2326" s="11" t="s">
        <v>6072</v>
      </c>
      <c r="N2326" s="12" t="s">
        <v>6073</v>
      </c>
      <c r="O2326" s="11" t="s">
        <v>1867</v>
      </c>
      <c r="P2326" s="56" t="s">
        <v>1865</v>
      </c>
    </row>
    <row r="2327" spans="1:16" ht="15.75" customHeight="1" x14ac:dyDescent="0.2">
      <c r="A2327" s="48">
        <v>5219</v>
      </c>
      <c r="B2327" s="11" t="s">
        <v>1857</v>
      </c>
      <c r="C2327" s="11" t="s">
        <v>1849</v>
      </c>
      <c r="D2327" s="6" t="s">
        <v>1850</v>
      </c>
      <c r="E2327" s="12" t="s">
        <v>5888</v>
      </c>
      <c r="F2327" s="12" t="s">
        <v>5889</v>
      </c>
      <c r="G2327" s="12" t="s">
        <v>5890</v>
      </c>
      <c r="H2327" s="12" t="s">
        <v>6074</v>
      </c>
      <c r="I2327" s="12" t="s">
        <v>6075</v>
      </c>
      <c r="J2327" s="11" t="s">
        <v>2246</v>
      </c>
      <c r="K2327" s="11" t="s">
        <v>2247</v>
      </c>
      <c r="L2327" s="11" t="s">
        <v>5893</v>
      </c>
      <c r="M2327" s="11" t="s">
        <v>5995</v>
      </c>
      <c r="N2327" s="12"/>
      <c r="O2327" s="11" t="s">
        <v>1860</v>
      </c>
      <c r="P2327" s="56"/>
    </row>
    <row r="2328" spans="1:16" ht="15.75" customHeight="1" x14ac:dyDescent="0.2">
      <c r="A2328" s="48">
        <v>1962</v>
      </c>
      <c r="B2328" s="11" t="s">
        <v>1857</v>
      </c>
      <c r="C2328" s="11" t="s">
        <v>1849</v>
      </c>
      <c r="D2328" s="6" t="s">
        <v>1850</v>
      </c>
      <c r="E2328" s="12" t="s">
        <v>5888</v>
      </c>
      <c r="F2328" s="12" t="s">
        <v>5889</v>
      </c>
      <c r="G2328" s="12" t="s">
        <v>5894</v>
      </c>
      <c r="H2328" s="12" t="s">
        <v>5912</v>
      </c>
      <c r="I2328" s="12" t="s">
        <v>6076</v>
      </c>
      <c r="J2328" s="11" t="s">
        <v>2246</v>
      </c>
      <c r="K2328" s="11" t="s">
        <v>2247</v>
      </c>
      <c r="L2328" s="11" t="s">
        <v>5893</v>
      </c>
      <c r="M2328" s="11" t="s">
        <v>1854</v>
      </c>
      <c r="N2328" s="12"/>
      <c r="O2328" s="11" t="s">
        <v>1858</v>
      </c>
      <c r="P2328" s="56"/>
    </row>
    <row r="2329" spans="1:16" ht="15.75" customHeight="1" x14ac:dyDescent="0.2">
      <c r="A2329" s="48">
        <v>5034</v>
      </c>
      <c r="B2329" s="11" t="s">
        <v>1857</v>
      </c>
      <c r="C2329" s="11" t="s">
        <v>1849</v>
      </c>
      <c r="D2329" s="6" t="s">
        <v>1850</v>
      </c>
      <c r="E2329" s="12" t="s">
        <v>5888</v>
      </c>
      <c r="F2329" s="12" t="s">
        <v>5889</v>
      </c>
      <c r="G2329" s="12" t="s">
        <v>5890</v>
      </c>
      <c r="H2329" s="12" t="s">
        <v>5703</v>
      </c>
      <c r="I2329" s="12" t="s">
        <v>6077</v>
      </c>
      <c r="J2329" s="11" t="s">
        <v>2246</v>
      </c>
      <c r="K2329" s="11" t="s">
        <v>2247</v>
      </c>
      <c r="L2329" s="11" t="s">
        <v>5893</v>
      </c>
      <c r="M2329" s="11" t="s">
        <v>1854</v>
      </c>
      <c r="N2329" s="12"/>
      <c r="O2329" s="11" t="s">
        <v>1858</v>
      </c>
      <c r="P2329" s="56"/>
    </row>
    <row r="2330" spans="1:16" ht="15.75" customHeight="1" x14ac:dyDescent="0.2">
      <c r="A2330" s="48">
        <v>1971</v>
      </c>
      <c r="B2330" s="11" t="s">
        <v>1857</v>
      </c>
      <c r="C2330" s="11" t="s">
        <v>1849</v>
      </c>
      <c r="D2330" s="6" t="s">
        <v>1850</v>
      </c>
      <c r="E2330" s="12" t="s">
        <v>5888</v>
      </c>
      <c r="F2330" s="12" t="s">
        <v>5889</v>
      </c>
      <c r="G2330" s="12" t="s">
        <v>5890</v>
      </c>
      <c r="H2330" s="12" t="s">
        <v>5891</v>
      </c>
      <c r="I2330" s="12" t="s">
        <v>6078</v>
      </c>
      <c r="J2330" s="11" t="s">
        <v>2246</v>
      </c>
      <c r="K2330" s="11" t="s">
        <v>2247</v>
      </c>
      <c r="L2330" s="11" t="s">
        <v>5893</v>
      </c>
      <c r="M2330" s="11" t="s">
        <v>1854</v>
      </c>
      <c r="N2330" s="12"/>
      <c r="O2330" s="11" t="s">
        <v>1858</v>
      </c>
      <c r="P2330" s="56"/>
    </row>
    <row r="2331" spans="1:16" ht="15.75" customHeight="1" x14ac:dyDescent="0.2">
      <c r="A2331" s="48">
        <v>5155</v>
      </c>
      <c r="B2331" s="11" t="s">
        <v>1857</v>
      </c>
      <c r="C2331" s="11" t="s">
        <v>1849</v>
      </c>
      <c r="D2331" s="6" t="s">
        <v>1850</v>
      </c>
      <c r="E2331" s="12" t="s">
        <v>5888</v>
      </c>
      <c r="F2331" s="12" t="s">
        <v>5889</v>
      </c>
      <c r="G2331" s="12" t="s">
        <v>5890</v>
      </c>
      <c r="H2331" s="12" t="s">
        <v>5934</v>
      </c>
      <c r="I2331" s="12" t="s">
        <v>6079</v>
      </c>
      <c r="J2331" s="11" t="s">
        <v>2246</v>
      </c>
      <c r="K2331" s="11" t="s">
        <v>2247</v>
      </c>
      <c r="L2331" s="11" t="s">
        <v>5893</v>
      </c>
      <c r="M2331" s="11" t="s">
        <v>2276</v>
      </c>
      <c r="N2331" s="12" t="s">
        <v>6080</v>
      </c>
      <c r="O2331" s="11" t="s">
        <v>1860</v>
      </c>
      <c r="P2331" s="56"/>
    </row>
    <row r="2332" spans="1:16" ht="15.75" customHeight="1" x14ac:dyDescent="0.2">
      <c r="A2332" s="48">
        <v>1990</v>
      </c>
      <c r="B2332" s="11" t="s">
        <v>1857</v>
      </c>
      <c r="C2332" s="11" t="s">
        <v>1849</v>
      </c>
      <c r="D2332" s="6" t="s">
        <v>1850</v>
      </c>
      <c r="E2332" s="12" t="s">
        <v>5888</v>
      </c>
      <c r="F2332" s="12" t="s">
        <v>5889</v>
      </c>
      <c r="G2332" s="12" t="s">
        <v>5902</v>
      </c>
      <c r="H2332" s="12" t="s">
        <v>5932</v>
      </c>
      <c r="I2332" s="12" t="s">
        <v>6081</v>
      </c>
      <c r="J2332" s="11" t="s">
        <v>2246</v>
      </c>
      <c r="K2332" s="11" t="s">
        <v>2247</v>
      </c>
      <c r="L2332" s="11" t="s">
        <v>5893</v>
      </c>
      <c r="M2332" s="11" t="s">
        <v>6082</v>
      </c>
      <c r="N2332" s="12" t="s">
        <v>6083</v>
      </c>
      <c r="O2332" s="11" t="s">
        <v>1860</v>
      </c>
      <c r="P2332" s="56"/>
    </row>
    <row r="2333" spans="1:16" ht="15.75" customHeight="1" x14ac:dyDescent="0.2">
      <c r="A2333" s="48">
        <v>5214</v>
      </c>
      <c r="B2333" s="11" t="s">
        <v>1857</v>
      </c>
      <c r="C2333" s="11" t="s">
        <v>1849</v>
      </c>
      <c r="D2333" s="6" t="s">
        <v>1850</v>
      </c>
      <c r="E2333" s="12" t="s">
        <v>5888</v>
      </c>
      <c r="F2333" s="12" t="s">
        <v>5889</v>
      </c>
      <c r="G2333" s="12" t="s">
        <v>5890</v>
      </c>
      <c r="H2333" s="12" t="s">
        <v>5923</v>
      </c>
      <c r="I2333" s="12" t="s">
        <v>6084</v>
      </c>
      <c r="J2333" s="11" t="s">
        <v>2246</v>
      </c>
      <c r="K2333" s="11" t="s">
        <v>2247</v>
      </c>
      <c r="L2333" s="11" t="s">
        <v>5893</v>
      </c>
      <c r="M2333" s="11" t="s">
        <v>6085</v>
      </c>
      <c r="N2333" s="12"/>
      <c r="O2333" s="11" t="s">
        <v>1860</v>
      </c>
      <c r="P2333" s="56"/>
    </row>
    <row r="2334" spans="1:16" ht="15.75" customHeight="1" x14ac:dyDescent="0.2">
      <c r="A2334" s="48">
        <v>2179</v>
      </c>
      <c r="B2334" s="11" t="s">
        <v>1857</v>
      </c>
      <c r="C2334" s="11" t="s">
        <v>1849</v>
      </c>
      <c r="D2334" s="6" t="s">
        <v>1850</v>
      </c>
      <c r="E2334" s="12" t="s">
        <v>5888</v>
      </c>
      <c r="F2334" s="12" t="s">
        <v>5889</v>
      </c>
      <c r="G2334" s="12" t="s">
        <v>5894</v>
      </c>
      <c r="H2334" s="12" t="s">
        <v>5929</v>
      </c>
      <c r="I2334" s="12" t="s">
        <v>6086</v>
      </c>
      <c r="J2334" s="11" t="s">
        <v>2246</v>
      </c>
      <c r="K2334" s="11" t="s">
        <v>2247</v>
      </c>
      <c r="L2334" s="11" t="s">
        <v>5893</v>
      </c>
      <c r="M2334" s="11" t="s">
        <v>6087</v>
      </c>
      <c r="N2334" s="12" t="s">
        <v>6088</v>
      </c>
      <c r="O2334" s="11" t="s">
        <v>1867</v>
      </c>
      <c r="P2334" s="56" t="s">
        <v>1865</v>
      </c>
    </row>
    <row r="2335" spans="1:16" ht="15.75" customHeight="1" x14ac:dyDescent="0.2">
      <c r="A2335" s="48">
        <v>5187</v>
      </c>
      <c r="B2335" s="11" t="s">
        <v>1857</v>
      </c>
      <c r="C2335" s="11" t="s">
        <v>1849</v>
      </c>
      <c r="D2335" s="6" t="s">
        <v>1850</v>
      </c>
      <c r="E2335" s="12" t="s">
        <v>5888</v>
      </c>
      <c r="F2335" s="12" t="s">
        <v>5889</v>
      </c>
      <c r="G2335" s="12" t="s">
        <v>5902</v>
      </c>
      <c r="H2335" s="12" t="s">
        <v>5936</v>
      </c>
      <c r="I2335" s="12" t="s">
        <v>6089</v>
      </c>
      <c r="J2335" s="11" t="s">
        <v>2246</v>
      </c>
      <c r="K2335" s="11" t="s">
        <v>2247</v>
      </c>
      <c r="L2335" s="11" t="s">
        <v>5893</v>
      </c>
      <c r="M2335" s="11" t="s">
        <v>5995</v>
      </c>
      <c r="N2335" s="12"/>
      <c r="O2335" s="11" t="s">
        <v>1860</v>
      </c>
      <c r="P2335" s="56"/>
    </row>
    <row r="2336" spans="1:16" ht="15.75" customHeight="1" x14ac:dyDescent="0.2">
      <c r="A2336" s="48">
        <v>2180</v>
      </c>
      <c r="B2336" s="11" t="s">
        <v>1857</v>
      </c>
      <c r="C2336" s="11" t="s">
        <v>1849</v>
      </c>
      <c r="D2336" s="6" t="s">
        <v>1850</v>
      </c>
      <c r="E2336" s="12" t="s">
        <v>5888</v>
      </c>
      <c r="F2336" s="12" t="s">
        <v>5889</v>
      </c>
      <c r="G2336" s="12" t="s">
        <v>5894</v>
      </c>
      <c r="H2336" s="12" t="s">
        <v>5929</v>
      </c>
      <c r="I2336" s="12" t="s">
        <v>6090</v>
      </c>
      <c r="J2336" s="11" t="s">
        <v>2246</v>
      </c>
      <c r="K2336" s="11" t="s">
        <v>2247</v>
      </c>
      <c r="L2336" s="11" t="s">
        <v>5893</v>
      </c>
      <c r="M2336" s="11" t="s">
        <v>1854</v>
      </c>
      <c r="N2336" s="12"/>
      <c r="O2336" s="11" t="s">
        <v>1860</v>
      </c>
      <c r="P2336" s="56"/>
    </row>
    <row r="2337" spans="1:16" ht="15.75" customHeight="1" x14ac:dyDescent="0.2">
      <c r="A2337" s="48">
        <v>2191</v>
      </c>
      <c r="B2337" s="11" t="s">
        <v>1857</v>
      </c>
      <c r="C2337" s="11" t="s">
        <v>1849</v>
      </c>
      <c r="D2337" s="6" t="s">
        <v>1850</v>
      </c>
      <c r="E2337" s="12" t="s">
        <v>5888</v>
      </c>
      <c r="F2337" s="12" t="s">
        <v>5889</v>
      </c>
      <c r="G2337" s="12" t="s">
        <v>5894</v>
      </c>
      <c r="H2337" s="12" t="s">
        <v>5921</v>
      </c>
      <c r="I2337" s="12" t="s">
        <v>6091</v>
      </c>
      <c r="J2337" s="11" t="s">
        <v>2246</v>
      </c>
      <c r="K2337" s="11" t="s">
        <v>2247</v>
      </c>
      <c r="L2337" s="11" t="s">
        <v>5893</v>
      </c>
      <c r="M2337" s="11" t="s">
        <v>1854</v>
      </c>
      <c r="N2337" s="12"/>
      <c r="O2337" s="11" t="s">
        <v>1858</v>
      </c>
      <c r="P2337" s="56"/>
    </row>
    <row r="2338" spans="1:16" ht="15.75" customHeight="1" x14ac:dyDescent="0.2">
      <c r="A2338" s="48">
        <v>5079</v>
      </c>
      <c r="B2338" s="11" t="s">
        <v>1857</v>
      </c>
      <c r="C2338" s="11" t="s">
        <v>1849</v>
      </c>
      <c r="D2338" s="6" t="s">
        <v>1850</v>
      </c>
      <c r="E2338" s="12" t="s">
        <v>5888</v>
      </c>
      <c r="F2338" s="12" t="s">
        <v>5889</v>
      </c>
      <c r="G2338" s="12" t="s">
        <v>5890</v>
      </c>
      <c r="H2338" s="12" t="s">
        <v>5993</v>
      </c>
      <c r="I2338" s="12" t="s">
        <v>6092</v>
      </c>
      <c r="J2338" s="11" t="s">
        <v>2246</v>
      </c>
      <c r="K2338" s="11" t="s">
        <v>2247</v>
      </c>
      <c r="L2338" s="11" t="s">
        <v>5893</v>
      </c>
      <c r="M2338" s="11" t="s">
        <v>5995</v>
      </c>
      <c r="N2338" s="12"/>
      <c r="O2338" s="11" t="s">
        <v>1860</v>
      </c>
      <c r="P2338" s="56"/>
    </row>
    <row r="2339" spans="1:16" ht="15.75" customHeight="1" x14ac:dyDescent="0.2">
      <c r="A2339" s="48">
        <v>5033</v>
      </c>
      <c r="B2339" s="11" t="s">
        <v>1857</v>
      </c>
      <c r="C2339" s="11" t="s">
        <v>1849</v>
      </c>
      <c r="D2339" s="6" t="s">
        <v>1850</v>
      </c>
      <c r="E2339" s="12" t="s">
        <v>5888</v>
      </c>
      <c r="F2339" s="12" t="s">
        <v>5889</v>
      </c>
      <c r="G2339" s="12" t="s">
        <v>5890</v>
      </c>
      <c r="H2339" s="12" t="s">
        <v>5703</v>
      </c>
      <c r="I2339" s="12" t="s">
        <v>6093</v>
      </c>
      <c r="J2339" s="11" t="s">
        <v>2246</v>
      </c>
      <c r="K2339" s="11" t="s">
        <v>2247</v>
      </c>
      <c r="L2339" s="11" t="s">
        <v>5893</v>
      </c>
      <c r="M2339" s="11" t="s">
        <v>5995</v>
      </c>
      <c r="N2339" s="12"/>
      <c r="O2339" s="11" t="s">
        <v>1860</v>
      </c>
      <c r="P2339" s="56"/>
    </row>
    <row r="2340" spans="1:16" ht="15.75" customHeight="1" x14ac:dyDescent="0.2">
      <c r="A2340" s="48">
        <v>5113</v>
      </c>
      <c r="B2340" s="11" t="s">
        <v>1857</v>
      </c>
      <c r="C2340" s="11" t="s">
        <v>1849</v>
      </c>
      <c r="D2340" s="6" t="s">
        <v>1850</v>
      </c>
      <c r="E2340" s="12" t="s">
        <v>5888</v>
      </c>
      <c r="F2340" s="12" t="s">
        <v>5889</v>
      </c>
      <c r="G2340" s="12" t="s">
        <v>5897</v>
      </c>
      <c r="H2340" s="12" t="s">
        <v>5984</v>
      </c>
      <c r="I2340" s="12" t="s">
        <v>6094</v>
      </c>
      <c r="J2340" s="11" t="s">
        <v>2246</v>
      </c>
      <c r="K2340" s="11" t="s">
        <v>2247</v>
      </c>
      <c r="L2340" s="11" t="s">
        <v>5893</v>
      </c>
      <c r="M2340" s="11" t="s">
        <v>5995</v>
      </c>
      <c r="N2340" s="12"/>
      <c r="O2340" s="11" t="s">
        <v>1860</v>
      </c>
      <c r="P2340" s="56"/>
    </row>
    <row r="2341" spans="1:16" ht="15.75" customHeight="1" x14ac:dyDescent="0.2">
      <c r="A2341" s="48">
        <v>5156</v>
      </c>
      <c r="B2341" s="11" t="s">
        <v>1857</v>
      </c>
      <c r="C2341" s="11" t="s">
        <v>1849</v>
      </c>
      <c r="D2341" s="6" t="s">
        <v>1850</v>
      </c>
      <c r="E2341" s="12" t="s">
        <v>5888</v>
      </c>
      <c r="F2341" s="12" t="s">
        <v>5889</v>
      </c>
      <c r="G2341" s="12" t="s">
        <v>5890</v>
      </c>
      <c r="H2341" s="12" t="s">
        <v>6074</v>
      </c>
      <c r="I2341" s="12" t="s">
        <v>6095</v>
      </c>
      <c r="J2341" s="11" t="s">
        <v>2246</v>
      </c>
      <c r="K2341" s="11" t="s">
        <v>2247</v>
      </c>
      <c r="L2341" s="11" t="s">
        <v>5893</v>
      </c>
      <c r="M2341" s="11" t="s">
        <v>5995</v>
      </c>
      <c r="N2341" s="12"/>
      <c r="O2341" s="11" t="s">
        <v>1860</v>
      </c>
      <c r="P2341" s="56"/>
    </row>
    <row r="2342" spans="1:16" ht="15.75" customHeight="1" x14ac:dyDescent="0.2">
      <c r="A2342" s="48">
        <v>5223</v>
      </c>
      <c r="B2342" s="11" t="s">
        <v>1857</v>
      </c>
      <c r="C2342" s="11" t="s">
        <v>1849</v>
      </c>
      <c r="D2342" s="6" t="s">
        <v>1850</v>
      </c>
      <c r="E2342" s="12" t="s">
        <v>5888</v>
      </c>
      <c r="F2342" s="12" t="s">
        <v>5889</v>
      </c>
      <c r="G2342" s="12" t="s">
        <v>5890</v>
      </c>
      <c r="H2342" s="12" t="s">
        <v>5703</v>
      </c>
      <c r="I2342" s="12" t="s">
        <v>6096</v>
      </c>
      <c r="J2342" s="11" t="s">
        <v>2246</v>
      </c>
      <c r="K2342" s="11" t="s">
        <v>2247</v>
      </c>
      <c r="L2342" s="11" t="s">
        <v>5893</v>
      </c>
      <c r="M2342" s="11" t="s">
        <v>6097</v>
      </c>
      <c r="N2342" s="12"/>
      <c r="O2342" s="11" t="s">
        <v>1860</v>
      </c>
      <c r="P2342" s="56"/>
    </row>
    <row r="2343" spans="1:16" ht="15.75" customHeight="1" x14ac:dyDescent="0.2">
      <c r="A2343" s="48">
        <v>5043</v>
      </c>
      <c r="B2343" s="11" t="s">
        <v>1857</v>
      </c>
      <c r="C2343" s="11" t="s">
        <v>1849</v>
      </c>
      <c r="D2343" s="6" t="s">
        <v>1850</v>
      </c>
      <c r="E2343" s="12" t="s">
        <v>5888</v>
      </c>
      <c r="F2343" s="12" t="s">
        <v>5889</v>
      </c>
      <c r="G2343" s="12" t="s">
        <v>5890</v>
      </c>
      <c r="H2343" s="12" t="s">
        <v>5967</v>
      </c>
      <c r="I2343" s="12" t="s">
        <v>6096</v>
      </c>
      <c r="J2343" s="11" t="s">
        <v>2246</v>
      </c>
      <c r="K2343" s="11" t="s">
        <v>2247</v>
      </c>
      <c r="L2343" s="11" t="s">
        <v>5893</v>
      </c>
      <c r="M2343" s="11" t="s">
        <v>6097</v>
      </c>
      <c r="N2343" s="12"/>
      <c r="O2343" s="11" t="s">
        <v>1858</v>
      </c>
      <c r="P2343" s="56"/>
    </row>
    <row r="2344" spans="1:16" ht="15.75" customHeight="1" x14ac:dyDescent="0.2">
      <c r="A2344" s="48">
        <v>5061</v>
      </c>
      <c r="B2344" s="11" t="s">
        <v>1857</v>
      </c>
      <c r="C2344" s="11" t="s">
        <v>1849</v>
      </c>
      <c r="D2344" s="6" t="s">
        <v>1850</v>
      </c>
      <c r="E2344" s="12" t="s">
        <v>5888</v>
      </c>
      <c r="F2344" s="12" t="s">
        <v>5889</v>
      </c>
      <c r="G2344" s="12" t="s">
        <v>5890</v>
      </c>
      <c r="H2344" s="12" t="s">
        <v>5908</v>
      </c>
      <c r="I2344" s="12" t="s">
        <v>6098</v>
      </c>
      <c r="J2344" s="11" t="s">
        <v>2246</v>
      </c>
      <c r="K2344" s="11" t="s">
        <v>2247</v>
      </c>
      <c r="L2344" s="11" t="s">
        <v>5893</v>
      </c>
      <c r="M2344" s="11" t="s">
        <v>6099</v>
      </c>
      <c r="N2344" s="12"/>
      <c r="O2344" s="11" t="s">
        <v>1858</v>
      </c>
      <c r="P2344" s="56"/>
    </row>
    <row r="2345" spans="1:16" ht="15.75" customHeight="1" x14ac:dyDescent="0.2">
      <c r="A2345" s="48">
        <v>1983</v>
      </c>
      <c r="B2345" s="11" t="s">
        <v>1857</v>
      </c>
      <c r="C2345" s="11" t="s">
        <v>1849</v>
      </c>
      <c r="D2345" s="6" t="s">
        <v>1850</v>
      </c>
      <c r="E2345" s="12" t="s">
        <v>5888</v>
      </c>
      <c r="F2345" s="12" t="s">
        <v>5889</v>
      </c>
      <c r="G2345" s="12" t="s">
        <v>5902</v>
      </c>
      <c r="H2345" s="12" t="s">
        <v>5944</v>
      </c>
      <c r="I2345" s="12" t="s">
        <v>6100</v>
      </c>
      <c r="J2345" s="11" t="s">
        <v>2246</v>
      </c>
      <c r="K2345" s="11" t="s">
        <v>2247</v>
      </c>
      <c r="L2345" s="11" t="s">
        <v>5893</v>
      </c>
      <c r="M2345" s="11" t="s">
        <v>6101</v>
      </c>
      <c r="N2345" s="12"/>
      <c r="O2345" s="11" t="s">
        <v>1858</v>
      </c>
      <c r="P2345" s="56"/>
    </row>
    <row r="2346" spans="1:16" ht="15.75" customHeight="1" x14ac:dyDescent="0.2">
      <c r="A2346" s="48">
        <v>5176</v>
      </c>
      <c r="B2346" s="11" t="s">
        <v>1857</v>
      </c>
      <c r="C2346" s="11" t="s">
        <v>1849</v>
      </c>
      <c r="D2346" s="6" t="s">
        <v>1850</v>
      </c>
      <c r="E2346" s="12" t="s">
        <v>5888</v>
      </c>
      <c r="F2346" s="12" t="s">
        <v>5889</v>
      </c>
      <c r="G2346" s="12" t="s">
        <v>5902</v>
      </c>
      <c r="H2346" s="12" t="s">
        <v>6041</v>
      </c>
      <c r="I2346" s="12" t="s">
        <v>6102</v>
      </c>
      <c r="J2346" s="11" t="s">
        <v>2246</v>
      </c>
      <c r="K2346" s="11" t="s">
        <v>2247</v>
      </c>
      <c r="L2346" s="11" t="s">
        <v>5893</v>
      </c>
      <c r="M2346" s="11" t="s">
        <v>6103</v>
      </c>
      <c r="N2346" s="12" t="s">
        <v>6104</v>
      </c>
      <c r="O2346" s="11" t="s">
        <v>1858</v>
      </c>
      <c r="P2346" s="56"/>
    </row>
    <row r="2347" spans="1:16" ht="15.75" customHeight="1" x14ac:dyDescent="0.2">
      <c r="A2347" s="48">
        <v>4937</v>
      </c>
      <c r="B2347" s="11" t="s">
        <v>1857</v>
      </c>
      <c r="C2347" s="11" t="s">
        <v>1849</v>
      </c>
      <c r="D2347" s="6" t="s">
        <v>1850</v>
      </c>
      <c r="E2347" s="12" t="s">
        <v>5888</v>
      </c>
      <c r="F2347" s="12" t="s">
        <v>5889</v>
      </c>
      <c r="G2347" s="12" t="s">
        <v>5897</v>
      </c>
      <c r="H2347" s="12" t="s">
        <v>5984</v>
      </c>
      <c r="I2347" s="12" t="s">
        <v>6105</v>
      </c>
      <c r="J2347" s="11" t="s">
        <v>2246</v>
      </c>
      <c r="K2347" s="11" t="s">
        <v>2247</v>
      </c>
      <c r="L2347" s="11" t="s">
        <v>5893</v>
      </c>
      <c r="M2347" s="11" t="s">
        <v>6106</v>
      </c>
      <c r="N2347" s="12" t="s">
        <v>6107</v>
      </c>
      <c r="O2347" s="11" t="s">
        <v>1860</v>
      </c>
      <c r="P2347" s="56"/>
    </row>
    <row r="2348" spans="1:16" ht="15.75" customHeight="1" x14ac:dyDescent="0.2">
      <c r="A2348" s="48">
        <v>4954</v>
      </c>
      <c r="B2348" s="11" t="s">
        <v>1857</v>
      </c>
      <c r="C2348" s="11" t="s">
        <v>1849</v>
      </c>
      <c r="D2348" s="6" t="s">
        <v>1850</v>
      </c>
      <c r="E2348" s="12" t="s">
        <v>5888</v>
      </c>
      <c r="F2348" s="12" t="s">
        <v>5889</v>
      </c>
      <c r="G2348" s="12" t="s">
        <v>5902</v>
      </c>
      <c r="H2348" s="12" t="s">
        <v>5939</v>
      </c>
      <c r="I2348" s="12" t="s">
        <v>6108</v>
      </c>
      <c r="J2348" s="11" t="s">
        <v>2246</v>
      </c>
      <c r="K2348" s="11" t="s">
        <v>2247</v>
      </c>
      <c r="L2348" s="11" t="s">
        <v>5893</v>
      </c>
      <c r="M2348" s="11" t="s">
        <v>5995</v>
      </c>
      <c r="N2348" s="12"/>
      <c r="O2348" s="11" t="s">
        <v>1860</v>
      </c>
      <c r="P2348" s="56"/>
    </row>
    <row r="2349" spans="1:16" ht="15.75" customHeight="1" x14ac:dyDescent="0.2">
      <c r="A2349" s="48">
        <v>6856</v>
      </c>
      <c r="B2349" s="11" t="s">
        <v>1857</v>
      </c>
      <c r="C2349" s="11" t="s">
        <v>1849</v>
      </c>
      <c r="D2349" s="6" t="s">
        <v>1850</v>
      </c>
      <c r="E2349" s="12" t="s">
        <v>5888</v>
      </c>
      <c r="F2349" s="12" t="s">
        <v>5889</v>
      </c>
      <c r="G2349" s="12" t="s">
        <v>5890</v>
      </c>
      <c r="H2349" s="12" t="s">
        <v>5923</v>
      </c>
      <c r="I2349" s="12" t="s">
        <v>6109</v>
      </c>
      <c r="J2349" s="11" t="s">
        <v>2246</v>
      </c>
      <c r="K2349" s="11" t="s">
        <v>2247</v>
      </c>
      <c r="L2349" s="11" t="s">
        <v>5893</v>
      </c>
      <c r="M2349" s="11" t="s">
        <v>6110</v>
      </c>
      <c r="N2349" s="12"/>
      <c r="O2349" s="11" t="s">
        <v>1858</v>
      </c>
      <c r="P2349" s="56"/>
    </row>
    <row r="2350" spans="1:16" ht="15.75" customHeight="1" x14ac:dyDescent="0.2">
      <c r="A2350" s="48">
        <v>2182</v>
      </c>
      <c r="B2350" s="11" t="s">
        <v>1857</v>
      </c>
      <c r="C2350" s="11" t="s">
        <v>1849</v>
      </c>
      <c r="D2350" s="6" t="s">
        <v>1850</v>
      </c>
      <c r="E2350" s="12" t="s">
        <v>5888</v>
      </c>
      <c r="F2350" s="12" t="s">
        <v>5889</v>
      </c>
      <c r="G2350" s="12" t="s">
        <v>5894</v>
      </c>
      <c r="H2350" s="12" t="s">
        <v>5929</v>
      </c>
      <c r="I2350" s="12" t="s">
        <v>4103</v>
      </c>
      <c r="J2350" s="11" t="s">
        <v>2246</v>
      </c>
      <c r="K2350" s="11" t="s">
        <v>2247</v>
      </c>
      <c r="L2350" s="11" t="s">
        <v>5893</v>
      </c>
      <c r="M2350" s="11" t="s">
        <v>6111</v>
      </c>
      <c r="N2350" s="12"/>
      <c r="O2350" s="11" t="s">
        <v>1858</v>
      </c>
      <c r="P2350" s="56"/>
    </row>
    <row r="2351" spans="1:16" ht="15.75" customHeight="1" x14ac:dyDescent="0.2">
      <c r="A2351" s="48">
        <v>5036</v>
      </c>
      <c r="B2351" s="11" t="s">
        <v>1857</v>
      </c>
      <c r="C2351" s="11" t="s">
        <v>1849</v>
      </c>
      <c r="D2351" s="6" t="s">
        <v>1850</v>
      </c>
      <c r="E2351" s="12" t="s">
        <v>5888</v>
      </c>
      <c r="F2351" s="12" t="s">
        <v>5889</v>
      </c>
      <c r="G2351" s="12" t="s">
        <v>5890</v>
      </c>
      <c r="H2351" s="12" t="s">
        <v>5958</v>
      </c>
      <c r="I2351" s="12" t="s">
        <v>6112</v>
      </c>
      <c r="J2351" s="11" t="s">
        <v>2246</v>
      </c>
      <c r="K2351" s="11" t="s">
        <v>2247</v>
      </c>
      <c r="L2351" s="11" t="s">
        <v>5893</v>
      </c>
      <c r="M2351" s="11" t="s">
        <v>5995</v>
      </c>
      <c r="N2351" s="12"/>
      <c r="O2351" s="11" t="s">
        <v>1860</v>
      </c>
      <c r="P2351" s="56"/>
    </row>
    <row r="2352" spans="1:16" ht="15.75" customHeight="1" x14ac:dyDescent="0.2">
      <c r="A2352" s="48">
        <v>4949</v>
      </c>
      <c r="B2352" s="11" t="s">
        <v>1857</v>
      </c>
      <c r="C2352" s="11" t="s">
        <v>1849</v>
      </c>
      <c r="D2352" s="6" t="s">
        <v>1850</v>
      </c>
      <c r="E2352" s="12" t="s">
        <v>5888</v>
      </c>
      <c r="F2352" s="12" t="s">
        <v>5889</v>
      </c>
      <c r="G2352" s="12" t="s">
        <v>5897</v>
      </c>
      <c r="H2352" s="12" t="s">
        <v>5898</v>
      </c>
      <c r="I2352" s="12" t="s">
        <v>6113</v>
      </c>
      <c r="J2352" s="11" t="s">
        <v>2246</v>
      </c>
      <c r="K2352" s="11" t="s">
        <v>2247</v>
      </c>
      <c r="L2352" s="11" t="s">
        <v>5893</v>
      </c>
      <c r="M2352" s="11" t="s">
        <v>5997</v>
      </c>
      <c r="N2352" s="12"/>
      <c r="O2352" s="11" t="s">
        <v>1858</v>
      </c>
      <c r="P2352" s="56"/>
    </row>
    <row r="2353" spans="1:16" ht="15.75" customHeight="1" x14ac:dyDescent="0.2">
      <c r="A2353" s="48">
        <v>2079</v>
      </c>
      <c r="B2353" s="11" t="s">
        <v>1857</v>
      </c>
      <c r="C2353" s="11" t="s">
        <v>1849</v>
      </c>
      <c r="D2353" s="6" t="s">
        <v>1850</v>
      </c>
      <c r="E2353" s="12" t="s">
        <v>5888</v>
      </c>
      <c r="F2353" s="12" t="s">
        <v>5889</v>
      </c>
      <c r="G2353" s="12" t="s">
        <v>5890</v>
      </c>
      <c r="H2353" s="12" t="s">
        <v>5934</v>
      </c>
      <c r="I2353" s="12" t="s">
        <v>3001</v>
      </c>
      <c r="J2353" s="11" t="s">
        <v>2246</v>
      </c>
      <c r="K2353" s="11" t="s">
        <v>2247</v>
      </c>
      <c r="L2353" s="11" t="s">
        <v>5893</v>
      </c>
      <c r="M2353" s="11" t="s">
        <v>5995</v>
      </c>
      <c r="N2353" s="12" t="s">
        <v>2767</v>
      </c>
      <c r="O2353" s="11" t="s">
        <v>6114</v>
      </c>
      <c r="P2353" s="56" t="s">
        <v>1863</v>
      </c>
    </row>
    <row r="2354" spans="1:16" ht="15.75" customHeight="1" x14ac:dyDescent="0.2">
      <c r="A2354" s="48">
        <v>5222</v>
      </c>
      <c r="B2354" s="11" t="s">
        <v>1857</v>
      </c>
      <c r="C2354" s="11" t="s">
        <v>1849</v>
      </c>
      <c r="D2354" s="6" t="s">
        <v>1850</v>
      </c>
      <c r="E2354" s="12" t="s">
        <v>5888</v>
      </c>
      <c r="F2354" s="12" t="s">
        <v>5889</v>
      </c>
      <c r="G2354" s="12" t="s">
        <v>5890</v>
      </c>
      <c r="H2354" s="12" t="s">
        <v>5703</v>
      </c>
      <c r="I2354" s="12" t="s">
        <v>6115</v>
      </c>
      <c r="J2354" s="11" t="s">
        <v>2246</v>
      </c>
      <c r="K2354" s="11" t="s">
        <v>2247</v>
      </c>
      <c r="L2354" s="11" t="s">
        <v>5893</v>
      </c>
      <c r="M2354" s="11" t="s">
        <v>2766</v>
      </c>
      <c r="N2354" s="12"/>
      <c r="O2354" s="11" t="s">
        <v>2334</v>
      </c>
      <c r="P2354" s="56" t="s">
        <v>2323</v>
      </c>
    </row>
    <row r="2355" spans="1:16" ht="15.75" customHeight="1" x14ac:dyDescent="0.2">
      <c r="A2355" s="48">
        <v>1967</v>
      </c>
      <c r="B2355" s="11" t="s">
        <v>1857</v>
      </c>
      <c r="C2355" s="11" t="s">
        <v>1849</v>
      </c>
      <c r="D2355" s="6" t="s">
        <v>1850</v>
      </c>
      <c r="E2355" s="12" t="s">
        <v>5888</v>
      </c>
      <c r="F2355" s="12" t="s">
        <v>5889</v>
      </c>
      <c r="G2355" s="12" t="s">
        <v>5897</v>
      </c>
      <c r="H2355" s="12" t="s">
        <v>5984</v>
      </c>
      <c r="I2355" s="12" t="s">
        <v>6116</v>
      </c>
      <c r="J2355" s="11" t="s">
        <v>2246</v>
      </c>
      <c r="K2355" s="11" t="s">
        <v>2247</v>
      </c>
      <c r="L2355" s="11" t="s">
        <v>5893</v>
      </c>
      <c r="M2355" s="11" t="s">
        <v>6117</v>
      </c>
      <c r="N2355" s="12"/>
      <c r="O2355" s="11" t="s">
        <v>2334</v>
      </c>
      <c r="P2355" s="56" t="s">
        <v>2323</v>
      </c>
    </row>
    <row r="2356" spans="1:16" ht="15.75" customHeight="1" x14ac:dyDescent="0.2">
      <c r="A2356" s="48">
        <v>5215</v>
      </c>
      <c r="B2356" s="11" t="s">
        <v>1857</v>
      </c>
      <c r="C2356" s="11" t="s">
        <v>1849</v>
      </c>
      <c r="D2356" s="6" t="s">
        <v>1850</v>
      </c>
      <c r="E2356" s="12" t="s">
        <v>5888</v>
      </c>
      <c r="F2356" s="12" t="s">
        <v>5889</v>
      </c>
      <c r="G2356" s="12" t="s">
        <v>5890</v>
      </c>
      <c r="H2356" s="12" t="s">
        <v>5993</v>
      </c>
      <c r="I2356" s="12" t="s">
        <v>6118</v>
      </c>
      <c r="J2356" s="11" t="s">
        <v>2246</v>
      </c>
      <c r="K2356" s="11" t="s">
        <v>2247</v>
      </c>
      <c r="L2356" s="11" t="s">
        <v>5893</v>
      </c>
      <c r="M2356" s="11" t="s">
        <v>6119</v>
      </c>
      <c r="N2356" s="12"/>
      <c r="O2356" s="11" t="s">
        <v>1867</v>
      </c>
      <c r="P2356" s="56" t="s">
        <v>1865</v>
      </c>
    </row>
    <row r="2357" spans="1:16" ht="15.75" customHeight="1" x14ac:dyDescent="0.2">
      <c r="A2357" s="48">
        <v>5198</v>
      </c>
      <c r="B2357" s="11" t="s">
        <v>1857</v>
      </c>
      <c r="C2357" s="11" t="s">
        <v>1849</v>
      </c>
      <c r="D2357" s="6" t="s">
        <v>1850</v>
      </c>
      <c r="E2357" s="12" t="s">
        <v>5888</v>
      </c>
      <c r="F2357" s="12" t="s">
        <v>5889</v>
      </c>
      <c r="G2357" s="12" t="s">
        <v>5894</v>
      </c>
      <c r="H2357" s="12" t="s">
        <v>5919</v>
      </c>
      <c r="I2357" s="12" t="s">
        <v>6120</v>
      </c>
      <c r="J2357" s="11" t="s">
        <v>2246</v>
      </c>
      <c r="K2357" s="11" t="s">
        <v>2247</v>
      </c>
      <c r="L2357" s="11" t="s">
        <v>5893</v>
      </c>
      <c r="M2357" s="11" t="s">
        <v>2276</v>
      </c>
      <c r="N2357" s="12" t="s">
        <v>6121</v>
      </c>
      <c r="O2357" s="11" t="s">
        <v>1860</v>
      </c>
      <c r="P2357" s="56"/>
    </row>
    <row r="2358" spans="1:16" ht="15.75" customHeight="1" x14ac:dyDescent="0.2">
      <c r="A2358" s="48">
        <v>5123</v>
      </c>
      <c r="B2358" s="11" t="s">
        <v>1857</v>
      </c>
      <c r="C2358" s="11" t="s">
        <v>1849</v>
      </c>
      <c r="D2358" s="6" t="s">
        <v>1850</v>
      </c>
      <c r="E2358" s="12" t="s">
        <v>5888</v>
      </c>
      <c r="F2358" s="12" t="s">
        <v>5889</v>
      </c>
      <c r="G2358" s="12" t="s">
        <v>5894</v>
      </c>
      <c r="H2358" s="12" t="s">
        <v>5912</v>
      </c>
      <c r="I2358" s="12" t="s">
        <v>6122</v>
      </c>
      <c r="J2358" s="11" t="s">
        <v>2246</v>
      </c>
      <c r="K2358" s="11" t="s">
        <v>2247</v>
      </c>
      <c r="L2358" s="11" t="s">
        <v>5893</v>
      </c>
      <c r="M2358" s="11" t="s">
        <v>6101</v>
      </c>
      <c r="N2358" s="12" t="s">
        <v>2767</v>
      </c>
      <c r="O2358" s="11" t="s">
        <v>2334</v>
      </c>
      <c r="P2358" s="56" t="s">
        <v>2323</v>
      </c>
    </row>
    <row r="2359" spans="1:16" ht="15.75" customHeight="1" x14ac:dyDescent="0.2">
      <c r="A2359" s="48">
        <v>5242</v>
      </c>
      <c r="B2359" s="11" t="s">
        <v>1857</v>
      </c>
      <c r="C2359" s="11" t="s">
        <v>1849</v>
      </c>
      <c r="D2359" s="6" t="s">
        <v>1850</v>
      </c>
      <c r="E2359" s="12" t="s">
        <v>5888</v>
      </c>
      <c r="F2359" s="12" t="s">
        <v>5889</v>
      </c>
      <c r="G2359" s="12" t="s">
        <v>5897</v>
      </c>
      <c r="H2359" s="12" t="s">
        <v>6123</v>
      </c>
      <c r="I2359" s="12" t="s">
        <v>6124</v>
      </c>
      <c r="J2359" s="11" t="s">
        <v>2246</v>
      </c>
      <c r="K2359" s="11" t="s">
        <v>2247</v>
      </c>
      <c r="L2359" s="11" t="s">
        <v>5893</v>
      </c>
      <c r="M2359" s="11" t="s">
        <v>5997</v>
      </c>
      <c r="N2359" s="12"/>
      <c r="O2359" s="11" t="s">
        <v>1858</v>
      </c>
      <c r="P2359" s="56"/>
    </row>
    <row r="2360" spans="1:16" ht="15.75" customHeight="1" x14ac:dyDescent="0.2">
      <c r="A2360" s="48">
        <v>5084</v>
      </c>
      <c r="B2360" s="11" t="s">
        <v>1857</v>
      </c>
      <c r="C2360" s="11" t="s">
        <v>1849</v>
      </c>
      <c r="D2360" s="6" t="s">
        <v>1850</v>
      </c>
      <c r="E2360" s="12" t="s">
        <v>5888</v>
      </c>
      <c r="F2360" s="12" t="s">
        <v>5889</v>
      </c>
      <c r="G2360" s="12" t="s">
        <v>5894</v>
      </c>
      <c r="H2360" s="12" t="s">
        <v>5925</v>
      </c>
      <c r="I2360" s="12" t="s">
        <v>6125</v>
      </c>
      <c r="J2360" s="11" t="s">
        <v>2246</v>
      </c>
      <c r="K2360" s="11" t="s">
        <v>2247</v>
      </c>
      <c r="L2360" s="11" t="s">
        <v>5893</v>
      </c>
      <c r="M2360" s="11" t="s">
        <v>1854</v>
      </c>
      <c r="N2360" s="12"/>
      <c r="O2360" s="11" t="s">
        <v>1858</v>
      </c>
      <c r="P2360" s="56"/>
    </row>
    <row r="2361" spans="1:16" ht="15.75" customHeight="1" x14ac:dyDescent="0.2">
      <c r="A2361" s="48">
        <v>4965</v>
      </c>
      <c r="B2361" s="11" t="s">
        <v>1857</v>
      </c>
      <c r="C2361" s="11" t="s">
        <v>1849</v>
      </c>
      <c r="D2361" s="6" t="s">
        <v>1850</v>
      </c>
      <c r="E2361" s="12" t="s">
        <v>5888</v>
      </c>
      <c r="F2361" s="12" t="s">
        <v>5889</v>
      </c>
      <c r="G2361" s="12" t="s">
        <v>5894</v>
      </c>
      <c r="H2361" s="12" t="s">
        <v>5895</v>
      </c>
      <c r="I2361" s="12" t="s">
        <v>6126</v>
      </c>
      <c r="J2361" s="11" t="s">
        <v>2246</v>
      </c>
      <c r="K2361" s="11" t="s">
        <v>2247</v>
      </c>
      <c r="L2361" s="11" t="s">
        <v>5893</v>
      </c>
      <c r="M2361" s="11" t="s">
        <v>2276</v>
      </c>
      <c r="N2361" s="12" t="s">
        <v>6127</v>
      </c>
      <c r="O2361" s="11" t="s">
        <v>1860</v>
      </c>
      <c r="P2361" s="56"/>
    </row>
    <row r="2362" spans="1:16" ht="15.75" customHeight="1" x14ac:dyDescent="0.2">
      <c r="A2362" s="48">
        <v>5240</v>
      </c>
      <c r="B2362" s="11" t="s">
        <v>1857</v>
      </c>
      <c r="C2362" s="11" t="s">
        <v>1849</v>
      </c>
      <c r="D2362" s="6" t="s">
        <v>1850</v>
      </c>
      <c r="E2362" s="12" t="s">
        <v>5888</v>
      </c>
      <c r="F2362" s="12" t="s">
        <v>5889</v>
      </c>
      <c r="G2362" s="12" t="s">
        <v>5897</v>
      </c>
      <c r="H2362" s="12" t="s">
        <v>5910</v>
      </c>
      <c r="I2362" s="12" t="s">
        <v>6128</v>
      </c>
      <c r="J2362" s="11" t="s">
        <v>2246</v>
      </c>
      <c r="K2362" s="11" t="s">
        <v>2247</v>
      </c>
      <c r="L2362" s="11" t="s">
        <v>5893</v>
      </c>
      <c r="M2362" s="11" t="s">
        <v>6129</v>
      </c>
      <c r="N2362" s="12" t="s">
        <v>2767</v>
      </c>
      <c r="O2362" s="11" t="s">
        <v>2334</v>
      </c>
      <c r="P2362" s="56" t="s">
        <v>1863</v>
      </c>
    </row>
    <row r="2363" spans="1:16" ht="15.75" customHeight="1" x14ac:dyDescent="0.2">
      <c r="A2363" s="48">
        <v>1980</v>
      </c>
      <c r="B2363" s="11" t="s">
        <v>1857</v>
      </c>
      <c r="C2363" s="11" t="s">
        <v>1849</v>
      </c>
      <c r="D2363" s="6" t="s">
        <v>1850</v>
      </c>
      <c r="E2363" s="12" t="s">
        <v>5888</v>
      </c>
      <c r="F2363" s="12" t="s">
        <v>5889</v>
      </c>
      <c r="G2363" s="12" t="s">
        <v>5902</v>
      </c>
      <c r="H2363" s="12" t="s">
        <v>5951</v>
      </c>
      <c r="I2363" s="12" t="s">
        <v>6130</v>
      </c>
      <c r="J2363" s="11" t="s">
        <v>2246</v>
      </c>
      <c r="K2363" s="11" t="s">
        <v>2247</v>
      </c>
      <c r="L2363" s="11" t="s">
        <v>5893</v>
      </c>
      <c r="M2363" s="11" t="s">
        <v>6131</v>
      </c>
      <c r="N2363" s="12" t="s">
        <v>6132</v>
      </c>
      <c r="O2363" s="11" t="s">
        <v>2022</v>
      </c>
      <c r="P2363" s="56" t="s">
        <v>2796</v>
      </c>
    </row>
    <row r="2364" spans="1:16" ht="15.75" customHeight="1" x14ac:dyDescent="0.2">
      <c r="A2364" s="48">
        <v>2120</v>
      </c>
      <c r="B2364" s="11" t="s">
        <v>1857</v>
      </c>
      <c r="C2364" s="11" t="s">
        <v>1849</v>
      </c>
      <c r="D2364" s="6" t="s">
        <v>1850</v>
      </c>
      <c r="E2364" s="12" t="s">
        <v>5888</v>
      </c>
      <c r="F2364" s="12" t="s">
        <v>5889</v>
      </c>
      <c r="G2364" s="12" t="s">
        <v>5890</v>
      </c>
      <c r="H2364" s="12" t="s">
        <v>5908</v>
      </c>
      <c r="I2364" s="12" t="s">
        <v>6133</v>
      </c>
      <c r="J2364" s="11" t="s">
        <v>2246</v>
      </c>
      <c r="K2364" s="11" t="s">
        <v>2247</v>
      </c>
      <c r="L2364" s="11" t="s">
        <v>5893</v>
      </c>
      <c r="M2364" s="11" t="s">
        <v>6134</v>
      </c>
      <c r="N2364" s="12"/>
      <c r="O2364" s="11" t="s">
        <v>6135</v>
      </c>
      <c r="P2364" s="56" t="s">
        <v>6136</v>
      </c>
    </row>
    <row r="2365" spans="1:16" ht="15.75" customHeight="1" x14ac:dyDescent="0.2">
      <c r="A2365" s="48">
        <v>5174</v>
      </c>
      <c r="B2365" s="11" t="s">
        <v>1857</v>
      </c>
      <c r="C2365" s="11" t="s">
        <v>1849</v>
      </c>
      <c r="D2365" s="6" t="s">
        <v>1850</v>
      </c>
      <c r="E2365" s="12" t="s">
        <v>5888</v>
      </c>
      <c r="F2365" s="12" t="s">
        <v>5889</v>
      </c>
      <c r="G2365" s="12" t="s">
        <v>5902</v>
      </c>
      <c r="H2365" s="12" t="s">
        <v>5951</v>
      </c>
      <c r="I2365" s="12" t="s">
        <v>6137</v>
      </c>
      <c r="J2365" s="11" t="s">
        <v>2246</v>
      </c>
      <c r="K2365" s="11" t="s">
        <v>2247</v>
      </c>
      <c r="L2365" s="11" t="s">
        <v>5893</v>
      </c>
      <c r="M2365" s="11" t="s">
        <v>1854</v>
      </c>
      <c r="N2365" s="12"/>
      <c r="O2365" s="11" t="s">
        <v>1858</v>
      </c>
      <c r="P2365" s="56"/>
    </row>
    <row r="2366" spans="1:16" ht="15.75" customHeight="1" x14ac:dyDescent="0.2">
      <c r="A2366" s="48">
        <v>5064</v>
      </c>
      <c r="B2366" s="11" t="s">
        <v>1857</v>
      </c>
      <c r="C2366" s="11" t="s">
        <v>1849</v>
      </c>
      <c r="D2366" s="6" t="s">
        <v>1850</v>
      </c>
      <c r="E2366" s="12" t="s">
        <v>5888</v>
      </c>
      <c r="F2366" s="12" t="s">
        <v>5889</v>
      </c>
      <c r="G2366" s="12" t="s">
        <v>5902</v>
      </c>
      <c r="H2366" s="12" t="s">
        <v>5936</v>
      </c>
      <c r="I2366" s="12" t="s">
        <v>6138</v>
      </c>
      <c r="J2366" s="11" t="s">
        <v>2246</v>
      </c>
      <c r="K2366" s="11" t="s">
        <v>2247</v>
      </c>
      <c r="L2366" s="11" t="s">
        <v>5893</v>
      </c>
      <c r="M2366" s="11" t="s">
        <v>6139</v>
      </c>
      <c r="N2366" s="12"/>
      <c r="O2366" s="11" t="s">
        <v>1860</v>
      </c>
      <c r="P2366" s="56"/>
    </row>
    <row r="2367" spans="1:16" ht="15.75" customHeight="1" x14ac:dyDescent="0.2">
      <c r="A2367" s="48">
        <v>4940</v>
      </c>
      <c r="B2367" s="11" t="s">
        <v>1857</v>
      </c>
      <c r="C2367" s="11" t="s">
        <v>1849</v>
      </c>
      <c r="D2367" s="6" t="s">
        <v>1850</v>
      </c>
      <c r="E2367" s="12" t="s">
        <v>5888</v>
      </c>
      <c r="F2367" s="12" t="s">
        <v>5889</v>
      </c>
      <c r="G2367" s="12" t="s">
        <v>5897</v>
      </c>
      <c r="H2367" s="12" t="s">
        <v>5910</v>
      </c>
      <c r="I2367" s="12" t="s">
        <v>6138</v>
      </c>
      <c r="J2367" s="11" t="s">
        <v>2246</v>
      </c>
      <c r="K2367" s="11" t="s">
        <v>2247</v>
      </c>
      <c r="L2367" s="11" t="s">
        <v>5893</v>
      </c>
      <c r="M2367" s="11" t="s">
        <v>6140</v>
      </c>
      <c r="N2367" s="12"/>
      <c r="O2367" s="11" t="s">
        <v>1858</v>
      </c>
      <c r="P2367" s="56"/>
    </row>
    <row r="2368" spans="1:16" ht="15.75" customHeight="1" x14ac:dyDescent="0.2">
      <c r="A2368" s="48">
        <v>1866</v>
      </c>
      <c r="B2368" s="11" t="s">
        <v>1857</v>
      </c>
      <c r="C2368" s="11" t="s">
        <v>1849</v>
      </c>
      <c r="D2368" s="6" t="s">
        <v>1850</v>
      </c>
      <c r="E2368" s="12" t="s">
        <v>5888</v>
      </c>
      <c r="F2368" s="12" t="s">
        <v>5889</v>
      </c>
      <c r="G2368" s="12" t="s">
        <v>5897</v>
      </c>
      <c r="H2368" s="12" t="s">
        <v>5962</v>
      </c>
      <c r="I2368" s="12" t="s">
        <v>6141</v>
      </c>
      <c r="J2368" s="11" t="s">
        <v>2246</v>
      </c>
      <c r="K2368" s="11" t="s">
        <v>2247</v>
      </c>
      <c r="L2368" s="11" t="s">
        <v>5893</v>
      </c>
      <c r="M2368" s="11" t="s">
        <v>5995</v>
      </c>
      <c r="N2368" s="12" t="s">
        <v>6142</v>
      </c>
      <c r="O2368" s="11" t="s">
        <v>1860</v>
      </c>
      <c r="P2368" s="56"/>
    </row>
    <row r="2369" spans="1:16" ht="15.75" customHeight="1" x14ac:dyDescent="0.2">
      <c r="A2369" s="48">
        <v>4966</v>
      </c>
      <c r="B2369" s="11" t="s">
        <v>1857</v>
      </c>
      <c r="C2369" s="11" t="s">
        <v>1849</v>
      </c>
      <c r="D2369" s="6" t="s">
        <v>1850</v>
      </c>
      <c r="E2369" s="12" t="s">
        <v>5888</v>
      </c>
      <c r="F2369" s="12" t="s">
        <v>5889</v>
      </c>
      <c r="G2369" s="12" t="s">
        <v>5894</v>
      </c>
      <c r="H2369" s="12" t="s">
        <v>5919</v>
      </c>
      <c r="I2369" s="12" t="s">
        <v>6143</v>
      </c>
      <c r="J2369" s="11" t="s">
        <v>2246</v>
      </c>
      <c r="K2369" s="11" t="s">
        <v>2247</v>
      </c>
      <c r="L2369" s="11" t="s">
        <v>5893</v>
      </c>
      <c r="M2369" s="11" t="s">
        <v>6144</v>
      </c>
      <c r="N2369" s="12"/>
      <c r="O2369" s="11" t="s">
        <v>1860</v>
      </c>
      <c r="P2369" s="56"/>
    </row>
    <row r="2370" spans="1:16" ht="15.75" customHeight="1" x14ac:dyDescent="0.2">
      <c r="A2370" s="48">
        <v>2031</v>
      </c>
      <c r="B2370" s="11" t="s">
        <v>1857</v>
      </c>
      <c r="C2370" s="11" t="s">
        <v>1849</v>
      </c>
      <c r="D2370" s="6" t="s">
        <v>1850</v>
      </c>
      <c r="E2370" s="12" t="s">
        <v>5888</v>
      </c>
      <c r="F2370" s="12" t="s">
        <v>5889</v>
      </c>
      <c r="G2370" s="12" t="s">
        <v>5902</v>
      </c>
      <c r="H2370" s="12" t="s">
        <v>5944</v>
      </c>
      <c r="I2370" s="12" t="s">
        <v>6145</v>
      </c>
      <c r="J2370" s="11" t="s">
        <v>2246</v>
      </c>
      <c r="K2370" s="11" t="s">
        <v>2247</v>
      </c>
      <c r="L2370" s="11" t="s">
        <v>5893</v>
      </c>
      <c r="M2370" s="11" t="s">
        <v>6146</v>
      </c>
      <c r="N2370" s="12"/>
      <c r="O2370" s="11" t="s">
        <v>1858</v>
      </c>
      <c r="P2370" s="56"/>
    </row>
    <row r="2371" spans="1:16" ht="15.75" customHeight="1" x14ac:dyDescent="0.2">
      <c r="A2371" s="48">
        <v>5135</v>
      </c>
      <c r="B2371" s="11" t="s">
        <v>1857</v>
      </c>
      <c r="C2371" s="11" t="s">
        <v>1849</v>
      </c>
      <c r="D2371" s="6" t="s">
        <v>1850</v>
      </c>
      <c r="E2371" s="12" t="s">
        <v>5888</v>
      </c>
      <c r="F2371" s="12" t="s">
        <v>5889</v>
      </c>
      <c r="G2371" s="12" t="s">
        <v>5894</v>
      </c>
      <c r="H2371" s="12" t="s">
        <v>5925</v>
      </c>
      <c r="I2371" s="12" t="s">
        <v>6147</v>
      </c>
      <c r="J2371" s="11" t="s">
        <v>2246</v>
      </c>
      <c r="K2371" s="11" t="s">
        <v>2247</v>
      </c>
      <c r="L2371" s="11" t="s">
        <v>5893</v>
      </c>
      <c r="M2371" s="11" t="s">
        <v>3927</v>
      </c>
      <c r="N2371" s="12" t="s">
        <v>6148</v>
      </c>
      <c r="O2371" s="11" t="s">
        <v>2334</v>
      </c>
      <c r="P2371" s="56" t="s">
        <v>1863</v>
      </c>
    </row>
    <row r="2372" spans="1:16" ht="15.75" customHeight="1" x14ac:dyDescent="0.2">
      <c r="A2372" s="48">
        <v>7306</v>
      </c>
      <c r="B2372" s="11" t="s">
        <v>1857</v>
      </c>
      <c r="C2372" s="11" t="s">
        <v>1849</v>
      </c>
      <c r="D2372" s="6" t="s">
        <v>1850</v>
      </c>
      <c r="E2372" s="12" t="s">
        <v>5888</v>
      </c>
      <c r="F2372" s="12" t="s">
        <v>5889</v>
      </c>
      <c r="G2372" s="12" t="s">
        <v>5902</v>
      </c>
      <c r="H2372" s="12" t="s">
        <v>5932</v>
      </c>
      <c r="I2372" s="12" t="s">
        <v>6149</v>
      </c>
      <c r="J2372" s="11" t="s">
        <v>2246</v>
      </c>
      <c r="K2372" s="11" t="s">
        <v>2247</v>
      </c>
      <c r="L2372" s="11" t="s">
        <v>5893</v>
      </c>
      <c r="M2372" s="11" t="s">
        <v>6150</v>
      </c>
      <c r="N2372" s="12"/>
      <c r="O2372" s="11" t="s">
        <v>1858</v>
      </c>
      <c r="P2372" s="56"/>
    </row>
    <row r="2373" spans="1:16" ht="15.75" customHeight="1" x14ac:dyDescent="0.2">
      <c r="A2373" s="48">
        <v>5134</v>
      </c>
      <c r="B2373" s="11" t="s">
        <v>1857</v>
      </c>
      <c r="C2373" s="11" t="s">
        <v>1849</v>
      </c>
      <c r="D2373" s="6" t="s">
        <v>1850</v>
      </c>
      <c r="E2373" s="12" t="s">
        <v>5888</v>
      </c>
      <c r="F2373" s="12" t="s">
        <v>5889</v>
      </c>
      <c r="G2373" s="12" t="s">
        <v>5894</v>
      </c>
      <c r="H2373" s="12" t="s">
        <v>5900</v>
      </c>
      <c r="I2373" s="12" t="s">
        <v>6151</v>
      </c>
      <c r="J2373" s="11" t="s">
        <v>2246</v>
      </c>
      <c r="K2373" s="11" t="s">
        <v>2247</v>
      </c>
      <c r="L2373" s="11" t="s">
        <v>5893</v>
      </c>
      <c r="M2373" s="11" t="s">
        <v>6152</v>
      </c>
      <c r="N2373" s="12"/>
      <c r="O2373" s="11" t="s">
        <v>1867</v>
      </c>
      <c r="P2373" s="56" t="s">
        <v>1865</v>
      </c>
    </row>
    <row r="2374" spans="1:16" ht="15.75" customHeight="1" x14ac:dyDescent="0.2">
      <c r="A2374" s="48">
        <v>5193</v>
      </c>
      <c r="B2374" s="11" t="s">
        <v>1857</v>
      </c>
      <c r="C2374" s="11" t="s">
        <v>1849</v>
      </c>
      <c r="D2374" s="6" t="s">
        <v>1850</v>
      </c>
      <c r="E2374" s="12" t="s">
        <v>5888</v>
      </c>
      <c r="F2374" s="12" t="s">
        <v>5889</v>
      </c>
      <c r="G2374" s="12" t="s">
        <v>5902</v>
      </c>
      <c r="H2374" s="12" t="s">
        <v>6153</v>
      </c>
      <c r="I2374" s="12" t="s">
        <v>6154</v>
      </c>
      <c r="J2374" s="11" t="s">
        <v>2246</v>
      </c>
      <c r="K2374" s="11" t="s">
        <v>2247</v>
      </c>
      <c r="L2374" s="11" t="s">
        <v>5893</v>
      </c>
      <c r="M2374" s="11" t="s">
        <v>6155</v>
      </c>
      <c r="N2374" s="12" t="s">
        <v>6156</v>
      </c>
      <c r="O2374" s="11" t="s">
        <v>1867</v>
      </c>
      <c r="P2374" s="56" t="s">
        <v>1863</v>
      </c>
    </row>
    <row r="2375" spans="1:16" ht="15.75" customHeight="1" x14ac:dyDescent="0.2">
      <c r="A2375" s="48">
        <v>1876</v>
      </c>
      <c r="B2375" s="11" t="s">
        <v>1857</v>
      </c>
      <c r="C2375" s="11" t="s">
        <v>1849</v>
      </c>
      <c r="D2375" s="6" t="s">
        <v>1850</v>
      </c>
      <c r="E2375" s="12" t="s">
        <v>5888</v>
      </c>
      <c r="F2375" s="12" t="s">
        <v>5889</v>
      </c>
      <c r="G2375" s="12" t="s">
        <v>5897</v>
      </c>
      <c r="H2375" s="12" t="s">
        <v>6123</v>
      </c>
      <c r="I2375" s="12" t="s">
        <v>6157</v>
      </c>
      <c r="J2375" s="11" t="s">
        <v>2246</v>
      </c>
      <c r="K2375" s="11" t="s">
        <v>2247</v>
      </c>
      <c r="L2375" s="11" t="s">
        <v>5893</v>
      </c>
      <c r="M2375" s="11" t="s">
        <v>6158</v>
      </c>
      <c r="N2375" s="12"/>
      <c r="O2375" s="11" t="s">
        <v>6159</v>
      </c>
      <c r="P2375" s="56" t="s">
        <v>6160</v>
      </c>
    </row>
    <row r="2376" spans="1:16" ht="15.75" customHeight="1" x14ac:dyDescent="0.2">
      <c r="A2376" s="48">
        <v>5040</v>
      </c>
      <c r="B2376" s="11" t="s">
        <v>1857</v>
      </c>
      <c r="C2376" s="11" t="s">
        <v>1849</v>
      </c>
      <c r="D2376" s="6" t="s">
        <v>1850</v>
      </c>
      <c r="E2376" s="12" t="s">
        <v>5888</v>
      </c>
      <c r="F2376" s="12" t="s">
        <v>5889</v>
      </c>
      <c r="G2376" s="12" t="s">
        <v>5897</v>
      </c>
      <c r="H2376" s="12" t="s">
        <v>6123</v>
      </c>
      <c r="I2376" s="12" t="s">
        <v>6161</v>
      </c>
      <c r="J2376" s="11" t="s">
        <v>2246</v>
      </c>
      <c r="K2376" s="11" t="s">
        <v>2247</v>
      </c>
      <c r="L2376" s="11" t="s">
        <v>5893</v>
      </c>
      <c r="M2376" s="11" t="s">
        <v>6162</v>
      </c>
      <c r="N2376" s="12" t="s">
        <v>2767</v>
      </c>
      <c r="O2376" s="11" t="s">
        <v>1860</v>
      </c>
      <c r="P2376" s="56"/>
    </row>
    <row r="2377" spans="1:16" ht="15.75" customHeight="1" x14ac:dyDescent="0.2">
      <c r="A2377" s="48">
        <v>5159</v>
      </c>
      <c r="B2377" s="11" t="s">
        <v>1857</v>
      </c>
      <c r="C2377" s="11" t="s">
        <v>1849</v>
      </c>
      <c r="D2377" s="6" t="s">
        <v>1850</v>
      </c>
      <c r="E2377" s="12" t="s">
        <v>5888</v>
      </c>
      <c r="F2377" s="12" t="s">
        <v>5889</v>
      </c>
      <c r="G2377" s="12" t="s">
        <v>5890</v>
      </c>
      <c r="H2377" s="12" t="s">
        <v>6062</v>
      </c>
      <c r="I2377" s="12" t="s">
        <v>6163</v>
      </c>
      <c r="J2377" s="11" t="s">
        <v>2246</v>
      </c>
      <c r="K2377" s="11" t="s">
        <v>2247</v>
      </c>
      <c r="L2377" s="11" t="s">
        <v>5893</v>
      </c>
      <c r="M2377" s="11" t="s">
        <v>6005</v>
      </c>
      <c r="N2377" s="12"/>
      <c r="O2377" s="11" t="s">
        <v>1860</v>
      </c>
      <c r="P2377" s="56"/>
    </row>
    <row r="2378" spans="1:16" ht="15.75" customHeight="1" x14ac:dyDescent="0.2">
      <c r="A2378" s="48">
        <v>2184</v>
      </c>
      <c r="B2378" s="11" t="s">
        <v>1857</v>
      </c>
      <c r="C2378" s="11" t="s">
        <v>1849</v>
      </c>
      <c r="D2378" s="6" t="s">
        <v>1850</v>
      </c>
      <c r="E2378" s="12" t="s">
        <v>5888</v>
      </c>
      <c r="F2378" s="12" t="s">
        <v>5889</v>
      </c>
      <c r="G2378" s="12" t="s">
        <v>5894</v>
      </c>
      <c r="H2378" s="12" t="s">
        <v>5929</v>
      </c>
      <c r="I2378" s="12" t="s">
        <v>6164</v>
      </c>
      <c r="J2378" s="11" t="s">
        <v>2246</v>
      </c>
      <c r="K2378" s="11" t="s">
        <v>2247</v>
      </c>
      <c r="L2378" s="11" t="s">
        <v>5893</v>
      </c>
      <c r="M2378" s="11" t="s">
        <v>1854</v>
      </c>
      <c r="N2378" s="12"/>
      <c r="O2378" s="11" t="s">
        <v>1860</v>
      </c>
      <c r="P2378" s="56"/>
    </row>
    <row r="2379" spans="1:16" ht="15.75" customHeight="1" x14ac:dyDescent="0.2">
      <c r="A2379" s="48">
        <v>5181</v>
      </c>
      <c r="B2379" s="11" t="s">
        <v>1857</v>
      </c>
      <c r="C2379" s="11" t="s">
        <v>1849</v>
      </c>
      <c r="D2379" s="6" t="s">
        <v>1850</v>
      </c>
      <c r="E2379" s="12" t="s">
        <v>5888</v>
      </c>
      <c r="F2379" s="12" t="s">
        <v>5889</v>
      </c>
      <c r="G2379" s="12" t="s">
        <v>5902</v>
      </c>
      <c r="H2379" s="12" t="s">
        <v>5939</v>
      </c>
      <c r="I2379" s="12" t="s">
        <v>6165</v>
      </c>
      <c r="J2379" s="11" t="s">
        <v>2246</v>
      </c>
      <c r="K2379" s="11" t="s">
        <v>2247</v>
      </c>
      <c r="L2379" s="11" t="s">
        <v>5893</v>
      </c>
      <c r="M2379" s="11" t="s">
        <v>5995</v>
      </c>
      <c r="N2379" s="12"/>
      <c r="O2379" s="11" t="s">
        <v>1858</v>
      </c>
      <c r="P2379" s="56"/>
    </row>
    <row r="2380" spans="1:16" ht="15.75" customHeight="1" x14ac:dyDescent="0.2">
      <c r="A2380" s="48">
        <v>5032</v>
      </c>
      <c r="B2380" s="11" t="s">
        <v>1857</v>
      </c>
      <c r="C2380" s="11" t="s">
        <v>1849</v>
      </c>
      <c r="D2380" s="6" t="s">
        <v>1850</v>
      </c>
      <c r="E2380" s="12" t="s">
        <v>5888</v>
      </c>
      <c r="F2380" s="12" t="s">
        <v>5889</v>
      </c>
      <c r="G2380" s="12" t="s">
        <v>5890</v>
      </c>
      <c r="H2380" s="12" t="s">
        <v>5923</v>
      </c>
      <c r="I2380" s="12" t="s">
        <v>6166</v>
      </c>
      <c r="J2380" s="11" t="s">
        <v>2246</v>
      </c>
      <c r="K2380" s="11" t="s">
        <v>2247</v>
      </c>
      <c r="L2380" s="11" t="s">
        <v>5893</v>
      </c>
      <c r="M2380" s="11" t="s">
        <v>5995</v>
      </c>
      <c r="N2380" s="12"/>
      <c r="O2380" s="11" t="s">
        <v>1858</v>
      </c>
      <c r="P2380" s="56"/>
    </row>
    <row r="2381" spans="1:16" ht="15.75" customHeight="1" x14ac:dyDescent="0.2">
      <c r="A2381" s="48">
        <v>5220</v>
      </c>
      <c r="B2381" s="11" t="s">
        <v>1857</v>
      </c>
      <c r="C2381" s="11" t="s">
        <v>1849</v>
      </c>
      <c r="D2381" s="6" t="s">
        <v>1850</v>
      </c>
      <c r="E2381" s="12" t="s">
        <v>5888</v>
      </c>
      <c r="F2381" s="12" t="s">
        <v>5889</v>
      </c>
      <c r="G2381" s="12" t="s">
        <v>5890</v>
      </c>
      <c r="H2381" s="12" t="s">
        <v>6074</v>
      </c>
      <c r="I2381" s="12" t="s">
        <v>6167</v>
      </c>
      <c r="J2381" s="11" t="s">
        <v>2246</v>
      </c>
      <c r="K2381" s="11" t="s">
        <v>2247</v>
      </c>
      <c r="L2381" s="11" t="s">
        <v>5893</v>
      </c>
      <c r="M2381" s="11" t="s">
        <v>6005</v>
      </c>
      <c r="N2381" s="12"/>
      <c r="O2381" s="11" t="s">
        <v>1860</v>
      </c>
      <c r="P2381" s="56"/>
    </row>
    <row r="2382" spans="1:16" ht="15.75" customHeight="1" x14ac:dyDescent="0.2">
      <c r="A2382" s="48">
        <v>5075</v>
      </c>
      <c r="B2382" s="11" t="s">
        <v>1857</v>
      </c>
      <c r="C2382" s="11" t="s">
        <v>1849</v>
      </c>
      <c r="D2382" s="6" t="s">
        <v>1850</v>
      </c>
      <c r="E2382" s="12" t="s">
        <v>5888</v>
      </c>
      <c r="F2382" s="12" t="s">
        <v>5889</v>
      </c>
      <c r="G2382" s="12" t="s">
        <v>5890</v>
      </c>
      <c r="H2382" s="12" t="s">
        <v>6019</v>
      </c>
      <c r="I2382" s="12" t="s">
        <v>6168</v>
      </c>
      <c r="J2382" s="11" t="s">
        <v>2246</v>
      </c>
      <c r="K2382" s="11" t="s">
        <v>2247</v>
      </c>
      <c r="L2382" s="11" t="s">
        <v>5893</v>
      </c>
      <c r="M2382" s="11" t="s">
        <v>6005</v>
      </c>
      <c r="N2382" s="12"/>
      <c r="O2382" s="11" t="s">
        <v>1858</v>
      </c>
      <c r="P2382" s="56"/>
    </row>
    <row r="2383" spans="1:16" ht="15.75" customHeight="1" x14ac:dyDescent="0.2">
      <c r="A2383" s="48">
        <v>4944</v>
      </c>
      <c r="B2383" s="11" t="s">
        <v>1857</v>
      </c>
      <c r="C2383" s="11" t="s">
        <v>1849</v>
      </c>
      <c r="D2383" s="6" t="s">
        <v>1850</v>
      </c>
      <c r="E2383" s="12" t="s">
        <v>5888</v>
      </c>
      <c r="F2383" s="12" t="s">
        <v>5889</v>
      </c>
      <c r="G2383" s="12" t="s">
        <v>5890</v>
      </c>
      <c r="H2383" s="12" t="s">
        <v>5958</v>
      </c>
      <c r="I2383" s="12" t="s">
        <v>6169</v>
      </c>
      <c r="J2383" s="11" t="s">
        <v>2246</v>
      </c>
      <c r="K2383" s="11" t="s">
        <v>2247</v>
      </c>
      <c r="L2383" s="11" t="s">
        <v>5893</v>
      </c>
      <c r="M2383" s="11" t="s">
        <v>6170</v>
      </c>
      <c r="N2383" s="12" t="s">
        <v>6171</v>
      </c>
      <c r="O2383" s="11" t="s">
        <v>1867</v>
      </c>
      <c r="P2383" s="56" t="s">
        <v>2819</v>
      </c>
    </row>
    <row r="2384" spans="1:16" ht="15.75" customHeight="1" x14ac:dyDescent="0.2">
      <c r="A2384" s="48">
        <v>5208</v>
      </c>
      <c r="B2384" s="11" t="s">
        <v>1857</v>
      </c>
      <c r="C2384" s="11" t="s">
        <v>1849</v>
      </c>
      <c r="D2384" s="6" t="s">
        <v>1850</v>
      </c>
      <c r="E2384" s="12" t="s">
        <v>5888</v>
      </c>
      <c r="F2384" s="12" t="s">
        <v>5889</v>
      </c>
      <c r="G2384" s="12" t="s">
        <v>5890</v>
      </c>
      <c r="H2384" s="12" t="s">
        <v>5960</v>
      </c>
      <c r="I2384" s="12" t="s">
        <v>6172</v>
      </c>
      <c r="J2384" s="11" t="s">
        <v>2246</v>
      </c>
      <c r="K2384" s="11" t="s">
        <v>2247</v>
      </c>
      <c r="L2384" s="11" t="s">
        <v>5893</v>
      </c>
      <c r="M2384" s="11" t="s">
        <v>6173</v>
      </c>
      <c r="N2384" s="12"/>
      <c r="O2384" s="11" t="s">
        <v>1860</v>
      </c>
      <c r="P2384" s="56"/>
    </row>
    <row r="2385" spans="1:16" ht="15.75" customHeight="1" x14ac:dyDescent="0.2">
      <c r="A2385" s="48">
        <v>5106</v>
      </c>
      <c r="B2385" s="11" t="s">
        <v>1857</v>
      </c>
      <c r="C2385" s="11" t="s">
        <v>1849</v>
      </c>
      <c r="D2385" s="6" t="s">
        <v>1850</v>
      </c>
      <c r="E2385" s="12" t="s">
        <v>5888</v>
      </c>
      <c r="F2385" s="12" t="s">
        <v>5889</v>
      </c>
      <c r="G2385" s="12" t="s">
        <v>5902</v>
      </c>
      <c r="H2385" s="12" t="s">
        <v>5939</v>
      </c>
      <c r="I2385" s="12" t="s">
        <v>6174</v>
      </c>
      <c r="J2385" s="11" t="s">
        <v>2246</v>
      </c>
      <c r="K2385" s="11" t="s">
        <v>2247</v>
      </c>
      <c r="L2385" s="11" t="s">
        <v>5893</v>
      </c>
      <c r="M2385" s="11" t="s">
        <v>1854</v>
      </c>
      <c r="N2385" s="12"/>
      <c r="O2385" s="11" t="s">
        <v>1858</v>
      </c>
      <c r="P2385" s="56"/>
    </row>
    <row r="2386" spans="1:16" ht="15.75" customHeight="1" x14ac:dyDescent="0.2">
      <c r="A2386" s="48">
        <v>5137</v>
      </c>
      <c r="B2386" s="11" t="s">
        <v>1857</v>
      </c>
      <c r="C2386" s="11" t="s">
        <v>1849</v>
      </c>
      <c r="D2386" s="6" t="s">
        <v>1850</v>
      </c>
      <c r="E2386" s="12" t="s">
        <v>5888</v>
      </c>
      <c r="F2386" s="12" t="s">
        <v>5889</v>
      </c>
      <c r="G2386" s="12" t="s">
        <v>5890</v>
      </c>
      <c r="H2386" s="12" t="s">
        <v>5949</v>
      </c>
      <c r="I2386" s="12" t="s">
        <v>6175</v>
      </c>
      <c r="J2386" s="11" t="s">
        <v>2246</v>
      </c>
      <c r="K2386" s="11" t="s">
        <v>2247</v>
      </c>
      <c r="L2386" s="11" t="s">
        <v>5893</v>
      </c>
      <c r="M2386" s="11" t="s">
        <v>6176</v>
      </c>
      <c r="N2386" s="12" t="s">
        <v>6024</v>
      </c>
      <c r="O2386" s="11" t="s">
        <v>1867</v>
      </c>
      <c r="P2386" s="56" t="s">
        <v>1865</v>
      </c>
    </row>
    <row r="2387" spans="1:16" ht="15.75" customHeight="1" x14ac:dyDescent="0.2">
      <c r="A2387" s="48">
        <v>5068</v>
      </c>
      <c r="B2387" s="11" t="s">
        <v>1857</v>
      </c>
      <c r="C2387" s="11" t="s">
        <v>1849</v>
      </c>
      <c r="D2387" s="6" t="s">
        <v>1850</v>
      </c>
      <c r="E2387" s="12" t="s">
        <v>5888</v>
      </c>
      <c r="F2387" s="12" t="s">
        <v>5889</v>
      </c>
      <c r="G2387" s="12" t="s">
        <v>5897</v>
      </c>
      <c r="H2387" s="12" t="s">
        <v>5984</v>
      </c>
      <c r="I2387" s="12" t="s">
        <v>6177</v>
      </c>
      <c r="J2387" s="11" t="s">
        <v>2246</v>
      </c>
      <c r="K2387" s="11" t="s">
        <v>2247</v>
      </c>
      <c r="L2387" s="11" t="s">
        <v>5893</v>
      </c>
      <c r="M2387" s="11" t="s">
        <v>5997</v>
      </c>
      <c r="N2387" s="12"/>
      <c r="O2387" s="11" t="s">
        <v>1859</v>
      </c>
      <c r="P2387" s="56"/>
    </row>
    <row r="2388" spans="1:16" ht="15.75" customHeight="1" x14ac:dyDescent="0.2">
      <c r="A2388" s="48">
        <v>1991</v>
      </c>
      <c r="B2388" s="11" t="s">
        <v>1857</v>
      </c>
      <c r="C2388" s="11" t="s">
        <v>1849</v>
      </c>
      <c r="D2388" s="6" t="s">
        <v>1850</v>
      </c>
      <c r="E2388" s="12" t="s">
        <v>5888</v>
      </c>
      <c r="F2388" s="12" t="s">
        <v>5889</v>
      </c>
      <c r="G2388" s="12" t="s">
        <v>5902</v>
      </c>
      <c r="H2388" s="12" t="s">
        <v>5932</v>
      </c>
      <c r="I2388" s="12" t="s">
        <v>6178</v>
      </c>
      <c r="J2388" s="11" t="s">
        <v>2246</v>
      </c>
      <c r="K2388" s="11" t="s">
        <v>2247</v>
      </c>
      <c r="L2388" s="11" t="s">
        <v>5893</v>
      </c>
      <c r="M2388" s="11" t="s">
        <v>5995</v>
      </c>
      <c r="N2388" s="12"/>
      <c r="O2388" s="11" t="s">
        <v>1860</v>
      </c>
      <c r="P2388" s="56"/>
    </row>
    <row r="2389" spans="1:16" ht="15.75" customHeight="1" x14ac:dyDescent="0.2">
      <c r="A2389" s="48">
        <v>2114</v>
      </c>
      <c r="B2389" s="11" t="s">
        <v>1857</v>
      </c>
      <c r="C2389" s="11" t="s">
        <v>1849</v>
      </c>
      <c r="D2389" s="6" t="s">
        <v>1850</v>
      </c>
      <c r="E2389" s="12" t="s">
        <v>5888</v>
      </c>
      <c r="F2389" s="12" t="s">
        <v>5889</v>
      </c>
      <c r="G2389" s="12" t="s">
        <v>5890</v>
      </c>
      <c r="H2389" s="12" t="s">
        <v>5967</v>
      </c>
      <c r="I2389" s="12" t="s">
        <v>6179</v>
      </c>
      <c r="J2389" s="11" t="s">
        <v>2246</v>
      </c>
      <c r="K2389" s="11" t="s">
        <v>2247</v>
      </c>
      <c r="L2389" s="11" t="s">
        <v>5893</v>
      </c>
      <c r="M2389" s="11" t="s">
        <v>6180</v>
      </c>
      <c r="N2389" s="12"/>
      <c r="O2389" s="11" t="s">
        <v>1858</v>
      </c>
      <c r="P2389" s="56"/>
    </row>
    <row r="2390" spans="1:16" ht="15.75" customHeight="1" x14ac:dyDescent="0.2">
      <c r="A2390" s="48">
        <v>5221</v>
      </c>
      <c r="B2390" s="11" t="s">
        <v>1857</v>
      </c>
      <c r="C2390" s="11" t="s">
        <v>1849</v>
      </c>
      <c r="D2390" s="6" t="s">
        <v>1850</v>
      </c>
      <c r="E2390" s="12" t="s">
        <v>5888</v>
      </c>
      <c r="F2390" s="12" t="s">
        <v>5889</v>
      </c>
      <c r="G2390" s="12" t="s">
        <v>5890</v>
      </c>
      <c r="H2390" s="12" t="s">
        <v>6074</v>
      </c>
      <c r="I2390" s="12" t="s">
        <v>2440</v>
      </c>
      <c r="J2390" s="11" t="s">
        <v>2246</v>
      </c>
      <c r="K2390" s="11" t="s">
        <v>2247</v>
      </c>
      <c r="L2390" s="11" t="s">
        <v>5893</v>
      </c>
      <c r="M2390" s="11" t="s">
        <v>6181</v>
      </c>
      <c r="N2390" s="12"/>
      <c r="O2390" s="11" t="s">
        <v>1860</v>
      </c>
      <c r="P2390" s="56"/>
    </row>
    <row r="2391" spans="1:16" ht="15.75" customHeight="1" x14ac:dyDescent="0.2">
      <c r="A2391" s="48">
        <v>5160</v>
      </c>
      <c r="B2391" s="11" t="s">
        <v>1857</v>
      </c>
      <c r="C2391" s="11" t="s">
        <v>1849</v>
      </c>
      <c r="D2391" s="6" t="s">
        <v>1850</v>
      </c>
      <c r="E2391" s="12" t="s">
        <v>5888</v>
      </c>
      <c r="F2391" s="12" t="s">
        <v>5889</v>
      </c>
      <c r="G2391" s="12" t="s">
        <v>5897</v>
      </c>
      <c r="H2391" s="12" t="s">
        <v>6123</v>
      </c>
      <c r="I2391" s="12" t="s">
        <v>6182</v>
      </c>
      <c r="J2391" s="11" t="s">
        <v>2246</v>
      </c>
      <c r="K2391" s="11" t="s">
        <v>2247</v>
      </c>
      <c r="L2391" s="11" t="s">
        <v>5893</v>
      </c>
      <c r="M2391" s="11" t="s">
        <v>6183</v>
      </c>
      <c r="N2391" s="12"/>
      <c r="O2391" s="11" t="s">
        <v>1858</v>
      </c>
      <c r="P2391" s="56"/>
    </row>
    <row r="2392" spans="1:16" ht="15.75" customHeight="1" x14ac:dyDescent="0.2">
      <c r="A2392" s="48">
        <v>5232</v>
      </c>
      <c r="B2392" s="11" t="s">
        <v>1857</v>
      </c>
      <c r="C2392" s="11" t="s">
        <v>1849</v>
      </c>
      <c r="D2392" s="6" t="s">
        <v>1850</v>
      </c>
      <c r="E2392" s="12" t="s">
        <v>5888</v>
      </c>
      <c r="F2392" s="12" t="s">
        <v>5889</v>
      </c>
      <c r="G2392" s="12" t="s">
        <v>5890</v>
      </c>
      <c r="H2392" s="12" t="s">
        <v>6003</v>
      </c>
      <c r="I2392" s="12" t="s">
        <v>6184</v>
      </c>
      <c r="J2392" s="11" t="s">
        <v>2246</v>
      </c>
      <c r="K2392" s="11" t="s">
        <v>2247</v>
      </c>
      <c r="L2392" s="11" t="s">
        <v>5893</v>
      </c>
      <c r="M2392" s="11" t="s">
        <v>6185</v>
      </c>
      <c r="N2392" s="12"/>
      <c r="O2392" s="11" t="s">
        <v>1860</v>
      </c>
      <c r="P2392" s="56"/>
    </row>
    <row r="2393" spans="1:16" ht="15.75" customHeight="1" x14ac:dyDescent="0.2">
      <c r="A2393" s="48">
        <v>4947</v>
      </c>
      <c r="B2393" s="11" t="s">
        <v>1857</v>
      </c>
      <c r="C2393" s="11" t="s">
        <v>1849</v>
      </c>
      <c r="D2393" s="6" t="s">
        <v>1850</v>
      </c>
      <c r="E2393" s="12" t="s">
        <v>5888</v>
      </c>
      <c r="F2393" s="12" t="s">
        <v>5889</v>
      </c>
      <c r="G2393" s="12" t="s">
        <v>5890</v>
      </c>
      <c r="H2393" s="12" t="s">
        <v>5703</v>
      </c>
      <c r="I2393" s="12" t="s">
        <v>6186</v>
      </c>
      <c r="J2393" s="11" t="s">
        <v>2246</v>
      </c>
      <c r="K2393" s="11" t="s">
        <v>2247</v>
      </c>
      <c r="L2393" s="11" t="s">
        <v>5893</v>
      </c>
      <c r="M2393" s="11" t="s">
        <v>2549</v>
      </c>
      <c r="N2393" s="12" t="s">
        <v>2767</v>
      </c>
      <c r="O2393" s="11" t="s">
        <v>2334</v>
      </c>
      <c r="P2393" s="56" t="s">
        <v>2323</v>
      </c>
    </row>
    <row r="2394" spans="1:16" ht="15.75" customHeight="1" x14ac:dyDescent="0.2">
      <c r="A2394" s="48">
        <v>5076</v>
      </c>
      <c r="B2394" s="11" t="s">
        <v>1857</v>
      </c>
      <c r="C2394" s="11" t="s">
        <v>1849</v>
      </c>
      <c r="D2394" s="6" t="s">
        <v>1850</v>
      </c>
      <c r="E2394" s="12" t="s">
        <v>5888</v>
      </c>
      <c r="F2394" s="12" t="s">
        <v>5889</v>
      </c>
      <c r="G2394" s="12" t="s">
        <v>5890</v>
      </c>
      <c r="H2394" s="12" t="s">
        <v>6019</v>
      </c>
      <c r="I2394" s="12" t="s">
        <v>6187</v>
      </c>
      <c r="J2394" s="11" t="s">
        <v>2246</v>
      </c>
      <c r="K2394" s="11" t="s">
        <v>2247</v>
      </c>
      <c r="L2394" s="11" t="s">
        <v>5893</v>
      </c>
      <c r="M2394" s="11" t="s">
        <v>2276</v>
      </c>
      <c r="N2394" s="12" t="s">
        <v>6188</v>
      </c>
      <c r="O2394" s="11" t="s">
        <v>1867</v>
      </c>
      <c r="P2394" s="56" t="s">
        <v>1865</v>
      </c>
    </row>
    <row r="2395" spans="1:16" ht="15.75" customHeight="1" x14ac:dyDescent="0.2">
      <c r="A2395" s="48">
        <v>1867</v>
      </c>
      <c r="B2395" s="11" t="s">
        <v>1857</v>
      </c>
      <c r="C2395" s="11" t="s">
        <v>1849</v>
      </c>
      <c r="D2395" s="6" t="s">
        <v>1850</v>
      </c>
      <c r="E2395" s="12" t="s">
        <v>5888</v>
      </c>
      <c r="F2395" s="12" t="s">
        <v>5889</v>
      </c>
      <c r="G2395" s="12" t="s">
        <v>5897</v>
      </c>
      <c r="H2395" s="12" t="s">
        <v>5962</v>
      </c>
      <c r="I2395" s="12" t="s">
        <v>6189</v>
      </c>
      <c r="J2395" s="11" t="s">
        <v>2246</v>
      </c>
      <c r="K2395" s="11" t="s">
        <v>2247</v>
      </c>
      <c r="L2395" s="11" t="s">
        <v>5893</v>
      </c>
      <c r="M2395" s="11" t="s">
        <v>6190</v>
      </c>
      <c r="N2395" s="12"/>
      <c r="O2395" s="11" t="s">
        <v>1860</v>
      </c>
      <c r="P2395" s="56"/>
    </row>
    <row r="2396" spans="1:16" ht="15.75" customHeight="1" x14ac:dyDescent="0.2">
      <c r="A2396" s="48">
        <v>4957</v>
      </c>
      <c r="B2396" s="11" t="s">
        <v>1857</v>
      </c>
      <c r="C2396" s="11" t="s">
        <v>1849</v>
      </c>
      <c r="D2396" s="6" t="s">
        <v>1850</v>
      </c>
      <c r="E2396" s="12" t="s">
        <v>5888</v>
      </c>
      <c r="F2396" s="12" t="s">
        <v>5889</v>
      </c>
      <c r="G2396" s="12" t="s">
        <v>5902</v>
      </c>
      <c r="H2396" s="12" t="s">
        <v>5944</v>
      </c>
      <c r="I2396" s="12" t="s">
        <v>6191</v>
      </c>
      <c r="J2396" s="11" t="s">
        <v>2246</v>
      </c>
      <c r="K2396" s="11" t="s">
        <v>2247</v>
      </c>
      <c r="L2396" s="11" t="s">
        <v>5893</v>
      </c>
      <c r="M2396" s="11" t="s">
        <v>2549</v>
      </c>
      <c r="N2396" s="12" t="s">
        <v>6192</v>
      </c>
      <c r="O2396" s="11" t="s">
        <v>1860</v>
      </c>
      <c r="P2396" s="56"/>
    </row>
    <row r="2397" spans="1:16" ht="15.75" customHeight="1" x14ac:dyDescent="0.2">
      <c r="A2397" s="48">
        <v>4946</v>
      </c>
      <c r="B2397" s="11" t="s">
        <v>1857</v>
      </c>
      <c r="C2397" s="11" t="s">
        <v>1849</v>
      </c>
      <c r="D2397" s="6" t="s">
        <v>1850</v>
      </c>
      <c r="E2397" s="12" t="s">
        <v>5888</v>
      </c>
      <c r="F2397" s="12" t="s">
        <v>5889</v>
      </c>
      <c r="G2397" s="12" t="s">
        <v>5890</v>
      </c>
      <c r="H2397" s="12" t="s">
        <v>5908</v>
      </c>
      <c r="I2397" s="12" t="s">
        <v>6193</v>
      </c>
      <c r="J2397" s="11" t="s">
        <v>2246</v>
      </c>
      <c r="K2397" s="11" t="s">
        <v>2247</v>
      </c>
      <c r="L2397" s="11" t="s">
        <v>5893</v>
      </c>
      <c r="M2397" s="11" t="s">
        <v>6194</v>
      </c>
      <c r="N2397" s="12"/>
      <c r="O2397" s="11" t="s">
        <v>1858</v>
      </c>
      <c r="P2397" s="56"/>
    </row>
    <row r="2398" spans="1:16" ht="15.75" customHeight="1" x14ac:dyDescent="0.2">
      <c r="A2398" s="48">
        <v>1989</v>
      </c>
      <c r="B2398" s="11" t="s">
        <v>1857</v>
      </c>
      <c r="C2398" s="11" t="s">
        <v>1849</v>
      </c>
      <c r="D2398" s="6" t="s">
        <v>1850</v>
      </c>
      <c r="E2398" s="12" t="s">
        <v>5888</v>
      </c>
      <c r="F2398" s="12" t="s">
        <v>5889</v>
      </c>
      <c r="G2398" s="12" t="s">
        <v>5902</v>
      </c>
      <c r="H2398" s="12" t="s">
        <v>6041</v>
      </c>
      <c r="I2398" s="12" t="s">
        <v>6195</v>
      </c>
      <c r="J2398" s="11" t="s">
        <v>2246</v>
      </c>
      <c r="K2398" s="11" t="s">
        <v>2247</v>
      </c>
      <c r="L2398" s="11" t="s">
        <v>5893</v>
      </c>
      <c r="M2398" s="11" t="s">
        <v>5997</v>
      </c>
      <c r="N2398" s="12"/>
      <c r="O2398" s="11" t="s">
        <v>1858</v>
      </c>
      <c r="P2398" s="56"/>
    </row>
    <row r="2399" spans="1:16" ht="15.75" customHeight="1" x14ac:dyDescent="0.2">
      <c r="A2399" s="48">
        <v>5082</v>
      </c>
      <c r="B2399" s="11" t="s">
        <v>1857</v>
      </c>
      <c r="C2399" s="11" t="s">
        <v>1849</v>
      </c>
      <c r="D2399" s="6" t="s">
        <v>1850</v>
      </c>
      <c r="E2399" s="12" t="s">
        <v>5888</v>
      </c>
      <c r="F2399" s="12" t="s">
        <v>5889</v>
      </c>
      <c r="G2399" s="12" t="s">
        <v>5890</v>
      </c>
      <c r="H2399" s="12" t="s">
        <v>6003</v>
      </c>
      <c r="I2399" s="12" t="s">
        <v>6196</v>
      </c>
      <c r="J2399" s="11" t="s">
        <v>2246</v>
      </c>
      <c r="K2399" s="11" t="s">
        <v>2247</v>
      </c>
      <c r="L2399" s="11" t="s">
        <v>5893</v>
      </c>
      <c r="M2399" s="11" t="s">
        <v>6185</v>
      </c>
      <c r="N2399" s="12" t="s">
        <v>6197</v>
      </c>
      <c r="O2399" s="11" t="s">
        <v>1860</v>
      </c>
      <c r="P2399" s="56"/>
    </row>
    <row r="2400" spans="1:16" ht="15.75" customHeight="1" x14ac:dyDescent="0.2">
      <c r="A2400" s="48">
        <v>5170</v>
      </c>
      <c r="B2400" s="11" t="s">
        <v>1857</v>
      </c>
      <c r="C2400" s="11" t="s">
        <v>1849</v>
      </c>
      <c r="D2400" s="6" t="s">
        <v>1850</v>
      </c>
      <c r="E2400" s="12" t="s">
        <v>5888</v>
      </c>
      <c r="F2400" s="12" t="s">
        <v>5889</v>
      </c>
      <c r="G2400" s="12" t="s">
        <v>5890</v>
      </c>
      <c r="H2400" s="12" t="s">
        <v>5967</v>
      </c>
      <c r="I2400" s="12" t="s">
        <v>6198</v>
      </c>
      <c r="J2400" s="11" t="s">
        <v>2246</v>
      </c>
      <c r="K2400" s="11" t="s">
        <v>2247</v>
      </c>
      <c r="L2400" s="11" t="s">
        <v>5893</v>
      </c>
      <c r="M2400" s="11" t="s">
        <v>6199</v>
      </c>
      <c r="N2400" s="12"/>
      <c r="O2400" s="11" t="s">
        <v>2755</v>
      </c>
      <c r="P2400" s="56"/>
    </row>
    <row r="2401" spans="1:16" ht="15.75" customHeight="1" x14ac:dyDescent="0.2">
      <c r="A2401" s="48">
        <v>5041</v>
      </c>
      <c r="B2401" s="11" t="s">
        <v>1857</v>
      </c>
      <c r="C2401" s="11" t="s">
        <v>1849</v>
      </c>
      <c r="D2401" s="6" t="s">
        <v>1850</v>
      </c>
      <c r="E2401" s="12" t="s">
        <v>5888</v>
      </c>
      <c r="F2401" s="12" t="s">
        <v>5889</v>
      </c>
      <c r="G2401" s="12" t="s">
        <v>5890</v>
      </c>
      <c r="H2401" s="12" t="s">
        <v>6003</v>
      </c>
      <c r="I2401" s="12" t="s">
        <v>6200</v>
      </c>
      <c r="J2401" s="11" t="s">
        <v>2246</v>
      </c>
      <c r="K2401" s="11" t="s">
        <v>2247</v>
      </c>
      <c r="L2401" s="11" t="s">
        <v>5893</v>
      </c>
      <c r="M2401" s="11" t="s">
        <v>1854</v>
      </c>
      <c r="N2401" s="12"/>
      <c r="O2401" s="11" t="s">
        <v>6201</v>
      </c>
      <c r="P2401" s="56"/>
    </row>
    <row r="2402" spans="1:16" ht="15.75" customHeight="1" x14ac:dyDescent="0.2">
      <c r="A2402" s="48">
        <v>5197</v>
      </c>
      <c r="B2402" s="11" t="s">
        <v>1857</v>
      </c>
      <c r="C2402" s="11" t="s">
        <v>1849</v>
      </c>
      <c r="D2402" s="6" t="s">
        <v>1850</v>
      </c>
      <c r="E2402" s="12" t="s">
        <v>5888</v>
      </c>
      <c r="F2402" s="12" t="s">
        <v>5889</v>
      </c>
      <c r="G2402" s="12" t="s">
        <v>5894</v>
      </c>
      <c r="H2402" s="12" t="s">
        <v>5900</v>
      </c>
      <c r="I2402" s="12" t="s">
        <v>6202</v>
      </c>
      <c r="J2402" s="11" t="s">
        <v>2246</v>
      </c>
      <c r="K2402" s="11" t="s">
        <v>2247</v>
      </c>
      <c r="L2402" s="11" t="s">
        <v>5893</v>
      </c>
      <c r="M2402" s="11" t="s">
        <v>6203</v>
      </c>
      <c r="N2402" s="12"/>
      <c r="O2402" s="11" t="s">
        <v>1858</v>
      </c>
      <c r="P2402" s="56"/>
    </row>
    <row r="2403" spans="1:16" ht="15.75" customHeight="1" x14ac:dyDescent="0.2">
      <c r="A2403" s="48">
        <v>7305</v>
      </c>
      <c r="B2403" s="11" t="s">
        <v>1857</v>
      </c>
      <c r="C2403" s="11" t="s">
        <v>1849</v>
      </c>
      <c r="D2403" s="6" t="s">
        <v>1850</v>
      </c>
      <c r="E2403" s="12" t="s">
        <v>5888</v>
      </c>
      <c r="F2403" s="12" t="s">
        <v>5889</v>
      </c>
      <c r="G2403" s="12" t="s">
        <v>5902</v>
      </c>
      <c r="H2403" s="12" t="s">
        <v>5903</v>
      </c>
      <c r="I2403" s="12" t="s">
        <v>6204</v>
      </c>
      <c r="J2403" s="11" t="s">
        <v>2246</v>
      </c>
      <c r="K2403" s="11" t="s">
        <v>2247</v>
      </c>
      <c r="L2403" s="11" t="s">
        <v>5893</v>
      </c>
      <c r="M2403" s="11" t="s">
        <v>1854</v>
      </c>
      <c r="N2403" s="12"/>
      <c r="O2403" s="11" t="s">
        <v>1858</v>
      </c>
      <c r="P2403" s="56"/>
    </row>
    <row r="2404" spans="1:16" ht="15.75" customHeight="1" x14ac:dyDescent="0.2">
      <c r="A2404" s="48">
        <v>2186</v>
      </c>
      <c r="B2404" s="11" t="s">
        <v>1857</v>
      </c>
      <c r="C2404" s="11" t="s">
        <v>1849</v>
      </c>
      <c r="D2404" s="6" t="s">
        <v>1850</v>
      </c>
      <c r="E2404" s="12" t="s">
        <v>5888</v>
      </c>
      <c r="F2404" s="12" t="s">
        <v>5889</v>
      </c>
      <c r="G2404" s="12" t="s">
        <v>5894</v>
      </c>
      <c r="H2404" s="12" t="s">
        <v>5912</v>
      </c>
      <c r="I2404" s="12" t="s">
        <v>6205</v>
      </c>
      <c r="J2404" s="11" t="s">
        <v>2246</v>
      </c>
      <c r="K2404" s="11" t="s">
        <v>2247</v>
      </c>
      <c r="L2404" s="11" t="s">
        <v>5893</v>
      </c>
      <c r="M2404" s="11" t="s">
        <v>6005</v>
      </c>
      <c r="N2404" s="12"/>
      <c r="O2404" s="11" t="s">
        <v>2755</v>
      </c>
      <c r="P2404" s="56"/>
    </row>
    <row r="2405" spans="1:16" ht="15.75" customHeight="1" x14ac:dyDescent="0.2">
      <c r="A2405" s="48">
        <v>1863</v>
      </c>
      <c r="B2405" s="11" t="s">
        <v>1857</v>
      </c>
      <c r="C2405" s="11" t="s">
        <v>1849</v>
      </c>
      <c r="D2405" s="6" t="s">
        <v>1850</v>
      </c>
      <c r="E2405" s="12" t="s">
        <v>5888</v>
      </c>
      <c r="F2405" s="12" t="s">
        <v>5889</v>
      </c>
      <c r="G2405" s="12" t="s">
        <v>5897</v>
      </c>
      <c r="H2405" s="12" t="s">
        <v>5962</v>
      </c>
      <c r="I2405" s="12" t="s">
        <v>6206</v>
      </c>
      <c r="J2405" s="11" t="s">
        <v>2246</v>
      </c>
      <c r="K2405" s="11" t="s">
        <v>2247</v>
      </c>
      <c r="L2405" s="11" t="s">
        <v>5893</v>
      </c>
      <c r="M2405" s="11" t="s">
        <v>6207</v>
      </c>
      <c r="N2405" s="12"/>
      <c r="O2405" s="11" t="s">
        <v>6201</v>
      </c>
      <c r="P2405" s="56"/>
    </row>
    <row r="2406" spans="1:16" ht="15.75" customHeight="1" x14ac:dyDescent="0.2">
      <c r="A2406" s="48">
        <v>4955</v>
      </c>
      <c r="B2406" s="11" t="s">
        <v>1857</v>
      </c>
      <c r="C2406" s="11" t="s">
        <v>1849</v>
      </c>
      <c r="D2406" s="6" t="s">
        <v>1850</v>
      </c>
      <c r="E2406" s="12" t="s">
        <v>5888</v>
      </c>
      <c r="F2406" s="12" t="s">
        <v>5889</v>
      </c>
      <c r="G2406" s="12" t="s">
        <v>5902</v>
      </c>
      <c r="H2406" s="12" t="s">
        <v>5939</v>
      </c>
      <c r="I2406" s="12" t="s">
        <v>6208</v>
      </c>
      <c r="J2406" s="11" t="s">
        <v>2246</v>
      </c>
      <c r="K2406" s="11" t="s">
        <v>2247</v>
      </c>
      <c r="L2406" s="11" t="s">
        <v>5893</v>
      </c>
      <c r="M2406" s="11" t="s">
        <v>1854</v>
      </c>
      <c r="N2406" s="12"/>
      <c r="O2406" s="11" t="s">
        <v>1858</v>
      </c>
      <c r="P2406" s="56"/>
    </row>
    <row r="2407" spans="1:16" ht="15.75" customHeight="1" x14ac:dyDescent="0.2">
      <c r="A2407" s="48">
        <v>2016</v>
      </c>
      <c r="B2407" s="11" t="s">
        <v>1857</v>
      </c>
      <c r="C2407" s="11" t="s">
        <v>1849</v>
      </c>
      <c r="D2407" s="6" t="s">
        <v>1850</v>
      </c>
      <c r="E2407" s="12" t="s">
        <v>5888</v>
      </c>
      <c r="F2407" s="12" t="s">
        <v>5889</v>
      </c>
      <c r="G2407" s="12" t="s">
        <v>5902</v>
      </c>
      <c r="H2407" s="12" t="s">
        <v>6153</v>
      </c>
      <c r="I2407" s="12" t="s">
        <v>6209</v>
      </c>
      <c r="J2407" s="11" t="s">
        <v>2246</v>
      </c>
      <c r="K2407" s="11" t="s">
        <v>2247</v>
      </c>
      <c r="L2407" s="11" t="s">
        <v>5893</v>
      </c>
      <c r="M2407" s="11" t="s">
        <v>6210</v>
      </c>
      <c r="N2407" s="12" t="s">
        <v>6211</v>
      </c>
      <c r="O2407" s="11" t="s">
        <v>2334</v>
      </c>
      <c r="P2407" s="56" t="s">
        <v>1863</v>
      </c>
    </row>
    <row r="2408" spans="1:16" ht="15.75" customHeight="1" x14ac:dyDescent="0.2">
      <c r="A2408" s="48">
        <v>5243</v>
      </c>
      <c r="B2408" s="11" t="s">
        <v>1857</v>
      </c>
      <c r="C2408" s="11" t="s">
        <v>1849</v>
      </c>
      <c r="D2408" s="6" t="s">
        <v>1850</v>
      </c>
      <c r="E2408" s="12" t="s">
        <v>5888</v>
      </c>
      <c r="F2408" s="12" t="s">
        <v>5889</v>
      </c>
      <c r="G2408" s="12" t="s">
        <v>5897</v>
      </c>
      <c r="H2408" s="12" t="s">
        <v>6123</v>
      </c>
      <c r="I2408" s="12" t="s">
        <v>4957</v>
      </c>
      <c r="J2408" s="11" t="s">
        <v>2246</v>
      </c>
      <c r="K2408" s="11" t="s">
        <v>2247</v>
      </c>
      <c r="L2408" s="11" t="s">
        <v>5893</v>
      </c>
      <c r="M2408" s="11" t="s">
        <v>5997</v>
      </c>
      <c r="N2408" s="12"/>
      <c r="O2408" s="11" t="s">
        <v>1858</v>
      </c>
      <c r="P2408" s="56"/>
    </row>
    <row r="2409" spans="1:16" ht="15.75" customHeight="1" x14ac:dyDescent="0.2">
      <c r="A2409" s="48">
        <v>1959</v>
      </c>
      <c r="B2409" s="11" t="s">
        <v>1857</v>
      </c>
      <c r="C2409" s="11" t="s">
        <v>1849</v>
      </c>
      <c r="D2409" s="6" t="s">
        <v>1850</v>
      </c>
      <c r="E2409" s="12" t="s">
        <v>5888</v>
      </c>
      <c r="F2409" s="12" t="s">
        <v>5889</v>
      </c>
      <c r="G2409" s="12" t="s">
        <v>5894</v>
      </c>
      <c r="H2409" s="12" t="s">
        <v>5905</v>
      </c>
      <c r="I2409" s="12" t="s">
        <v>6212</v>
      </c>
      <c r="J2409" s="11" t="s">
        <v>2246</v>
      </c>
      <c r="K2409" s="11" t="s">
        <v>2247</v>
      </c>
      <c r="L2409" s="11" t="s">
        <v>5893</v>
      </c>
      <c r="M2409" s="11" t="s">
        <v>1854</v>
      </c>
      <c r="N2409" s="12"/>
      <c r="O2409" s="11" t="s">
        <v>6201</v>
      </c>
      <c r="P2409" s="56"/>
    </row>
    <row r="2410" spans="1:16" ht="15.75" customHeight="1" x14ac:dyDescent="0.2">
      <c r="A2410" s="48">
        <v>4953</v>
      </c>
      <c r="B2410" s="11" t="s">
        <v>1857</v>
      </c>
      <c r="C2410" s="11" t="s">
        <v>1849</v>
      </c>
      <c r="D2410" s="6" t="s">
        <v>1850</v>
      </c>
      <c r="E2410" s="12" t="s">
        <v>5888</v>
      </c>
      <c r="F2410" s="12" t="s">
        <v>5889</v>
      </c>
      <c r="G2410" s="12" t="s">
        <v>5902</v>
      </c>
      <c r="H2410" s="12" t="s">
        <v>5932</v>
      </c>
      <c r="I2410" s="12" t="s">
        <v>6213</v>
      </c>
      <c r="J2410" s="11" t="s">
        <v>2246</v>
      </c>
      <c r="K2410" s="11" t="s">
        <v>2247</v>
      </c>
      <c r="L2410" s="11" t="s">
        <v>5893</v>
      </c>
      <c r="M2410" s="11" t="s">
        <v>6214</v>
      </c>
      <c r="N2410" s="12" t="s">
        <v>6215</v>
      </c>
      <c r="O2410" s="11" t="s">
        <v>1859</v>
      </c>
      <c r="P2410" s="56"/>
    </row>
    <row r="2411" spans="1:16" ht="15.75" customHeight="1" x14ac:dyDescent="0.2">
      <c r="A2411" s="48">
        <v>2168</v>
      </c>
      <c r="B2411" s="11" t="s">
        <v>1857</v>
      </c>
      <c r="C2411" s="11" t="s">
        <v>1849</v>
      </c>
      <c r="D2411" s="6" t="s">
        <v>1850</v>
      </c>
      <c r="E2411" s="12" t="s">
        <v>5888</v>
      </c>
      <c r="F2411" s="12" t="s">
        <v>5889</v>
      </c>
      <c r="G2411" s="12" t="s">
        <v>5890</v>
      </c>
      <c r="H2411" s="12" t="s">
        <v>5965</v>
      </c>
      <c r="I2411" s="12" t="s">
        <v>6216</v>
      </c>
      <c r="J2411" s="11" t="s">
        <v>2246</v>
      </c>
      <c r="K2411" s="11" t="s">
        <v>2247</v>
      </c>
      <c r="L2411" s="11" t="s">
        <v>5893</v>
      </c>
      <c r="M2411" s="11" t="s">
        <v>6087</v>
      </c>
      <c r="N2411" s="12" t="s">
        <v>6217</v>
      </c>
      <c r="O2411" s="11" t="s">
        <v>2334</v>
      </c>
      <c r="P2411" s="56" t="s">
        <v>6218</v>
      </c>
    </row>
    <row r="2412" spans="1:16" ht="15.75" customHeight="1" x14ac:dyDescent="0.2">
      <c r="A2412" s="48">
        <v>4951</v>
      </c>
      <c r="B2412" s="11" t="s">
        <v>1857</v>
      </c>
      <c r="C2412" s="11" t="s">
        <v>1849</v>
      </c>
      <c r="D2412" s="6" t="s">
        <v>1850</v>
      </c>
      <c r="E2412" s="12" t="s">
        <v>5888</v>
      </c>
      <c r="F2412" s="12" t="s">
        <v>5889</v>
      </c>
      <c r="G2412" s="12" t="s">
        <v>5902</v>
      </c>
      <c r="H2412" s="12" t="s">
        <v>5951</v>
      </c>
      <c r="I2412" s="12" t="s">
        <v>6219</v>
      </c>
      <c r="J2412" s="11" t="s">
        <v>2246</v>
      </c>
      <c r="K2412" s="11" t="s">
        <v>2247</v>
      </c>
      <c r="L2412" s="11" t="s">
        <v>5893</v>
      </c>
      <c r="M2412" s="11" t="s">
        <v>3694</v>
      </c>
      <c r="N2412" s="12" t="s">
        <v>6220</v>
      </c>
      <c r="O2412" s="11" t="s">
        <v>1858</v>
      </c>
      <c r="P2412" s="56"/>
    </row>
    <row r="2413" spans="1:16" ht="15.75" customHeight="1" x14ac:dyDescent="0.2">
      <c r="A2413" s="48">
        <v>2136</v>
      </c>
      <c r="B2413" s="11" t="s">
        <v>1857</v>
      </c>
      <c r="C2413" s="11" t="s">
        <v>1849</v>
      </c>
      <c r="D2413" s="6" t="s">
        <v>1850</v>
      </c>
      <c r="E2413" s="12" t="s">
        <v>5888</v>
      </c>
      <c r="F2413" s="12" t="s">
        <v>5889</v>
      </c>
      <c r="G2413" s="12" t="s">
        <v>5890</v>
      </c>
      <c r="H2413" s="12" t="s">
        <v>6019</v>
      </c>
      <c r="I2413" s="12" t="s">
        <v>6221</v>
      </c>
      <c r="J2413" s="11" t="s">
        <v>2246</v>
      </c>
      <c r="K2413" s="11" t="s">
        <v>2247</v>
      </c>
      <c r="L2413" s="11" t="s">
        <v>5893</v>
      </c>
      <c r="M2413" s="11" t="s">
        <v>6222</v>
      </c>
      <c r="N2413" s="12" t="s">
        <v>6039</v>
      </c>
      <c r="O2413" s="11" t="s">
        <v>2334</v>
      </c>
      <c r="P2413" s="56" t="s">
        <v>2323</v>
      </c>
    </row>
    <row r="2414" spans="1:16" ht="15.75" customHeight="1" x14ac:dyDescent="0.2">
      <c r="A2414" s="48">
        <v>5063</v>
      </c>
      <c r="B2414" s="11" t="s">
        <v>1857</v>
      </c>
      <c r="C2414" s="11" t="s">
        <v>1849</v>
      </c>
      <c r="D2414" s="6" t="s">
        <v>1850</v>
      </c>
      <c r="E2414" s="12" t="s">
        <v>5888</v>
      </c>
      <c r="F2414" s="12" t="s">
        <v>5889</v>
      </c>
      <c r="G2414" s="12" t="s">
        <v>5890</v>
      </c>
      <c r="H2414" s="12" t="s">
        <v>5908</v>
      </c>
      <c r="I2414" s="12" t="s">
        <v>3257</v>
      </c>
      <c r="J2414" s="11" t="s">
        <v>2246</v>
      </c>
      <c r="K2414" s="11" t="s">
        <v>2247</v>
      </c>
      <c r="L2414" s="11" t="s">
        <v>5893</v>
      </c>
      <c r="M2414" s="11" t="s">
        <v>6223</v>
      </c>
      <c r="N2414" s="12" t="s">
        <v>6224</v>
      </c>
      <c r="O2414" s="11" t="s">
        <v>6201</v>
      </c>
      <c r="P2414" s="56"/>
    </row>
    <row r="2415" spans="1:16" ht="15.75" customHeight="1" x14ac:dyDescent="0.2">
      <c r="A2415" s="49">
        <v>7310</v>
      </c>
      <c r="B2415" s="11" t="s">
        <v>1857</v>
      </c>
      <c r="C2415" s="11" t="s">
        <v>1849</v>
      </c>
      <c r="D2415" s="6" t="s">
        <v>1850</v>
      </c>
      <c r="E2415" s="12" t="s">
        <v>5888</v>
      </c>
      <c r="F2415" s="12" t="s">
        <v>5889</v>
      </c>
      <c r="G2415" s="12" t="s">
        <v>5894</v>
      </c>
      <c r="H2415" s="12" t="s">
        <v>5905</v>
      </c>
      <c r="I2415" s="12" t="s">
        <v>6225</v>
      </c>
      <c r="J2415" s="11" t="s">
        <v>2246</v>
      </c>
      <c r="K2415" s="11" t="s">
        <v>2247</v>
      </c>
      <c r="L2415" s="11" t="s">
        <v>5893</v>
      </c>
      <c r="M2415" s="11" t="s">
        <v>1854</v>
      </c>
      <c r="N2415" s="12"/>
      <c r="O2415" s="11" t="s">
        <v>2350</v>
      </c>
      <c r="P2415" s="56" t="s">
        <v>2614</v>
      </c>
    </row>
    <row r="2416" spans="1:16" ht="15.75" customHeight="1" x14ac:dyDescent="0.2">
      <c r="A2416" s="48">
        <v>2165</v>
      </c>
      <c r="B2416" s="11" t="s">
        <v>1857</v>
      </c>
      <c r="C2416" s="11" t="s">
        <v>1849</v>
      </c>
      <c r="D2416" s="6" t="s">
        <v>1850</v>
      </c>
      <c r="E2416" s="12" t="s">
        <v>5888</v>
      </c>
      <c r="F2416" s="12" t="s">
        <v>5889</v>
      </c>
      <c r="G2416" s="12" t="s">
        <v>5890</v>
      </c>
      <c r="H2416" s="12" t="s">
        <v>6226</v>
      </c>
      <c r="I2416" s="12" t="s">
        <v>6227</v>
      </c>
      <c r="J2416" s="11" t="s">
        <v>2246</v>
      </c>
      <c r="K2416" s="11" t="s">
        <v>2247</v>
      </c>
      <c r="L2416" s="11" t="s">
        <v>5893</v>
      </c>
      <c r="M2416" s="11" t="s">
        <v>2766</v>
      </c>
      <c r="N2416" s="12"/>
      <c r="O2416" s="11" t="s">
        <v>6201</v>
      </c>
      <c r="P2416" s="56" t="s">
        <v>6228</v>
      </c>
    </row>
    <row r="2417" spans="1:16" ht="15.75" customHeight="1" x14ac:dyDescent="0.2">
      <c r="A2417" s="48">
        <v>1972</v>
      </c>
      <c r="B2417" s="11" t="s">
        <v>1857</v>
      </c>
      <c r="C2417" s="11" t="s">
        <v>1849</v>
      </c>
      <c r="D2417" s="6" t="s">
        <v>1850</v>
      </c>
      <c r="E2417" s="12" t="s">
        <v>5888</v>
      </c>
      <c r="F2417" s="12" t="s">
        <v>5889</v>
      </c>
      <c r="G2417" s="12" t="s">
        <v>5890</v>
      </c>
      <c r="H2417" s="12" t="s">
        <v>5993</v>
      </c>
      <c r="I2417" s="12" t="s">
        <v>6229</v>
      </c>
      <c r="J2417" s="11" t="s">
        <v>2246</v>
      </c>
      <c r="K2417" s="11" t="s">
        <v>2247</v>
      </c>
      <c r="L2417" s="11" t="s">
        <v>5893</v>
      </c>
      <c r="M2417" s="11" t="s">
        <v>1854</v>
      </c>
      <c r="N2417" s="12"/>
      <c r="O2417" s="11" t="s">
        <v>1858</v>
      </c>
      <c r="P2417" s="56"/>
    </row>
    <row r="2418" spans="1:16" ht="15.75" customHeight="1" x14ac:dyDescent="0.2">
      <c r="A2418" s="48">
        <v>1976</v>
      </c>
      <c r="B2418" s="11" t="s">
        <v>1857</v>
      </c>
      <c r="C2418" s="11" t="s">
        <v>1849</v>
      </c>
      <c r="D2418" s="6" t="s">
        <v>1850</v>
      </c>
      <c r="E2418" s="12" t="s">
        <v>5888</v>
      </c>
      <c r="F2418" s="12" t="s">
        <v>5889</v>
      </c>
      <c r="G2418" s="12" t="s">
        <v>5890</v>
      </c>
      <c r="H2418" s="12" t="s">
        <v>5993</v>
      </c>
      <c r="I2418" s="12" t="s">
        <v>6230</v>
      </c>
      <c r="J2418" s="11" t="s">
        <v>2246</v>
      </c>
      <c r="K2418" s="11" t="s">
        <v>2247</v>
      </c>
      <c r="L2418" s="11" t="s">
        <v>5893</v>
      </c>
      <c r="M2418" s="11" t="s">
        <v>1854</v>
      </c>
      <c r="N2418" s="12"/>
      <c r="O2418" s="11" t="s">
        <v>1858</v>
      </c>
      <c r="P2418" s="56"/>
    </row>
    <row r="2419" spans="1:16" ht="15.75" customHeight="1" x14ac:dyDescent="0.2">
      <c r="A2419" s="48">
        <v>1975</v>
      </c>
      <c r="B2419" s="11" t="s">
        <v>1857</v>
      </c>
      <c r="C2419" s="11" t="s">
        <v>1849</v>
      </c>
      <c r="D2419" s="6" t="s">
        <v>1850</v>
      </c>
      <c r="E2419" s="12" t="s">
        <v>5888</v>
      </c>
      <c r="F2419" s="12" t="s">
        <v>5889</v>
      </c>
      <c r="G2419" s="12" t="s">
        <v>5890</v>
      </c>
      <c r="H2419" s="12" t="s">
        <v>5993</v>
      </c>
      <c r="I2419" s="12" t="s">
        <v>6231</v>
      </c>
      <c r="J2419" s="11" t="s">
        <v>2246</v>
      </c>
      <c r="K2419" s="11" t="s">
        <v>2247</v>
      </c>
      <c r="L2419" s="11" t="s">
        <v>5893</v>
      </c>
      <c r="M2419" s="11" t="s">
        <v>1854</v>
      </c>
      <c r="N2419" s="12"/>
      <c r="O2419" s="11" t="s">
        <v>1858</v>
      </c>
      <c r="P2419" s="56"/>
    </row>
    <row r="2420" spans="1:16" ht="15.75" customHeight="1" x14ac:dyDescent="0.2">
      <c r="A2420" s="48">
        <v>5195</v>
      </c>
      <c r="B2420" s="11" t="s">
        <v>1857</v>
      </c>
      <c r="C2420" s="11" t="s">
        <v>1849</v>
      </c>
      <c r="D2420" s="6" t="s">
        <v>1850</v>
      </c>
      <c r="E2420" s="12" t="s">
        <v>5888</v>
      </c>
      <c r="F2420" s="12" t="s">
        <v>5889</v>
      </c>
      <c r="G2420" s="12" t="s">
        <v>5902</v>
      </c>
      <c r="H2420" s="12" t="s">
        <v>6153</v>
      </c>
      <c r="I2420" s="12" t="s">
        <v>6232</v>
      </c>
      <c r="J2420" s="11" t="s">
        <v>2246</v>
      </c>
      <c r="K2420" s="11" t="s">
        <v>2247</v>
      </c>
      <c r="L2420" s="11" t="s">
        <v>5893</v>
      </c>
      <c r="M2420" s="11" t="s">
        <v>6048</v>
      </c>
      <c r="N2420" s="12"/>
      <c r="O2420" s="11" t="s">
        <v>1858</v>
      </c>
      <c r="P2420" s="56"/>
    </row>
    <row r="2421" spans="1:16" ht="15.75" customHeight="1" x14ac:dyDescent="0.2">
      <c r="A2421" s="48">
        <v>5107</v>
      </c>
      <c r="B2421" s="11" t="s">
        <v>1857</v>
      </c>
      <c r="C2421" s="11" t="s">
        <v>1849</v>
      </c>
      <c r="D2421" s="6" t="s">
        <v>1850</v>
      </c>
      <c r="E2421" s="12" t="s">
        <v>5888</v>
      </c>
      <c r="F2421" s="12" t="s">
        <v>5889</v>
      </c>
      <c r="G2421" s="12" t="s">
        <v>5902</v>
      </c>
      <c r="H2421" s="12" t="s">
        <v>5951</v>
      </c>
      <c r="I2421" s="12" t="s">
        <v>6233</v>
      </c>
      <c r="J2421" s="11" t="s">
        <v>2246</v>
      </c>
      <c r="K2421" s="11" t="s">
        <v>2247</v>
      </c>
      <c r="L2421" s="11" t="s">
        <v>5893</v>
      </c>
      <c r="M2421" s="11" t="s">
        <v>6234</v>
      </c>
      <c r="N2421" s="12"/>
      <c r="O2421" s="11" t="s">
        <v>1858</v>
      </c>
      <c r="P2421" s="56"/>
    </row>
    <row r="2422" spans="1:16" ht="15.75" customHeight="1" x14ac:dyDescent="0.2">
      <c r="A2422" s="48">
        <v>5178</v>
      </c>
      <c r="B2422" s="11" t="s">
        <v>1857</v>
      </c>
      <c r="C2422" s="11" t="s">
        <v>1849</v>
      </c>
      <c r="D2422" s="6" t="s">
        <v>1850</v>
      </c>
      <c r="E2422" s="12" t="s">
        <v>5888</v>
      </c>
      <c r="F2422" s="12" t="s">
        <v>5889</v>
      </c>
      <c r="G2422" s="12" t="s">
        <v>5902</v>
      </c>
      <c r="H2422" s="12" t="s">
        <v>5939</v>
      </c>
      <c r="I2422" s="12" t="s">
        <v>6235</v>
      </c>
      <c r="J2422" s="11" t="s">
        <v>2246</v>
      </c>
      <c r="K2422" s="11" t="s">
        <v>2247</v>
      </c>
      <c r="L2422" s="11" t="s">
        <v>5893</v>
      </c>
      <c r="M2422" s="11" t="s">
        <v>1854</v>
      </c>
      <c r="N2422" s="12"/>
      <c r="O2422" s="11" t="s">
        <v>1858</v>
      </c>
      <c r="P2422" s="56"/>
    </row>
    <row r="2423" spans="1:16" ht="15.75" customHeight="1" x14ac:dyDescent="0.2">
      <c r="A2423" s="48">
        <v>7144</v>
      </c>
      <c r="B2423" s="11" t="s">
        <v>1857</v>
      </c>
      <c r="C2423" s="11" t="s">
        <v>1849</v>
      </c>
      <c r="D2423" s="6" t="s">
        <v>1850</v>
      </c>
      <c r="E2423" s="12" t="s">
        <v>5888</v>
      </c>
      <c r="F2423" s="12" t="s">
        <v>5889</v>
      </c>
      <c r="G2423" s="12" t="s">
        <v>5902</v>
      </c>
      <c r="H2423" s="12" t="s">
        <v>5932</v>
      </c>
      <c r="I2423" s="12" t="s">
        <v>2017</v>
      </c>
      <c r="J2423" s="11" t="s">
        <v>2246</v>
      </c>
      <c r="K2423" s="11" t="s">
        <v>2247</v>
      </c>
      <c r="L2423" s="11" t="s">
        <v>5893</v>
      </c>
      <c r="M2423" s="11" t="s">
        <v>6236</v>
      </c>
      <c r="N2423" s="12"/>
      <c r="O2423" s="11" t="s">
        <v>1858</v>
      </c>
      <c r="P2423" s="56"/>
    </row>
    <row r="2424" spans="1:16" ht="15.75" customHeight="1" x14ac:dyDescent="0.2">
      <c r="A2424" s="48">
        <v>5065</v>
      </c>
      <c r="B2424" s="11" t="s">
        <v>1857</v>
      </c>
      <c r="C2424" s="11" t="s">
        <v>1849</v>
      </c>
      <c r="D2424" s="6" t="s">
        <v>1850</v>
      </c>
      <c r="E2424" s="12" t="s">
        <v>5888</v>
      </c>
      <c r="F2424" s="12" t="s">
        <v>5889</v>
      </c>
      <c r="G2424" s="12" t="s">
        <v>5890</v>
      </c>
      <c r="H2424" s="12" t="s">
        <v>6074</v>
      </c>
      <c r="I2424" s="12" t="s">
        <v>6058</v>
      </c>
      <c r="J2424" s="11" t="s">
        <v>2246</v>
      </c>
      <c r="K2424" s="11" t="s">
        <v>2247</v>
      </c>
      <c r="L2424" s="11" t="s">
        <v>5893</v>
      </c>
      <c r="M2424" s="11" t="s">
        <v>5995</v>
      </c>
      <c r="N2424" s="12"/>
      <c r="O2424" s="11" t="s">
        <v>1860</v>
      </c>
      <c r="P2424" s="56"/>
    </row>
    <row r="2425" spans="1:16" ht="15.75" customHeight="1" x14ac:dyDescent="0.2">
      <c r="A2425" s="48">
        <v>5209</v>
      </c>
      <c r="B2425" s="11" t="s">
        <v>1857</v>
      </c>
      <c r="C2425" s="11" t="s">
        <v>1849</v>
      </c>
      <c r="D2425" s="6" t="s">
        <v>1850</v>
      </c>
      <c r="E2425" s="12" t="s">
        <v>5888</v>
      </c>
      <c r="F2425" s="12" t="s">
        <v>5889</v>
      </c>
      <c r="G2425" s="12" t="s">
        <v>5890</v>
      </c>
      <c r="H2425" s="12" t="s">
        <v>5908</v>
      </c>
      <c r="I2425" s="12" t="s">
        <v>6237</v>
      </c>
      <c r="J2425" s="11" t="s">
        <v>2246</v>
      </c>
      <c r="K2425" s="11" t="s">
        <v>2247</v>
      </c>
      <c r="L2425" s="11" t="s">
        <v>5893</v>
      </c>
      <c r="M2425" s="11" t="s">
        <v>1854</v>
      </c>
      <c r="N2425" s="12"/>
      <c r="O2425" s="11" t="s">
        <v>1858</v>
      </c>
      <c r="P2425" s="56"/>
    </row>
    <row r="2426" spans="1:16" ht="15.75" customHeight="1" x14ac:dyDescent="0.2">
      <c r="A2426" s="48">
        <v>6082</v>
      </c>
      <c r="B2426" s="11" t="s">
        <v>1857</v>
      </c>
      <c r="C2426" s="11" t="s">
        <v>1849</v>
      </c>
      <c r="D2426" s="6" t="s">
        <v>1850</v>
      </c>
      <c r="E2426" s="12" t="s">
        <v>5888</v>
      </c>
      <c r="F2426" s="12" t="s">
        <v>5889</v>
      </c>
      <c r="G2426" s="12" t="s">
        <v>5897</v>
      </c>
      <c r="H2426" s="12" t="s">
        <v>5984</v>
      </c>
      <c r="I2426" s="12" t="s">
        <v>6238</v>
      </c>
      <c r="J2426" s="11" t="s">
        <v>2246</v>
      </c>
      <c r="K2426" s="11" t="s">
        <v>2247</v>
      </c>
      <c r="L2426" s="11" t="s">
        <v>5893</v>
      </c>
      <c r="M2426" s="11" t="s">
        <v>2460</v>
      </c>
      <c r="N2426" s="12"/>
      <c r="O2426" s="11" t="s">
        <v>1858</v>
      </c>
      <c r="P2426" s="56"/>
    </row>
    <row r="2427" spans="1:16" ht="15.75" customHeight="1" x14ac:dyDescent="0.2">
      <c r="A2427" s="48">
        <v>2127</v>
      </c>
      <c r="B2427" s="11" t="s">
        <v>1857</v>
      </c>
      <c r="C2427" s="11" t="s">
        <v>1849</v>
      </c>
      <c r="D2427" s="6" t="s">
        <v>1850</v>
      </c>
      <c r="E2427" s="12" t="s">
        <v>5888</v>
      </c>
      <c r="F2427" s="12" t="s">
        <v>5889</v>
      </c>
      <c r="G2427" s="12" t="s">
        <v>5890</v>
      </c>
      <c r="H2427" s="12" t="s">
        <v>5958</v>
      </c>
      <c r="I2427" s="12" t="s">
        <v>6239</v>
      </c>
      <c r="J2427" s="11" t="s">
        <v>2246</v>
      </c>
      <c r="K2427" s="11" t="s">
        <v>2247</v>
      </c>
      <c r="L2427" s="11" t="s">
        <v>5893</v>
      </c>
      <c r="M2427" s="11" t="s">
        <v>5995</v>
      </c>
      <c r="N2427" s="12"/>
      <c r="O2427" s="11" t="s">
        <v>1860</v>
      </c>
      <c r="P2427" s="56"/>
    </row>
    <row r="2428" spans="1:16" ht="15.75" customHeight="1" x14ac:dyDescent="0.2">
      <c r="A2428" s="48">
        <v>5189</v>
      </c>
      <c r="B2428" s="11" t="s">
        <v>1857</v>
      </c>
      <c r="C2428" s="11" t="s">
        <v>1849</v>
      </c>
      <c r="D2428" s="6" t="s">
        <v>1850</v>
      </c>
      <c r="E2428" s="12" t="s">
        <v>5888</v>
      </c>
      <c r="F2428" s="12" t="s">
        <v>5889</v>
      </c>
      <c r="G2428" s="12" t="s">
        <v>5902</v>
      </c>
      <c r="H2428" s="12" t="s">
        <v>5936</v>
      </c>
      <c r="I2428" s="12" t="s">
        <v>6240</v>
      </c>
      <c r="J2428" s="11" t="s">
        <v>2246</v>
      </c>
      <c r="K2428" s="11" t="s">
        <v>2247</v>
      </c>
      <c r="L2428" s="11" t="s">
        <v>5893</v>
      </c>
      <c r="M2428" s="11" t="s">
        <v>6241</v>
      </c>
      <c r="N2428" s="12"/>
      <c r="O2428" s="11" t="s">
        <v>1858</v>
      </c>
      <c r="P2428" s="56"/>
    </row>
    <row r="2429" spans="1:16" ht="15.75" customHeight="1" x14ac:dyDescent="0.2">
      <c r="A2429" s="48">
        <v>5225</v>
      </c>
      <c r="B2429" s="11" t="s">
        <v>1857</v>
      </c>
      <c r="C2429" s="11" t="s">
        <v>1849</v>
      </c>
      <c r="D2429" s="6" t="s">
        <v>1850</v>
      </c>
      <c r="E2429" s="12" t="s">
        <v>5888</v>
      </c>
      <c r="F2429" s="12" t="s">
        <v>5889</v>
      </c>
      <c r="G2429" s="12" t="s">
        <v>5890</v>
      </c>
      <c r="H2429" s="12" t="s">
        <v>5965</v>
      </c>
      <c r="I2429" s="12" t="s">
        <v>6242</v>
      </c>
      <c r="J2429" s="11" t="s">
        <v>2246</v>
      </c>
      <c r="K2429" s="11" t="s">
        <v>2247</v>
      </c>
      <c r="L2429" s="11" t="s">
        <v>5893</v>
      </c>
      <c r="M2429" s="11" t="s">
        <v>2316</v>
      </c>
      <c r="N2429" s="12"/>
      <c r="O2429" s="11" t="s">
        <v>1858</v>
      </c>
      <c r="P2429" s="56"/>
    </row>
    <row r="2430" spans="1:16" ht="15.75" customHeight="1" x14ac:dyDescent="0.2">
      <c r="A2430" s="48">
        <v>5226</v>
      </c>
      <c r="B2430" s="11" t="s">
        <v>1857</v>
      </c>
      <c r="C2430" s="11" t="s">
        <v>1849</v>
      </c>
      <c r="D2430" s="6" t="s">
        <v>1850</v>
      </c>
      <c r="E2430" s="12" t="s">
        <v>5888</v>
      </c>
      <c r="F2430" s="12" t="s">
        <v>5889</v>
      </c>
      <c r="G2430" s="12" t="s">
        <v>5890</v>
      </c>
      <c r="H2430" s="12" t="s">
        <v>6226</v>
      </c>
      <c r="I2430" s="12" t="s">
        <v>6243</v>
      </c>
      <c r="J2430" s="11" t="s">
        <v>2246</v>
      </c>
      <c r="K2430" s="11" t="s">
        <v>2247</v>
      </c>
      <c r="L2430" s="11" t="s">
        <v>5893</v>
      </c>
      <c r="M2430" s="11" t="s">
        <v>3927</v>
      </c>
      <c r="N2430" s="12"/>
      <c r="O2430" s="11" t="s">
        <v>1858</v>
      </c>
      <c r="P2430" s="56"/>
    </row>
    <row r="2431" spans="1:16" ht="15.75" customHeight="1" x14ac:dyDescent="0.2">
      <c r="A2431" s="48">
        <v>5108</v>
      </c>
      <c r="B2431" s="11" t="s">
        <v>1857</v>
      </c>
      <c r="C2431" s="11" t="s">
        <v>1849</v>
      </c>
      <c r="D2431" s="6" t="s">
        <v>1850</v>
      </c>
      <c r="E2431" s="12" t="s">
        <v>5888</v>
      </c>
      <c r="F2431" s="12" t="s">
        <v>5889</v>
      </c>
      <c r="G2431" s="12" t="s">
        <v>5902</v>
      </c>
      <c r="H2431" s="12" t="s">
        <v>5944</v>
      </c>
      <c r="I2431" s="12" t="s">
        <v>6244</v>
      </c>
      <c r="J2431" s="11" t="s">
        <v>2246</v>
      </c>
      <c r="K2431" s="11" t="s">
        <v>2247</v>
      </c>
      <c r="L2431" s="11" t="s">
        <v>5893</v>
      </c>
      <c r="M2431" s="11" t="s">
        <v>5995</v>
      </c>
      <c r="N2431" s="12" t="s">
        <v>6245</v>
      </c>
      <c r="O2431" s="11" t="s">
        <v>1859</v>
      </c>
      <c r="P2431" s="56"/>
    </row>
    <row r="2432" spans="1:16" ht="15.75" customHeight="1" x14ac:dyDescent="0.2">
      <c r="A2432" s="48">
        <v>5083</v>
      </c>
      <c r="B2432" s="11" t="s">
        <v>1857</v>
      </c>
      <c r="C2432" s="11" t="s">
        <v>1849</v>
      </c>
      <c r="D2432" s="6" t="s">
        <v>1850</v>
      </c>
      <c r="E2432" s="12" t="s">
        <v>5888</v>
      </c>
      <c r="F2432" s="12" t="s">
        <v>5889</v>
      </c>
      <c r="G2432" s="12" t="s">
        <v>5902</v>
      </c>
      <c r="H2432" s="12" t="s">
        <v>5932</v>
      </c>
      <c r="I2432" s="12" t="s">
        <v>6246</v>
      </c>
      <c r="J2432" s="11" t="s">
        <v>2246</v>
      </c>
      <c r="K2432" s="11" t="s">
        <v>2247</v>
      </c>
      <c r="L2432" s="11" t="s">
        <v>5893</v>
      </c>
      <c r="M2432" s="11" t="s">
        <v>5995</v>
      </c>
      <c r="N2432" s="12"/>
      <c r="O2432" s="11" t="s">
        <v>1860</v>
      </c>
      <c r="P2432" s="56"/>
    </row>
    <row r="2433" spans="1:16" ht="15.75" customHeight="1" x14ac:dyDescent="0.2">
      <c r="A2433" s="48">
        <v>5049</v>
      </c>
      <c r="B2433" s="11" t="s">
        <v>1857</v>
      </c>
      <c r="C2433" s="11" t="s">
        <v>1849</v>
      </c>
      <c r="D2433" s="6" t="s">
        <v>1850</v>
      </c>
      <c r="E2433" s="12" t="s">
        <v>5888</v>
      </c>
      <c r="F2433" s="12" t="s">
        <v>5889</v>
      </c>
      <c r="G2433" s="12" t="s">
        <v>5890</v>
      </c>
      <c r="H2433" s="12" t="s">
        <v>5967</v>
      </c>
      <c r="I2433" s="12" t="s">
        <v>6247</v>
      </c>
      <c r="J2433" s="11" t="s">
        <v>2246</v>
      </c>
      <c r="K2433" s="11" t="s">
        <v>2247</v>
      </c>
      <c r="L2433" s="11" t="s">
        <v>5893</v>
      </c>
      <c r="M2433" s="11" t="s">
        <v>6185</v>
      </c>
      <c r="N2433" s="12"/>
      <c r="O2433" s="11" t="s">
        <v>1858</v>
      </c>
      <c r="P2433" s="56"/>
    </row>
    <row r="2434" spans="1:16" ht="15.75" customHeight="1" x14ac:dyDescent="0.2">
      <c r="A2434" s="48">
        <v>5231</v>
      </c>
      <c r="B2434" s="11" t="s">
        <v>1857</v>
      </c>
      <c r="C2434" s="11" t="s">
        <v>1849</v>
      </c>
      <c r="D2434" s="6" t="s">
        <v>1850</v>
      </c>
      <c r="E2434" s="12" t="s">
        <v>5888</v>
      </c>
      <c r="F2434" s="12" t="s">
        <v>5889</v>
      </c>
      <c r="G2434" s="12" t="s">
        <v>5890</v>
      </c>
      <c r="H2434" s="12" t="s">
        <v>6003</v>
      </c>
      <c r="I2434" s="12" t="s">
        <v>6248</v>
      </c>
      <c r="J2434" s="11" t="s">
        <v>2246</v>
      </c>
      <c r="K2434" s="11" t="s">
        <v>2247</v>
      </c>
      <c r="L2434" s="11" t="s">
        <v>5893</v>
      </c>
      <c r="M2434" s="11" t="s">
        <v>1854</v>
      </c>
      <c r="N2434" s="12"/>
      <c r="O2434" s="11" t="s">
        <v>1859</v>
      </c>
      <c r="P2434" s="56"/>
    </row>
    <row r="2435" spans="1:16" ht="15.75" customHeight="1" x14ac:dyDescent="0.2">
      <c r="A2435" s="48">
        <v>5085</v>
      </c>
      <c r="B2435" s="11" t="s">
        <v>1857</v>
      </c>
      <c r="C2435" s="11" t="s">
        <v>1849</v>
      </c>
      <c r="D2435" s="6" t="s">
        <v>1850</v>
      </c>
      <c r="E2435" s="12" t="s">
        <v>5888</v>
      </c>
      <c r="F2435" s="12" t="s">
        <v>5889</v>
      </c>
      <c r="G2435" s="12" t="s">
        <v>5890</v>
      </c>
      <c r="H2435" s="12" t="s">
        <v>6062</v>
      </c>
      <c r="I2435" s="12" t="s">
        <v>6249</v>
      </c>
      <c r="J2435" s="11" t="s">
        <v>2246</v>
      </c>
      <c r="K2435" s="11" t="s">
        <v>2247</v>
      </c>
      <c r="L2435" s="11" t="s">
        <v>5893</v>
      </c>
      <c r="M2435" s="11" t="s">
        <v>1854</v>
      </c>
      <c r="N2435" s="12"/>
      <c r="O2435" s="11" t="s">
        <v>1858</v>
      </c>
      <c r="P2435" s="56"/>
    </row>
    <row r="2436" spans="1:16" ht="15.75" customHeight="1" x14ac:dyDescent="0.2">
      <c r="A2436" s="48">
        <v>5192</v>
      </c>
      <c r="B2436" s="11" t="s">
        <v>1857</v>
      </c>
      <c r="C2436" s="11" t="s">
        <v>1849</v>
      </c>
      <c r="D2436" s="6" t="s">
        <v>1850</v>
      </c>
      <c r="E2436" s="12" t="s">
        <v>5888</v>
      </c>
      <c r="F2436" s="12" t="s">
        <v>5889</v>
      </c>
      <c r="G2436" s="12" t="s">
        <v>5902</v>
      </c>
      <c r="H2436" s="12" t="s">
        <v>5944</v>
      </c>
      <c r="I2436" s="12" t="s">
        <v>6250</v>
      </c>
      <c r="J2436" s="11" t="s">
        <v>2246</v>
      </c>
      <c r="K2436" s="11" t="s">
        <v>2247</v>
      </c>
      <c r="L2436" s="11" t="s">
        <v>5893</v>
      </c>
      <c r="M2436" s="11" t="s">
        <v>1854</v>
      </c>
      <c r="N2436" s="12"/>
      <c r="O2436" s="11" t="s">
        <v>1858</v>
      </c>
      <c r="P2436" s="56"/>
    </row>
    <row r="2437" spans="1:16" ht="15.75" customHeight="1" x14ac:dyDescent="0.2">
      <c r="A2437" s="48">
        <v>1977</v>
      </c>
      <c r="B2437" s="11" t="s">
        <v>1857</v>
      </c>
      <c r="C2437" s="11" t="s">
        <v>1849</v>
      </c>
      <c r="D2437" s="6" t="s">
        <v>1850</v>
      </c>
      <c r="E2437" s="12" t="s">
        <v>5888</v>
      </c>
      <c r="F2437" s="12" t="s">
        <v>5889</v>
      </c>
      <c r="G2437" s="12" t="s">
        <v>5890</v>
      </c>
      <c r="H2437" s="12" t="s">
        <v>6019</v>
      </c>
      <c r="I2437" s="12" t="s">
        <v>6251</v>
      </c>
      <c r="J2437" s="11" t="s">
        <v>2246</v>
      </c>
      <c r="K2437" s="11" t="s">
        <v>2247</v>
      </c>
      <c r="L2437" s="11" t="s">
        <v>5893</v>
      </c>
      <c r="M2437" s="11" t="s">
        <v>1854</v>
      </c>
      <c r="N2437" s="12"/>
      <c r="O2437" s="11" t="s">
        <v>1858</v>
      </c>
      <c r="P2437" s="56"/>
    </row>
    <row r="2438" spans="1:16" ht="15.75" customHeight="1" x14ac:dyDescent="0.2">
      <c r="A2438" s="48">
        <v>5073</v>
      </c>
      <c r="B2438" s="11" t="s">
        <v>1857</v>
      </c>
      <c r="C2438" s="11" t="s">
        <v>1849</v>
      </c>
      <c r="D2438" s="6" t="s">
        <v>1850</v>
      </c>
      <c r="E2438" s="12" t="s">
        <v>5888</v>
      </c>
      <c r="F2438" s="12" t="s">
        <v>5889</v>
      </c>
      <c r="G2438" s="12" t="s">
        <v>5890</v>
      </c>
      <c r="H2438" s="12" t="s">
        <v>6003</v>
      </c>
      <c r="I2438" s="12" t="s">
        <v>4491</v>
      </c>
      <c r="J2438" s="11" t="s">
        <v>2246</v>
      </c>
      <c r="K2438" s="11" t="s">
        <v>2247</v>
      </c>
      <c r="L2438" s="11" t="s">
        <v>5893</v>
      </c>
      <c r="M2438" s="11" t="s">
        <v>1854</v>
      </c>
      <c r="N2438" s="12"/>
      <c r="O2438" s="11" t="s">
        <v>1858</v>
      </c>
      <c r="P2438" s="56"/>
    </row>
    <row r="2439" spans="1:16" ht="15.75" customHeight="1" x14ac:dyDescent="0.2">
      <c r="A2439" s="48">
        <v>4950</v>
      </c>
      <c r="B2439" s="11" t="s">
        <v>1857</v>
      </c>
      <c r="C2439" s="11" t="s">
        <v>1849</v>
      </c>
      <c r="D2439" s="6" t="s">
        <v>1850</v>
      </c>
      <c r="E2439" s="12" t="s">
        <v>5888</v>
      </c>
      <c r="F2439" s="12" t="s">
        <v>5889</v>
      </c>
      <c r="G2439" s="12" t="s">
        <v>5902</v>
      </c>
      <c r="H2439" s="12" t="s">
        <v>6002</v>
      </c>
      <c r="I2439" s="12" t="s">
        <v>6252</v>
      </c>
      <c r="J2439" s="11" t="s">
        <v>2246</v>
      </c>
      <c r="K2439" s="11" t="s">
        <v>2247</v>
      </c>
      <c r="L2439" s="11" t="s">
        <v>5893</v>
      </c>
      <c r="M2439" s="11" t="s">
        <v>1854</v>
      </c>
      <c r="N2439" s="12"/>
      <c r="O2439" s="11" t="s">
        <v>1858</v>
      </c>
      <c r="P2439" s="56"/>
    </row>
    <row r="2440" spans="1:16" ht="15.75" customHeight="1" x14ac:dyDescent="0.2">
      <c r="A2440" s="48">
        <v>6791</v>
      </c>
      <c r="B2440" s="11" t="s">
        <v>1857</v>
      </c>
      <c r="C2440" s="11" t="s">
        <v>1849</v>
      </c>
      <c r="D2440" s="6" t="s">
        <v>1850</v>
      </c>
      <c r="E2440" s="12" t="s">
        <v>5888</v>
      </c>
      <c r="F2440" s="12" t="s">
        <v>5889</v>
      </c>
      <c r="G2440" s="12" t="s">
        <v>5890</v>
      </c>
      <c r="H2440" s="12" t="s">
        <v>5965</v>
      </c>
      <c r="I2440" s="12" t="s">
        <v>6253</v>
      </c>
      <c r="J2440" s="11" t="s">
        <v>2246</v>
      </c>
      <c r="K2440" s="11" t="s">
        <v>2247</v>
      </c>
      <c r="L2440" s="11" t="s">
        <v>5893</v>
      </c>
      <c r="M2440" s="11" t="s">
        <v>6254</v>
      </c>
      <c r="N2440" s="12"/>
      <c r="O2440" s="11" t="s">
        <v>1859</v>
      </c>
      <c r="P2440" s="56"/>
    </row>
    <row r="2441" spans="1:16" ht="15.75" customHeight="1" x14ac:dyDescent="0.2">
      <c r="A2441" s="48">
        <v>5216</v>
      </c>
      <c r="B2441" s="11" t="s">
        <v>1857</v>
      </c>
      <c r="C2441" s="11" t="s">
        <v>1849</v>
      </c>
      <c r="D2441" s="6" t="s">
        <v>1850</v>
      </c>
      <c r="E2441" s="12" t="s">
        <v>5888</v>
      </c>
      <c r="F2441" s="12" t="s">
        <v>5889</v>
      </c>
      <c r="G2441" s="12" t="s">
        <v>5890</v>
      </c>
      <c r="H2441" s="12" t="s">
        <v>5993</v>
      </c>
      <c r="I2441" s="12" t="s">
        <v>6255</v>
      </c>
      <c r="J2441" s="11" t="s">
        <v>2246</v>
      </c>
      <c r="K2441" s="11" t="s">
        <v>2247</v>
      </c>
      <c r="L2441" s="11" t="s">
        <v>5893</v>
      </c>
      <c r="M2441" s="11" t="s">
        <v>3927</v>
      </c>
      <c r="N2441" s="12"/>
      <c r="O2441" s="11" t="s">
        <v>1859</v>
      </c>
      <c r="P2441" s="56"/>
    </row>
    <row r="2442" spans="1:16" ht="15.75" customHeight="1" x14ac:dyDescent="0.2">
      <c r="A2442" s="48">
        <v>5067</v>
      </c>
      <c r="B2442" s="11" t="s">
        <v>1857</v>
      </c>
      <c r="C2442" s="11" t="s">
        <v>1849</v>
      </c>
      <c r="D2442" s="6" t="s">
        <v>1850</v>
      </c>
      <c r="E2442" s="12" t="s">
        <v>5888</v>
      </c>
      <c r="F2442" s="12" t="s">
        <v>5889</v>
      </c>
      <c r="G2442" s="12" t="s">
        <v>5890</v>
      </c>
      <c r="H2442" s="12" t="s">
        <v>6074</v>
      </c>
      <c r="I2442" s="12" t="s">
        <v>6256</v>
      </c>
      <c r="J2442" s="11" t="s">
        <v>2246</v>
      </c>
      <c r="K2442" s="11" t="s">
        <v>2247</v>
      </c>
      <c r="L2442" s="11" t="s">
        <v>5893</v>
      </c>
      <c r="M2442" s="11" t="s">
        <v>6257</v>
      </c>
      <c r="N2442" s="12"/>
      <c r="O2442" s="11" t="s">
        <v>1858</v>
      </c>
      <c r="P2442" s="56"/>
    </row>
    <row r="2443" spans="1:16" ht="15.75" customHeight="1" x14ac:dyDescent="0.2">
      <c r="A2443" s="48">
        <v>5229</v>
      </c>
      <c r="B2443" s="11" t="s">
        <v>1857</v>
      </c>
      <c r="C2443" s="11" t="s">
        <v>1849</v>
      </c>
      <c r="D2443" s="6" t="s">
        <v>1850</v>
      </c>
      <c r="E2443" s="12" t="s">
        <v>5888</v>
      </c>
      <c r="F2443" s="12" t="s">
        <v>5889</v>
      </c>
      <c r="G2443" s="12" t="s">
        <v>5890</v>
      </c>
      <c r="H2443" s="12" t="s">
        <v>5965</v>
      </c>
      <c r="I2443" s="12" t="s">
        <v>4633</v>
      </c>
      <c r="J2443" s="11" t="s">
        <v>2246</v>
      </c>
      <c r="K2443" s="11" t="s">
        <v>2247</v>
      </c>
      <c r="L2443" s="11" t="s">
        <v>5893</v>
      </c>
      <c r="M2443" s="11" t="s">
        <v>6258</v>
      </c>
      <c r="N2443" s="12"/>
      <c r="O2443" s="11" t="s">
        <v>2755</v>
      </c>
      <c r="P2443" s="56"/>
    </row>
    <row r="2444" spans="1:16" ht="15.75" customHeight="1" x14ac:dyDescent="0.2">
      <c r="A2444" s="48">
        <v>2171</v>
      </c>
      <c r="B2444" s="11" t="s">
        <v>1857</v>
      </c>
      <c r="C2444" s="11" t="s">
        <v>1849</v>
      </c>
      <c r="D2444" s="6" t="s">
        <v>1850</v>
      </c>
      <c r="E2444" s="12" t="s">
        <v>5888</v>
      </c>
      <c r="F2444" s="12" t="s">
        <v>5889</v>
      </c>
      <c r="G2444" s="12" t="s">
        <v>5890</v>
      </c>
      <c r="H2444" s="12" t="s">
        <v>6226</v>
      </c>
      <c r="I2444" s="12" t="s">
        <v>6259</v>
      </c>
      <c r="J2444" s="11" t="s">
        <v>2246</v>
      </c>
      <c r="K2444" s="11" t="s">
        <v>2247</v>
      </c>
      <c r="L2444" s="11" t="s">
        <v>5893</v>
      </c>
      <c r="M2444" s="11" t="s">
        <v>5995</v>
      </c>
      <c r="N2444" s="12"/>
      <c r="O2444" s="11" t="s">
        <v>1860</v>
      </c>
      <c r="P2444" s="56"/>
    </row>
    <row r="2445" spans="1:16" ht="15.75" customHeight="1" x14ac:dyDescent="0.2">
      <c r="A2445" s="48">
        <v>5813</v>
      </c>
      <c r="B2445" s="11" t="s">
        <v>1857</v>
      </c>
      <c r="C2445" s="11" t="s">
        <v>1849</v>
      </c>
      <c r="D2445" s="6" t="s">
        <v>1850</v>
      </c>
      <c r="E2445" s="12" t="s">
        <v>5888</v>
      </c>
      <c r="F2445" s="12" t="s">
        <v>5889</v>
      </c>
      <c r="G2445" s="12" t="s">
        <v>5902</v>
      </c>
      <c r="H2445" s="12" t="s">
        <v>5932</v>
      </c>
      <c r="I2445" s="12" t="s">
        <v>6260</v>
      </c>
      <c r="J2445" s="11" t="s">
        <v>2246</v>
      </c>
      <c r="K2445" s="11" t="s">
        <v>2247</v>
      </c>
      <c r="L2445" s="11" t="s">
        <v>5893</v>
      </c>
      <c r="M2445" s="11" t="s">
        <v>6261</v>
      </c>
      <c r="N2445" s="12"/>
      <c r="O2445" s="11" t="s">
        <v>1858</v>
      </c>
      <c r="P2445" s="56"/>
    </row>
    <row r="2446" spans="1:16" ht="15.75" customHeight="1" x14ac:dyDescent="0.2">
      <c r="A2446" s="48">
        <v>1985</v>
      </c>
      <c r="B2446" s="11" t="s">
        <v>1857</v>
      </c>
      <c r="C2446" s="11" t="s">
        <v>1849</v>
      </c>
      <c r="D2446" s="6" t="s">
        <v>1850</v>
      </c>
      <c r="E2446" s="12" t="s">
        <v>5888</v>
      </c>
      <c r="F2446" s="12" t="s">
        <v>5889</v>
      </c>
      <c r="G2446" s="12" t="s">
        <v>5902</v>
      </c>
      <c r="H2446" s="12" t="s">
        <v>6041</v>
      </c>
      <c r="I2446" s="12" t="s">
        <v>6262</v>
      </c>
      <c r="J2446" s="11" t="s">
        <v>2246</v>
      </c>
      <c r="K2446" s="11" t="s">
        <v>2247</v>
      </c>
      <c r="L2446" s="11" t="s">
        <v>5893</v>
      </c>
      <c r="M2446" s="11" t="s">
        <v>1854</v>
      </c>
      <c r="N2446" s="12"/>
      <c r="O2446" s="11" t="s">
        <v>1858</v>
      </c>
      <c r="P2446" s="56"/>
    </row>
    <row r="2447" spans="1:16" ht="15.75" customHeight="1" x14ac:dyDescent="0.2">
      <c r="A2447" s="48">
        <v>5136</v>
      </c>
      <c r="B2447" s="11" t="s">
        <v>1857</v>
      </c>
      <c r="C2447" s="11" t="s">
        <v>1849</v>
      </c>
      <c r="D2447" s="6" t="s">
        <v>1850</v>
      </c>
      <c r="E2447" s="12" t="s">
        <v>5888</v>
      </c>
      <c r="F2447" s="12" t="s">
        <v>5889</v>
      </c>
      <c r="G2447" s="12" t="s">
        <v>5890</v>
      </c>
      <c r="H2447" s="12" t="s">
        <v>6003</v>
      </c>
      <c r="I2447" s="12" t="s">
        <v>6263</v>
      </c>
      <c r="J2447" s="11" t="s">
        <v>2246</v>
      </c>
      <c r="K2447" s="11" t="s">
        <v>2247</v>
      </c>
      <c r="L2447" s="11" t="s">
        <v>5893</v>
      </c>
      <c r="M2447" s="11" t="s">
        <v>6264</v>
      </c>
      <c r="N2447" s="12"/>
      <c r="O2447" s="11" t="s">
        <v>1858</v>
      </c>
      <c r="P2447" s="56"/>
    </row>
    <row r="2448" spans="1:16" ht="15.75" customHeight="1" x14ac:dyDescent="0.2">
      <c r="A2448" s="48">
        <v>5876</v>
      </c>
      <c r="B2448" s="11" t="s">
        <v>1857</v>
      </c>
      <c r="C2448" s="11" t="s">
        <v>1849</v>
      </c>
      <c r="D2448" s="6" t="s">
        <v>1850</v>
      </c>
      <c r="E2448" s="12" t="s">
        <v>5888</v>
      </c>
      <c r="F2448" s="12" t="s">
        <v>5889</v>
      </c>
      <c r="G2448" s="12" t="s">
        <v>5902</v>
      </c>
      <c r="H2448" s="12" t="s">
        <v>5932</v>
      </c>
      <c r="I2448" s="12" t="s">
        <v>4797</v>
      </c>
      <c r="J2448" s="11" t="s">
        <v>2246</v>
      </c>
      <c r="K2448" s="11" t="s">
        <v>2247</v>
      </c>
      <c r="L2448" s="11" t="s">
        <v>5893</v>
      </c>
      <c r="M2448" s="11" t="s">
        <v>1854</v>
      </c>
      <c r="N2448" s="12"/>
      <c r="O2448" s="11" t="s">
        <v>1858</v>
      </c>
      <c r="P2448" s="56"/>
    </row>
    <row r="2449" spans="1:16" ht="15.75" customHeight="1" x14ac:dyDescent="0.2">
      <c r="A2449" s="48">
        <v>4943</v>
      </c>
      <c r="B2449" s="11" t="s">
        <v>1857</v>
      </c>
      <c r="C2449" s="11" t="s">
        <v>1849</v>
      </c>
      <c r="D2449" s="6" t="s">
        <v>1850</v>
      </c>
      <c r="E2449" s="12" t="s">
        <v>5888</v>
      </c>
      <c r="F2449" s="12" t="s">
        <v>5889</v>
      </c>
      <c r="G2449" s="12" t="s">
        <v>5890</v>
      </c>
      <c r="H2449" s="12" t="s">
        <v>6226</v>
      </c>
      <c r="I2449" s="12" t="s">
        <v>2476</v>
      </c>
      <c r="J2449" s="11" t="s">
        <v>2246</v>
      </c>
      <c r="K2449" s="11" t="s">
        <v>2247</v>
      </c>
      <c r="L2449" s="11" t="s">
        <v>5893</v>
      </c>
      <c r="M2449" s="11" t="s">
        <v>5592</v>
      </c>
      <c r="N2449" s="12"/>
      <c r="O2449" s="11" t="s">
        <v>1860</v>
      </c>
      <c r="P2449" s="56"/>
    </row>
    <row r="2450" spans="1:16" ht="15.75" customHeight="1" x14ac:dyDescent="0.2">
      <c r="A2450" s="48">
        <v>2192</v>
      </c>
      <c r="B2450" s="11" t="s">
        <v>1857</v>
      </c>
      <c r="C2450" s="11" t="s">
        <v>1849</v>
      </c>
      <c r="D2450" s="6" t="s">
        <v>1850</v>
      </c>
      <c r="E2450" s="12" t="s">
        <v>5888</v>
      </c>
      <c r="F2450" s="12" t="s">
        <v>5889</v>
      </c>
      <c r="G2450" s="12" t="s">
        <v>5894</v>
      </c>
      <c r="H2450" s="12" t="s">
        <v>5921</v>
      </c>
      <c r="I2450" s="12" t="s">
        <v>6265</v>
      </c>
      <c r="J2450" s="11" t="s">
        <v>2246</v>
      </c>
      <c r="K2450" s="11" t="s">
        <v>2247</v>
      </c>
      <c r="L2450" s="11" t="s">
        <v>5893</v>
      </c>
      <c r="M2450" s="11" t="s">
        <v>1854</v>
      </c>
      <c r="N2450" s="12"/>
      <c r="O2450" s="11" t="s">
        <v>1860</v>
      </c>
      <c r="P2450" s="56"/>
    </row>
    <row r="2451" spans="1:16" ht="15.75" customHeight="1" x14ac:dyDescent="0.2">
      <c r="A2451" s="48">
        <v>15659</v>
      </c>
      <c r="B2451" s="11" t="s">
        <v>1871</v>
      </c>
      <c r="C2451" s="11" t="s">
        <v>1849</v>
      </c>
      <c r="D2451" s="6" t="s">
        <v>1850</v>
      </c>
      <c r="E2451" s="12" t="s">
        <v>5888</v>
      </c>
      <c r="F2451" s="12" t="s">
        <v>5889</v>
      </c>
      <c r="G2451" s="12" t="s">
        <v>5890</v>
      </c>
      <c r="H2451" s="12" t="s">
        <v>6226</v>
      </c>
      <c r="I2451" s="12" t="s">
        <v>6227</v>
      </c>
      <c r="J2451" s="11" t="s">
        <v>2246</v>
      </c>
      <c r="K2451" s="11" t="s">
        <v>2247</v>
      </c>
      <c r="L2451" s="11" t="s">
        <v>5893</v>
      </c>
      <c r="M2451" s="11" t="s">
        <v>1854</v>
      </c>
      <c r="N2451" s="12"/>
      <c r="O2451" s="11" t="s">
        <v>3016</v>
      </c>
      <c r="P2451" s="56" t="s">
        <v>6228</v>
      </c>
    </row>
    <row r="2452" spans="1:16" ht="15.75" customHeight="1" x14ac:dyDescent="0.2">
      <c r="A2452" s="48">
        <v>15241</v>
      </c>
      <c r="B2452" s="11" t="s">
        <v>1871</v>
      </c>
      <c r="C2452" s="11" t="s">
        <v>1849</v>
      </c>
      <c r="D2452" s="6" t="s">
        <v>1850</v>
      </c>
      <c r="E2452" s="12" t="s">
        <v>5888</v>
      </c>
      <c r="F2452" s="12" t="s">
        <v>5889</v>
      </c>
      <c r="G2452" s="12" t="s">
        <v>5897</v>
      </c>
      <c r="H2452" s="12" t="s">
        <v>5898</v>
      </c>
      <c r="I2452" s="12" t="s">
        <v>6266</v>
      </c>
      <c r="J2452" s="11" t="s">
        <v>2246</v>
      </c>
      <c r="K2452" s="11" t="s">
        <v>2247</v>
      </c>
      <c r="L2452" s="11" t="s">
        <v>5893</v>
      </c>
      <c r="M2452" s="11" t="s">
        <v>1854</v>
      </c>
      <c r="N2452" s="12"/>
      <c r="O2452" s="11" t="s">
        <v>1874</v>
      </c>
      <c r="P2452" s="56"/>
    </row>
    <row r="2453" spans="1:16" ht="15.75" customHeight="1" x14ac:dyDescent="0.2">
      <c r="A2453" s="48">
        <v>15242</v>
      </c>
      <c r="B2453" s="11" t="s">
        <v>1871</v>
      </c>
      <c r="C2453" s="11" t="s">
        <v>1849</v>
      </c>
      <c r="D2453" s="6" t="s">
        <v>1850</v>
      </c>
      <c r="E2453" s="12" t="s">
        <v>5888</v>
      </c>
      <c r="F2453" s="12" t="s">
        <v>5889</v>
      </c>
      <c r="G2453" s="12" t="s">
        <v>5902</v>
      </c>
      <c r="H2453" s="12" t="s">
        <v>5951</v>
      </c>
      <c r="I2453" s="12" t="s">
        <v>6267</v>
      </c>
      <c r="J2453" s="11" t="s">
        <v>2246</v>
      </c>
      <c r="K2453" s="11" t="s">
        <v>2247</v>
      </c>
      <c r="L2453" s="11" t="s">
        <v>5893</v>
      </c>
      <c r="M2453" s="11" t="s">
        <v>1854</v>
      </c>
      <c r="N2453" s="12"/>
      <c r="O2453" s="11" t="s">
        <v>1854</v>
      </c>
      <c r="P2453" s="56"/>
    </row>
    <row r="2454" spans="1:16" ht="15.75" customHeight="1" x14ac:dyDescent="0.2">
      <c r="A2454" s="48">
        <v>15666</v>
      </c>
      <c r="B2454" s="11" t="s">
        <v>1871</v>
      </c>
      <c r="C2454" s="11" t="s">
        <v>1849</v>
      </c>
      <c r="D2454" s="6" t="s">
        <v>1850</v>
      </c>
      <c r="E2454" s="12" t="s">
        <v>5888</v>
      </c>
      <c r="F2454" s="12" t="s">
        <v>5889</v>
      </c>
      <c r="G2454" s="12" t="s">
        <v>5902</v>
      </c>
      <c r="H2454" s="12" t="s">
        <v>5939</v>
      </c>
      <c r="I2454" s="12" t="s">
        <v>6268</v>
      </c>
      <c r="J2454" s="11" t="s">
        <v>2246</v>
      </c>
      <c r="K2454" s="11" t="s">
        <v>2247</v>
      </c>
      <c r="L2454" s="11" t="s">
        <v>5893</v>
      </c>
      <c r="M2454" s="11" t="s">
        <v>1854</v>
      </c>
      <c r="N2454" s="12"/>
      <c r="O2454" s="11" t="s">
        <v>1874</v>
      </c>
      <c r="P2454" s="56" t="s">
        <v>1863</v>
      </c>
    </row>
    <row r="2455" spans="1:16" ht="15.75" customHeight="1" x14ac:dyDescent="0.2">
      <c r="A2455" s="48">
        <v>15244</v>
      </c>
      <c r="B2455" s="11" t="s">
        <v>1871</v>
      </c>
      <c r="C2455" s="11" t="s">
        <v>1849</v>
      </c>
      <c r="D2455" s="6" t="s">
        <v>1850</v>
      </c>
      <c r="E2455" s="12" t="s">
        <v>5888</v>
      </c>
      <c r="F2455" s="12" t="s">
        <v>5889</v>
      </c>
      <c r="G2455" s="12" t="s">
        <v>5894</v>
      </c>
      <c r="H2455" s="12" t="s">
        <v>5900</v>
      </c>
      <c r="I2455" s="12" t="s">
        <v>6269</v>
      </c>
      <c r="J2455" s="11" t="s">
        <v>2246</v>
      </c>
      <c r="K2455" s="11" t="s">
        <v>2247</v>
      </c>
      <c r="L2455" s="11" t="s">
        <v>5893</v>
      </c>
      <c r="M2455" s="11" t="s">
        <v>1854</v>
      </c>
      <c r="N2455" s="12"/>
      <c r="O2455" s="11" t="s">
        <v>1859</v>
      </c>
      <c r="P2455" s="56"/>
    </row>
    <row r="2456" spans="1:16" ht="15.75" customHeight="1" x14ac:dyDescent="0.2">
      <c r="A2456" s="48">
        <v>15246</v>
      </c>
      <c r="B2456" s="11" t="s">
        <v>1871</v>
      </c>
      <c r="C2456" s="11" t="s">
        <v>1849</v>
      </c>
      <c r="D2456" s="6" t="s">
        <v>1850</v>
      </c>
      <c r="E2456" s="12" t="s">
        <v>5888</v>
      </c>
      <c r="F2456" s="12" t="s">
        <v>5889</v>
      </c>
      <c r="G2456" s="12" t="s">
        <v>5894</v>
      </c>
      <c r="H2456" s="12" t="s">
        <v>5900</v>
      </c>
      <c r="I2456" s="12" t="s">
        <v>6065</v>
      </c>
      <c r="J2456" s="11" t="s">
        <v>2246</v>
      </c>
      <c r="K2456" s="11" t="s">
        <v>2247</v>
      </c>
      <c r="L2456" s="11" t="s">
        <v>5893</v>
      </c>
      <c r="M2456" s="11" t="s">
        <v>1854</v>
      </c>
      <c r="N2456" s="12"/>
      <c r="O2456" s="11" t="s">
        <v>1854</v>
      </c>
      <c r="P2456" s="56"/>
    </row>
    <row r="2457" spans="1:16" ht="15.75" customHeight="1" x14ac:dyDescent="0.2">
      <c r="A2457" s="48">
        <v>15660</v>
      </c>
      <c r="B2457" s="11" t="s">
        <v>1871</v>
      </c>
      <c r="C2457" s="11" t="s">
        <v>1849</v>
      </c>
      <c r="D2457" s="6" t="s">
        <v>1850</v>
      </c>
      <c r="E2457" s="12" t="s">
        <v>5888</v>
      </c>
      <c r="F2457" s="12" t="s">
        <v>5889</v>
      </c>
      <c r="G2457" s="12" t="s">
        <v>5897</v>
      </c>
      <c r="H2457" s="12" t="s">
        <v>5910</v>
      </c>
      <c r="I2457" s="12" t="s">
        <v>6128</v>
      </c>
      <c r="J2457" s="11" t="s">
        <v>2246</v>
      </c>
      <c r="K2457" s="11" t="s">
        <v>2247</v>
      </c>
      <c r="L2457" s="11" t="s">
        <v>5893</v>
      </c>
      <c r="M2457" s="11" t="s">
        <v>1854</v>
      </c>
      <c r="N2457" s="12"/>
      <c r="O2457" s="11" t="s">
        <v>1874</v>
      </c>
      <c r="P2457" s="56"/>
    </row>
    <row r="2458" spans="1:16" ht="15.75" customHeight="1" x14ac:dyDescent="0.2">
      <c r="A2458" s="48">
        <v>15661</v>
      </c>
      <c r="B2458" s="11" t="s">
        <v>1871</v>
      </c>
      <c r="C2458" s="11" t="s">
        <v>1849</v>
      </c>
      <c r="D2458" s="6" t="s">
        <v>1850</v>
      </c>
      <c r="E2458" s="12" t="s">
        <v>5888</v>
      </c>
      <c r="F2458" s="12" t="s">
        <v>5889</v>
      </c>
      <c r="G2458" s="12" t="s">
        <v>5902</v>
      </c>
      <c r="H2458" s="12" t="s">
        <v>5951</v>
      </c>
      <c r="I2458" s="12" t="s">
        <v>6270</v>
      </c>
      <c r="J2458" s="11" t="s">
        <v>2246</v>
      </c>
      <c r="K2458" s="11" t="s">
        <v>2247</v>
      </c>
      <c r="L2458" s="11" t="s">
        <v>5893</v>
      </c>
      <c r="M2458" s="11" t="s">
        <v>1854</v>
      </c>
      <c r="N2458" s="12"/>
      <c r="O2458" s="11" t="s">
        <v>1874</v>
      </c>
      <c r="P2458" s="56"/>
    </row>
    <row r="2459" spans="1:16" ht="15.75" customHeight="1" x14ac:dyDescent="0.2">
      <c r="A2459" s="48">
        <v>15501</v>
      </c>
      <c r="B2459" s="11" t="s">
        <v>1871</v>
      </c>
      <c r="C2459" s="11" t="s">
        <v>1849</v>
      </c>
      <c r="D2459" s="6" t="s">
        <v>1850</v>
      </c>
      <c r="E2459" s="12" t="s">
        <v>5888</v>
      </c>
      <c r="F2459" s="12" t="s">
        <v>5889</v>
      </c>
      <c r="G2459" s="12" t="s">
        <v>5890</v>
      </c>
      <c r="H2459" s="12" t="s">
        <v>6019</v>
      </c>
      <c r="I2459" s="12" t="s">
        <v>6168</v>
      </c>
      <c r="J2459" s="11" t="s">
        <v>2246</v>
      </c>
      <c r="K2459" s="11" t="s">
        <v>2247</v>
      </c>
      <c r="L2459" s="11" t="s">
        <v>5893</v>
      </c>
      <c r="M2459" s="11" t="s">
        <v>1854</v>
      </c>
      <c r="N2459" s="12"/>
      <c r="O2459" s="11" t="s">
        <v>1859</v>
      </c>
      <c r="P2459" s="56"/>
    </row>
    <row r="2460" spans="1:16" ht="15.75" customHeight="1" x14ac:dyDescent="0.2">
      <c r="A2460" s="48">
        <v>15665</v>
      </c>
      <c r="B2460" s="11" t="s">
        <v>1871</v>
      </c>
      <c r="C2460" s="11" t="s">
        <v>1849</v>
      </c>
      <c r="D2460" s="6" t="s">
        <v>1850</v>
      </c>
      <c r="E2460" s="12" t="s">
        <v>5888</v>
      </c>
      <c r="F2460" s="12" t="s">
        <v>5889</v>
      </c>
      <c r="G2460" s="12" t="s">
        <v>5890</v>
      </c>
      <c r="H2460" s="12" t="s">
        <v>5949</v>
      </c>
      <c r="I2460" s="12" t="s">
        <v>6271</v>
      </c>
      <c r="J2460" s="11" t="s">
        <v>2246</v>
      </c>
      <c r="K2460" s="11" t="s">
        <v>2247</v>
      </c>
      <c r="L2460" s="11" t="s">
        <v>5893</v>
      </c>
      <c r="M2460" s="11" t="s">
        <v>1854</v>
      </c>
      <c r="N2460" s="12"/>
      <c r="O2460" s="11" t="s">
        <v>1859</v>
      </c>
      <c r="P2460" s="56"/>
    </row>
    <row r="2461" spans="1:16" ht="15.75" customHeight="1" x14ac:dyDescent="0.2">
      <c r="A2461" s="48">
        <v>15750</v>
      </c>
      <c r="B2461" s="11" t="s">
        <v>1871</v>
      </c>
      <c r="C2461" s="11" t="s">
        <v>1849</v>
      </c>
      <c r="D2461" s="6" t="s">
        <v>1850</v>
      </c>
      <c r="E2461" s="12" t="s">
        <v>5888</v>
      </c>
      <c r="F2461" s="12" t="s">
        <v>5889</v>
      </c>
      <c r="G2461" s="12" t="s">
        <v>5894</v>
      </c>
      <c r="H2461" s="12" t="s">
        <v>5900</v>
      </c>
      <c r="I2461" s="12" t="s">
        <v>6272</v>
      </c>
      <c r="J2461" s="11" t="s">
        <v>2246</v>
      </c>
      <c r="K2461" s="11" t="s">
        <v>2247</v>
      </c>
      <c r="L2461" s="11" t="s">
        <v>5893</v>
      </c>
      <c r="M2461" s="11" t="s">
        <v>1854</v>
      </c>
      <c r="N2461" s="12"/>
      <c r="O2461" s="11" t="s">
        <v>1854</v>
      </c>
      <c r="P2461" s="56"/>
    </row>
    <row r="2462" spans="1:16" ht="15.75" customHeight="1" x14ac:dyDescent="0.2">
      <c r="A2462" s="48">
        <v>5893</v>
      </c>
      <c r="B2462" s="11" t="s">
        <v>1871</v>
      </c>
      <c r="C2462" s="11" t="s">
        <v>1849</v>
      </c>
      <c r="D2462" s="6" t="s">
        <v>1850</v>
      </c>
      <c r="E2462" s="12" t="s">
        <v>5888</v>
      </c>
      <c r="F2462" s="12" t="s">
        <v>5889</v>
      </c>
      <c r="G2462" s="12" t="s">
        <v>5890</v>
      </c>
      <c r="H2462" s="12" t="s">
        <v>5908</v>
      </c>
      <c r="I2462" s="12" t="s">
        <v>6273</v>
      </c>
      <c r="J2462" s="11" t="s">
        <v>2246</v>
      </c>
      <c r="K2462" s="11" t="s">
        <v>2247</v>
      </c>
      <c r="L2462" s="11" t="s">
        <v>5893</v>
      </c>
      <c r="M2462" s="11" t="s">
        <v>6099</v>
      </c>
      <c r="N2462" s="12"/>
      <c r="O2462" s="11" t="s">
        <v>1872</v>
      </c>
      <c r="P2462" s="56"/>
    </row>
    <row r="2463" spans="1:16" ht="15.75" customHeight="1" x14ac:dyDescent="0.2">
      <c r="A2463" s="48">
        <v>15237</v>
      </c>
      <c r="B2463" s="11" t="s">
        <v>1871</v>
      </c>
      <c r="C2463" s="11" t="s">
        <v>1849</v>
      </c>
      <c r="D2463" s="6" t="s">
        <v>1850</v>
      </c>
      <c r="E2463" s="12" t="s">
        <v>5888</v>
      </c>
      <c r="F2463" s="12" t="s">
        <v>5889</v>
      </c>
      <c r="G2463" s="12" t="s">
        <v>5890</v>
      </c>
      <c r="H2463" s="12" t="s">
        <v>5923</v>
      </c>
      <c r="I2463" s="12" t="s">
        <v>6274</v>
      </c>
      <c r="J2463" s="11" t="s">
        <v>2246</v>
      </c>
      <c r="K2463" s="11" t="s">
        <v>2247</v>
      </c>
      <c r="L2463" s="11" t="s">
        <v>5893</v>
      </c>
      <c r="M2463" s="11" t="s">
        <v>1854</v>
      </c>
      <c r="N2463" s="12"/>
      <c r="O2463" s="11" t="s">
        <v>2618</v>
      </c>
      <c r="P2463" s="56"/>
    </row>
    <row r="2464" spans="1:16" ht="15.75" customHeight="1" x14ac:dyDescent="0.2">
      <c r="A2464" s="48">
        <v>15240</v>
      </c>
      <c r="B2464" s="11" t="s">
        <v>1871</v>
      </c>
      <c r="C2464" s="11" t="s">
        <v>1849</v>
      </c>
      <c r="D2464" s="6" t="s">
        <v>1850</v>
      </c>
      <c r="E2464" s="12" t="s">
        <v>5888</v>
      </c>
      <c r="F2464" s="12" t="s">
        <v>5889</v>
      </c>
      <c r="G2464" s="12" t="s">
        <v>5894</v>
      </c>
      <c r="H2464" s="12" t="s">
        <v>5900</v>
      </c>
      <c r="I2464" s="12" t="s">
        <v>6275</v>
      </c>
      <c r="J2464" s="11" t="s">
        <v>2246</v>
      </c>
      <c r="K2464" s="11" t="s">
        <v>2247</v>
      </c>
      <c r="L2464" s="11" t="s">
        <v>5893</v>
      </c>
      <c r="M2464" s="11" t="s">
        <v>1854</v>
      </c>
      <c r="N2464" s="12"/>
      <c r="O2464" s="11" t="s">
        <v>3016</v>
      </c>
      <c r="P2464" s="56" t="s">
        <v>1863</v>
      </c>
    </row>
    <row r="2465" spans="1:16" ht="15.75" customHeight="1" x14ac:dyDescent="0.2">
      <c r="A2465" s="48">
        <v>15238</v>
      </c>
      <c r="B2465" s="11" t="s">
        <v>1871</v>
      </c>
      <c r="C2465" s="11" t="s">
        <v>1849</v>
      </c>
      <c r="D2465" s="6" t="s">
        <v>1850</v>
      </c>
      <c r="E2465" s="12" t="s">
        <v>5888</v>
      </c>
      <c r="F2465" s="12" t="s">
        <v>5889</v>
      </c>
      <c r="G2465" s="12" t="s">
        <v>5890</v>
      </c>
      <c r="H2465" s="12" t="s">
        <v>5958</v>
      </c>
      <c r="I2465" s="12" t="s">
        <v>6276</v>
      </c>
      <c r="J2465" s="11" t="s">
        <v>2246</v>
      </c>
      <c r="K2465" s="11" t="s">
        <v>2247</v>
      </c>
      <c r="L2465" s="11" t="s">
        <v>5893</v>
      </c>
      <c r="M2465" s="11" t="s">
        <v>1854</v>
      </c>
      <c r="N2465" s="12"/>
      <c r="O2465" s="11" t="s">
        <v>2618</v>
      </c>
      <c r="P2465" s="56"/>
    </row>
    <row r="2466" spans="1:16" ht="15.75" customHeight="1" x14ac:dyDescent="0.2">
      <c r="A2466" s="48">
        <v>15239</v>
      </c>
      <c r="B2466" s="11" t="s">
        <v>1871</v>
      </c>
      <c r="C2466" s="11" t="s">
        <v>1849</v>
      </c>
      <c r="D2466" s="6" t="s">
        <v>1850</v>
      </c>
      <c r="E2466" s="12" t="s">
        <v>5888</v>
      </c>
      <c r="F2466" s="12" t="s">
        <v>5889</v>
      </c>
      <c r="G2466" s="12" t="s">
        <v>5890</v>
      </c>
      <c r="H2466" s="12" t="s">
        <v>5965</v>
      </c>
      <c r="I2466" s="12" t="s">
        <v>6277</v>
      </c>
      <c r="J2466" s="11" t="s">
        <v>2246</v>
      </c>
      <c r="K2466" s="11" t="s">
        <v>2247</v>
      </c>
      <c r="L2466" s="11" t="s">
        <v>5893</v>
      </c>
      <c r="M2466" s="11" t="s">
        <v>1854</v>
      </c>
      <c r="N2466" s="12"/>
      <c r="O2466" s="11" t="s">
        <v>3387</v>
      </c>
      <c r="P2466" s="56" t="s">
        <v>1865</v>
      </c>
    </row>
    <row r="2467" spans="1:16" ht="15.75" customHeight="1" x14ac:dyDescent="0.2">
      <c r="A2467" s="48">
        <v>16171</v>
      </c>
      <c r="B2467" s="11" t="s">
        <v>1871</v>
      </c>
      <c r="C2467" s="11" t="s">
        <v>1849</v>
      </c>
      <c r="D2467" s="6" t="s">
        <v>1850</v>
      </c>
      <c r="E2467" s="12" t="s">
        <v>5888</v>
      </c>
      <c r="F2467" s="12" t="s">
        <v>5889</v>
      </c>
      <c r="G2467" s="12" t="s">
        <v>5902</v>
      </c>
      <c r="H2467" s="12" t="s">
        <v>5932</v>
      </c>
      <c r="I2467" s="12" t="s">
        <v>6278</v>
      </c>
      <c r="J2467" s="11" t="s">
        <v>2246</v>
      </c>
      <c r="K2467" s="11" t="s">
        <v>2247</v>
      </c>
      <c r="L2467" s="11" t="s">
        <v>5893</v>
      </c>
      <c r="M2467" s="11" t="s">
        <v>1854</v>
      </c>
      <c r="N2467" s="12"/>
      <c r="O2467" s="11" t="s">
        <v>6279</v>
      </c>
      <c r="P2467" s="56" t="s">
        <v>6280</v>
      </c>
    </row>
    <row r="2468" spans="1:16" ht="15.75" customHeight="1" x14ac:dyDescent="0.2">
      <c r="A2468" s="48">
        <v>16173</v>
      </c>
      <c r="B2468" s="11" t="s">
        <v>1871</v>
      </c>
      <c r="C2468" s="11" t="s">
        <v>1849</v>
      </c>
      <c r="D2468" s="6" t="s">
        <v>1850</v>
      </c>
      <c r="E2468" s="12" t="s">
        <v>5888</v>
      </c>
      <c r="F2468" s="12" t="s">
        <v>5889</v>
      </c>
      <c r="G2468" s="12" t="s">
        <v>5902</v>
      </c>
      <c r="H2468" s="12" t="s">
        <v>6153</v>
      </c>
      <c r="I2468" s="12" t="s">
        <v>6281</v>
      </c>
      <c r="J2468" s="11" t="s">
        <v>2246</v>
      </c>
      <c r="K2468" s="11" t="s">
        <v>2247</v>
      </c>
      <c r="L2468" s="11" t="s">
        <v>5893</v>
      </c>
      <c r="M2468" s="11" t="s">
        <v>1854</v>
      </c>
      <c r="N2468" s="12"/>
      <c r="O2468" s="11" t="s">
        <v>1874</v>
      </c>
      <c r="P2468" s="56"/>
    </row>
    <row r="2469" spans="1:16" ht="15.75" customHeight="1" x14ac:dyDescent="0.2">
      <c r="A2469" s="48">
        <v>16174</v>
      </c>
      <c r="B2469" s="11" t="s">
        <v>1871</v>
      </c>
      <c r="C2469" s="11" t="s">
        <v>1849</v>
      </c>
      <c r="D2469" s="6" t="s">
        <v>1850</v>
      </c>
      <c r="E2469" s="12" t="s">
        <v>5888</v>
      </c>
      <c r="F2469" s="12" t="s">
        <v>5889</v>
      </c>
      <c r="G2469" s="12" t="s">
        <v>5897</v>
      </c>
      <c r="H2469" s="12" t="s">
        <v>5984</v>
      </c>
      <c r="I2469" s="12" t="s">
        <v>6282</v>
      </c>
      <c r="J2469" s="11" t="s">
        <v>2246</v>
      </c>
      <c r="K2469" s="11" t="s">
        <v>2247</v>
      </c>
      <c r="L2469" s="11" t="s">
        <v>5893</v>
      </c>
      <c r="M2469" s="11" t="s">
        <v>1854</v>
      </c>
      <c r="N2469" s="12"/>
      <c r="O2469" s="11" t="s">
        <v>1874</v>
      </c>
      <c r="P2469" s="56"/>
    </row>
    <row r="2470" spans="1:16" ht="15.75" customHeight="1" x14ac:dyDescent="0.2">
      <c r="A2470" s="48">
        <v>16192</v>
      </c>
      <c r="B2470" s="11" t="s">
        <v>1848</v>
      </c>
      <c r="C2470" s="11" t="s">
        <v>1849</v>
      </c>
      <c r="D2470" s="6" t="s">
        <v>1850</v>
      </c>
      <c r="E2470" s="12" t="s">
        <v>5888</v>
      </c>
      <c r="F2470" s="12" t="s">
        <v>5889</v>
      </c>
      <c r="G2470" s="12"/>
      <c r="H2470" s="12"/>
      <c r="I2470" s="9" t="s">
        <v>6283</v>
      </c>
      <c r="J2470" s="11"/>
      <c r="K2470" s="11"/>
      <c r="L2470" s="11" t="s">
        <v>5893</v>
      </c>
      <c r="M2470" s="11" t="s">
        <v>1854</v>
      </c>
      <c r="N2470" s="12"/>
      <c r="O2470" s="11" t="s">
        <v>6284</v>
      </c>
      <c r="P2470" s="56"/>
    </row>
    <row r="2471" spans="1:16" ht="15.75" customHeight="1" x14ac:dyDescent="0.2">
      <c r="A2471" s="48">
        <v>16193</v>
      </c>
      <c r="B2471" s="11" t="s">
        <v>1848</v>
      </c>
      <c r="C2471" s="11" t="s">
        <v>1849</v>
      </c>
      <c r="D2471" s="6" t="s">
        <v>1850</v>
      </c>
      <c r="E2471" s="12" t="s">
        <v>5888</v>
      </c>
      <c r="F2471" s="12" t="s">
        <v>5889</v>
      </c>
      <c r="G2471" s="12"/>
      <c r="H2471" s="12"/>
      <c r="I2471" s="61" t="s">
        <v>6285</v>
      </c>
      <c r="J2471" s="11"/>
      <c r="K2471" s="11"/>
      <c r="L2471" s="11" t="s">
        <v>5893</v>
      </c>
      <c r="M2471" s="11" t="s">
        <v>1854</v>
      </c>
      <c r="N2471" s="12"/>
      <c r="O2471" s="11" t="s">
        <v>6284</v>
      </c>
      <c r="P2471" s="56"/>
    </row>
    <row r="2472" spans="1:16" ht="15.75" customHeight="1" x14ac:dyDescent="0.2">
      <c r="A2472" s="48">
        <v>16194</v>
      </c>
      <c r="B2472" s="11" t="s">
        <v>1848</v>
      </c>
      <c r="C2472" s="11" t="s">
        <v>1849</v>
      </c>
      <c r="D2472" s="6" t="s">
        <v>1850</v>
      </c>
      <c r="E2472" s="12" t="s">
        <v>5888</v>
      </c>
      <c r="F2472" s="12" t="s">
        <v>5889</v>
      </c>
      <c r="G2472" s="12"/>
      <c r="H2472" s="12"/>
      <c r="I2472" s="61" t="s">
        <v>6286</v>
      </c>
      <c r="J2472" s="11"/>
      <c r="K2472" s="11"/>
      <c r="L2472" s="11" t="s">
        <v>5893</v>
      </c>
      <c r="M2472" s="11" t="s">
        <v>1854</v>
      </c>
      <c r="N2472" s="12"/>
      <c r="O2472" s="11" t="s">
        <v>6284</v>
      </c>
      <c r="P2472" s="56"/>
    </row>
    <row r="2473" spans="1:16" ht="15.75" customHeight="1" x14ac:dyDescent="0.2">
      <c r="A2473" s="48">
        <v>16195</v>
      </c>
      <c r="B2473" s="11" t="s">
        <v>1848</v>
      </c>
      <c r="C2473" s="11" t="s">
        <v>1849</v>
      </c>
      <c r="D2473" s="6" t="s">
        <v>1850</v>
      </c>
      <c r="E2473" s="12" t="s">
        <v>5888</v>
      </c>
      <c r="F2473" s="12" t="s">
        <v>5889</v>
      </c>
      <c r="G2473" s="12"/>
      <c r="H2473" s="12"/>
      <c r="I2473" s="61" t="s">
        <v>6287</v>
      </c>
      <c r="J2473" s="11"/>
      <c r="K2473" s="11"/>
      <c r="L2473" s="11" t="s">
        <v>5893</v>
      </c>
      <c r="M2473" s="11" t="s">
        <v>1854</v>
      </c>
      <c r="N2473" s="12"/>
      <c r="O2473" s="11" t="s">
        <v>1855</v>
      </c>
      <c r="P2473" s="56"/>
    </row>
    <row r="2474" spans="1:16" ht="15.75" customHeight="1" x14ac:dyDescent="0.2">
      <c r="A2474" s="48">
        <v>16196</v>
      </c>
      <c r="B2474" s="11" t="s">
        <v>1848</v>
      </c>
      <c r="C2474" s="11" t="s">
        <v>1849</v>
      </c>
      <c r="D2474" s="6" t="s">
        <v>1850</v>
      </c>
      <c r="E2474" s="12" t="s">
        <v>5888</v>
      </c>
      <c r="F2474" s="12" t="s">
        <v>5889</v>
      </c>
      <c r="G2474" s="12"/>
      <c r="H2474" s="12"/>
      <c r="I2474" s="9" t="s">
        <v>6288</v>
      </c>
      <c r="J2474" s="11"/>
      <c r="K2474" s="11"/>
      <c r="L2474" s="11" t="s">
        <v>5893</v>
      </c>
      <c r="M2474" s="11" t="s">
        <v>1854</v>
      </c>
      <c r="N2474" s="12"/>
      <c r="O2474" s="11" t="s">
        <v>6284</v>
      </c>
      <c r="P2474" s="56"/>
    </row>
    <row r="2475" spans="1:16" ht="15.75" customHeight="1" x14ac:dyDescent="0.2">
      <c r="A2475" s="48">
        <v>16197</v>
      </c>
      <c r="B2475" s="11" t="s">
        <v>1848</v>
      </c>
      <c r="C2475" s="11" t="s">
        <v>1849</v>
      </c>
      <c r="D2475" s="6" t="s">
        <v>1850</v>
      </c>
      <c r="E2475" s="12" t="s">
        <v>5888</v>
      </c>
      <c r="F2475" s="12" t="s">
        <v>5889</v>
      </c>
      <c r="G2475" s="12"/>
      <c r="H2475" s="12"/>
      <c r="I2475" s="61" t="s">
        <v>6289</v>
      </c>
      <c r="J2475" s="11"/>
      <c r="K2475" s="11"/>
      <c r="L2475" s="11" t="s">
        <v>5893</v>
      </c>
      <c r="M2475" s="11" t="s">
        <v>1854</v>
      </c>
      <c r="N2475" s="12"/>
      <c r="O2475" s="11" t="s">
        <v>6284</v>
      </c>
      <c r="P2475" s="56"/>
    </row>
    <row r="2476" spans="1:16" ht="15.75" customHeight="1" x14ac:dyDescent="0.2">
      <c r="A2476" s="48">
        <v>16198</v>
      </c>
      <c r="B2476" s="11" t="s">
        <v>1848</v>
      </c>
      <c r="C2476" s="11" t="s">
        <v>1849</v>
      </c>
      <c r="D2476" s="6" t="s">
        <v>1850</v>
      </c>
      <c r="E2476" s="12" t="s">
        <v>5888</v>
      </c>
      <c r="F2476" s="12" t="s">
        <v>5889</v>
      </c>
      <c r="G2476" s="12"/>
      <c r="H2476" s="12"/>
      <c r="I2476" s="9" t="s">
        <v>6290</v>
      </c>
      <c r="J2476" s="11"/>
      <c r="K2476" s="11"/>
      <c r="L2476" s="11" t="s">
        <v>5893</v>
      </c>
      <c r="M2476" s="11" t="s">
        <v>1854</v>
      </c>
      <c r="N2476" s="12"/>
      <c r="O2476" s="11" t="s">
        <v>6284</v>
      </c>
      <c r="P2476" s="56"/>
    </row>
    <row r="2477" spans="1:16" ht="15.75" customHeight="1" x14ac:dyDescent="0.2">
      <c r="A2477" s="48">
        <v>16199</v>
      </c>
      <c r="B2477" s="11" t="s">
        <v>1848</v>
      </c>
      <c r="C2477" s="11" t="s">
        <v>1849</v>
      </c>
      <c r="D2477" s="6" t="s">
        <v>1850</v>
      </c>
      <c r="E2477" s="12" t="s">
        <v>5888</v>
      </c>
      <c r="F2477" s="12" t="s">
        <v>5889</v>
      </c>
      <c r="G2477" s="12"/>
      <c r="H2477" s="12"/>
      <c r="I2477" s="61" t="s">
        <v>6291</v>
      </c>
      <c r="J2477" s="11"/>
      <c r="K2477" s="11"/>
      <c r="L2477" s="11" t="s">
        <v>5893</v>
      </c>
      <c r="M2477" s="11" t="s">
        <v>1854</v>
      </c>
      <c r="N2477" s="12"/>
      <c r="O2477" s="11" t="s">
        <v>6284</v>
      </c>
      <c r="P2477" s="56"/>
    </row>
    <row r="2478" spans="1:16" ht="15.75" customHeight="1" x14ac:dyDescent="0.2">
      <c r="A2478" s="48">
        <v>16200</v>
      </c>
      <c r="B2478" s="11" t="s">
        <v>1848</v>
      </c>
      <c r="C2478" s="11" t="s">
        <v>1849</v>
      </c>
      <c r="D2478" s="6" t="s">
        <v>1850</v>
      </c>
      <c r="E2478" s="12" t="s">
        <v>5888</v>
      </c>
      <c r="F2478" s="12" t="s">
        <v>5889</v>
      </c>
      <c r="G2478" s="12"/>
      <c r="H2478" s="12"/>
      <c r="I2478" s="9" t="s">
        <v>6292</v>
      </c>
      <c r="J2478" s="11"/>
      <c r="K2478" s="11"/>
      <c r="L2478" s="11" t="s">
        <v>5893</v>
      </c>
      <c r="M2478" s="11" t="s">
        <v>1854</v>
      </c>
      <c r="N2478" s="12"/>
      <c r="O2478" s="11" t="s">
        <v>6284</v>
      </c>
      <c r="P2478" s="56"/>
    </row>
    <row r="2479" spans="1:16" ht="15.75" customHeight="1" x14ac:dyDescent="0.2">
      <c r="A2479" s="48">
        <v>7575</v>
      </c>
      <c r="B2479" s="11" t="s">
        <v>1857</v>
      </c>
      <c r="C2479" s="11" t="s">
        <v>1849</v>
      </c>
      <c r="D2479" s="6" t="s">
        <v>1875</v>
      </c>
      <c r="E2479" s="12" t="s">
        <v>5888</v>
      </c>
      <c r="F2479" s="12" t="s">
        <v>5889</v>
      </c>
      <c r="G2479" s="12" t="s">
        <v>5894</v>
      </c>
      <c r="H2479" s="12" t="s">
        <v>5905</v>
      </c>
      <c r="I2479" s="12" t="s">
        <v>6293</v>
      </c>
      <c r="J2479" s="11" t="s">
        <v>2246</v>
      </c>
      <c r="K2479" s="11" t="s">
        <v>2247</v>
      </c>
      <c r="L2479" s="11" t="s">
        <v>5893</v>
      </c>
      <c r="M2479" s="11" t="s">
        <v>1854</v>
      </c>
      <c r="N2479" s="12"/>
      <c r="O2479" s="11" t="s">
        <v>1854</v>
      </c>
      <c r="P2479" s="56"/>
    </row>
    <row r="2480" spans="1:16" ht="15.75" customHeight="1" x14ac:dyDescent="0.2">
      <c r="A2480" s="49">
        <v>6088</v>
      </c>
      <c r="B2480" s="11" t="s">
        <v>1857</v>
      </c>
      <c r="C2480" s="11" t="s">
        <v>1876</v>
      </c>
      <c r="D2480" s="6" t="s">
        <v>1850</v>
      </c>
      <c r="E2480" s="12" t="s">
        <v>5888</v>
      </c>
      <c r="F2480" s="12" t="s">
        <v>5889</v>
      </c>
      <c r="G2480" s="12" t="s">
        <v>5897</v>
      </c>
      <c r="H2480" s="12" t="s">
        <v>5898</v>
      </c>
      <c r="I2480" s="12" t="s">
        <v>6294</v>
      </c>
      <c r="J2480" s="11" t="s">
        <v>2246</v>
      </c>
      <c r="K2480" s="11" t="s">
        <v>2247</v>
      </c>
      <c r="L2480" s="11" t="s">
        <v>5893</v>
      </c>
      <c r="M2480" s="11" t="s">
        <v>1854</v>
      </c>
      <c r="N2480" s="12"/>
      <c r="O2480" s="11" t="s">
        <v>1858</v>
      </c>
      <c r="P2480" s="56"/>
    </row>
    <row r="2481" spans="1:16" ht="15.75" customHeight="1" x14ac:dyDescent="0.2">
      <c r="A2481" s="49">
        <v>6087</v>
      </c>
      <c r="B2481" s="11" t="s">
        <v>1857</v>
      </c>
      <c r="C2481" s="11" t="s">
        <v>1876</v>
      </c>
      <c r="D2481" s="6" t="s">
        <v>1850</v>
      </c>
      <c r="E2481" s="12" t="s">
        <v>5888</v>
      </c>
      <c r="F2481" s="12" t="s">
        <v>5889</v>
      </c>
      <c r="G2481" s="12" t="s">
        <v>5897</v>
      </c>
      <c r="H2481" s="12" t="s">
        <v>5898</v>
      </c>
      <c r="I2481" s="12" t="s">
        <v>6295</v>
      </c>
      <c r="J2481" s="11" t="s">
        <v>2246</v>
      </c>
      <c r="K2481" s="11" t="s">
        <v>2247</v>
      </c>
      <c r="L2481" s="11" t="s">
        <v>5893</v>
      </c>
      <c r="M2481" s="11" t="s">
        <v>1854</v>
      </c>
      <c r="N2481" s="12"/>
      <c r="O2481" s="11" t="s">
        <v>1860</v>
      </c>
      <c r="P2481" s="56"/>
    </row>
    <row r="2482" spans="1:16" ht="15.75" customHeight="1" x14ac:dyDescent="0.2">
      <c r="A2482" s="49">
        <v>6042</v>
      </c>
      <c r="B2482" s="11" t="s">
        <v>1857</v>
      </c>
      <c r="C2482" s="11" t="s">
        <v>1876</v>
      </c>
      <c r="D2482" s="6" t="s">
        <v>1850</v>
      </c>
      <c r="E2482" s="12" t="s">
        <v>5888</v>
      </c>
      <c r="F2482" s="12" t="s">
        <v>5889</v>
      </c>
      <c r="G2482" s="12" t="s">
        <v>5902</v>
      </c>
      <c r="H2482" s="12" t="s">
        <v>5951</v>
      </c>
      <c r="I2482" s="12" t="s">
        <v>6296</v>
      </c>
      <c r="J2482" s="11" t="s">
        <v>2246</v>
      </c>
      <c r="K2482" s="11" t="s">
        <v>2247</v>
      </c>
      <c r="L2482" s="11" t="s">
        <v>5893</v>
      </c>
      <c r="M2482" s="11" t="s">
        <v>1854</v>
      </c>
      <c r="N2482" s="12"/>
      <c r="O2482" s="11" t="s">
        <v>1858</v>
      </c>
      <c r="P2482" s="56"/>
    </row>
    <row r="2483" spans="1:16" ht="15.75" customHeight="1" x14ac:dyDescent="0.2">
      <c r="A2483" s="49">
        <v>6879</v>
      </c>
      <c r="B2483" s="11" t="s">
        <v>1857</v>
      </c>
      <c r="C2483" s="11" t="s">
        <v>1876</v>
      </c>
      <c r="D2483" s="6" t="s">
        <v>1850</v>
      </c>
      <c r="E2483" s="12" t="s">
        <v>5888</v>
      </c>
      <c r="F2483" s="12" t="s">
        <v>5889</v>
      </c>
      <c r="G2483" s="12" t="s">
        <v>5902</v>
      </c>
      <c r="H2483" s="12" t="s">
        <v>5951</v>
      </c>
      <c r="I2483" s="12" t="s">
        <v>6297</v>
      </c>
      <c r="J2483" s="11" t="s">
        <v>2246</v>
      </c>
      <c r="K2483" s="11" t="s">
        <v>2247</v>
      </c>
      <c r="L2483" s="11" t="s">
        <v>5893</v>
      </c>
      <c r="M2483" s="11" t="s">
        <v>1854</v>
      </c>
      <c r="N2483" s="12"/>
      <c r="O2483" s="11" t="s">
        <v>1858</v>
      </c>
      <c r="P2483" s="56"/>
    </row>
    <row r="2484" spans="1:16" ht="15.75" customHeight="1" x14ac:dyDescent="0.2">
      <c r="A2484" s="48">
        <v>15702</v>
      </c>
      <c r="B2484" s="11" t="s">
        <v>1848</v>
      </c>
      <c r="C2484" s="11" t="s">
        <v>1849</v>
      </c>
      <c r="D2484" s="6" t="s">
        <v>1850</v>
      </c>
      <c r="E2484" s="12" t="s">
        <v>5888</v>
      </c>
      <c r="F2484" s="12" t="s">
        <v>6298</v>
      </c>
      <c r="G2484" s="12" t="s">
        <v>6299</v>
      </c>
      <c r="H2484" s="12" t="s">
        <v>6300</v>
      </c>
      <c r="I2484" s="12" t="s">
        <v>6301</v>
      </c>
      <c r="J2484" s="11" t="s">
        <v>2246</v>
      </c>
      <c r="K2484" s="11" t="s">
        <v>2247</v>
      </c>
      <c r="L2484" s="11" t="s">
        <v>5893</v>
      </c>
      <c r="M2484" s="11" t="s">
        <v>1854</v>
      </c>
      <c r="N2484" s="12"/>
      <c r="O2484" s="11" t="s">
        <v>1855</v>
      </c>
      <c r="P2484" s="56"/>
    </row>
    <row r="2485" spans="1:16" ht="15.75" customHeight="1" x14ac:dyDescent="0.2">
      <c r="A2485" s="48">
        <v>15685</v>
      </c>
      <c r="B2485" s="11" t="s">
        <v>1848</v>
      </c>
      <c r="C2485" s="11" t="s">
        <v>1849</v>
      </c>
      <c r="D2485" s="6" t="s">
        <v>1850</v>
      </c>
      <c r="E2485" s="12" t="s">
        <v>5888</v>
      </c>
      <c r="F2485" s="12" t="s">
        <v>6298</v>
      </c>
      <c r="G2485" s="12" t="s">
        <v>6302</v>
      </c>
      <c r="H2485" s="12" t="s">
        <v>6303</v>
      </c>
      <c r="I2485" s="12" t="s">
        <v>1660</v>
      </c>
      <c r="J2485" s="11" t="s">
        <v>2246</v>
      </c>
      <c r="K2485" s="11" t="s">
        <v>2247</v>
      </c>
      <c r="L2485" s="11" t="s">
        <v>5893</v>
      </c>
      <c r="M2485" s="11" t="s">
        <v>1854</v>
      </c>
      <c r="N2485" s="12"/>
      <c r="O2485" s="11" t="s">
        <v>1855</v>
      </c>
      <c r="P2485" s="56"/>
    </row>
    <row r="2486" spans="1:16" ht="15.75" customHeight="1" x14ac:dyDescent="0.2">
      <c r="A2486" s="48">
        <v>15698</v>
      </c>
      <c r="B2486" s="11" t="s">
        <v>1848</v>
      </c>
      <c r="C2486" s="11" t="s">
        <v>1849</v>
      </c>
      <c r="D2486" s="6" t="s">
        <v>1850</v>
      </c>
      <c r="E2486" s="12" t="s">
        <v>5888</v>
      </c>
      <c r="F2486" s="12" t="s">
        <v>6298</v>
      </c>
      <c r="G2486" s="12" t="s">
        <v>6302</v>
      </c>
      <c r="H2486" s="12" t="s">
        <v>6304</v>
      </c>
      <c r="I2486" s="12" t="s">
        <v>6305</v>
      </c>
      <c r="J2486" s="11" t="s">
        <v>2246</v>
      </c>
      <c r="K2486" s="11" t="s">
        <v>2247</v>
      </c>
      <c r="L2486" s="11" t="s">
        <v>5893</v>
      </c>
      <c r="M2486" s="11" t="s">
        <v>1854</v>
      </c>
      <c r="N2486" s="12"/>
      <c r="O2486" s="11" t="s">
        <v>1855</v>
      </c>
      <c r="P2486" s="56"/>
    </row>
    <row r="2487" spans="1:16" ht="15.75" customHeight="1" x14ac:dyDescent="0.2">
      <c r="A2487" s="48">
        <v>15700</v>
      </c>
      <c r="B2487" s="11" t="s">
        <v>1848</v>
      </c>
      <c r="C2487" s="11" t="s">
        <v>1849</v>
      </c>
      <c r="D2487" s="6" t="s">
        <v>1850</v>
      </c>
      <c r="E2487" s="12" t="s">
        <v>5888</v>
      </c>
      <c r="F2487" s="12" t="s">
        <v>6298</v>
      </c>
      <c r="G2487" s="12" t="s">
        <v>6302</v>
      </c>
      <c r="H2487" s="12" t="s">
        <v>6304</v>
      </c>
      <c r="I2487" s="12" t="s">
        <v>6306</v>
      </c>
      <c r="J2487" s="11" t="s">
        <v>2246</v>
      </c>
      <c r="K2487" s="11" t="s">
        <v>2247</v>
      </c>
      <c r="L2487" s="11" t="s">
        <v>5893</v>
      </c>
      <c r="M2487" s="11" t="s">
        <v>1854</v>
      </c>
      <c r="N2487" s="12"/>
      <c r="O2487" s="11" t="s">
        <v>1855</v>
      </c>
      <c r="P2487" s="56"/>
    </row>
    <row r="2488" spans="1:16" ht="15.75" customHeight="1" x14ac:dyDescent="0.2">
      <c r="A2488" s="48">
        <v>15704</v>
      </c>
      <c r="B2488" s="11" t="s">
        <v>1848</v>
      </c>
      <c r="C2488" s="11" t="s">
        <v>1849</v>
      </c>
      <c r="D2488" s="6" t="s">
        <v>1850</v>
      </c>
      <c r="E2488" s="12" t="s">
        <v>5888</v>
      </c>
      <c r="F2488" s="12" t="s">
        <v>6298</v>
      </c>
      <c r="G2488" s="12" t="s">
        <v>6299</v>
      </c>
      <c r="H2488" s="12" t="s">
        <v>6307</v>
      </c>
      <c r="I2488" s="12" t="s">
        <v>6308</v>
      </c>
      <c r="J2488" s="11" t="s">
        <v>2246</v>
      </c>
      <c r="K2488" s="11" t="s">
        <v>2247</v>
      </c>
      <c r="L2488" s="11" t="s">
        <v>5893</v>
      </c>
      <c r="M2488" s="11" t="s">
        <v>1854</v>
      </c>
      <c r="N2488" s="12"/>
      <c r="O2488" s="11" t="s">
        <v>1855</v>
      </c>
      <c r="P2488" s="56"/>
    </row>
    <row r="2489" spans="1:16" ht="15.75" customHeight="1" x14ac:dyDescent="0.2">
      <c r="A2489" s="48">
        <v>15693</v>
      </c>
      <c r="B2489" s="11" t="s">
        <v>1848</v>
      </c>
      <c r="C2489" s="11" t="s">
        <v>1849</v>
      </c>
      <c r="D2489" s="6" t="s">
        <v>1850</v>
      </c>
      <c r="E2489" s="12" t="s">
        <v>5888</v>
      </c>
      <c r="F2489" s="12" t="s">
        <v>6298</v>
      </c>
      <c r="G2489" s="12" t="s">
        <v>6299</v>
      </c>
      <c r="H2489" s="12" t="s">
        <v>6299</v>
      </c>
      <c r="I2489" s="12" t="s">
        <v>6309</v>
      </c>
      <c r="J2489" s="11" t="s">
        <v>2246</v>
      </c>
      <c r="K2489" s="11" t="s">
        <v>2247</v>
      </c>
      <c r="L2489" s="11" t="s">
        <v>5893</v>
      </c>
      <c r="M2489" s="11" t="s">
        <v>1854</v>
      </c>
      <c r="N2489" s="12"/>
      <c r="O2489" s="11" t="s">
        <v>1855</v>
      </c>
      <c r="P2489" s="56"/>
    </row>
    <row r="2490" spans="1:16" ht="15.75" customHeight="1" x14ac:dyDescent="0.2">
      <c r="A2490" s="48">
        <v>15695</v>
      </c>
      <c r="B2490" s="11" t="s">
        <v>1848</v>
      </c>
      <c r="C2490" s="11" t="s">
        <v>1849</v>
      </c>
      <c r="D2490" s="6" t="s">
        <v>1850</v>
      </c>
      <c r="E2490" s="12" t="s">
        <v>5888</v>
      </c>
      <c r="F2490" s="12" t="s">
        <v>6298</v>
      </c>
      <c r="G2490" s="12" t="s">
        <v>6299</v>
      </c>
      <c r="H2490" s="12" t="s">
        <v>6310</v>
      </c>
      <c r="I2490" s="12" t="s">
        <v>6311</v>
      </c>
      <c r="J2490" s="11" t="s">
        <v>2246</v>
      </c>
      <c r="K2490" s="11" t="s">
        <v>2247</v>
      </c>
      <c r="L2490" s="11" t="s">
        <v>5893</v>
      </c>
      <c r="M2490" s="11" t="s">
        <v>1854</v>
      </c>
      <c r="N2490" s="12"/>
      <c r="O2490" s="11" t="s">
        <v>1855</v>
      </c>
      <c r="P2490" s="56"/>
    </row>
    <row r="2491" spans="1:16" ht="15.75" customHeight="1" x14ac:dyDescent="0.2">
      <c r="A2491" s="48">
        <v>15699</v>
      </c>
      <c r="B2491" s="11" t="s">
        <v>1848</v>
      </c>
      <c r="C2491" s="11" t="s">
        <v>1849</v>
      </c>
      <c r="D2491" s="6" t="s">
        <v>1850</v>
      </c>
      <c r="E2491" s="12" t="s">
        <v>5888</v>
      </c>
      <c r="F2491" s="12" t="s">
        <v>6298</v>
      </c>
      <c r="G2491" s="12" t="s">
        <v>6299</v>
      </c>
      <c r="H2491" s="12" t="s">
        <v>6310</v>
      </c>
      <c r="I2491" s="12" t="s">
        <v>6312</v>
      </c>
      <c r="J2491" s="11" t="s">
        <v>2246</v>
      </c>
      <c r="K2491" s="11" t="s">
        <v>2247</v>
      </c>
      <c r="L2491" s="11" t="s">
        <v>5893</v>
      </c>
      <c r="M2491" s="11" t="s">
        <v>1854</v>
      </c>
      <c r="N2491" s="12"/>
      <c r="O2491" s="11" t="s">
        <v>1855</v>
      </c>
      <c r="P2491" s="56"/>
    </row>
    <row r="2492" spans="1:16" ht="15.75" customHeight="1" x14ac:dyDescent="0.2">
      <c r="A2492" s="48">
        <v>15692</v>
      </c>
      <c r="B2492" s="11" t="s">
        <v>1848</v>
      </c>
      <c r="C2492" s="11" t="s">
        <v>1849</v>
      </c>
      <c r="D2492" s="6" t="s">
        <v>1850</v>
      </c>
      <c r="E2492" s="12" t="s">
        <v>5888</v>
      </c>
      <c r="F2492" s="12" t="s">
        <v>6298</v>
      </c>
      <c r="G2492" s="12" t="s">
        <v>6302</v>
      </c>
      <c r="H2492" s="12" t="s">
        <v>6313</v>
      </c>
      <c r="I2492" s="12" t="s">
        <v>6314</v>
      </c>
      <c r="J2492" s="11" t="s">
        <v>2246</v>
      </c>
      <c r="K2492" s="11" t="s">
        <v>2247</v>
      </c>
      <c r="L2492" s="11" t="s">
        <v>5893</v>
      </c>
      <c r="M2492" s="11" t="s">
        <v>1854</v>
      </c>
      <c r="N2492" s="12"/>
      <c r="O2492" s="11" t="s">
        <v>1855</v>
      </c>
      <c r="P2492" s="56"/>
    </row>
    <row r="2493" spans="1:16" ht="15.75" customHeight="1" x14ac:dyDescent="0.2">
      <c r="A2493" s="48">
        <v>15691</v>
      </c>
      <c r="B2493" s="11" t="s">
        <v>1848</v>
      </c>
      <c r="C2493" s="11" t="s">
        <v>1849</v>
      </c>
      <c r="D2493" s="6" t="s">
        <v>1850</v>
      </c>
      <c r="E2493" s="12" t="s">
        <v>5888</v>
      </c>
      <c r="F2493" s="12" t="s">
        <v>6298</v>
      </c>
      <c r="G2493" s="12" t="s">
        <v>6299</v>
      </c>
      <c r="H2493" s="12" t="s">
        <v>6299</v>
      </c>
      <c r="I2493" s="12" t="s">
        <v>6315</v>
      </c>
      <c r="J2493" s="11" t="s">
        <v>2246</v>
      </c>
      <c r="K2493" s="11" t="s">
        <v>2247</v>
      </c>
      <c r="L2493" s="11" t="s">
        <v>5893</v>
      </c>
      <c r="M2493" s="11" t="s">
        <v>1854</v>
      </c>
      <c r="N2493" s="12"/>
      <c r="O2493" s="11" t="s">
        <v>1855</v>
      </c>
      <c r="P2493" s="56"/>
    </row>
    <row r="2494" spans="1:16" ht="15.75" customHeight="1" x14ac:dyDescent="0.2">
      <c r="A2494" s="48">
        <v>15686</v>
      </c>
      <c r="B2494" s="11" t="s">
        <v>1848</v>
      </c>
      <c r="C2494" s="11" t="s">
        <v>1849</v>
      </c>
      <c r="D2494" s="6" t="s">
        <v>1850</v>
      </c>
      <c r="E2494" s="12" t="s">
        <v>5888</v>
      </c>
      <c r="F2494" s="12" t="s">
        <v>6298</v>
      </c>
      <c r="G2494" s="12" t="s">
        <v>6299</v>
      </c>
      <c r="H2494" s="12" t="s">
        <v>6299</v>
      </c>
      <c r="I2494" s="12" t="s">
        <v>6316</v>
      </c>
      <c r="J2494" s="11" t="s">
        <v>2246</v>
      </c>
      <c r="K2494" s="11" t="s">
        <v>2247</v>
      </c>
      <c r="L2494" s="11" t="s">
        <v>5893</v>
      </c>
      <c r="M2494" s="11" t="s">
        <v>1854</v>
      </c>
      <c r="N2494" s="12"/>
      <c r="O2494" s="11" t="s">
        <v>1855</v>
      </c>
      <c r="P2494" s="56"/>
    </row>
    <row r="2495" spans="1:16" ht="15.75" customHeight="1" x14ac:dyDescent="0.2">
      <c r="A2495" s="48">
        <v>16177</v>
      </c>
      <c r="B2495" s="11" t="s">
        <v>1848</v>
      </c>
      <c r="C2495" s="11" t="s">
        <v>1849</v>
      </c>
      <c r="D2495" s="6" t="s">
        <v>1850</v>
      </c>
      <c r="E2495" s="12" t="s">
        <v>5888</v>
      </c>
      <c r="F2495" s="12" t="s">
        <v>6298</v>
      </c>
      <c r="G2495" s="12" t="s">
        <v>6302</v>
      </c>
      <c r="H2495" s="12" t="s">
        <v>6304</v>
      </c>
      <c r="I2495" s="12" t="s">
        <v>6317</v>
      </c>
      <c r="J2495" s="11" t="s">
        <v>2246</v>
      </c>
      <c r="K2495" s="11" t="s">
        <v>2247</v>
      </c>
      <c r="L2495" s="11" t="s">
        <v>5893</v>
      </c>
      <c r="M2495" s="11" t="s">
        <v>1854</v>
      </c>
      <c r="N2495" s="12"/>
      <c r="O2495" s="11" t="s">
        <v>1855</v>
      </c>
      <c r="P2495" s="56"/>
    </row>
    <row r="2496" spans="1:16" ht="15.75" customHeight="1" x14ac:dyDescent="0.2">
      <c r="A2496" s="48">
        <v>16180</v>
      </c>
      <c r="B2496" s="11" t="s">
        <v>1848</v>
      </c>
      <c r="C2496" s="11" t="s">
        <v>1849</v>
      </c>
      <c r="D2496" s="6" t="s">
        <v>1850</v>
      </c>
      <c r="E2496" s="12" t="s">
        <v>5888</v>
      </c>
      <c r="F2496" s="12" t="s">
        <v>6298</v>
      </c>
      <c r="G2496" s="12" t="s">
        <v>6302</v>
      </c>
      <c r="H2496" s="12" t="s">
        <v>6304</v>
      </c>
      <c r="I2496" s="12" t="s">
        <v>6318</v>
      </c>
      <c r="J2496" s="11" t="s">
        <v>2246</v>
      </c>
      <c r="K2496" s="11" t="s">
        <v>2247</v>
      </c>
      <c r="L2496" s="11" t="s">
        <v>5893</v>
      </c>
      <c r="M2496" s="11" t="s">
        <v>1854</v>
      </c>
      <c r="N2496" s="12"/>
      <c r="O2496" s="11" t="s">
        <v>1855</v>
      </c>
      <c r="P2496" s="56"/>
    </row>
    <row r="2497" spans="1:16" ht="15.75" customHeight="1" x14ac:dyDescent="0.2">
      <c r="A2497" s="48">
        <v>7602</v>
      </c>
      <c r="B2497" s="11" t="s">
        <v>1857</v>
      </c>
      <c r="C2497" s="11" t="s">
        <v>1849</v>
      </c>
      <c r="D2497" s="6" t="s">
        <v>1850</v>
      </c>
      <c r="E2497" s="12" t="s">
        <v>5888</v>
      </c>
      <c r="F2497" s="12" t="s">
        <v>6298</v>
      </c>
      <c r="G2497" s="12" t="s">
        <v>6299</v>
      </c>
      <c r="H2497" s="12" t="s">
        <v>6319</v>
      </c>
      <c r="I2497" s="12" t="s">
        <v>6320</v>
      </c>
      <c r="J2497" s="11" t="s">
        <v>2246</v>
      </c>
      <c r="K2497" s="11" t="s">
        <v>2247</v>
      </c>
      <c r="L2497" s="11" t="s">
        <v>5893</v>
      </c>
      <c r="M2497" s="11" t="s">
        <v>1854</v>
      </c>
      <c r="N2497" s="12"/>
      <c r="O2497" s="11" t="s">
        <v>1859</v>
      </c>
      <c r="P2497" s="56"/>
    </row>
    <row r="2498" spans="1:16" ht="15.75" customHeight="1" x14ac:dyDescent="0.2">
      <c r="A2498" s="48">
        <v>5854</v>
      </c>
      <c r="B2498" s="11" t="s">
        <v>1857</v>
      </c>
      <c r="C2498" s="11" t="s">
        <v>1849</v>
      </c>
      <c r="D2498" s="6" t="s">
        <v>1850</v>
      </c>
      <c r="E2498" s="12" t="s">
        <v>5888</v>
      </c>
      <c r="F2498" s="12" t="s">
        <v>6298</v>
      </c>
      <c r="G2498" s="12" t="s">
        <v>6302</v>
      </c>
      <c r="H2498" s="12" t="s">
        <v>6304</v>
      </c>
      <c r="I2498" s="12" t="s">
        <v>2253</v>
      </c>
      <c r="J2498" s="11" t="s">
        <v>2246</v>
      </c>
      <c r="K2498" s="11" t="s">
        <v>2247</v>
      </c>
      <c r="L2498" s="11" t="s">
        <v>5893</v>
      </c>
      <c r="M2498" s="11" t="s">
        <v>1854</v>
      </c>
      <c r="N2498" s="12"/>
      <c r="O2498" s="11" t="s">
        <v>1858</v>
      </c>
      <c r="P2498" s="56"/>
    </row>
    <row r="2499" spans="1:16" ht="15.75" customHeight="1" x14ac:dyDescent="0.2">
      <c r="A2499" s="48">
        <v>5850</v>
      </c>
      <c r="B2499" s="11" t="s">
        <v>1857</v>
      </c>
      <c r="C2499" s="11" t="s">
        <v>1849</v>
      </c>
      <c r="D2499" s="6" t="s">
        <v>1850</v>
      </c>
      <c r="E2499" s="12" t="s">
        <v>5888</v>
      </c>
      <c r="F2499" s="12" t="s">
        <v>6298</v>
      </c>
      <c r="G2499" s="12" t="s">
        <v>6302</v>
      </c>
      <c r="H2499" s="12" t="s">
        <v>6321</v>
      </c>
      <c r="I2499" s="12" t="s">
        <v>6322</v>
      </c>
      <c r="J2499" s="11" t="s">
        <v>2246</v>
      </c>
      <c r="K2499" s="11" t="s">
        <v>2247</v>
      </c>
      <c r="L2499" s="11" t="s">
        <v>5893</v>
      </c>
      <c r="M2499" s="11" t="s">
        <v>6323</v>
      </c>
      <c r="N2499" s="12"/>
      <c r="O2499" s="11" t="s">
        <v>1858</v>
      </c>
      <c r="P2499" s="56"/>
    </row>
    <row r="2500" spans="1:16" ht="15.75" customHeight="1" x14ac:dyDescent="0.2">
      <c r="A2500" s="48">
        <v>494</v>
      </c>
      <c r="B2500" s="11" t="s">
        <v>1857</v>
      </c>
      <c r="C2500" s="11" t="s">
        <v>1849</v>
      </c>
      <c r="D2500" s="6" t="s">
        <v>1850</v>
      </c>
      <c r="E2500" s="12" t="s">
        <v>5888</v>
      </c>
      <c r="F2500" s="12" t="s">
        <v>6298</v>
      </c>
      <c r="G2500" s="12" t="s">
        <v>6302</v>
      </c>
      <c r="H2500" s="12" t="s">
        <v>6313</v>
      </c>
      <c r="I2500" s="12" t="s">
        <v>6324</v>
      </c>
      <c r="J2500" s="11" t="s">
        <v>2246</v>
      </c>
      <c r="K2500" s="11" t="s">
        <v>2247</v>
      </c>
      <c r="L2500" s="11" t="s">
        <v>5893</v>
      </c>
      <c r="M2500" s="11" t="s">
        <v>1854</v>
      </c>
      <c r="N2500" s="12"/>
      <c r="O2500" s="11" t="s">
        <v>1859</v>
      </c>
      <c r="P2500" s="56"/>
    </row>
    <row r="2501" spans="1:16" ht="15.75" customHeight="1" x14ac:dyDescent="0.2">
      <c r="A2501" s="49">
        <v>7552</v>
      </c>
      <c r="B2501" s="11" t="s">
        <v>1857</v>
      </c>
      <c r="C2501" s="11" t="s">
        <v>1849</v>
      </c>
      <c r="D2501" s="6" t="s">
        <v>1850</v>
      </c>
      <c r="E2501" s="12" t="s">
        <v>5888</v>
      </c>
      <c r="F2501" s="12" t="s">
        <v>6298</v>
      </c>
      <c r="G2501" s="12" t="s">
        <v>6302</v>
      </c>
      <c r="H2501" s="12" t="s">
        <v>6313</v>
      </c>
      <c r="I2501" s="12" t="s">
        <v>6325</v>
      </c>
      <c r="J2501" s="11" t="s">
        <v>2246</v>
      </c>
      <c r="K2501" s="11" t="s">
        <v>2247</v>
      </c>
      <c r="L2501" s="11" t="s">
        <v>5893</v>
      </c>
      <c r="M2501" s="11" t="s">
        <v>1854</v>
      </c>
      <c r="N2501" s="12"/>
      <c r="O2501" s="11" t="s">
        <v>1859</v>
      </c>
      <c r="P2501" s="56"/>
    </row>
    <row r="2502" spans="1:16" ht="15.75" customHeight="1" x14ac:dyDescent="0.2">
      <c r="A2502" s="48">
        <v>387</v>
      </c>
      <c r="B2502" s="11" t="s">
        <v>1857</v>
      </c>
      <c r="C2502" s="11" t="s">
        <v>1849</v>
      </c>
      <c r="D2502" s="6" t="s">
        <v>1850</v>
      </c>
      <c r="E2502" s="12" t="s">
        <v>5888</v>
      </c>
      <c r="F2502" s="12" t="s">
        <v>6298</v>
      </c>
      <c r="G2502" s="12" t="s">
        <v>6302</v>
      </c>
      <c r="H2502" s="12" t="s">
        <v>6304</v>
      </c>
      <c r="I2502" s="12" t="s">
        <v>6326</v>
      </c>
      <c r="J2502" s="11" t="s">
        <v>2246</v>
      </c>
      <c r="K2502" s="11" t="s">
        <v>2247</v>
      </c>
      <c r="L2502" s="11" t="s">
        <v>5893</v>
      </c>
      <c r="M2502" s="11" t="s">
        <v>1854</v>
      </c>
      <c r="N2502" s="12"/>
      <c r="O2502" s="11" t="s">
        <v>1860</v>
      </c>
      <c r="P2502" s="56"/>
    </row>
    <row r="2503" spans="1:16" ht="15.75" customHeight="1" x14ac:dyDescent="0.2">
      <c r="A2503" s="48">
        <v>163</v>
      </c>
      <c r="B2503" s="11" t="s">
        <v>1857</v>
      </c>
      <c r="C2503" s="11" t="s">
        <v>1849</v>
      </c>
      <c r="D2503" s="6" t="s">
        <v>1850</v>
      </c>
      <c r="E2503" s="12" t="s">
        <v>5888</v>
      </c>
      <c r="F2503" s="12" t="s">
        <v>6298</v>
      </c>
      <c r="G2503" s="12" t="s">
        <v>6327</v>
      </c>
      <c r="H2503" s="12" t="s">
        <v>6328</v>
      </c>
      <c r="I2503" s="12" t="s">
        <v>6329</v>
      </c>
      <c r="J2503" s="11" t="s">
        <v>2246</v>
      </c>
      <c r="K2503" s="11" t="s">
        <v>2247</v>
      </c>
      <c r="L2503" s="11" t="s">
        <v>5893</v>
      </c>
      <c r="M2503" s="11" t="s">
        <v>2425</v>
      </c>
      <c r="N2503" s="12"/>
      <c r="O2503" s="11" t="s">
        <v>1859</v>
      </c>
      <c r="P2503" s="56"/>
    </row>
    <row r="2504" spans="1:16" ht="15.75" customHeight="1" x14ac:dyDescent="0.2">
      <c r="A2504" s="48">
        <v>522</v>
      </c>
      <c r="B2504" s="11" t="s">
        <v>1857</v>
      </c>
      <c r="C2504" s="11" t="s">
        <v>1849</v>
      </c>
      <c r="D2504" s="6" t="s">
        <v>1850</v>
      </c>
      <c r="E2504" s="12" t="s">
        <v>5888</v>
      </c>
      <c r="F2504" s="12" t="s">
        <v>6298</v>
      </c>
      <c r="G2504" s="12" t="s">
        <v>6302</v>
      </c>
      <c r="H2504" s="12" t="s">
        <v>6321</v>
      </c>
      <c r="I2504" s="12" t="s">
        <v>3624</v>
      </c>
      <c r="J2504" s="11" t="s">
        <v>2246</v>
      </c>
      <c r="K2504" s="11" t="s">
        <v>2247</v>
      </c>
      <c r="L2504" s="11" t="s">
        <v>5893</v>
      </c>
      <c r="M2504" s="11" t="s">
        <v>2565</v>
      </c>
      <c r="N2504" s="12" t="s">
        <v>6330</v>
      </c>
      <c r="O2504" s="11" t="s">
        <v>1858</v>
      </c>
      <c r="P2504" s="56"/>
    </row>
    <row r="2505" spans="1:16" ht="15.75" customHeight="1" x14ac:dyDescent="0.2">
      <c r="A2505" s="48">
        <v>153</v>
      </c>
      <c r="B2505" s="11" t="s">
        <v>1857</v>
      </c>
      <c r="C2505" s="11" t="s">
        <v>1849</v>
      </c>
      <c r="D2505" s="6" t="s">
        <v>1850</v>
      </c>
      <c r="E2505" s="12" t="s">
        <v>5888</v>
      </c>
      <c r="F2505" s="12" t="s">
        <v>6298</v>
      </c>
      <c r="G2505" s="12" t="s">
        <v>6331</v>
      </c>
      <c r="H2505" s="12" t="s">
        <v>6332</v>
      </c>
      <c r="I2505" s="12" t="s">
        <v>3624</v>
      </c>
      <c r="J2505" s="11" t="s">
        <v>2246</v>
      </c>
      <c r="K2505" s="11" t="s">
        <v>2247</v>
      </c>
      <c r="L2505" s="11" t="s">
        <v>5893</v>
      </c>
      <c r="M2505" s="11" t="s">
        <v>2565</v>
      </c>
      <c r="N2505" s="12"/>
      <c r="O2505" s="11" t="s">
        <v>1858</v>
      </c>
      <c r="P2505" s="56"/>
    </row>
    <row r="2506" spans="1:16" ht="15.75" customHeight="1" x14ac:dyDescent="0.2">
      <c r="A2506" s="48">
        <v>430</v>
      </c>
      <c r="B2506" s="11" t="s">
        <v>1857</v>
      </c>
      <c r="C2506" s="11" t="s">
        <v>1849</v>
      </c>
      <c r="D2506" s="6" t="s">
        <v>1850</v>
      </c>
      <c r="E2506" s="12" t="s">
        <v>5888</v>
      </c>
      <c r="F2506" s="12" t="s">
        <v>6298</v>
      </c>
      <c r="G2506" s="12" t="s">
        <v>6331</v>
      </c>
      <c r="H2506" s="12" t="s">
        <v>6332</v>
      </c>
      <c r="I2506" s="12" t="s">
        <v>6333</v>
      </c>
      <c r="J2506" s="11" t="s">
        <v>2246</v>
      </c>
      <c r="K2506" s="11" t="s">
        <v>2247</v>
      </c>
      <c r="L2506" s="11" t="s">
        <v>5893</v>
      </c>
      <c r="M2506" s="11" t="s">
        <v>6334</v>
      </c>
      <c r="N2506" s="12"/>
      <c r="O2506" s="11" t="s">
        <v>2334</v>
      </c>
      <c r="P2506" s="56" t="s">
        <v>6335</v>
      </c>
    </row>
    <row r="2507" spans="1:16" ht="15.75" customHeight="1" x14ac:dyDescent="0.2">
      <c r="A2507" s="48">
        <v>7224</v>
      </c>
      <c r="B2507" s="11" t="s">
        <v>1857</v>
      </c>
      <c r="C2507" s="11" t="s">
        <v>1849</v>
      </c>
      <c r="D2507" s="6" t="s">
        <v>1850</v>
      </c>
      <c r="E2507" s="12" t="s">
        <v>5888</v>
      </c>
      <c r="F2507" s="12" t="s">
        <v>6298</v>
      </c>
      <c r="G2507" s="12" t="s">
        <v>6327</v>
      </c>
      <c r="H2507" s="12" t="s">
        <v>6336</v>
      </c>
      <c r="I2507" s="12" t="s">
        <v>6337</v>
      </c>
      <c r="J2507" s="11" t="s">
        <v>2246</v>
      </c>
      <c r="K2507" s="11" t="s">
        <v>2247</v>
      </c>
      <c r="L2507" s="11" t="s">
        <v>5893</v>
      </c>
      <c r="M2507" s="11" t="s">
        <v>6338</v>
      </c>
      <c r="N2507" s="12"/>
      <c r="O2507" s="11" t="s">
        <v>1858</v>
      </c>
      <c r="P2507" s="56"/>
    </row>
    <row r="2508" spans="1:16" ht="15.75" customHeight="1" x14ac:dyDescent="0.2">
      <c r="A2508" s="48">
        <v>5328</v>
      </c>
      <c r="B2508" s="11" t="s">
        <v>1857</v>
      </c>
      <c r="C2508" s="11" t="s">
        <v>1849</v>
      </c>
      <c r="D2508" s="6" t="s">
        <v>1850</v>
      </c>
      <c r="E2508" s="12" t="s">
        <v>5888</v>
      </c>
      <c r="F2508" s="12" t="s">
        <v>6298</v>
      </c>
      <c r="G2508" s="12" t="s">
        <v>6331</v>
      </c>
      <c r="H2508" s="12" t="s">
        <v>6332</v>
      </c>
      <c r="I2508" s="12" t="s">
        <v>6339</v>
      </c>
      <c r="J2508" s="11" t="s">
        <v>2246</v>
      </c>
      <c r="K2508" s="11" t="s">
        <v>2247</v>
      </c>
      <c r="L2508" s="11" t="s">
        <v>5893</v>
      </c>
      <c r="M2508" s="11" t="s">
        <v>6340</v>
      </c>
      <c r="N2508" s="12"/>
      <c r="O2508" s="11" t="s">
        <v>2334</v>
      </c>
      <c r="P2508" s="56" t="s">
        <v>2323</v>
      </c>
    </row>
    <row r="2509" spans="1:16" ht="15.75" customHeight="1" x14ac:dyDescent="0.2">
      <c r="A2509" s="48">
        <v>149</v>
      </c>
      <c r="B2509" s="11" t="s">
        <v>1857</v>
      </c>
      <c r="C2509" s="11" t="s">
        <v>1849</v>
      </c>
      <c r="D2509" s="6" t="s">
        <v>1850</v>
      </c>
      <c r="E2509" s="12" t="s">
        <v>5888</v>
      </c>
      <c r="F2509" s="12" t="s">
        <v>6298</v>
      </c>
      <c r="G2509" s="12" t="s">
        <v>6331</v>
      </c>
      <c r="H2509" s="12" t="s">
        <v>6331</v>
      </c>
      <c r="I2509" s="12" t="s">
        <v>6341</v>
      </c>
      <c r="J2509" s="11" t="s">
        <v>2246</v>
      </c>
      <c r="K2509" s="11" t="s">
        <v>2247</v>
      </c>
      <c r="L2509" s="11" t="s">
        <v>5893</v>
      </c>
      <c r="M2509" s="11" t="s">
        <v>6342</v>
      </c>
      <c r="N2509" s="12" t="s">
        <v>6343</v>
      </c>
      <c r="O2509" s="11" t="s">
        <v>1867</v>
      </c>
      <c r="P2509" s="56" t="s">
        <v>1865</v>
      </c>
    </row>
    <row r="2510" spans="1:16" ht="15.75" customHeight="1" x14ac:dyDescent="0.2">
      <c r="A2510" s="48">
        <v>505</v>
      </c>
      <c r="B2510" s="11" t="s">
        <v>1857</v>
      </c>
      <c r="C2510" s="11" t="s">
        <v>1849</v>
      </c>
      <c r="D2510" s="6" t="s">
        <v>1850</v>
      </c>
      <c r="E2510" s="12" t="s">
        <v>5888</v>
      </c>
      <c r="F2510" s="12" t="s">
        <v>6298</v>
      </c>
      <c r="G2510" s="12" t="s">
        <v>6302</v>
      </c>
      <c r="H2510" s="12" t="s">
        <v>6344</v>
      </c>
      <c r="I2510" s="12" t="s">
        <v>6345</v>
      </c>
      <c r="J2510" s="11" t="s">
        <v>2246</v>
      </c>
      <c r="K2510" s="11" t="s">
        <v>2247</v>
      </c>
      <c r="L2510" s="11" t="s">
        <v>5893</v>
      </c>
      <c r="M2510" s="11" t="s">
        <v>6346</v>
      </c>
      <c r="N2510" s="12" t="s">
        <v>2281</v>
      </c>
      <c r="O2510" s="11" t="s">
        <v>1860</v>
      </c>
      <c r="P2510" s="56"/>
    </row>
    <row r="2511" spans="1:16" ht="15.75" customHeight="1" x14ac:dyDescent="0.2">
      <c r="A2511" s="48">
        <v>397</v>
      </c>
      <c r="B2511" s="11" t="s">
        <v>1857</v>
      </c>
      <c r="C2511" s="11" t="s">
        <v>1849</v>
      </c>
      <c r="D2511" s="6" t="s">
        <v>1850</v>
      </c>
      <c r="E2511" s="12" t="s">
        <v>5888</v>
      </c>
      <c r="F2511" s="12" t="s">
        <v>6298</v>
      </c>
      <c r="G2511" s="12" t="s">
        <v>6302</v>
      </c>
      <c r="H2511" s="12" t="s">
        <v>6313</v>
      </c>
      <c r="I2511" s="12" t="s">
        <v>6347</v>
      </c>
      <c r="J2511" s="11" t="s">
        <v>2246</v>
      </c>
      <c r="K2511" s="11" t="s">
        <v>2247</v>
      </c>
      <c r="L2511" s="11" t="s">
        <v>5893</v>
      </c>
      <c r="M2511" s="11" t="s">
        <v>1861</v>
      </c>
      <c r="N2511" s="12" t="s">
        <v>6348</v>
      </c>
      <c r="O2511" s="11" t="s">
        <v>1867</v>
      </c>
      <c r="P2511" s="56" t="s">
        <v>1865</v>
      </c>
    </row>
    <row r="2512" spans="1:16" ht="15.75" customHeight="1" x14ac:dyDescent="0.2">
      <c r="A2512" s="48">
        <v>167</v>
      </c>
      <c r="B2512" s="11" t="s">
        <v>1857</v>
      </c>
      <c r="C2512" s="11" t="s">
        <v>1849</v>
      </c>
      <c r="D2512" s="6" t="s">
        <v>1850</v>
      </c>
      <c r="E2512" s="12" t="s">
        <v>5888</v>
      </c>
      <c r="F2512" s="12" t="s">
        <v>6298</v>
      </c>
      <c r="G2512" s="12" t="s">
        <v>6327</v>
      </c>
      <c r="H2512" s="12" t="s">
        <v>6349</v>
      </c>
      <c r="I2512" s="12" t="s">
        <v>6350</v>
      </c>
      <c r="J2512" s="11" t="s">
        <v>2246</v>
      </c>
      <c r="K2512" s="11" t="s">
        <v>2247</v>
      </c>
      <c r="L2512" s="11" t="s">
        <v>5893</v>
      </c>
      <c r="M2512" s="11" t="s">
        <v>6222</v>
      </c>
      <c r="N2512" s="12" t="s">
        <v>6351</v>
      </c>
      <c r="O2512" s="11" t="s">
        <v>1867</v>
      </c>
      <c r="P2512" s="56" t="s">
        <v>1865</v>
      </c>
    </row>
    <row r="2513" spans="1:16" ht="15.75" customHeight="1" x14ac:dyDescent="0.2">
      <c r="A2513" s="48">
        <v>529</v>
      </c>
      <c r="B2513" s="11" t="s">
        <v>1857</v>
      </c>
      <c r="C2513" s="11" t="s">
        <v>1849</v>
      </c>
      <c r="D2513" s="6" t="s">
        <v>1850</v>
      </c>
      <c r="E2513" s="12" t="s">
        <v>5888</v>
      </c>
      <c r="F2513" s="12" t="s">
        <v>6298</v>
      </c>
      <c r="G2513" s="12" t="s">
        <v>6299</v>
      </c>
      <c r="H2513" s="12" t="s">
        <v>6319</v>
      </c>
      <c r="I2513" s="12" t="s">
        <v>6352</v>
      </c>
      <c r="J2513" s="11" t="s">
        <v>2246</v>
      </c>
      <c r="K2513" s="11" t="s">
        <v>2247</v>
      </c>
      <c r="L2513" s="11" t="s">
        <v>5893</v>
      </c>
      <c r="M2513" s="11" t="s">
        <v>1854</v>
      </c>
      <c r="N2513" s="12"/>
      <c r="O2513" s="11" t="s">
        <v>1858</v>
      </c>
      <c r="P2513" s="56"/>
    </row>
    <row r="2514" spans="1:16" ht="15.75" customHeight="1" x14ac:dyDescent="0.2">
      <c r="A2514" s="48">
        <v>157</v>
      </c>
      <c r="B2514" s="11" t="s">
        <v>1857</v>
      </c>
      <c r="C2514" s="11" t="s">
        <v>1849</v>
      </c>
      <c r="D2514" s="6" t="s">
        <v>1850</v>
      </c>
      <c r="E2514" s="12" t="s">
        <v>5888</v>
      </c>
      <c r="F2514" s="12" t="s">
        <v>6298</v>
      </c>
      <c r="G2514" s="12" t="s">
        <v>6327</v>
      </c>
      <c r="H2514" s="12" t="s">
        <v>6349</v>
      </c>
      <c r="I2514" s="12" t="s">
        <v>6353</v>
      </c>
      <c r="J2514" s="11" t="s">
        <v>2246</v>
      </c>
      <c r="K2514" s="11" t="s">
        <v>2247</v>
      </c>
      <c r="L2514" s="11" t="s">
        <v>5893</v>
      </c>
      <c r="M2514" s="11" t="s">
        <v>6354</v>
      </c>
      <c r="N2514" s="12"/>
      <c r="O2514" s="11" t="s">
        <v>1859</v>
      </c>
      <c r="P2514" s="56"/>
    </row>
    <row r="2515" spans="1:16" ht="15.75" customHeight="1" x14ac:dyDescent="0.2">
      <c r="A2515" s="48">
        <v>4929</v>
      </c>
      <c r="B2515" s="11" t="s">
        <v>1857</v>
      </c>
      <c r="C2515" s="11" t="s">
        <v>1849</v>
      </c>
      <c r="D2515" s="6" t="s">
        <v>1850</v>
      </c>
      <c r="E2515" s="12" t="s">
        <v>5888</v>
      </c>
      <c r="F2515" s="12" t="s">
        <v>6298</v>
      </c>
      <c r="G2515" s="12" t="s">
        <v>6327</v>
      </c>
      <c r="H2515" s="12" t="s">
        <v>6349</v>
      </c>
      <c r="I2515" s="12" t="s">
        <v>6355</v>
      </c>
      <c r="J2515" s="11" t="s">
        <v>2246</v>
      </c>
      <c r="K2515" s="11" t="s">
        <v>2247</v>
      </c>
      <c r="L2515" s="11" t="s">
        <v>5893</v>
      </c>
      <c r="M2515" s="11" t="s">
        <v>6354</v>
      </c>
      <c r="N2515" s="12"/>
      <c r="O2515" s="11" t="s">
        <v>1859</v>
      </c>
      <c r="P2515" s="56"/>
    </row>
    <row r="2516" spans="1:16" ht="15.75" customHeight="1" x14ac:dyDescent="0.2">
      <c r="A2516" s="48">
        <v>436</v>
      </c>
      <c r="B2516" s="11" t="s">
        <v>1857</v>
      </c>
      <c r="C2516" s="11" t="s">
        <v>1849</v>
      </c>
      <c r="D2516" s="6" t="s">
        <v>1850</v>
      </c>
      <c r="E2516" s="12" t="s">
        <v>5888</v>
      </c>
      <c r="F2516" s="12" t="s">
        <v>6298</v>
      </c>
      <c r="G2516" s="12" t="s">
        <v>6299</v>
      </c>
      <c r="H2516" s="12" t="s">
        <v>6310</v>
      </c>
      <c r="I2516" s="12" t="s">
        <v>6356</v>
      </c>
      <c r="J2516" s="11" t="s">
        <v>2246</v>
      </c>
      <c r="K2516" s="11" t="s">
        <v>2247</v>
      </c>
      <c r="L2516" s="11" t="s">
        <v>5893</v>
      </c>
      <c r="M2516" s="11" t="s">
        <v>6039</v>
      </c>
      <c r="N2516" s="12" t="s">
        <v>6357</v>
      </c>
      <c r="O2516" s="11" t="s">
        <v>1867</v>
      </c>
      <c r="P2516" s="56" t="s">
        <v>1865</v>
      </c>
    </row>
    <row r="2517" spans="1:16" ht="15.75" customHeight="1" x14ac:dyDescent="0.2">
      <c r="A2517" s="48">
        <v>488</v>
      </c>
      <c r="B2517" s="11" t="s">
        <v>1857</v>
      </c>
      <c r="C2517" s="11" t="s">
        <v>1849</v>
      </c>
      <c r="D2517" s="6" t="s">
        <v>1850</v>
      </c>
      <c r="E2517" s="12" t="s">
        <v>5888</v>
      </c>
      <c r="F2517" s="12" t="s">
        <v>6298</v>
      </c>
      <c r="G2517" s="12" t="s">
        <v>6299</v>
      </c>
      <c r="H2517" s="12" t="s">
        <v>6319</v>
      </c>
      <c r="I2517" s="12" t="s">
        <v>6358</v>
      </c>
      <c r="J2517" s="11" t="s">
        <v>2246</v>
      </c>
      <c r="K2517" s="11" t="s">
        <v>2247</v>
      </c>
      <c r="L2517" s="11" t="s">
        <v>5893</v>
      </c>
      <c r="M2517" s="11" t="s">
        <v>1854</v>
      </c>
      <c r="N2517" s="12"/>
      <c r="O2517" s="11" t="s">
        <v>1858</v>
      </c>
      <c r="P2517" s="56"/>
    </row>
    <row r="2518" spans="1:16" ht="15.75" customHeight="1" x14ac:dyDescent="0.2">
      <c r="A2518" s="48">
        <v>518</v>
      </c>
      <c r="B2518" s="11" t="s">
        <v>1857</v>
      </c>
      <c r="C2518" s="11" t="s">
        <v>1849</v>
      </c>
      <c r="D2518" s="6" t="s">
        <v>1850</v>
      </c>
      <c r="E2518" s="12" t="s">
        <v>5888</v>
      </c>
      <c r="F2518" s="12" t="s">
        <v>6298</v>
      </c>
      <c r="G2518" s="12" t="s">
        <v>6302</v>
      </c>
      <c r="H2518" s="12" t="s">
        <v>6303</v>
      </c>
      <c r="I2518" s="12" t="s">
        <v>6359</v>
      </c>
      <c r="J2518" s="11" t="s">
        <v>2246</v>
      </c>
      <c r="K2518" s="11" t="s">
        <v>2247</v>
      </c>
      <c r="L2518" s="11" t="s">
        <v>5893</v>
      </c>
      <c r="M2518" s="11" t="s">
        <v>1854</v>
      </c>
      <c r="N2518" s="12"/>
      <c r="O2518" s="11" t="s">
        <v>1858</v>
      </c>
      <c r="P2518" s="56"/>
    </row>
    <row r="2519" spans="1:16" ht="15.75" customHeight="1" x14ac:dyDescent="0.2">
      <c r="A2519" s="48">
        <v>400</v>
      </c>
      <c r="B2519" s="11" t="s">
        <v>1857</v>
      </c>
      <c r="C2519" s="11" t="s">
        <v>1849</v>
      </c>
      <c r="D2519" s="6" t="s">
        <v>1850</v>
      </c>
      <c r="E2519" s="12" t="s">
        <v>5888</v>
      </c>
      <c r="F2519" s="12" t="s">
        <v>6298</v>
      </c>
      <c r="G2519" s="12" t="s">
        <v>6299</v>
      </c>
      <c r="H2519" s="12" t="s">
        <v>6299</v>
      </c>
      <c r="I2519" s="12" t="s">
        <v>6360</v>
      </c>
      <c r="J2519" s="11" t="s">
        <v>2246</v>
      </c>
      <c r="K2519" s="11" t="s">
        <v>2247</v>
      </c>
      <c r="L2519" s="11" t="s">
        <v>5893</v>
      </c>
      <c r="M2519" s="11" t="s">
        <v>6361</v>
      </c>
      <c r="N2519" s="12" t="s">
        <v>6362</v>
      </c>
      <c r="O2519" s="11" t="s">
        <v>1867</v>
      </c>
      <c r="P2519" s="56" t="s">
        <v>1865</v>
      </c>
    </row>
    <row r="2520" spans="1:16" ht="15.75" customHeight="1" x14ac:dyDescent="0.2">
      <c r="A2520" s="48">
        <v>507</v>
      </c>
      <c r="B2520" s="11" t="s">
        <v>1857</v>
      </c>
      <c r="C2520" s="11" t="s">
        <v>1849</v>
      </c>
      <c r="D2520" s="6" t="s">
        <v>1850</v>
      </c>
      <c r="E2520" s="12" t="s">
        <v>5888</v>
      </c>
      <c r="F2520" s="12" t="s">
        <v>6298</v>
      </c>
      <c r="G2520" s="12" t="s">
        <v>6302</v>
      </c>
      <c r="H2520" s="12" t="s">
        <v>6303</v>
      </c>
      <c r="I2520" s="12" t="s">
        <v>6363</v>
      </c>
      <c r="J2520" s="11" t="s">
        <v>2246</v>
      </c>
      <c r="K2520" s="11" t="s">
        <v>2247</v>
      </c>
      <c r="L2520" s="11" t="s">
        <v>5893</v>
      </c>
      <c r="M2520" s="11" t="s">
        <v>1854</v>
      </c>
      <c r="N2520" s="12"/>
      <c r="O2520" s="11" t="s">
        <v>1860</v>
      </c>
      <c r="P2520" s="56"/>
    </row>
    <row r="2521" spans="1:16" ht="15.75" customHeight="1" x14ac:dyDescent="0.2">
      <c r="A2521" s="48">
        <v>422</v>
      </c>
      <c r="B2521" s="11" t="s">
        <v>1857</v>
      </c>
      <c r="C2521" s="11" t="s">
        <v>1849</v>
      </c>
      <c r="D2521" s="6" t="s">
        <v>1850</v>
      </c>
      <c r="E2521" s="12" t="s">
        <v>5888</v>
      </c>
      <c r="F2521" s="12" t="s">
        <v>6298</v>
      </c>
      <c r="G2521" s="12" t="s">
        <v>6302</v>
      </c>
      <c r="H2521" s="12" t="s">
        <v>6313</v>
      </c>
      <c r="I2521" s="12" t="s">
        <v>6364</v>
      </c>
      <c r="J2521" s="11" t="s">
        <v>2246</v>
      </c>
      <c r="K2521" s="11" t="s">
        <v>2247</v>
      </c>
      <c r="L2521" s="11" t="s">
        <v>5893</v>
      </c>
      <c r="M2521" s="11" t="s">
        <v>1854</v>
      </c>
      <c r="N2521" s="12"/>
      <c r="O2521" s="11" t="s">
        <v>1858</v>
      </c>
      <c r="P2521" s="56"/>
    </row>
    <row r="2522" spans="1:16" ht="15.75" customHeight="1" x14ac:dyDescent="0.2">
      <c r="A2522" s="48">
        <v>183</v>
      </c>
      <c r="B2522" s="11" t="s">
        <v>1857</v>
      </c>
      <c r="C2522" s="11" t="s">
        <v>1849</v>
      </c>
      <c r="D2522" s="6" t="s">
        <v>1850</v>
      </c>
      <c r="E2522" s="12" t="s">
        <v>5888</v>
      </c>
      <c r="F2522" s="12" t="s">
        <v>6298</v>
      </c>
      <c r="G2522" s="12" t="s">
        <v>6331</v>
      </c>
      <c r="H2522" s="12" t="s">
        <v>6365</v>
      </c>
      <c r="I2522" s="12" t="s">
        <v>6366</v>
      </c>
      <c r="J2522" s="11" t="s">
        <v>2246</v>
      </c>
      <c r="K2522" s="11" t="s">
        <v>2247</v>
      </c>
      <c r="L2522" s="11" t="s">
        <v>5893</v>
      </c>
      <c r="M2522" s="11" t="s">
        <v>6367</v>
      </c>
      <c r="N2522" s="12" t="s">
        <v>6368</v>
      </c>
      <c r="O2522" s="11" t="s">
        <v>1867</v>
      </c>
      <c r="P2522" s="56" t="s">
        <v>1865</v>
      </c>
    </row>
    <row r="2523" spans="1:16" ht="15.75" customHeight="1" x14ac:dyDescent="0.2">
      <c r="A2523" s="48">
        <v>185</v>
      </c>
      <c r="B2523" s="11" t="s">
        <v>1857</v>
      </c>
      <c r="C2523" s="11" t="s">
        <v>1849</v>
      </c>
      <c r="D2523" s="6" t="s">
        <v>1850</v>
      </c>
      <c r="E2523" s="12" t="s">
        <v>5888</v>
      </c>
      <c r="F2523" s="12" t="s">
        <v>6298</v>
      </c>
      <c r="G2523" s="12" t="s">
        <v>6331</v>
      </c>
      <c r="H2523" s="12" t="s">
        <v>6369</v>
      </c>
      <c r="I2523" s="12" t="s">
        <v>6370</v>
      </c>
      <c r="J2523" s="11" t="s">
        <v>2246</v>
      </c>
      <c r="K2523" s="11" t="s">
        <v>2247</v>
      </c>
      <c r="L2523" s="11" t="s">
        <v>5893</v>
      </c>
      <c r="M2523" s="11" t="s">
        <v>6039</v>
      </c>
      <c r="N2523" s="12"/>
      <c r="O2523" s="11" t="s">
        <v>1867</v>
      </c>
      <c r="P2523" s="56" t="s">
        <v>1865</v>
      </c>
    </row>
    <row r="2524" spans="1:16" ht="15.75" customHeight="1" x14ac:dyDescent="0.2">
      <c r="A2524" s="48">
        <v>446</v>
      </c>
      <c r="B2524" s="11" t="s">
        <v>1857</v>
      </c>
      <c r="C2524" s="11" t="s">
        <v>1849</v>
      </c>
      <c r="D2524" s="6" t="s">
        <v>1850</v>
      </c>
      <c r="E2524" s="12" t="s">
        <v>5888</v>
      </c>
      <c r="F2524" s="12" t="s">
        <v>6298</v>
      </c>
      <c r="G2524" s="12" t="s">
        <v>6299</v>
      </c>
      <c r="H2524" s="12" t="s">
        <v>6307</v>
      </c>
      <c r="I2524" s="12" t="s">
        <v>6371</v>
      </c>
      <c r="J2524" s="11" t="s">
        <v>2246</v>
      </c>
      <c r="K2524" s="11" t="s">
        <v>2247</v>
      </c>
      <c r="L2524" s="11" t="s">
        <v>5893</v>
      </c>
      <c r="M2524" s="11" t="s">
        <v>6372</v>
      </c>
      <c r="N2524" s="12" t="s">
        <v>6373</v>
      </c>
      <c r="O2524" s="11" t="s">
        <v>1867</v>
      </c>
      <c r="P2524" s="56" t="s">
        <v>1865</v>
      </c>
    </row>
    <row r="2525" spans="1:16" ht="15.75" customHeight="1" x14ac:dyDescent="0.2">
      <c r="A2525" s="48">
        <v>489</v>
      </c>
      <c r="B2525" s="11" t="s">
        <v>1857</v>
      </c>
      <c r="C2525" s="11" t="s">
        <v>1849</v>
      </c>
      <c r="D2525" s="6" t="s">
        <v>1850</v>
      </c>
      <c r="E2525" s="12" t="s">
        <v>5888</v>
      </c>
      <c r="F2525" s="12" t="s">
        <v>6298</v>
      </c>
      <c r="G2525" s="12" t="s">
        <v>6302</v>
      </c>
      <c r="H2525" s="12" t="s">
        <v>6303</v>
      </c>
      <c r="I2525" s="12" t="s">
        <v>6374</v>
      </c>
      <c r="J2525" s="11" t="s">
        <v>2246</v>
      </c>
      <c r="K2525" s="11" t="s">
        <v>2247</v>
      </c>
      <c r="L2525" s="11" t="s">
        <v>5893</v>
      </c>
      <c r="M2525" s="11" t="s">
        <v>1854</v>
      </c>
      <c r="N2525" s="12"/>
      <c r="O2525" s="11" t="s">
        <v>1858</v>
      </c>
      <c r="P2525" s="56"/>
    </row>
    <row r="2526" spans="1:16" ht="15.75" customHeight="1" x14ac:dyDescent="0.2">
      <c r="A2526" s="48">
        <v>508</v>
      </c>
      <c r="B2526" s="11" t="s">
        <v>1857</v>
      </c>
      <c r="C2526" s="11" t="s">
        <v>1849</v>
      </c>
      <c r="D2526" s="6" t="s">
        <v>1850</v>
      </c>
      <c r="E2526" s="12" t="s">
        <v>5888</v>
      </c>
      <c r="F2526" s="12" t="s">
        <v>6298</v>
      </c>
      <c r="G2526" s="12" t="s">
        <v>6302</v>
      </c>
      <c r="H2526" s="12" t="s">
        <v>6303</v>
      </c>
      <c r="I2526" s="12" t="s">
        <v>6375</v>
      </c>
      <c r="J2526" s="11" t="s">
        <v>2246</v>
      </c>
      <c r="K2526" s="11" t="s">
        <v>2247</v>
      </c>
      <c r="L2526" s="11" t="s">
        <v>5893</v>
      </c>
      <c r="M2526" s="11" t="s">
        <v>6376</v>
      </c>
      <c r="N2526" s="12" t="s">
        <v>6377</v>
      </c>
      <c r="O2526" s="11" t="s">
        <v>1860</v>
      </c>
      <c r="P2526" s="56"/>
    </row>
    <row r="2527" spans="1:16" ht="15.75" customHeight="1" x14ac:dyDescent="0.2">
      <c r="A2527" s="48">
        <v>502</v>
      </c>
      <c r="B2527" s="11" t="s">
        <v>1857</v>
      </c>
      <c r="C2527" s="11" t="s">
        <v>1849</v>
      </c>
      <c r="D2527" s="6" t="s">
        <v>1850</v>
      </c>
      <c r="E2527" s="12" t="s">
        <v>5888</v>
      </c>
      <c r="F2527" s="12" t="s">
        <v>6298</v>
      </c>
      <c r="G2527" s="12" t="s">
        <v>6302</v>
      </c>
      <c r="H2527" s="12" t="s">
        <v>6313</v>
      </c>
      <c r="I2527" s="12" t="s">
        <v>3309</v>
      </c>
      <c r="J2527" s="11" t="s">
        <v>2246</v>
      </c>
      <c r="K2527" s="11" t="s">
        <v>2247</v>
      </c>
      <c r="L2527" s="11" t="s">
        <v>5893</v>
      </c>
      <c r="M2527" s="11" t="s">
        <v>1854</v>
      </c>
      <c r="N2527" s="12"/>
      <c r="O2527" s="11" t="s">
        <v>1858</v>
      </c>
      <c r="P2527" s="56"/>
    </row>
    <row r="2528" spans="1:16" ht="15.75" customHeight="1" x14ac:dyDescent="0.2">
      <c r="A2528" s="48">
        <v>162</v>
      </c>
      <c r="B2528" s="11" t="s">
        <v>1857</v>
      </c>
      <c r="C2528" s="11" t="s">
        <v>1849</v>
      </c>
      <c r="D2528" s="6" t="s">
        <v>1850</v>
      </c>
      <c r="E2528" s="12" t="s">
        <v>5888</v>
      </c>
      <c r="F2528" s="12" t="s">
        <v>6298</v>
      </c>
      <c r="G2528" s="12" t="s">
        <v>6327</v>
      </c>
      <c r="H2528" s="12" t="s">
        <v>6336</v>
      </c>
      <c r="I2528" s="12" t="s">
        <v>6378</v>
      </c>
      <c r="J2528" s="11" t="s">
        <v>2246</v>
      </c>
      <c r="K2528" s="11" t="s">
        <v>2247</v>
      </c>
      <c r="L2528" s="11" t="s">
        <v>5893</v>
      </c>
      <c r="M2528" s="11" t="s">
        <v>1854</v>
      </c>
      <c r="N2528" s="12"/>
      <c r="O2528" s="11" t="s">
        <v>1859</v>
      </c>
      <c r="P2528" s="56"/>
    </row>
    <row r="2529" spans="1:16" ht="15.75" customHeight="1" x14ac:dyDescent="0.2">
      <c r="A2529" s="48">
        <v>519</v>
      </c>
      <c r="B2529" s="11" t="s">
        <v>1857</v>
      </c>
      <c r="C2529" s="11" t="s">
        <v>1849</v>
      </c>
      <c r="D2529" s="6" t="s">
        <v>1850</v>
      </c>
      <c r="E2529" s="12" t="s">
        <v>5888</v>
      </c>
      <c r="F2529" s="12" t="s">
        <v>6298</v>
      </c>
      <c r="G2529" s="12" t="s">
        <v>6327</v>
      </c>
      <c r="H2529" s="12" t="s">
        <v>6379</v>
      </c>
      <c r="I2529" s="12" t="s">
        <v>6380</v>
      </c>
      <c r="J2529" s="11" t="s">
        <v>2246</v>
      </c>
      <c r="K2529" s="11" t="s">
        <v>2247</v>
      </c>
      <c r="L2529" s="11" t="s">
        <v>5893</v>
      </c>
      <c r="M2529" s="11" t="s">
        <v>1854</v>
      </c>
      <c r="N2529" s="12"/>
      <c r="O2529" s="11" t="s">
        <v>1858</v>
      </c>
      <c r="P2529" s="56"/>
    </row>
    <row r="2530" spans="1:16" ht="15.75" customHeight="1" x14ac:dyDescent="0.2">
      <c r="A2530" s="48">
        <v>196</v>
      </c>
      <c r="B2530" s="11" t="s">
        <v>1857</v>
      </c>
      <c r="C2530" s="11" t="s">
        <v>1849</v>
      </c>
      <c r="D2530" s="6" t="s">
        <v>1850</v>
      </c>
      <c r="E2530" s="12" t="s">
        <v>5888</v>
      </c>
      <c r="F2530" s="12" t="s">
        <v>6298</v>
      </c>
      <c r="G2530" s="12" t="s">
        <v>6331</v>
      </c>
      <c r="H2530" s="12" t="s">
        <v>6365</v>
      </c>
      <c r="I2530" s="12" t="s">
        <v>6381</v>
      </c>
      <c r="J2530" s="11" t="s">
        <v>2246</v>
      </c>
      <c r="K2530" s="11" t="s">
        <v>2247</v>
      </c>
      <c r="L2530" s="11" t="s">
        <v>5893</v>
      </c>
      <c r="M2530" s="11" t="s">
        <v>1854</v>
      </c>
      <c r="N2530" s="12"/>
      <c r="O2530" s="11" t="s">
        <v>1858</v>
      </c>
      <c r="P2530" s="56"/>
    </row>
    <row r="2531" spans="1:16" ht="15.75" customHeight="1" x14ac:dyDescent="0.2">
      <c r="A2531" s="48">
        <v>535</v>
      </c>
      <c r="B2531" s="11" t="s">
        <v>1857</v>
      </c>
      <c r="C2531" s="11" t="s">
        <v>1849</v>
      </c>
      <c r="D2531" s="6" t="s">
        <v>1850</v>
      </c>
      <c r="E2531" s="12" t="s">
        <v>5888</v>
      </c>
      <c r="F2531" s="12" t="s">
        <v>6298</v>
      </c>
      <c r="G2531" s="12" t="s">
        <v>6327</v>
      </c>
      <c r="H2531" s="12" t="s">
        <v>6328</v>
      </c>
      <c r="I2531" s="12" t="s">
        <v>6382</v>
      </c>
      <c r="J2531" s="11" t="s">
        <v>2246</v>
      </c>
      <c r="K2531" s="11" t="s">
        <v>2247</v>
      </c>
      <c r="L2531" s="11" t="s">
        <v>5893</v>
      </c>
      <c r="M2531" s="11" t="s">
        <v>1854</v>
      </c>
      <c r="N2531" s="12"/>
      <c r="O2531" s="11" t="s">
        <v>1859</v>
      </c>
      <c r="P2531" s="56"/>
    </row>
    <row r="2532" spans="1:16" ht="15.75" customHeight="1" x14ac:dyDescent="0.2">
      <c r="A2532" s="48">
        <v>202</v>
      </c>
      <c r="B2532" s="11" t="s">
        <v>1857</v>
      </c>
      <c r="C2532" s="11" t="s">
        <v>1849</v>
      </c>
      <c r="D2532" s="6" t="s">
        <v>1850</v>
      </c>
      <c r="E2532" s="12" t="s">
        <v>5888</v>
      </c>
      <c r="F2532" s="12" t="s">
        <v>6298</v>
      </c>
      <c r="G2532" s="12" t="s">
        <v>6331</v>
      </c>
      <c r="H2532" s="12" t="s">
        <v>6369</v>
      </c>
      <c r="I2532" s="12" t="s">
        <v>6383</v>
      </c>
      <c r="J2532" s="11" t="s">
        <v>2246</v>
      </c>
      <c r="K2532" s="11" t="s">
        <v>2247</v>
      </c>
      <c r="L2532" s="11" t="s">
        <v>5893</v>
      </c>
      <c r="M2532" s="11" t="s">
        <v>6384</v>
      </c>
      <c r="N2532" s="12" t="s">
        <v>6385</v>
      </c>
      <c r="O2532" s="11" t="s">
        <v>1867</v>
      </c>
      <c r="P2532" s="56"/>
    </row>
    <row r="2533" spans="1:16" ht="15.75" customHeight="1" x14ac:dyDescent="0.2">
      <c r="A2533" s="48">
        <v>203</v>
      </c>
      <c r="B2533" s="11" t="s">
        <v>1857</v>
      </c>
      <c r="C2533" s="11" t="s">
        <v>1849</v>
      </c>
      <c r="D2533" s="6" t="s">
        <v>1850</v>
      </c>
      <c r="E2533" s="12" t="s">
        <v>5888</v>
      </c>
      <c r="F2533" s="12" t="s">
        <v>6298</v>
      </c>
      <c r="G2533" s="12" t="s">
        <v>6331</v>
      </c>
      <c r="H2533" s="12" t="s">
        <v>6369</v>
      </c>
      <c r="I2533" s="12" t="s">
        <v>6386</v>
      </c>
      <c r="J2533" s="11" t="s">
        <v>2246</v>
      </c>
      <c r="K2533" s="11" t="s">
        <v>2247</v>
      </c>
      <c r="L2533" s="11" t="s">
        <v>5893</v>
      </c>
      <c r="M2533" s="11" t="s">
        <v>1854</v>
      </c>
      <c r="N2533" s="12"/>
      <c r="O2533" s="11" t="s">
        <v>1860</v>
      </c>
      <c r="P2533" s="56"/>
    </row>
    <row r="2534" spans="1:16" ht="15.75" customHeight="1" x14ac:dyDescent="0.2">
      <c r="A2534" s="48">
        <v>200</v>
      </c>
      <c r="B2534" s="11" t="s">
        <v>1857</v>
      </c>
      <c r="C2534" s="11" t="s">
        <v>1849</v>
      </c>
      <c r="D2534" s="6" t="s">
        <v>1850</v>
      </c>
      <c r="E2534" s="12" t="s">
        <v>5888</v>
      </c>
      <c r="F2534" s="12" t="s">
        <v>6298</v>
      </c>
      <c r="G2534" s="12" t="s">
        <v>6331</v>
      </c>
      <c r="H2534" s="12" t="s">
        <v>3661</v>
      </c>
      <c r="I2534" s="12" t="s">
        <v>6387</v>
      </c>
      <c r="J2534" s="11" t="s">
        <v>2246</v>
      </c>
      <c r="K2534" s="11" t="s">
        <v>2247</v>
      </c>
      <c r="L2534" s="11" t="s">
        <v>5893</v>
      </c>
      <c r="M2534" s="11" t="s">
        <v>2425</v>
      </c>
      <c r="N2534" s="12"/>
      <c r="O2534" s="11" t="s">
        <v>1860</v>
      </c>
      <c r="P2534" s="56"/>
    </row>
    <row r="2535" spans="1:16" ht="15.75" customHeight="1" x14ac:dyDescent="0.2">
      <c r="A2535" s="48">
        <v>466</v>
      </c>
      <c r="B2535" s="11" t="s">
        <v>1857</v>
      </c>
      <c r="C2535" s="11" t="s">
        <v>1849</v>
      </c>
      <c r="D2535" s="6" t="s">
        <v>1850</v>
      </c>
      <c r="E2535" s="12" t="s">
        <v>5888</v>
      </c>
      <c r="F2535" s="12" t="s">
        <v>6298</v>
      </c>
      <c r="G2535" s="12" t="s">
        <v>6302</v>
      </c>
      <c r="H2535" s="12" t="s">
        <v>6321</v>
      </c>
      <c r="I2535" s="12" t="s">
        <v>5253</v>
      </c>
      <c r="J2535" s="11" t="s">
        <v>2246</v>
      </c>
      <c r="K2535" s="11" t="s">
        <v>2247</v>
      </c>
      <c r="L2535" s="11" t="s">
        <v>5893</v>
      </c>
      <c r="M2535" s="11" t="s">
        <v>6388</v>
      </c>
      <c r="N2535" s="12" t="s">
        <v>6389</v>
      </c>
      <c r="O2535" s="11" t="s">
        <v>1867</v>
      </c>
      <c r="P2535" s="56"/>
    </row>
    <row r="2536" spans="1:16" ht="15.75" customHeight="1" x14ac:dyDescent="0.2">
      <c r="A2536" s="48">
        <v>534</v>
      </c>
      <c r="B2536" s="11" t="s">
        <v>1857</v>
      </c>
      <c r="C2536" s="11" t="s">
        <v>1849</v>
      </c>
      <c r="D2536" s="6" t="s">
        <v>1850</v>
      </c>
      <c r="E2536" s="12" t="s">
        <v>5888</v>
      </c>
      <c r="F2536" s="12" t="s">
        <v>6298</v>
      </c>
      <c r="G2536" s="12" t="s">
        <v>6327</v>
      </c>
      <c r="H2536" s="12" t="s">
        <v>6328</v>
      </c>
      <c r="I2536" s="12" t="s">
        <v>6390</v>
      </c>
      <c r="J2536" s="11" t="s">
        <v>2246</v>
      </c>
      <c r="K2536" s="11" t="s">
        <v>2247</v>
      </c>
      <c r="L2536" s="11" t="s">
        <v>5893</v>
      </c>
      <c r="M2536" s="11" t="s">
        <v>1854</v>
      </c>
      <c r="N2536" s="12"/>
      <c r="O2536" s="11" t="s">
        <v>1858</v>
      </c>
      <c r="P2536" s="56"/>
    </row>
    <row r="2537" spans="1:16" ht="15.75" customHeight="1" x14ac:dyDescent="0.2">
      <c r="A2537" s="48">
        <v>158</v>
      </c>
      <c r="B2537" s="11" t="s">
        <v>1857</v>
      </c>
      <c r="C2537" s="11" t="s">
        <v>1849</v>
      </c>
      <c r="D2537" s="6" t="s">
        <v>1850</v>
      </c>
      <c r="E2537" s="12" t="s">
        <v>5888</v>
      </c>
      <c r="F2537" s="12" t="s">
        <v>6298</v>
      </c>
      <c r="G2537" s="12" t="s">
        <v>6327</v>
      </c>
      <c r="H2537" s="12" t="s">
        <v>6336</v>
      </c>
      <c r="I2537" s="12" t="s">
        <v>6391</v>
      </c>
      <c r="J2537" s="11" t="s">
        <v>2246</v>
      </c>
      <c r="K2537" s="11" t="s">
        <v>2247</v>
      </c>
      <c r="L2537" s="11" t="s">
        <v>5893</v>
      </c>
      <c r="M2537" s="11" t="s">
        <v>2425</v>
      </c>
      <c r="N2537" s="12"/>
      <c r="O2537" s="11" t="s">
        <v>1858</v>
      </c>
      <c r="P2537" s="56"/>
    </row>
    <row r="2538" spans="1:16" ht="15.75" customHeight="1" x14ac:dyDescent="0.2">
      <c r="A2538" s="48">
        <v>4932</v>
      </c>
      <c r="B2538" s="11" t="s">
        <v>1857</v>
      </c>
      <c r="C2538" s="11" t="s">
        <v>1849</v>
      </c>
      <c r="D2538" s="6" t="s">
        <v>1850</v>
      </c>
      <c r="E2538" s="12" t="s">
        <v>5888</v>
      </c>
      <c r="F2538" s="12" t="s">
        <v>6298</v>
      </c>
      <c r="G2538" s="12" t="s">
        <v>6331</v>
      </c>
      <c r="H2538" s="12" t="s">
        <v>6331</v>
      </c>
      <c r="I2538" s="12" t="s">
        <v>3055</v>
      </c>
      <c r="J2538" s="11" t="s">
        <v>2246</v>
      </c>
      <c r="K2538" s="11" t="s">
        <v>2247</v>
      </c>
      <c r="L2538" s="11" t="s">
        <v>5893</v>
      </c>
      <c r="M2538" s="11" t="s">
        <v>1854</v>
      </c>
      <c r="N2538" s="12"/>
      <c r="O2538" s="11" t="s">
        <v>1858</v>
      </c>
      <c r="P2538" s="56"/>
    </row>
    <row r="2539" spans="1:16" ht="15.75" customHeight="1" x14ac:dyDescent="0.2">
      <c r="A2539" s="48">
        <v>5565</v>
      </c>
      <c r="B2539" s="11" t="s">
        <v>1857</v>
      </c>
      <c r="C2539" s="11" t="s">
        <v>1849</v>
      </c>
      <c r="D2539" s="6" t="s">
        <v>1850</v>
      </c>
      <c r="E2539" s="12" t="s">
        <v>5888</v>
      </c>
      <c r="F2539" s="12" t="s">
        <v>6298</v>
      </c>
      <c r="G2539" s="12" t="s">
        <v>6327</v>
      </c>
      <c r="H2539" s="12" t="s">
        <v>6392</v>
      </c>
      <c r="I2539" s="12" t="s">
        <v>6393</v>
      </c>
      <c r="J2539" s="11" t="s">
        <v>2246</v>
      </c>
      <c r="K2539" s="11" t="s">
        <v>2247</v>
      </c>
      <c r="L2539" s="11" t="s">
        <v>5893</v>
      </c>
      <c r="M2539" s="11" t="s">
        <v>1854</v>
      </c>
      <c r="N2539" s="12"/>
      <c r="O2539" s="11" t="s">
        <v>1859</v>
      </c>
      <c r="P2539" s="56"/>
    </row>
    <row r="2540" spans="1:16" ht="15.75" customHeight="1" x14ac:dyDescent="0.2">
      <c r="A2540" s="48">
        <v>181</v>
      </c>
      <c r="B2540" s="11" t="s">
        <v>1857</v>
      </c>
      <c r="C2540" s="11" t="s">
        <v>1849</v>
      </c>
      <c r="D2540" s="6" t="s">
        <v>1850</v>
      </c>
      <c r="E2540" s="12" t="s">
        <v>5888</v>
      </c>
      <c r="F2540" s="12" t="s">
        <v>6298</v>
      </c>
      <c r="G2540" s="12" t="s">
        <v>6331</v>
      </c>
      <c r="H2540" s="12" t="s">
        <v>6369</v>
      </c>
      <c r="I2540" s="12" t="s">
        <v>6394</v>
      </c>
      <c r="J2540" s="11" t="s">
        <v>2246</v>
      </c>
      <c r="K2540" s="11" t="s">
        <v>2247</v>
      </c>
      <c r="L2540" s="11" t="s">
        <v>5893</v>
      </c>
      <c r="M2540" s="11" t="s">
        <v>6384</v>
      </c>
      <c r="N2540" s="12"/>
      <c r="O2540" s="11" t="s">
        <v>1858</v>
      </c>
      <c r="P2540" s="56"/>
    </row>
    <row r="2541" spans="1:16" ht="15.75" customHeight="1" x14ac:dyDescent="0.2">
      <c r="A2541" s="48">
        <v>204</v>
      </c>
      <c r="B2541" s="11" t="s">
        <v>1857</v>
      </c>
      <c r="C2541" s="11" t="s">
        <v>1849</v>
      </c>
      <c r="D2541" s="6" t="s">
        <v>1850</v>
      </c>
      <c r="E2541" s="12" t="s">
        <v>5888</v>
      </c>
      <c r="F2541" s="12" t="s">
        <v>6298</v>
      </c>
      <c r="G2541" s="12" t="s">
        <v>6331</v>
      </c>
      <c r="H2541" s="12" t="s">
        <v>3661</v>
      </c>
      <c r="I2541" s="12" t="s">
        <v>6395</v>
      </c>
      <c r="J2541" s="11" t="s">
        <v>2246</v>
      </c>
      <c r="K2541" s="11" t="s">
        <v>2247</v>
      </c>
      <c r="L2541" s="11" t="s">
        <v>5893</v>
      </c>
      <c r="M2541" s="11" t="s">
        <v>2359</v>
      </c>
      <c r="N2541" s="12" t="s">
        <v>6396</v>
      </c>
      <c r="O2541" s="11" t="s">
        <v>1860</v>
      </c>
      <c r="P2541" s="56"/>
    </row>
    <row r="2542" spans="1:16" ht="15.75" customHeight="1" x14ac:dyDescent="0.2">
      <c r="A2542" s="48">
        <v>168</v>
      </c>
      <c r="B2542" s="11" t="s">
        <v>1857</v>
      </c>
      <c r="C2542" s="11" t="s">
        <v>1849</v>
      </c>
      <c r="D2542" s="6" t="s">
        <v>1850</v>
      </c>
      <c r="E2542" s="12" t="s">
        <v>5888</v>
      </c>
      <c r="F2542" s="12" t="s">
        <v>6298</v>
      </c>
      <c r="G2542" s="12" t="s">
        <v>6327</v>
      </c>
      <c r="H2542" s="12" t="s">
        <v>6349</v>
      </c>
      <c r="I2542" s="12" t="s">
        <v>6397</v>
      </c>
      <c r="J2542" s="11" t="s">
        <v>2246</v>
      </c>
      <c r="K2542" s="11" t="s">
        <v>2247</v>
      </c>
      <c r="L2542" s="11" t="s">
        <v>5893</v>
      </c>
      <c r="M2542" s="11" t="s">
        <v>2336</v>
      </c>
      <c r="N2542" s="12" t="s">
        <v>6398</v>
      </c>
      <c r="O2542" s="11" t="s">
        <v>1860</v>
      </c>
      <c r="P2542" s="56"/>
    </row>
    <row r="2543" spans="1:16" ht="15.75" customHeight="1" x14ac:dyDescent="0.2">
      <c r="A2543" s="48">
        <v>537</v>
      </c>
      <c r="B2543" s="11" t="s">
        <v>1857</v>
      </c>
      <c r="C2543" s="11" t="s">
        <v>1849</v>
      </c>
      <c r="D2543" s="6" t="s">
        <v>1850</v>
      </c>
      <c r="E2543" s="12" t="s">
        <v>5888</v>
      </c>
      <c r="F2543" s="12" t="s">
        <v>6298</v>
      </c>
      <c r="G2543" s="12" t="s">
        <v>6331</v>
      </c>
      <c r="H2543" s="12" t="s">
        <v>3661</v>
      </c>
      <c r="I2543" s="12" t="s">
        <v>6399</v>
      </c>
      <c r="J2543" s="11" t="s">
        <v>2246</v>
      </c>
      <c r="K2543" s="11" t="s">
        <v>2247</v>
      </c>
      <c r="L2543" s="11" t="s">
        <v>5893</v>
      </c>
      <c r="M2543" s="11" t="s">
        <v>1854</v>
      </c>
      <c r="N2543" s="12"/>
      <c r="O2543" s="11" t="s">
        <v>1859</v>
      </c>
      <c r="P2543" s="56"/>
    </row>
    <row r="2544" spans="1:16" ht="15.75" customHeight="1" x14ac:dyDescent="0.2">
      <c r="A2544" s="48">
        <v>170</v>
      </c>
      <c r="B2544" s="11" t="s">
        <v>1857</v>
      </c>
      <c r="C2544" s="11" t="s">
        <v>1849</v>
      </c>
      <c r="D2544" s="6" t="s">
        <v>1850</v>
      </c>
      <c r="E2544" s="12" t="s">
        <v>5888</v>
      </c>
      <c r="F2544" s="12" t="s">
        <v>6298</v>
      </c>
      <c r="G2544" s="12" t="s">
        <v>6327</v>
      </c>
      <c r="H2544" s="12" t="s">
        <v>6336</v>
      </c>
      <c r="I2544" s="12" t="s">
        <v>6400</v>
      </c>
      <c r="J2544" s="11" t="s">
        <v>2246</v>
      </c>
      <c r="K2544" s="11" t="s">
        <v>2247</v>
      </c>
      <c r="L2544" s="11" t="s">
        <v>5893</v>
      </c>
      <c r="M2544" s="11" t="s">
        <v>1854</v>
      </c>
      <c r="N2544" s="12"/>
      <c r="O2544" s="11" t="s">
        <v>1858</v>
      </c>
      <c r="P2544" s="56"/>
    </row>
    <row r="2545" spans="1:16" ht="15.75" customHeight="1" x14ac:dyDescent="0.2">
      <c r="A2545" s="48">
        <v>205</v>
      </c>
      <c r="B2545" s="11" t="s">
        <v>1857</v>
      </c>
      <c r="C2545" s="11" t="s">
        <v>1849</v>
      </c>
      <c r="D2545" s="6" t="s">
        <v>1850</v>
      </c>
      <c r="E2545" s="12" t="s">
        <v>5888</v>
      </c>
      <c r="F2545" s="12" t="s">
        <v>6298</v>
      </c>
      <c r="G2545" s="12" t="s">
        <v>6331</v>
      </c>
      <c r="H2545" s="12" t="s">
        <v>3661</v>
      </c>
      <c r="I2545" s="12" t="s">
        <v>6401</v>
      </c>
      <c r="J2545" s="11" t="s">
        <v>2246</v>
      </c>
      <c r="K2545" s="11" t="s">
        <v>2247</v>
      </c>
      <c r="L2545" s="11" t="s">
        <v>5893</v>
      </c>
      <c r="M2545" s="11" t="s">
        <v>2474</v>
      </c>
      <c r="N2545" s="12" t="s">
        <v>6402</v>
      </c>
      <c r="O2545" s="11" t="s">
        <v>1860</v>
      </c>
      <c r="P2545" s="56"/>
    </row>
    <row r="2546" spans="1:16" ht="15.75" customHeight="1" x14ac:dyDescent="0.2">
      <c r="A2546" s="48">
        <v>207</v>
      </c>
      <c r="B2546" s="11" t="s">
        <v>1857</v>
      </c>
      <c r="C2546" s="11" t="s">
        <v>1849</v>
      </c>
      <c r="D2546" s="6" t="s">
        <v>1850</v>
      </c>
      <c r="E2546" s="12" t="s">
        <v>5888</v>
      </c>
      <c r="F2546" s="12" t="s">
        <v>6298</v>
      </c>
      <c r="G2546" s="12" t="s">
        <v>6331</v>
      </c>
      <c r="H2546" s="12" t="s">
        <v>3661</v>
      </c>
      <c r="I2546" s="12" t="s">
        <v>6403</v>
      </c>
      <c r="J2546" s="11" t="s">
        <v>2246</v>
      </c>
      <c r="K2546" s="11" t="s">
        <v>2247</v>
      </c>
      <c r="L2546" s="11" t="s">
        <v>5893</v>
      </c>
      <c r="M2546" s="11" t="s">
        <v>1854</v>
      </c>
      <c r="N2546" s="12"/>
      <c r="O2546" s="11" t="s">
        <v>1860</v>
      </c>
      <c r="P2546" s="56"/>
    </row>
    <row r="2547" spans="1:16" ht="15.75" customHeight="1" x14ac:dyDescent="0.2">
      <c r="A2547" s="48">
        <v>206</v>
      </c>
      <c r="B2547" s="11" t="s">
        <v>1857</v>
      </c>
      <c r="C2547" s="11" t="s">
        <v>1849</v>
      </c>
      <c r="D2547" s="6" t="s">
        <v>1850</v>
      </c>
      <c r="E2547" s="12" t="s">
        <v>5888</v>
      </c>
      <c r="F2547" s="12" t="s">
        <v>6298</v>
      </c>
      <c r="G2547" s="12" t="s">
        <v>6327</v>
      </c>
      <c r="H2547" s="12" t="s">
        <v>6328</v>
      </c>
      <c r="I2547" s="12" t="s">
        <v>6404</v>
      </c>
      <c r="J2547" s="11" t="s">
        <v>2246</v>
      </c>
      <c r="K2547" s="11" t="s">
        <v>2247</v>
      </c>
      <c r="L2547" s="11" t="s">
        <v>5893</v>
      </c>
      <c r="M2547" s="11" t="s">
        <v>1854</v>
      </c>
      <c r="N2547" s="12"/>
      <c r="O2547" s="11" t="s">
        <v>1860</v>
      </c>
      <c r="P2547" s="56"/>
    </row>
    <row r="2548" spans="1:16" ht="15.75" customHeight="1" x14ac:dyDescent="0.2">
      <c r="A2548" s="48">
        <v>536</v>
      </c>
      <c r="B2548" s="11" t="s">
        <v>1857</v>
      </c>
      <c r="C2548" s="11" t="s">
        <v>1849</v>
      </c>
      <c r="D2548" s="6" t="s">
        <v>1850</v>
      </c>
      <c r="E2548" s="12" t="s">
        <v>5888</v>
      </c>
      <c r="F2548" s="12" t="s">
        <v>6298</v>
      </c>
      <c r="G2548" s="12" t="s">
        <v>6331</v>
      </c>
      <c r="H2548" s="12" t="s">
        <v>6365</v>
      </c>
      <c r="I2548" s="12" t="s">
        <v>6405</v>
      </c>
      <c r="J2548" s="11" t="s">
        <v>2246</v>
      </c>
      <c r="K2548" s="11" t="s">
        <v>2247</v>
      </c>
      <c r="L2548" s="11" t="s">
        <v>5893</v>
      </c>
      <c r="M2548" s="11" t="s">
        <v>1854</v>
      </c>
      <c r="N2548" s="12"/>
      <c r="O2548" s="11" t="s">
        <v>1859</v>
      </c>
      <c r="P2548" s="56"/>
    </row>
    <row r="2549" spans="1:16" ht="15.75" customHeight="1" x14ac:dyDescent="0.2">
      <c r="A2549" s="48">
        <v>164</v>
      </c>
      <c r="B2549" s="11" t="s">
        <v>1857</v>
      </c>
      <c r="C2549" s="11" t="s">
        <v>1849</v>
      </c>
      <c r="D2549" s="6" t="s">
        <v>1850</v>
      </c>
      <c r="E2549" s="12" t="s">
        <v>5888</v>
      </c>
      <c r="F2549" s="12" t="s">
        <v>6298</v>
      </c>
      <c r="G2549" s="12" t="s">
        <v>6327</v>
      </c>
      <c r="H2549" s="12" t="s">
        <v>6336</v>
      </c>
      <c r="I2549" s="12" t="s">
        <v>6406</v>
      </c>
      <c r="J2549" s="11" t="s">
        <v>2246</v>
      </c>
      <c r="K2549" s="11" t="s">
        <v>2247</v>
      </c>
      <c r="L2549" s="11" t="s">
        <v>5893</v>
      </c>
      <c r="M2549" s="11" t="s">
        <v>2425</v>
      </c>
      <c r="N2549" s="12"/>
      <c r="O2549" s="11" t="s">
        <v>1858</v>
      </c>
      <c r="P2549" s="56"/>
    </row>
    <row r="2550" spans="1:16" ht="15.75" customHeight="1" x14ac:dyDescent="0.2">
      <c r="A2550" s="48">
        <v>171</v>
      </c>
      <c r="B2550" s="11" t="s">
        <v>1857</v>
      </c>
      <c r="C2550" s="11" t="s">
        <v>1849</v>
      </c>
      <c r="D2550" s="6" t="s">
        <v>1850</v>
      </c>
      <c r="E2550" s="12" t="s">
        <v>5888</v>
      </c>
      <c r="F2550" s="12" t="s">
        <v>6298</v>
      </c>
      <c r="G2550" s="12" t="s">
        <v>6327</v>
      </c>
      <c r="H2550" s="12" t="s">
        <v>6336</v>
      </c>
      <c r="I2550" s="12" t="s">
        <v>6407</v>
      </c>
      <c r="J2550" s="11" t="s">
        <v>2246</v>
      </c>
      <c r="K2550" s="11" t="s">
        <v>2247</v>
      </c>
      <c r="L2550" s="11" t="s">
        <v>5893</v>
      </c>
      <c r="M2550" s="11" t="s">
        <v>1854</v>
      </c>
      <c r="N2550" s="12"/>
      <c r="O2550" s="11" t="s">
        <v>1860</v>
      </c>
      <c r="P2550" s="56"/>
    </row>
    <row r="2551" spans="1:16" ht="15.75" customHeight="1" x14ac:dyDescent="0.2">
      <c r="A2551" s="48">
        <v>103</v>
      </c>
      <c r="B2551" s="11" t="s">
        <v>1857</v>
      </c>
      <c r="C2551" s="11" t="s">
        <v>1849</v>
      </c>
      <c r="D2551" s="6" t="s">
        <v>1850</v>
      </c>
      <c r="E2551" s="12" t="s">
        <v>5888</v>
      </c>
      <c r="F2551" s="12" t="s">
        <v>6298</v>
      </c>
      <c r="G2551" s="12" t="s">
        <v>6327</v>
      </c>
      <c r="H2551" s="12" t="s">
        <v>6336</v>
      </c>
      <c r="I2551" s="12" t="s">
        <v>6408</v>
      </c>
      <c r="J2551" s="11" t="s">
        <v>2246</v>
      </c>
      <c r="K2551" s="11" t="s">
        <v>2247</v>
      </c>
      <c r="L2551" s="11" t="s">
        <v>5893</v>
      </c>
      <c r="M2551" s="11" t="s">
        <v>1854</v>
      </c>
      <c r="N2551" s="12"/>
      <c r="O2551" s="11" t="s">
        <v>1858</v>
      </c>
      <c r="P2551" s="56"/>
    </row>
    <row r="2552" spans="1:16" ht="15.75" customHeight="1" x14ac:dyDescent="0.2">
      <c r="A2552" s="48">
        <v>404</v>
      </c>
      <c r="B2552" s="11" t="s">
        <v>1857</v>
      </c>
      <c r="C2552" s="11" t="s">
        <v>1849</v>
      </c>
      <c r="D2552" s="6" t="s">
        <v>1850</v>
      </c>
      <c r="E2552" s="12" t="s">
        <v>5888</v>
      </c>
      <c r="F2552" s="12" t="s">
        <v>6298</v>
      </c>
      <c r="G2552" s="12" t="s">
        <v>6331</v>
      </c>
      <c r="H2552" s="12" t="s">
        <v>6365</v>
      </c>
      <c r="I2552" s="12" t="s">
        <v>4937</v>
      </c>
      <c r="J2552" s="11" t="s">
        <v>2246</v>
      </c>
      <c r="K2552" s="11" t="s">
        <v>2247</v>
      </c>
      <c r="L2552" s="11" t="s">
        <v>5893</v>
      </c>
      <c r="M2552" s="11" t="s">
        <v>1854</v>
      </c>
      <c r="N2552" s="12"/>
      <c r="O2552" s="11" t="s">
        <v>1858</v>
      </c>
      <c r="P2552" s="56"/>
    </row>
    <row r="2553" spans="1:16" ht="15.75" customHeight="1" x14ac:dyDescent="0.2">
      <c r="A2553" s="48">
        <v>475</v>
      </c>
      <c r="B2553" s="11" t="s">
        <v>1857</v>
      </c>
      <c r="C2553" s="11" t="s">
        <v>1849</v>
      </c>
      <c r="D2553" s="6" t="s">
        <v>1850</v>
      </c>
      <c r="E2553" s="12" t="s">
        <v>5888</v>
      </c>
      <c r="F2553" s="12" t="s">
        <v>6298</v>
      </c>
      <c r="G2553" s="12" t="s">
        <v>6302</v>
      </c>
      <c r="H2553" s="12" t="s">
        <v>6321</v>
      </c>
      <c r="I2553" s="12" t="s">
        <v>6409</v>
      </c>
      <c r="J2553" s="11" t="s">
        <v>2246</v>
      </c>
      <c r="K2553" s="11" t="s">
        <v>2247</v>
      </c>
      <c r="L2553" s="11" t="s">
        <v>5893</v>
      </c>
      <c r="M2553" s="11" t="s">
        <v>6410</v>
      </c>
      <c r="N2553" s="12" t="s">
        <v>6411</v>
      </c>
      <c r="O2553" s="11" t="s">
        <v>1867</v>
      </c>
      <c r="P2553" s="56" t="s">
        <v>1865</v>
      </c>
    </row>
    <row r="2554" spans="1:16" ht="15.75" customHeight="1" x14ac:dyDescent="0.2">
      <c r="A2554" s="48">
        <v>520</v>
      </c>
      <c r="B2554" s="11" t="s">
        <v>1857</v>
      </c>
      <c r="C2554" s="11" t="s">
        <v>1849</v>
      </c>
      <c r="D2554" s="6" t="s">
        <v>1850</v>
      </c>
      <c r="E2554" s="12" t="s">
        <v>5888</v>
      </c>
      <c r="F2554" s="12" t="s">
        <v>6298</v>
      </c>
      <c r="G2554" s="12" t="s">
        <v>6302</v>
      </c>
      <c r="H2554" s="12" t="s">
        <v>6321</v>
      </c>
      <c r="I2554" s="12" t="s">
        <v>6412</v>
      </c>
      <c r="J2554" s="11" t="s">
        <v>2246</v>
      </c>
      <c r="K2554" s="11" t="s">
        <v>2247</v>
      </c>
      <c r="L2554" s="11" t="s">
        <v>5893</v>
      </c>
      <c r="M2554" s="11" t="s">
        <v>1854</v>
      </c>
      <c r="N2554" s="12"/>
      <c r="O2554" s="11" t="s">
        <v>1858</v>
      </c>
      <c r="P2554" s="56"/>
    </row>
    <row r="2555" spans="1:16" ht="15.75" customHeight="1" x14ac:dyDescent="0.2">
      <c r="A2555" s="48">
        <v>517</v>
      </c>
      <c r="B2555" s="11" t="s">
        <v>1857</v>
      </c>
      <c r="C2555" s="11" t="s">
        <v>1849</v>
      </c>
      <c r="D2555" s="6" t="s">
        <v>1850</v>
      </c>
      <c r="E2555" s="12" t="s">
        <v>5888</v>
      </c>
      <c r="F2555" s="12" t="s">
        <v>6298</v>
      </c>
      <c r="G2555" s="12" t="s">
        <v>6302</v>
      </c>
      <c r="H2555" s="12" t="s">
        <v>6303</v>
      </c>
      <c r="I2555" s="11" t="s">
        <v>6413</v>
      </c>
      <c r="J2555" s="11" t="s">
        <v>2246</v>
      </c>
      <c r="K2555" s="11" t="s">
        <v>2247</v>
      </c>
      <c r="L2555" s="11" t="s">
        <v>5893</v>
      </c>
      <c r="M2555" s="11" t="s">
        <v>1854</v>
      </c>
      <c r="N2555" s="12"/>
      <c r="O2555" s="11" t="s">
        <v>1860</v>
      </c>
      <c r="P2555" s="56"/>
    </row>
    <row r="2556" spans="1:16" ht="15.75" customHeight="1" x14ac:dyDescent="0.2">
      <c r="A2556" s="48">
        <v>506</v>
      </c>
      <c r="B2556" s="11" t="s">
        <v>1857</v>
      </c>
      <c r="C2556" s="11" t="s">
        <v>1849</v>
      </c>
      <c r="D2556" s="6" t="s">
        <v>1850</v>
      </c>
      <c r="E2556" s="12" t="s">
        <v>5888</v>
      </c>
      <c r="F2556" s="12" t="s">
        <v>6298</v>
      </c>
      <c r="G2556" s="12" t="s">
        <v>6302</v>
      </c>
      <c r="H2556" s="12" t="s">
        <v>6304</v>
      </c>
      <c r="I2556" s="11" t="s">
        <v>2995</v>
      </c>
      <c r="J2556" s="11" t="s">
        <v>2246</v>
      </c>
      <c r="K2556" s="11" t="s">
        <v>2247</v>
      </c>
      <c r="L2556" s="11" t="s">
        <v>5893</v>
      </c>
      <c r="M2556" s="11" t="s">
        <v>1854</v>
      </c>
      <c r="N2556" s="12"/>
      <c r="O2556" s="11" t="s">
        <v>1860</v>
      </c>
      <c r="P2556" s="56"/>
    </row>
    <row r="2557" spans="1:16" ht="15.75" customHeight="1" x14ac:dyDescent="0.2">
      <c r="A2557" s="48">
        <v>4922</v>
      </c>
      <c r="B2557" s="11" t="s">
        <v>1857</v>
      </c>
      <c r="C2557" s="11" t="s">
        <v>1849</v>
      </c>
      <c r="D2557" s="6" t="s">
        <v>1850</v>
      </c>
      <c r="E2557" s="12" t="s">
        <v>5888</v>
      </c>
      <c r="F2557" s="12" t="s">
        <v>6298</v>
      </c>
      <c r="G2557" s="12" t="s">
        <v>6299</v>
      </c>
      <c r="H2557" s="12" t="s">
        <v>6307</v>
      </c>
      <c r="I2557" s="11" t="s">
        <v>6414</v>
      </c>
      <c r="J2557" s="11" t="s">
        <v>2246</v>
      </c>
      <c r="K2557" s="11" t="s">
        <v>2247</v>
      </c>
      <c r="L2557" s="11" t="s">
        <v>5893</v>
      </c>
      <c r="M2557" s="11" t="s">
        <v>1854</v>
      </c>
      <c r="N2557" s="12"/>
      <c r="O2557" s="11" t="s">
        <v>1858</v>
      </c>
      <c r="P2557" s="56"/>
    </row>
    <row r="2558" spans="1:16" ht="15.75" customHeight="1" x14ac:dyDescent="0.2">
      <c r="A2558" s="48">
        <v>424</v>
      </c>
      <c r="B2558" s="11" t="s">
        <v>1857</v>
      </c>
      <c r="C2558" s="11" t="s">
        <v>1849</v>
      </c>
      <c r="D2558" s="6" t="s">
        <v>1850</v>
      </c>
      <c r="E2558" s="12" t="s">
        <v>5888</v>
      </c>
      <c r="F2558" s="12" t="s">
        <v>6298</v>
      </c>
      <c r="G2558" s="12" t="s">
        <v>6302</v>
      </c>
      <c r="H2558" s="12" t="s">
        <v>6303</v>
      </c>
      <c r="I2558" s="11" t="s">
        <v>6415</v>
      </c>
      <c r="J2558" s="11" t="s">
        <v>2246</v>
      </c>
      <c r="K2558" s="11" t="s">
        <v>2247</v>
      </c>
      <c r="L2558" s="11" t="s">
        <v>5893</v>
      </c>
      <c r="M2558" s="11" t="s">
        <v>6416</v>
      </c>
      <c r="N2558" s="12" t="s">
        <v>6417</v>
      </c>
      <c r="O2558" s="11" t="s">
        <v>2334</v>
      </c>
      <c r="P2558" s="56" t="s">
        <v>1863</v>
      </c>
    </row>
    <row r="2559" spans="1:16" ht="15.75" customHeight="1" x14ac:dyDescent="0.2">
      <c r="A2559" s="48">
        <v>432</v>
      </c>
      <c r="B2559" s="11" t="s">
        <v>1857</v>
      </c>
      <c r="C2559" s="11" t="s">
        <v>1849</v>
      </c>
      <c r="D2559" s="6" t="s">
        <v>1850</v>
      </c>
      <c r="E2559" s="12" t="s">
        <v>5888</v>
      </c>
      <c r="F2559" s="12" t="s">
        <v>6298</v>
      </c>
      <c r="G2559" s="12" t="s">
        <v>6302</v>
      </c>
      <c r="H2559" s="12" t="s">
        <v>6313</v>
      </c>
      <c r="I2559" s="11" t="s">
        <v>6418</v>
      </c>
      <c r="J2559" s="11" t="s">
        <v>2246</v>
      </c>
      <c r="K2559" s="11" t="s">
        <v>2247</v>
      </c>
      <c r="L2559" s="11" t="s">
        <v>5893</v>
      </c>
      <c r="M2559" s="11" t="s">
        <v>1854</v>
      </c>
      <c r="N2559" s="12"/>
      <c r="O2559" s="11" t="s">
        <v>1858</v>
      </c>
      <c r="P2559" s="56"/>
    </row>
    <row r="2560" spans="1:16" ht="15.75" customHeight="1" x14ac:dyDescent="0.2">
      <c r="A2560" s="48">
        <v>439</v>
      </c>
      <c r="B2560" s="11" t="s">
        <v>1857</v>
      </c>
      <c r="C2560" s="11" t="s">
        <v>1849</v>
      </c>
      <c r="D2560" s="6" t="s">
        <v>1850</v>
      </c>
      <c r="E2560" s="12" t="s">
        <v>5888</v>
      </c>
      <c r="F2560" s="12" t="s">
        <v>6298</v>
      </c>
      <c r="G2560" s="12" t="s">
        <v>6299</v>
      </c>
      <c r="H2560" s="12" t="s">
        <v>6310</v>
      </c>
      <c r="I2560" s="11" t="s">
        <v>6419</v>
      </c>
      <c r="J2560" s="11" t="s">
        <v>2246</v>
      </c>
      <c r="K2560" s="11" t="s">
        <v>2247</v>
      </c>
      <c r="L2560" s="11" t="s">
        <v>5893</v>
      </c>
      <c r="M2560" s="11" t="s">
        <v>6420</v>
      </c>
      <c r="N2560" s="12" t="s">
        <v>6421</v>
      </c>
      <c r="O2560" s="11" t="s">
        <v>2307</v>
      </c>
      <c r="P2560" s="56" t="s">
        <v>6422</v>
      </c>
    </row>
    <row r="2561" spans="1:16" ht="15.75" customHeight="1" x14ac:dyDescent="0.2">
      <c r="A2561" s="48">
        <v>483</v>
      </c>
      <c r="B2561" s="11" t="s">
        <v>1857</v>
      </c>
      <c r="C2561" s="11" t="s">
        <v>1849</v>
      </c>
      <c r="D2561" s="6" t="s">
        <v>1850</v>
      </c>
      <c r="E2561" s="12" t="s">
        <v>5888</v>
      </c>
      <c r="F2561" s="12" t="s">
        <v>6298</v>
      </c>
      <c r="G2561" s="12" t="s">
        <v>6299</v>
      </c>
      <c r="H2561" s="12" t="s">
        <v>6310</v>
      </c>
      <c r="I2561" s="12" t="s">
        <v>6423</v>
      </c>
      <c r="J2561" s="11" t="s">
        <v>2246</v>
      </c>
      <c r="K2561" s="11" t="s">
        <v>2247</v>
      </c>
      <c r="L2561" s="11" t="s">
        <v>5893</v>
      </c>
      <c r="M2561" s="11" t="s">
        <v>1854</v>
      </c>
      <c r="N2561" s="12"/>
      <c r="O2561" s="11" t="s">
        <v>1858</v>
      </c>
      <c r="P2561" s="56"/>
    </row>
    <row r="2562" spans="1:16" ht="15.75" customHeight="1" x14ac:dyDescent="0.2">
      <c r="A2562" s="48">
        <v>5857</v>
      </c>
      <c r="B2562" s="11" t="s">
        <v>1857</v>
      </c>
      <c r="C2562" s="11" t="s">
        <v>1849</v>
      </c>
      <c r="D2562" s="6" t="s">
        <v>1850</v>
      </c>
      <c r="E2562" s="12" t="s">
        <v>5888</v>
      </c>
      <c r="F2562" s="12" t="s">
        <v>6298</v>
      </c>
      <c r="G2562" s="12" t="s">
        <v>6299</v>
      </c>
      <c r="H2562" s="12" t="s">
        <v>6307</v>
      </c>
      <c r="I2562" s="12" t="s">
        <v>6424</v>
      </c>
      <c r="J2562" s="11" t="s">
        <v>2246</v>
      </c>
      <c r="K2562" s="11" t="s">
        <v>2247</v>
      </c>
      <c r="L2562" s="11" t="s">
        <v>5893</v>
      </c>
      <c r="M2562" s="11" t="s">
        <v>6425</v>
      </c>
      <c r="N2562" s="12"/>
      <c r="O2562" s="11" t="s">
        <v>1860</v>
      </c>
      <c r="P2562" s="56"/>
    </row>
    <row r="2563" spans="1:16" ht="15.75" customHeight="1" x14ac:dyDescent="0.2">
      <c r="A2563" s="48">
        <v>500</v>
      </c>
      <c r="B2563" s="11" t="s">
        <v>1857</v>
      </c>
      <c r="C2563" s="11" t="s">
        <v>1849</v>
      </c>
      <c r="D2563" s="6" t="s">
        <v>1850</v>
      </c>
      <c r="E2563" s="12" t="s">
        <v>5888</v>
      </c>
      <c r="F2563" s="12" t="s">
        <v>6298</v>
      </c>
      <c r="G2563" s="12" t="s">
        <v>6302</v>
      </c>
      <c r="H2563" s="12" t="s">
        <v>6313</v>
      </c>
      <c r="I2563" s="12" t="s">
        <v>6426</v>
      </c>
      <c r="J2563" s="11" t="s">
        <v>2246</v>
      </c>
      <c r="K2563" s="11" t="s">
        <v>2247</v>
      </c>
      <c r="L2563" s="11" t="s">
        <v>5893</v>
      </c>
      <c r="M2563" s="11" t="s">
        <v>1854</v>
      </c>
      <c r="N2563" s="12"/>
      <c r="O2563" s="11" t="s">
        <v>1858</v>
      </c>
      <c r="P2563" s="56"/>
    </row>
    <row r="2564" spans="1:16" ht="15.75" customHeight="1" x14ac:dyDescent="0.2">
      <c r="A2564" s="48">
        <v>405</v>
      </c>
      <c r="B2564" s="11" t="s">
        <v>1857</v>
      </c>
      <c r="C2564" s="11" t="s">
        <v>1849</v>
      </c>
      <c r="D2564" s="6" t="s">
        <v>1850</v>
      </c>
      <c r="E2564" s="12" t="s">
        <v>5888</v>
      </c>
      <c r="F2564" s="12" t="s">
        <v>6298</v>
      </c>
      <c r="G2564" s="12" t="s">
        <v>6302</v>
      </c>
      <c r="H2564" s="12" t="s">
        <v>6321</v>
      </c>
      <c r="I2564" s="12" t="s">
        <v>6427</v>
      </c>
      <c r="J2564" s="11" t="s">
        <v>2246</v>
      </c>
      <c r="K2564" s="11" t="s">
        <v>2247</v>
      </c>
      <c r="L2564" s="11" t="s">
        <v>5893</v>
      </c>
      <c r="M2564" s="11" t="s">
        <v>1854</v>
      </c>
      <c r="N2564" s="12"/>
      <c r="O2564" s="11" t="s">
        <v>1858</v>
      </c>
      <c r="P2564" s="56"/>
    </row>
    <row r="2565" spans="1:16" ht="15.75" customHeight="1" x14ac:dyDescent="0.2">
      <c r="A2565" s="48">
        <v>525</v>
      </c>
      <c r="B2565" s="11" t="s">
        <v>1857</v>
      </c>
      <c r="C2565" s="11" t="s">
        <v>1849</v>
      </c>
      <c r="D2565" s="6" t="s">
        <v>1850</v>
      </c>
      <c r="E2565" s="12" t="s">
        <v>5888</v>
      </c>
      <c r="F2565" s="12" t="s">
        <v>6298</v>
      </c>
      <c r="G2565" s="12" t="s">
        <v>6302</v>
      </c>
      <c r="H2565" s="12" t="s">
        <v>6321</v>
      </c>
      <c r="I2565" s="12" t="s">
        <v>6256</v>
      </c>
      <c r="J2565" s="11" t="s">
        <v>2246</v>
      </c>
      <c r="K2565" s="11" t="s">
        <v>2247</v>
      </c>
      <c r="L2565" s="11" t="s">
        <v>5893</v>
      </c>
      <c r="M2565" s="11" t="s">
        <v>1854</v>
      </c>
      <c r="N2565" s="12"/>
      <c r="O2565" s="11" t="s">
        <v>1860</v>
      </c>
      <c r="P2565" s="56"/>
    </row>
    <row r="2566" spans="1:16" ht="15.75" customHeight="1" x14ac:dyDescent="0.2">
      <c r="A2566" s="48">
        <v>528</v>
      </c>
      <c r="B2566" s="11" t="s">
        <v>1857</v>
      </c>
      <c r="C2566" s="11" t="s">
        <v>1849</v>
      </c>
      <c r="D2566" s="6" t="s">
        <v>1850</v>
      </c>
      <c r="E2566" s="12" t="s">
        <v>5888</v>
      </c>
      <c r="F2566" s="12" t="s">
        <v>6298</v>
      </c>
      <c r="G2566" s="12" t="s">
        <v>6299</v>
      </c>
      <c r="H2566" s="12" t="s">
        <v>6428</v>
      </c>
      <c r="I2566" s="12" t="s">
        <v>6429</v>
      </c>
      <c r="J2566" s="11" t="s">
        <v>2246</v>
      </c>
      <c r="K2566" s="11" t="s">
        <v>2247</v>
      </c>
      <c r="L2566" s="11" t="s">
        <v>5893</v>
      </c>
      <c r="M2566" s="11" t="s">
        <v>1854</v>
      </c>
      <c r="N2566" s="12"/>
      <c r="O2566" s="11" t="s">
        <v>1858</v>
      </c>
      <c r="P2566" s="56"/>
    </row>
    <row r="2567" spans="1:16" ht="15.75" customHeight="1" x14ac:dyDescent="0.2">
      <c r="A2567" s="48">
        <v>423</v>
      </c>
      <c r="B2567" s="11" t="s">
        <v>1857</v>
      </c>
      <c r="C2567" s="11" t="s">
        <v>1849</v>
      </c>
      <c r="D2567" s="6" t="s">
        <v>1850</v>
      </c>
      <c r="E2567" s="12" t="s">
        <v>5888</v>
      </c>
      <c r="F2567" s="12" t="s">
        <v>6298</v>
      </c>
      <c r="G2567" s="12" t="s">
        <v>6302</v>
      </c>
      <c r="H2567" s="12" t="s">
        <v>6303</v>
      </c>
      <c r="I2567" s="12" t="s">
        <v>6430</v>
      </c>
      <c r="J2567" s="11" t="s">
        <v>2246</v>
      </c>
      <c r="K2567" s="11" t="s">
        <v>2247</v>
      </c>
      <c r="L2567" s="11" t="s">
        <v>5893</v>
      </c>
      <c r="M2567" s="11" t="s">
        <v>1854</v>
      </c>
      <c r="N2567" s="12"/>
      <c r="O2567" s="11" t="s">
        <v>1858</v>
      </c>
      <c r="P2567" s="56"/>
    </row>
    <row r="2568" spans="1:16" ht="15.75" customHeight="1" x14ac:dyDescent="0.2">
      <c r="A2568" s="48">
        <v>399</v>
      </c>
      <c r="B2568" s="11" t="s">
        <v>1857</v>
      </c>
      <c r="C2568" s="11" t="s">
        <v>1849</v>
      </c>
      <c r="D2568" s="6" t="s">
        <v>1850</v>
      </c>
      <c r="E2568" s="12" t="s">
        <v>5888</v>
      </c>
      <c r="F2568" s="12" t="s">
        <v>6298</v>
      </c>
      <c r="G2568" s="12" t="s">
        <v>6302</v>
      </c>
      <c r="H2568" s="12" t="s">
        <v>6304</v>
      </c>
      <c r="I2568" s="12" t="s">
        <v>6431</v>
      </c>
      <c r="J2568" s="11" t="s">
        <v>2246</v>
      </c>
      <c r="K2568" s="11" t="s">
        <v>2247</v>
      </c>
      <c r="L2568" s="11" t="s">
        <v>5893</v>
      </c>
      <c r="M2568" s="11" t="s">
        <v>6416</v>
      </c>
      <c r="N2568" s="12" t="s">
        <v>6432</v>
      </c>
      <c r="O2568" s="11" t="s">
        <v>1860</v>
      </c>
      <c r="P2568" s="56"/>
    </row>
    <row r="2569" spans="1:16" ht="15.75" customHeight="1" x14ac:dyDescent="0.2">
      <c r="A2569" s="48">
        <v>133</v>
      </c>
      <c r="B2569" s="11" t="s">
        <v>1857</v>
      </c>
      <c r="C2569" s="11" t="s">
        <v>1849</v>
      </c>
      <c r="D2569" s="6" t="s">
        <v>1850</v>
      </c>
      <c r="E2569" s="12" t="s">
        <v>5888</v>
      </c>
      <c r="F2569" s="12" t="s">
        <v>6298</v>
      </c>
      <c r="G2569" s="12" t="s">
        <v>6331</v>
      </c>
      <c r="H2569" s="12" t="s">
        <v>6332</v>
      </c>
      <c r="I2569" s="12" t="s">
        <v>6433</v>
      </c>
      <c r="J2569" s="11" t="s">
        <v>2246</v>
      </c>
      <c r="K2569" s="11" t="s">
        <v>2247</v>
      </c>
      <c r="L2569" s="11" t="s">
        <v>5893</v>
      </c>
      <c r="M2569" s="11" t="s">
        <v>2425</v>
      </c>
      <c r="N2569" s="12" t="s">
        <v>6434</v>
      </c>
      <c r="O2569" s="11" t="s">
        <v>1860</v>
      </c>
      <c r="P2569" s="56"/>
    </row>
    <row r="2570" spans="1:16" ht="15.75" customHeight="1" x14ac:dyDescent="0.2">
      <c r="A2570" s="48">
        <v>443</v>
      </c>
      <c r="B2570" s="11" t="s">
        <v>1857</v>
      </c>
      <c r="C2570" s="11" t="s">
        <v>1849</v>
      </c>
      <c r="D2570" s="6" t="s">
        <v>1850</v>
      </c>
      <c r="E2570" s="12" t="s">
        <v>5888</v>
      </c>
      <c r="F2570" s="12" t="s">
        <v>6298</v>
      </c>
      <c r="G2570" s="12" t="s">
        <v>6299</v>
      </c>
      <c r="H2570" s="12" t="s">
        <v>6299</v>
      </c>
      <c r="I2570" s="12" t="s">
        <v>6435</v>
      </c>
      <c r="J2570" s="11" t="s">
        <v>2246</v>
      </c>
      <c r="K2570" s="11" t="s">
        <v>2247</v>
      </c>
      <c r="L2570" s="11" t="s">
        <v>5893</v>
      </c>
      <c r="M2570" s="11" t="s">
        <v>6436</v>
      </c>
      <c r="N2570" s="12" t="s">
        <v>6437</v>
      </c>
      <c r="O2570" s="11" t="s">
        <v>1867</v>
      </c>
      <c r="P2570" s="56" t="s">
        <v>1865</v>
      </c>
    </row>
    <row r="2571" spans="1:16" ht="15.75" customHeight="1" x14ac:dyDescent="0.2">
      <c r="A2571" s="48">
        <v>5855</v>
      </c>
      <c r="B2571" s="11" t="s">
        <v>1857</v>
      </c>
      <c r="C2571" s="11" t="s">
        <v>1849</v>
      </c>
      <c r="D2571" s="6" t="s">
        <v>1850</v>
      </c>
      <c r="E2571" s="12" t="s">
        <v>5888</v>
      </c>
      <c r="F2571" s="12" t="s">
        <v>6298</v>
      </c>
      <c r="G2571" s="12" t="s">
        <v>6302</v>
      </c>
      <c r="H2571" s="12" t="s">
        <v>6304</v>
      </c>
      <c r="I2571" s="12" t="s">
        <v>4633</v>
      </c>
      <c r="J2571" s="11" t="s">
        <v>2246</v>
      </c>
      <c r="K2571" s="11" t="s">
        <v>2247</v>
      </c>
      <c r="L2571" s="11" t="s">
        <v>5893</v>
      </c>
      <c r="M2571" s="11" t="s">
        <v>2395</v>
      </c>
      <c r="N2571" s="12"/>
      <c r="O2571" s="11" t="s">
        <v>1859</v>
      </c>
      <c r="P2571" s="56"/>
    </row>
    <row r="2572" spans="1:16" ht="15.75" customHeight="1" x14ac:dyDescent="0.2">
      <c r="A2572" s="48">
        <v>526</v>
      </c>
      <c r="B2572" s="11" t="s">
        <v>1857</v>
      </c>
      <c r="C2572" s="11" t="s">
        <v>1849</v>
      </c>
      <c r="D2572" s="6" t="s">
        <v>1850</v>
      </c>
      <c r="E2572" s="12" t="s">
        <v>5888</v>
      </c>
      <c r="F2572" s="12" t="s">
        <v>6298</v>
      </c>
      <c r="G2572" s="12" t="s">
        <v>6302</v>
      </c>
      <c r="H2572" s="12" t="s">
        <v>6321</v>
      </c>
      <c r="I2572" s="12" t="s">
        <v>2437</v>
      </c>
      <c r="J2572" s="11" t="s">
        <v>2246</v>
      </c>
      <c r="K2572" s="11" t="s">
        <v>2247</v>
      </c>
      <c r="L2572" s="11" t="s">
        <v>5893</v>
      </c>
      <c r="M2572" s="11" t="s">
        <v>2395</v>
      </c>
      <c r="N2572" s="12"/>
      <c r="O2572" s="11" t="s">
        <v>1859</v>
      </c>
      <c r="P2572" s="56"/>
    </row>
    <row r="2573" spans="1:16" ht="15.75" customHeight="1" x14ac:dyDescent="0.2">
      <c r="A2573" s="48">
        <v>440</v>
      </c>
      <c r="B2573" s="11" t="s">
        <v>1857</v>
      </c>
      <c r="C2573" s="11" t="s">
        <v>1849</v>
      </c>
      <c r="D2573" s="6" t="s">
        <v>1850</v>
      </c>
      <c r="E2573" s="12" t="s">
        <v>5888</v>
      </c>
      <c r="F2573" s="12" t="s">
        <v>6298</v>
      </c>
      <c r="G2573" s="12" t="s">
        <v>6299</v>
      </c>
      <c r="H2573" s="12" t="s">
        <v>6299</v>
      </c>
      <c r="I2573" s="12" t="s">
        <v>6438</v>
      </c>
      <c r="J2573" s="11" t="s">
        <v>2246</v>
      </c>
      <c r="K2573" s="11" t="s">
        <v>2247</v>
      </c>
      <c r="L2573" s="11" t="s">
        <v>5893</v>
      </c>
      <c r="M2573" s="11" t="s">
        <v>1854</v>
      </c>
      <c r="N2573" s="12"/>
      <c r="O2573" s="11" t="s">
        <v>1858</v>
      </c>
      <c r="P2573" s="56"/>
    </row>
    <row r="2574" spans="1:16" ht="15.75" customHeight="1" x14ac:dyDescent="0.2">
      <c r="A2574" s="48">
        <v>441</v>
      </c>
      <c r="B2574" s="11" t="s">
        <v>1857</v>
      </c>
      <c r="C2574" s="11" t="s">
        <v>1849</v>
      </c>
      <c r="D2574" s="6" t="s">
        <v>1850</v>
      </c>
      <c r="E2574" s="12" t="s">
        <v>5888</v>
      </c>
      <c r="F2574" s="12" t="s">
        <v>6298</v>
      </c>
      <c r="G2574" s="12" t="s">
        <v>6299</v>
      </c>
      <c r="H2574" s="12" t="s">
        <v>6310</v>
      </c>
      <c r="I2574" s="12" t="s">
        <v>6439</v>
      </c>
      <c r="J2574" s="11" t="s">
        <v>2246</v>
      </c>
      <c r="K2574" s="11" t="s">
        <v>2247</v>
      </c>
      <c r="L2574" s="11" t="s">
        <v>5893</v>
      </c>
      <c r="M2574" s="11" t="s">
        <v>2336</v>
      </c>
      <c r="N2574" s="12"/>
      <c r="O2574" s="11" t="s">
        <v>1860</v>
      </c>
      <c r="P2574" s="56"/>
    </row>
    <row r="2575" spans="1:16" ht="15.75" customHeight="1" x14ac:dyDescent="0.2">
      <c r="A2575" s="48">
        <v>457</v>
      </c>
      <c r="B2575" s="11" t="s">
        <v>1857</v>
      </c>
      <c r="C2575" s="11" t="s">
        <v>1849</v>
      </c>
      <c r="D2575" s="6" t="s">
        <v>1850</v>
      </c>
      <c r="E2575" s="12" t="s">
        <v>5888</v>
      </c>
      <c r="F2575" s="12" t="s">
        <v>6298</v>
      </c>
      <c r="G2575" s="12" t="s">
        <v>6299</v>
      </c>
      <c r="H2575" s="12" t="s">
        <v>6428</v>
      </c>
      <c r="I2575" s="12" t="s">
        <v>6440</v>
      </c>
      <c r="J2575" s="11" t="s">
        <v>2246</v>
      </c>
      <c r="K2575" s="11" t="s">
        <v>2247</v>
      </c>
      <c r="L2575" s="11" t="s">
        <v>5893</v>
      </c>
      <c r="M2575" s="11" t="s">
        <v>6441</v>
      </c>
      <c r="N2575" s="12"/>
      <c r="O2575" s="11" t="s">
        <v>1858</v>
      </c>
      <c r="P2575" s="56"/>
    </row>
    <row r="2576" spans="1:16" ht="15.75" customHeight="1" x14ac:dyDescent="0.2">
      <c r="A2576" s="48">
        <v>383</v>
      </c>
      <c r="B2576" s="11" t="s">
        <v>1857</v>
      </c>
      <c r="C2576" s="11" t="s">
        <v>1849</v>
      </c>
      <c r="D2576" s="6" t="s">
        <v>1850</v>
      </c>
      <c r="E2576" s="12" t="s">
        <v>5888</v>
      </c>
      <c r="F2576" s="12" t="s">
        <v>6298</v>
      </c>
      <c r="G2576" s="12" t="s">
        <v>6302</v>
      </c>
      <c r="H2576" s="12" t="s">
        <v>6313</v>
      </c>
      <c r="I2576" s="12" t="s">
        <v>6442</v>
      </c>
      <c r="J2576" s="11" t="s">
        <v>2246</v>
      </c>
      <c r="K2576" s="11" t="s">
        <v>2247</v>
      </c>
      <c r="L2576" s="11" t="s">
        <v>5893</v>
      </c>
      <c r="M2576" s="11" t="s">
        <v>2336</v>
      </c>
      <c r="N2576" s="12"/>
      <c r="O2576" s="11" t="s">
        <v>1858</v>
      </c>
      <c r="P2576" s="56"/>
    </row>
    <row r="2577" spans="1:16" ht="15.75" customHeight="1" x14ac:dyDescent="0.2">
      <c r="A2577" s="48">
        <v>5767</v>
      </c>
      <c r="B2577" s="11" t="s">
        <v>1857</v>
      </c>
      <c r="C2577" s="11" t="s">
        <v>1849</v>
      </c>
      <c r="D2577" s="6" t="s">
        <v>1850</v>
      </c>
      <c r="E2577" s="12" t="s">
        <v>5888</v>
      </c>
      <c r="F2577" s="12" t="s">
        <v>6298</v>
      </c>
      <c r="G2577" s="12" t="s">
        <v>6331</v>
      </c>
      <c r="H2577" s="12" t="s">
        <v>6332</v>
      </c>
      <c r="I2577" s="12" t="s">
        <v>6443</v>
      </c>
      <c r="J2577" s="11" t="s">
        <v>2246</v>
      </c>
      <c r="K2577" s="11" t="s">
        <v>2247</v>
      </c>
      <c r="L2577" s="11" t="s">
        <v>5893</v>
      </c>
      <c r="M2577" s="11" t="s">
        <v>1854</v>
      </c>
      <c r="N2577" s="12"/>
      <c r="O2577" s="11" t="s">
        <v>1858</v>
      </c>
      <c r="P2577" s="56"/>
    </row>
    <row r="2578" spans="1:16" ht="15.75" customHeight="1" x14ac:dyDescent="0.2">
      <c r="A2578" s="48">
        <v>5765</v>
      </c>
      <c r="B2578" s="11" t="s">
        <v>1857</v>
      </c>
      <c r="C2578" s="11" t="s">
        <v>1849</v>
      </c>
      <c r="D2578" s="6" t="s">
        <v>1850</v>
      </c>
      <c r="E2578" s="12" t="s">
        <v>5888</v>
      </c>
      <c r="F2578" s="12" t="s">
        <v>6298</v>
      </c>
      <c r="G2578" s="12" t="s">
        <v>6331</v>
      </c>
      <c r="H2578" s="12" t="s">
        <v>6332</v>
      </c>
      <c r="I2578" s="12" t="s">
        <v>6444</v>
      </c>
      <c r="J2578" s="11" t="s">
        <v>2246</v>
      </c>
      <c r="K2578" s="11" t="s">
        <v>2247</v>
      </c>
      <c r="L2578" s="11" t="s">
        <v>5893</v>
      </c>
      <c r="M2578" s="11" t="s">
        <v>1854</v>
      </c>
      <c r="N2578" s="12"/>
      <c r="O2578" s="11" t="s">
        <v>1858</v>
      </c>
      <c r="P2578" s="56"/>
    </row>
    <row r="2579" spans="1:16" ht="15.75" customHeight="1" x14ac:dyDescent="0.2">
      <c r="A2579" s="48">
        <v>151</v>
      </c>
      <c r="B2579" s="11" t="s">
        <v>1857</v>
      </c>
      <c r="C2579" s="11" t="s">
        <v>1849</v>
      </c>
      <c r="D2579" s="6" t="s">
        <v>1850</v>
      </c>
      <c r="E2579" s="12" t="s">
        <v>5888</v>
      </c>
      <c r="F2579" s="12" t="s">
        <v>6298</v>
      </c>
      <c r="G2579" s="12" t="s">
        <v>6331</v>
      </c>
      <c r="H2579" s="12" t="s">
        <v>6332</v>
      </c>
      <c r="I2579" s="12" t="s">
        <v>6445</v>
      </c>
      <c r="J2579" s="11" t="s">
        <v>2246</v>
      </c>
      <c r="K2579" s="11" t="s">
        <v>2247</v>
      </c>
      <c r="L2579" s="11" t="s">
        <v>5893</v>
      </c>
      <c r="M2579" s="11" t="s">
        <v>6384</v>
      </c>
      <c r="N2579" s="12" t="s">
        <v>6385</v>
      </c>
      <c r="O2579" s="11" t="s">
        <v>2755</v>
      </c>
      <c r="P2579" s="56"/>
    </row>
    <row r="2580" spans="1:16" ht="15.75" customHeight="1" x14ac:dyDescent="0.2">
      <c r="A2580" s="48">
        <v>5861</v>
      </c>
      <c r="B2580" s="11" t="s">
        <v>1857</v>
      </c>
      <c r="C2580" s="11" t="s">
        <v>1849</v>
      </c>
      <c r="D2580" s="6" t="s">
        <v>1850</v>
      </c>
      <c r="E2580" s="12" t="s">
        <v>5888</v>
      </c>
      <c r="F2580" s="12" t="s">
        <v>6298</v>
      </c>
      <c r="G2580" s="12" t="s">
        <v>6331</v>
      </c>
      <c r="H2580" s="12" t="s">
        <v>6365</v>
      </c>
      <c r="I2580" s="12" t="s">
        <v>6446</v>
      </c>
      <c r="J2580" s="11" t="s">
        <v>2246</v>
      </c>
      <c r="K2580" s="11" t="s">
        <v>2247</v>
      </c>
      <c r="L2580" s="11" t="s">
        <v>5893</v>
      </c>
      <c r="M2580" s="11" t="s">
        <v>2460</v>
      </c>
      <c r="N2580" s="12"/>
      <c r="O2580" s="11" t="s">
        <v>1859</v>
      </c>
      <c r="P2580" s="56"/>
    </row>
    <row r="2581" spans="1:16" ht="15.75" customHeight="1" x14ac:dyDescent="0.2">
      <c r="A2581" s="48">
        <v>398</v>
      </c>
      <c r="B2581" s="11" t="s">
        <v>1857</v>
      </c>
      <c r="C2581" s="11" t="s">
        <v>1849</v>
      </c>
      <c r="D2581" s="6" t="s">
        <v>1850</v>
      </c>
      <c r="E2581" s="12" t="s">
        <v>5888</v>
      </c>
      <c r="F2581" s="12" t="s">
        <v>6298</v>
      </c>
      <c r="G2581" s="12" t="s">
        <v>6302</v>
      </c>
      <c r="H2581" s="12" t="s">
        <v>6304</v>
      </c>
      <c r="I2581" s="12" t="s">
        <v>6447</v>
      </c>
      <c r="J2581" s="11" t="s">
        <v>2246</v>
      </c>
      <c r="K2581" s="11" t="s">
        <v>2247</v>
      </c>
      <c r="L2581" s="11" t="s">
        <v>5893</v>
      </c>
      <c r="M2581" s="11" t="s">
        <v>1854</v>
      </c>
      <c r="N2581" s="12"/>
      <c r="O2581" s="11" t="s">
        <v>1860</v>
      </c>
      <c r="P2581" s="56"/>
    </row>
    <row r="2582" spans="1:16" ht="15.75" customHeight="1" x14ac:dyDescent="0.2">
      <c r="A2582" s="48">
        <v>455</v>
      </c>
      <c r="B2582" s="11" t="s">
        <v>1857</v>
      </c>
      <c r="C2582" s="11" t="s">
        <v>1849</v>
      </c>
      <c r="D2582" s="6" t="s">
        <v>1850</v>
      </c>
      <c r="E2582" s="12" t="s">
        <v>5888</v>
      </c>
      <c r="F2582" s="12" t="s">
        <v>6298</v>
      </c>
      <c r="G2582" s="12" t="s">
        <v>6299</v>
      </c>
      <c r="H2582" s="12" t="s">
        <v>6428</v>
      </c>
      <c r="I2582" s="12" t="s">
        <v>6448</v>
      </c>
      <c r="J2582" s="11" t="s">
        <v>2246</v>
      </c>
      <c r="K2582" s="11" t="s">
        <v>2247</v>
      </c>
      <c r="L2582" s="11" t="s">
        <v>5893</v>
      </c>
      <c r="M2582" s="11" t="s">
        <v>6449</v>
      </c>
      <c r="N2582" s="12" t="s">
        <v>6450</v>
      </c>
      <c r="O2582" s="11" t="s">
        <v>1860</v>
      </c>
      <c r="P2582" s="56"/>
    </row>
    <row r="2583" spans="1:16" ht="15.75" customHeight="1" x14ac:dyDescent="0.2">
      <c r="A2583" s="48">
        <v>394</v>
      </c>
      <c r="B2583" s="11" t="s">
        <v>1857</v>
      </c>
      <c r="C2583" s="11" t="s">
        <v>1849</v>
      </c>
      <c r="D2583" s="6" t="s">
        <v>1850</v>
      </c>
      <c r="E2583" s="12" t="s">
        <v>5888</v>
      </c>
      <c r="F2583" s="12" t="s">
        <v>6298</v>
      </c>
      <c r="G2583" s="12" t="s">
        <v>6302</v>
      </c>
      <c r="H2583" s="12" t="s">
        <v>6344</v>
      </c>
      <c r="I2583" s="12" t="s">
        <v>6451</v>
      </c>
      <c r="J2583" s="11" t="s">
        <v>2246</v>
      </c>
      <c r="K2583" s="11" t="s">
        <v>2247</v>
      </c>
      <c r="L2583" s="11" t="s">
        <v>5893</v>
      </c>
      <c r="M2583" s="11" t="s">
        <v>6039</v>
      </c>
      <c r="N2583" s="12" t="s">
        <v>6357</v>
      </c>
      <c r="O2583" s="11" t="s">
        <v>1867</v>
      </c>
      <c r="P2583" s="56" t="s">
        <v>1865</v>
      </c>
    </row>
    <row r="2584" spans="1:16" ht="15.75" customHeight="1" x14ac:dyDescent="0.2">
      <c r="A2584" s="48">
        <v>454</v>
      </c>
      <c r="B2584" s="11" t="s">
        <v>1857</v>
      </c>
      <c r="C2584" s="11" t="s">
        <v>1849</v>
      </c>
      <c r="D2584" s="6" t="s">
        <v>1850</v>
      </c>
      <c r="E2584" s="12" t="s">
        <v>5888</v>
      </c>
      <c r="F2584" s="12" t="s">
        <v>6298</v>
      </c>
      <c r="G2584" s="12" t="s">
        <v>6299</v>
      </c>
      <c r="H2584" s="12" t="s">
        <v>6452</v>
      </c>
      <c r="I2584" s="12" t="s">
        <v>6453</v>
      </c>
      <c r="J2584" s="11" t="s">
        <v>2246</v>
      </c>
      <c r="K2584" s="11" t="s">
        <v>2247</v>
      </c>
      <c r="L2584" s="11" t="s">
        <v>5893</v>
      </c>
      <c r="M2584" s="11" t="s">
        <v>6454</v>
      </c>
      <c r="N2584" s="12" t="s">
        <v>6455</v>
      </c>
      <c r="O2584" s="11" t="s">
        <v>1860</v>
      </c>
      <c r="P2584" s="56"/>
    </row>
    <row r="2585" spans="1:16" ht="15.75" customHeight="1" x14ac:dyDescent="0.2">
      <c r="A2585" s="48">
        <v>388</v>
      </c>
      <c r="B2585" s="11" t="s">
        <v>1857</v>
      </c>
      <c r="C2585" s="11" t="s">
        <v>1849</v>
      </c>
      <c r="D2585" s="6" t="s">
        <v>1850</v>
      </c>
      <c r="E2585" s="12" t="s">
        <v>5888</v>
      </c>
      <c r="F2585" s="12" t="s">
        <v>6298</v>
      </c>
      <c r="G2585" s="12" t="s">
        <v>6302</v>
      </c>
      <c r="H2585" s="12" t="s">
        <v>6344</v>
      </c>
      <c r="I2585" s="12" t="s">
        <v>6456</v>
      </c>
      <c r="J2585" s="11" t="s">
        <v>2246</v>
      </c>
      <c r="K2585" s="11" t="s">
        <v>2247</v>
      </c>
      <c r="L2585" s="11" t="s">
        <v>5893</v>
      </c>
      <c r="M2585" s="11" t="s">
        <v>1854</v>
      </c>
      <c r="N2585" s="12"/>
      <c r="O2585" s="11" t="s">
        <v>1860</v>
      </c>
      <c r="P2585" s="56"/>
    </row>
    <row r="2586" spans="1:16" ht="15.75" customHeight="1" x14ac:dyDescent="0.2">
      <c r="A2586" s="48">
        <v>7308</v>
      </c>
      <c r="B2586" s="11" t="s">
        <v>1857</v>
      </c>
      <c r="C2586" s="11" t="s">
        <v>1849</v>
      </c>
      <c r="D2586" s="6" t="s">
        <v>1850</v>
      </c>
      <c r="E2586" s="12" t="s">
        <v>5888</v>
      </c>
      <c r="F2586" s="12" t="s">
        <v>6298</v>
      </c>
      <c r="G2586" s="12" t="s">
        <v>6299</v>
      </c>
      <c r="H2586" s="12" t="s">
        <v>6428</v>
      </c>
      <c r="I2586" s="12" t="s">
        <v>2548</v>
      </c>
      <c r="J2586" s="11" t="s">
        <v>2246</v>
      </c>
      <c r="K2586" s="11" t="s">
        <v>2247</v>
      </c>
      <c r="L2586" s="11" t="s">
        <v>5893</v>
      </c>
      <c r="M2586" s="11" t="s">
        <v>6457</v>
      </c>
      <c r="N2586" s="12"/>
      <c r="O2586" s="11" t="s">
        <v>1859</v>
      </c>
      <c r="P2586" s="56"/>
    </row>
    <row r="2587" spans="1:16" ht="15.75" customHeight="1" x14ac:dyDescent="0.2">
      <c r="A2587" s="48">
        <v>5862</v>
      </c>
      <c r="B2587" s="11" t="s">
        <v>1857</v>
      </c>
      <c r="C2587" s="11" t="s">
        <v>1849</v>
      </c>
      <c r="D2587" s="6" t="s">
        <v>1850</v>
      </c>
      <c r="E2587" s="12" t="s">
        <v>5888</v>
      </c>
      <c r="F2587" s="12" t="s">
        <v>6298</v>
      </c>
      <c r="G2587" s="12" t="s">
        <v>6327</v>
      </c>
      <c r="H2587" s="12" t="s">
        <v>6379</v>
      </c>
      <c r="I2587" s="12" t="s">
        <v>6458</v>
      </c>
      <c r="J2587" s="11" t="s">
        <v>2246</v>
      </c>
      <c r="K2587" s="11" t="s">
        <v>2247</v>
      </c>
      <c r="L2587" s="11" t="s">
        <v>5893</v>
      </c>
      <c r="M2587" s="11" t="s">
        <v>1854</v>
      </c>
      <c r="N2587" s="12"/>
      <c r="O2587" s="11" t="s">
        <v>1858</v>
      </c>
      <c r="P2587" s="56"/>
    </row>
    <row r="2588" spans="1:16" ht="15.75" customHeight="1" x14ac:dyDescent="0.2">
      <c r="A2588" s="48">
        <v>6785</v>
      </c>
      <c r="B2588" s="11" t="s">
        <v>1857</v>
      </c>
      <c r="C2588" s="11" t="s">
        <v>1849</v>
      </c>
      <c r="D2588" s="6" t="s">
        <v>1850</v>
      </c>
      <c r="E2588" s="12" t="s">
        <v>5888</v>
      </c>
      <c r="F2588" s="12" t="s">
        <v>6298</v>
      </c>
      <c r="G2588" s="12" t="s">
        <v>6302</v>
      </c>
      <c r="H2588" s="12" t="s">
        <v>6321</v>
      </c>
      <c r="I2588" s="12" t="s">
        <v>2461</v>
      </c>
      <c r="J2588" s="11" t="s">
        <v>2246</v>
      </c>
      <c r="K2588" s="11" t="s">
        <v>2247</v>
      </c>
      <c r="L2588" s="11" t="s">
        <v>5893</v>
      </c>
      <c r="M2588" s="11" t="s">
        <v>1854</v>
      </c>
      <c r="N2588" s="12"/>
      <c r="O2588" s="11" t="s">
        <v>1859</v>
      </c>
      <c r="P2588" s="56"/>
    </row>
    <row r="2589" spans="1:16" ht="15.75" customHeight="1" x14ac:dyDescent="0.2">
      <c r="A2589" s="48">
        <v>530</v>
      </c>
      <c r="B2589" s="11" t="s">
        <v>1857</v>
      </c>
      <c r="C2589" s="11" t="s">
        <v>1849</v>
      </c>
      <c r="D2589" s="6" t="s">
        <v>1850</v>
      </c>
      <c r="E2589" s="12" t="s">
        <v>5888</v>
      </c>
      <c r="F2589" s="12" t="s">
        <v>6298</v>
      </c>
      <c r="G2589" s="12" t="s">
        <v>6299</v>
      </c>
      <c r="H2589" s="12" t="s">
        <v>6452</v>
      </c>
      <c r="I2589" s="12" t="s">
        <v>6459</v>
      </c>
      <c r="J2589" s="11" t="s">
        <v>2246</v>
      </c>
      <c r="K2589" s="11" t="s">
        <v>2247</v>
      </c>
      <c r="L2589" s="11" t="s">
        <v>5893</v>
      </c>
      <c r="M2589" s="11" t="s">
        <v>1854</v>
      </c>
      <c r="N2589" s="12"/>
      <c r="O2589" s="11" t="s">
        <v>1859</v>
      </c>
      <c r="P2589" s="56"/>
    </row>
    <row r="2590" spans="1:16" ht="15.75" customHeight="1" x14ac:dyDescent="0.2">
      <c r="A2590" s="48">
        <v>5327</v>
      </c>
      <c r="B2590" s="11" t="s">
        <v>1857</v>
      </c>
      <c r="C2590" s="11" t="s">
        <v>1849</v>
      </c>
      <c r="D2590" s="6" t="s">
        <v>1850</v>
      </c>
      <c r="E2590" s="12" t="s">
        <v>5888</v>
      </c>
      <c r="F2590" s="12" t="s">
        <v>6298</v>
      </c>
      <c r="G2590" s="12" t="s">
        <v>6331</v>
      </c>
      <c r="H2590" s="12" t="s">
        <v>3661</v>
      </c>
      <c r="I2590" s="12" t="s">
        <v>6460</v>
      </c>
      <c r="J2590" s="11" t="s">
        <v>2246</v>
      </c>
      <c r="K2590" s="11" t="s">
        <v>2247</v>
      </c>
      <c r="L2590" s="11" t="s">
        <v>5893</v>
      </c>
      <c r="M2590" s="11" t="s">
        <v>1854</v>
      </c>
      <c r="N2590" s="12"/>
      <c r="O2590" s="11" t="s">
        <v>1860</v>
      </c>
      <c r="P2590" s="56"/>
    </row>
    <row r="2591" spans="1:16" ht="15.75" customHeight="1" x14ac:dyDescent="0.2">
      <c r="A2591" s="48">
        <v>459</v>
      </c>
      <c r="B2591" s="11" t="s">
        <v>1857</v>
      </c>
      <c r="C2591" s="11" t="s">
        <v>1849</v>
      </c>
      <c r="D2591" s="6" t="s">
        <v>1850</v>
      </c>
      <c r="E2591" s="12" t="s">
        <v>5888</v>
      </c>
      <c r="F2591" s="12" t="s">
        <v>6298</v>
      </c>
      <c r="G2591" s="12" t="s">
        <v>6299</v>
      </c>
      <c r="H2591" s="12" t="s">
        <v>6452</v>
      </c>
      <c r="I2591" s="12" t="s">
        <v>6461</v>
      </c>
      <c r="J2591" s="11" t="s">
        <v>2246</v>
      </c>
      <c r="K2591" s="11" t="s">
        <v>2247</v>
      </c>
      <c r="L2591" s="11" t="s">
        <v>5893</v>
      </c>
      <c r="M2591" s="11" t="s">
        <v>2336</v>
      </c>
      <c r="N2591" s="12"/>
      <c r="O2591" s="11" t="s">
        <v>1859</v>
      </c>
      <c r="P2591" s="56"/>
    </row>
    <row r="2592" spans="1:16" ht="15.75" customHeight="1" x14ac:dyDescent="0.2">
      <c r="A2592" s="48">
        <v>199</v>
      </c>
      <c r="B2592" s="11" t="s">
        <v>1857</v>
      </c>
      <c r="C2592" s="11" t="s">
        <v>1849</v>
      </c>
      <c r="D2592" s="6" t="s">
        <v>1850</v>
      </c>
      <c r="E2592" s="12" t="s">
        <v>5888</v>
      </c>
      <c r="F2592" s="12" t="s">
        <v>6298</v>
      </c>
      <c r="G2592" s="12" t="s">
        <v>6331</v>
      </c>
      <c r="H2592" s="12" t="s">
        <v>6365</v>
      </c>
      <c r="I2592" s="12" t="s">
        <v>6462</v>
      </c>
      <c r="J2592" s="11" t="s">
        <v>2246</v>
      </c>
      <c r="K2592" s="11" t="s">
        <v>2247</v>
      </c>
      <c r="L2592" s="11" t="s">
        <v>5893</v>
      </c>
      <c r="M2592" s="11" t="s">
        <v>1854</v>
      </c>
      <c r="N2592" s="12"/>
      <c r="O2592" s="11" t="s">
        <v>1858</v>
      </c>
      <c r="P2592" s="56"/>
    </row>
    <row r="2593" spans="1:16" ht="15.75" customHeight="1" x14ac:dyDescent="0.2">
      <c r="A2593" s="48">
        <v>169</v>
      </c>
      <c r="B2593" s="11" t="s">
        <v>1857</v>
      </c>
      <c r="C2593" s="11" t="s">
        <v>1849</v>
      </c>
      <c r="D2593" s="6" t="s">
        <v>1850</v>
      </c>
      <c r="E2593" s="12" t="s">
        <v>5888</v>
      </c>
      <c r="F2593" s="12" t="s">
        <v>6298</v>
      </c>
      <c r="G2593" s="12" t="s">
        <v>6327</v>
      </c>
      <c r="H2593" s="12" t="s">
        <v>6349</v>
      </c>
      <c r="I2593" s="12" t="s">
        <v>6463</v>
      </c>
      <c r="J2593" s="11" t="s">
        <v>2246</v>
      </c>
      <c r="K2593" s="11" t="s">
        <v>2247</v>
      </c>
      <c r="L2593" s="11" t="s">
        <v>5893</v>
      </c>
      <c r="M2593" s="11" t="s">
        <v>6376</v>
      </c>
      <c r="N2593" s="12" t="s">
        <v>6464</v>
      </c>
      <c r="O2593" s="11" t="s">
        <v>1860</v>
      </c>
      <c r="P2593" s="56"/>
    </row>
    <row r="2594" spans="1:16" ht="15.75" customHeight="1" x14ac:dyDescent="0.2">
      <c r="A2594" s="48">
        <v>461</v>
      </c>
      <c r="B2594" s="11" t="s">
        <v>1857</v>
      </c>
      <c r="C2594" s="11" t="s">
        <v>1849</v>
      </c>
      <c r="D2594" s="6" t="s">
        <v>1850</v>
      </c>
      <c r="E2594" s="12" t="s">
        <v>5888</v>
      </c>
      <c r="F2594" s="12" t="s">
        <v>6298</v>
      </c>
      <c r="G2594" s="12" t="s">
        <v>6302</v>
      </c>
      <c r="H2594" s="12" t="s">
        <v>6321</v>
      </c>
      <c r="I2594" s="12" t="s">
        <v>3229</v>
      </c>
      <c r="J2594" s="11" t="s">
        <v>2246</v>
      </c>
      <c r="K2594" s="11" t="s">
        <v>2247</v>
      </c>
      <c r="L2594" s="11" t="s">
        <v>5893</v>
      </c>
      <c r="M2594" s="11" t="s">
        <v>6465</v>
      </c>
      <c r="N2594" s="12" t="s">
        <v>6466</v>
      </c>
      <c r="O2594" s="11" t="s">
        <v>1858</v>
      </c>
      <c r="P2594" s="56"/>
    </row>
    <row r="2595" spans="1:16" ht="15.75" customHeight="1" x14ac:dyDescent="0.2">
      <c r="A2595" s="48">
        <v>477</v>
      </c>
      <c r="B2595" s="11" t="s">
        <v>1857</v>
      </c>
      <c r="C2595" s="11" t="s">
        <v>1849</v>
      </c>
      <c r="D2595" s="6" t="s">
        <v>1850</v>
      </c>
      <c r="E2595" s="12" t="s">
        <v>5888</v>
      </c>
      <c r="F2595" s="12" t="s">
        <v>6298</v>
      </c>
      <c r="G2595" s="12" t="s">
        <v>6302</v>
      </c>
      <c r="H2595" s="12" t="s">
        <v>6321</v>
      </c>
      <c r="I2595" s="12" t="s">
        <v>6467</v>
      </c>
      <c r="J2595" s="11" t="s">
        <v>2246</v>
      </c>
      <c r="K2595" s="11" t="s">
        <v>2247</v>
      </c>
      <c r="L2595" s="11" t="s">
        <v>5893</v>
      </c>
      <c r="M2595" s="11" t="s">
        <v>1854</v>
      </c>
      <c r="N2595" s="12"/>
      <c r="O2595" s="11" t="s">
        <v>1860</v>
      </c>
      <c r="P2595" s="56"/>
    </row>
    <row r="2596" spans="1:16" ht="15.75" customHeight="1" x14ac:dyDescent="0.2">
      <c r="A2596" s="48">
        <v>450</v>
      </c>
      <c r="B2596" s="11" t="s">
        <v>1857</v>
      </c>
      <c r="C2596" s="11" t="s">
        <v>1849</v>
      </c>
      <c r="D2596" s="6" t="s">
        <v>1850</v>
      </c>
      <c r="E2596" s="12" t="s">
        <v>5888</v>
      </c>
      <c r="F2596" s="12" t="s">
        <v>6298</v>
      </c>
      <c r="G2596" s="12" t="s">
        <v>6299</v>
      </c>
      <c r="H2596" s="12" t="s">
        <v>6319</v>
      </c>
      <c r="I2596" s="12" t="s">
        <v>6468</v>
      </c>
      <c r="J2596" s="11" t="s">
        <v>2246</v>
      </c>
      <c r="K2596" s="11" t="s">
        <v>2247</v>
      </c>
      <c r="L2596" s="11" t="s">
        <v>5893</v>
      </c>
      <c r="M2596" s="11" t="s">
        <v>6469</v>
      </c>
      <c r="N2596" s="12"/>
      <c r="O2596" s="11" t="s">
        <v>1860</v>
      </c>
      <c r="P2596" s="56"/>
    </row>
    <row r="2597" spans="1:16" ht="15.75" customHeight="1" x14ac:dyDescent="0.2">
      <c r="A2597" s="48">
        <v>4927</v>
      </c>
      <c r="B2597" s="11" t="s">
        <v>1857</v>
      </c>
      <c r="C2597" s="11" t="s">
        <v>1849</v>
      </c>
      <c r="D2597" s="6" t="s">
        <v>1850</v>
      </c>
      <c r="E2597" s="12" t="s">
        <v>5888</v>
      </c>
      <c r="F2597" s="12" t="s">
        <v>6298</v>
      </c>
      <c r="G2597" s="12" t="s">
        <v>6299</v>
      </c>
      <c r="H2597" s="12" t="s">
        <v>6319</v>
      </c>
      <c r="I2597" s="12" t="s">
        <v>6470</v>
      </c>
      <c r="J2597" s="11" t="s">
        <v>2246</v>
      </c>
      <c r="K2597" s="11" t="s">
        <v>2247</v>
      </c>
      <c r="L2597" s="11" t="s">
        <v>5893</v>
      </c>
      <c r="M2597" s="11" t="s">
        <v>1854</v>
      </c>
      <c r="N2597" s="12"/>
      <c r="O2597" s="11" t="s">
        <v>1858</v>
      </c>
      <c r="P2597" s="56"/>
    </row>
    <row r="2598" spans="1:16" ht="15.75" customHeight="1" x14ac:dyDescent="0.2">
      <c r="A2598" s="48">
        <v>5317</v>
      </c>
      <c r="B2598" s="11" t="s">
        <v>1857</v>
      </c>
      <c r="C2598" s="11" t="s">
        <v>1849</v>
      </c>
      <c r="D2598" s="6" t="s">
        <v>1850</v>
      </c>
      <c r="E2598" s="12" t="s">
        <v>5888</v>
      </c>
      <c r="F2598" s="12" t="s">
        <v>6298</v>
      </c>
      <c r="G2598" s="12" t="s">
        <v>6299</v>
      </c>
      <c r="H2598" s="12" t="s">
        <v>6310</v>
      </c>
      <c r="I2598" s="12" t="s">
        <v>6471</v>
      </c>
      <c r="J2598" s="11" t="s">
        <v>2246</v>
      </c>
      <c r="K2598" s="11" t="s">
        <v>2247</v>
      </c>
      <c r="L2598" s="11" t="s">
        <v>5893</v>
      </c>
      <c r="M2598" s="11" t="s">
        <v>1854</v>
      </c>
      <c r="N2598" s="12"/>
      <c r="O2598" s="11" t="s">
        <v>1858</v>
      </c>
      <c r="P2598" s="56"/>
    </row>
    <row r="2599" spans="1:16" ht="15.75" customHeight="1" x14ac:dyDescent="0.2">
      <c r="A2599" s="48">
        <v>452</v>
      </c>
      <c r="B2599" s="11" t="s">
        <v>1857</v>
      </c>
      <c r="C2599" s="11" t="s">
        <v>1849</v>
      </c>
      <c r="D2599" s="6" t="s">
        <v>1850</v>
      </c>
      <c r="E2599" s="12" t="s">
        <v>5888</v>
      </c>
      <c r="F2599" s="12" t="s">
        <v>6298</v>
      </c>
      <c r="G2599" s="12" t="s">
        <v>6299</v>
      </c>
      <c r="H2599" s="12" t="s">
        <v>6428</v>
      </c>
      <c r="I2599" s="12" t="s">
        <v>6472</v>
      </c>
      <c r="J2599" s="11" t="s">
        <v>2246</v>
      </c>
      <c r="K2599" s="11" t="s">
        <v>2247</v>
      </c>
      <c r="L2599" s="11" t="s">
        <v>5893</v>
      </c>
      <c r="M2599" s="11" t="s">
        <v>1854</v>
      </c>
      <c r="N2599" s="12"/>
      <c r="O2599" s="11" t="s">
        <v>1858</v>
      </c>
      <c r="P2599" s="56"/>
    </row>
    <row r="2600" spans="1:16" ht="15.75" customHeight="1" x14ac:dyDescent="0.2">
      <c r="A2600" s="48">
        <v>390</v>
      </c>
      <c r="B2600" s="11" t="s">
        <v>1857</v>
      </c>
      <c r="C2600" s="11" t="s">
        <v>1849</v>
      </c>
      <c r="D2600" s="6" t="s">
        <v>1850</v>
      </c>
      <c r="E2600" s="12" t="s">
        <v>5888</v>
      </c>
      <c r="F2600" s="12" t="s">
        <v>6298</v>
      </c>
      <c r="G2600" s="12" t="s">
        <v>6299</v>
      </c>
      <c r="H2600" s="12" t="s">
        <v>6452</v>
      </c>
      <c r="I2600" s="12" t="s">
        <v>6473</v>
      </c>
      <c r="J2600" s="11" t="s">
        <v>2246</v>
      </c>
      <c r="K2600" s="11" t="s">
        <v>2247</v>
      </c>
      <c r="L2600" s="11" t="s">
        <v>5893</v>
      </c>
      <c r="M2600" s="11" t="s">
        <v>1854</v>
      </c>
      <c r="N2600" s="12"/>
      <c r="O2600" s="11" t="s">
        <v>1858</v>
      </c>
      <c r="P2600" s="56"/>
    </row>
    <row r="2601" spans="1:16" ht="15.75" customHeight="1" x14ac:dyDescent="0.2">
      <c r="A2601" s="48">
        <v>391</v>
      </c>
      <c r="B2601" s="11" t="s">
        <v>1857</v>
      </c>
      <c r="C2601" s="11" t="s">
        <v>1849</v>
      </c>
      <c r="D2601" s="6" t="s">
        <v>1850</v>
      </c>
      <c r="E2601" s="12" t="s">
        <v>5888</v>
      </c>
      <c r="F2601" s="12" t="s">
        <v>6298</v>
      </c>
      <c r="G2601" s="12" t="s">
        <v>6302</v>
      </c>
      <c r="H2601" s="12" t="s">
        <v>6313</v>
      </c>
      <c r="I2601" s="12" t="s">
        <v>6474</v>
      </c>
      <c r="J2601" s="11" t="s">
        <v>2246</v>
      </c>
      <c r="K2601" s="11" t="s">
        <v>2247</v>
      </c>
      <c r="L2601" s="11" t="s">
        <v>5893</v>
      </c>
      <c r="M2601" s="11" t="s">
        <v>1854</v>
      </c>
      <c r="N2601" s="12"/>
      <c r="O2601" s="11" t="s">
        <v>1858</v>
      </c>
      <c r="P2601" s="56"/>
    </row>
    <row r="2602" spans="1:16" ht="15.75" customHeight="1" x14ac:dyDescent="0.2">
      <c r="A2602" s="48">
        <v>140</v>
      </c>
      <c r="B2602" s="11" t="s">
        <v>1857</v>
      </c>
      <c r="C2602" s="11" t="s">
        <v>1849</v>
      </c>
      <c r="D2602" s="6" t="s">
        <v>1850</v>
      </c>
      <c r="E2602" s="12" t="s">
        <v>5888</v>
      </c>
      <c r="F2602" s="12" t="s">
        <v>6298</v>
      </c>
      <c r="G2602" s="12" t="s">
        <v>6302</v>
      </c>
      <c r="H2602" s="12" t="s">
        <v>6344</v>
      </c>
      <c r="I2602" s="12" t="s">
        <v>6475</v>
      </c>
      <c r="J2602" s="11" t="s">
        <v>2246</v>
      </c>
      <c r="K2602" s="11" t="s">
        <v>2247</v>
      </c>
      <c r="L2602" s="11" t="s">
        <v>5893</v>
      </c>
      <c r="M2602" s="11" t="s">
        <v>1854</v>
      </c>
      <c r="N2602" s="12"/>
      <c r="O2602" s="11" t="s">
        <v>1860</v>
      </c>
      <c r="P2602" s="56"/>
    </row>
    <row r="2603" spans="1:16" ht="15.75" customHeight="1" x14ac:dyDescent="0.2">
      <c r="A2603" s="48">
        <v>5863</v>
      </c>
      <c r="B2603" s="11" t="s">
        <v>1857</v>
      </c>
      <c r="C2603" s="11" t="s">
        <v>1849</v>
      </c>
      <c r="D2603" s="6" t="s">
        <v>1850</v>
      </c>
      <c r="E2603" s="12" t="s">
        <v>5888</v>
      </c>
      <c r="F2603" s="12" t="s">
        <v>6298</v>
      </c>
      <c r="G2603" s="12" t="s">
        <v>6327</v>
      </c>
      <c r="H2603" s="12" t="s">
        <v>6328</v>
      </c>
      <c r="I2603" s="12" t="s">
        <v>6476</v>
      </c>
      <c r="J2603" s="11" t="s">
        <v>2246</v>
      </c>
      <c r="K2603" s="11" t="s">
        <v>2247</v>
      </c>
      <c r="L2603" s="11" t="s">
        <v>5893</v>
      </c>
      <c r="M2603" s="11" t="s">
        <v>1854</v>
      </c>
      <c r="N2603" s="12"/>
      <c r="O2603" s="11" t="s">
        <v>1858</v>
      </c>
      <c r="P2603" s="56"/>
    </row>
    <row r="2604" spans="1:16" ht="15.75" customHeight="1" x14ac:dyDescent="0.2">
      <c r="A2604" s="48">
        <v>451</v>
      </c>
      <c r="B2604" s="11" t="s">
        <v>1857</v>
      </c>
      <c r="C2604" s="11" t="s">
        <v>1849</v>
      </c>
      <c r="D2604" s="6" t="s">
        <v>1850</v>
      </c>
      <c r="E2604" s="12" t="s">
        <v>5888</v>
      </c>
      <c r="F2604" s="12" t="s">
        <v>6298</v>
      </c>
      <c r="G2604" s="12" t="s">
        <v>6299</v>
      </c>
      <c r="H2604" s="12" t="s">
        <v>6319</v>
      </c>
      <c r="I2604" s="12" t="s">
        <v>6477</v>
      </c>
      <c r="J2604" s="11" t="s">
        <v>2246</v>
      </c>
      <c r="K2604" s="11" t="s">
        <v>2247</v>
      </c>
      <c r="L2604" s="11" t="s">
        <v>5893</v>
      </c>
      <c r="M2604" s="11" t="s">
        <v>6478</v>
      </c>
      <c r="N2604" s="12" t="s">
        <v>6479</v>
      </c>
      <c r="O2604" s="11" t="s">
        <v>1860</v>
      </c>
      <c r="P2604" s="56"/>
    </row>
    <row r="2605" spans="1:16" ht="15.75" customHeight="1" x14ac:dyDescent="0.2">
      <c r="A2605" s="48">
        <v>448</v>
      </c>
      <c r="B2605" s="11" t="s">
        <v>1857</v>
      </c>
      <c r="C2605" s="11" t="s">
        <v>1849</v>
      </c>
      <c r="D2605" s="6" t="s">
        <v>1850</v>
      </c>
      <c r="E2605" s="12" t="s">
        <v>5888</v>
      </c>
      <c r="F2605" s="12" t="s">
        <v>6298</v>
      </c>
      <c r="G2605" s="12" t="s">
        <v>6299</v>
      </c>
      <c r="H2605" s="12" t="s">
        <v>6319</v>
      </c>
      <c r="I2605" s="12" t="s">
        <v>6480</v>
      </c>
      <c r="J2605" s="11" t="s">
        <v>2246</v>
      </c>
      <c r="K2605" s="11" t="s">
        <v>2247</v>
      </c>
      <c r="L2605" s="11" t="s">
        <v>5893</v>
      </c>
      <c r="M2605" s="11" t="s">
        <v>6481</v>
      </c>
      <c r="N2605" s="12"/>
      <c r="O2605" s="11" t="s">
        <v>1860</v>
      </c>
      <c r="P2605" s="56"/>
    </row>
    <row r="2606" spans="1:16" ht="15.75" customHeight="1" x14ac:dyDescent="0.2">
      <c r="A2606" s="48">
        <v>4931</v>
      </c>
      <c r="B2606" s="11" t="s">
        <v>1857</v>
      </c>
      <c r="C2606" s="11" t="s">
        <v>1849</v>
      </c>
      <c r="D2606" s="6" t="s">
        <v>1850</v>
      </c>
      <c r="E2606" s="12" t="s">
        <v>5888</v>
      </c>
      <c r="F2606" s="12" t="s">
        <v>6298</v>
      </c>
      <c r="G2606" s="12" t="s">
        <v>6327</v>
      </c>
      <c r="H2606" s="12" t="s">
        <v>6379</v>
      </c>
      <c r="I2606" s="12" t="s">
        <v>6482</v>
      </c>
      <c r="J2606" s="11" t="s">
        <v>2246</v>
      </c>
      <c r="K2606" s="11" t="s">
        <v>2247</v>
      </c>
      <c r="L2606" s="11" t="s">
        <v>5893</v>
      </c>
      <c r="M2606" s="11" t="s">
        <v>1854</v>
      </c>
      <c r="N2606" s="12"/>
      <c r="O2606" s="11" t="s">
        <v>1858</v>
      </c>
      <c r="P2606" s="56"/>
    </row>
    <row r="2607" spans="1:16" ht="15.75" customHeight="1" x14ac:dyDescent="0.2">
      <c r="A2607" s="48">
        <v>480</v>
      </c>
      <c r="B2607" s="11" t="s">
        <v>1857</v>
      </c>
      <c r="C2607" s="11" t="s">
        <v>1849</v>
      </c>
      <c r="D2607" s="6" t="s">
        <v>1850</v>
      </c>
      <c r="E2607" s="12" t="s">
        <v>5888</v>
      </c>
      <c r="F2607" s="12" t="s">
        <v>6298</v>
      </c>
      <c r="G2607" s="12" t="s">
        <v>6302</v>
      </c>
      <c r="H2607" s="12" t="s">
        <v>6304</v>
      </c>
      <c r="I2607" s="12" t="s">
        <v>6483</v>
      </c>
      <c r="J2607" s="11" t="s">
        <v>2246</v>
      </c>
      <c r="K2607" s="11" t="s">
        <v>2247</v>
      </c>
      <c r="L2607" s="11" t="s">
        <v>5893</v>
      </c>
      <c r="M2607" s="11" t="s">
        <v>1854</v>
      </c>
      <c r="N2607" s="12"/>
      <c r="O2607" s="11" t="s">
        <v>1859</v>
      </c>
      <c r="P2607" s="56"/>
    </row>
    <row r="2608" spans="1:16" ht="15.75" customHeight="1" x14ac:dyDescent="0.2">
      <c r="A2608" s="48">
        <v>4926</v>
      </c>
      <c r="B2608" s="11" t="s">
        <v>1857</v>
      </c>
      <c r="C2608" s="11" t="s">
        <v>1849</v>
      </c>
      <c r="D2608" s="6" t="s">
        <v>1850</v>
      </c>
      <c r="E2608" s="12" t="s">
        <v>5888</v>
      </c>
      <c r="F2608" s="12" t="s">
        <v>6298</v>
      </c>
      <c r="G2608" s="12" t="s">
        <v>6299</v>
      </c>
      <c r="H2608" s="12" t="s">
        <v>6319</v>
      </c>
      <c r="I2608" s="12" t="s">
        <v>6484</v>
      </c>
      <c r="J2608" s="11" t="s">
        <v>2246</v>
      </c>
      <c r="K2608" s="11" t="s">
        <v>2247</v>
      </c>
      <c r="L2608" s="11" t="s">
        <v>5893</v>
      </c>
      <c r="M2608" s="11" t="s">
        <v>1854</v>
      </c>
      <c r="N2608" s="12"/>
      <c r="O2608" s="11" t="s">
        <v>1858</v>
      </c>
      <c r="P2608" s="56"/>
    </row>
    <row r="2609" spans="1:16" ht="15.75" customHeight="1" x14ac:dyDescent="0.2">
      <c r="A2609" s="48">
        <v>426</v>
      </c>
      <c r="B2609" s="11" t="s">
        <v>1857</v>
      </c>
      <c r="C2609" s="11" t="s">
        <v>1849</v>
      </c>
      <c r="D2609" s="6" t="s">
        <v>1850</v>
      </c>
      <c r="E2609" s="12" t="s">
        <v>5888</v>
      </c>
      <c r="F2609" s="12" t="s">
        <v>6298</v>
      </c>
      <c r="G2609" s="12" t="s">
        <v>6302</v>
      </c>
      <c r="H2609" s="12" t="s">
        <v>6303</v>
      </c>
      <c r="I2609" s="12" t="s">
        <v>6485</v>
      </c>
      <c r="J2609" s="11" t="s">
        <v>2246</v>
      </c>
      <c r="K2609" s="11" t="s">
        <v>2247</v>
      </c>
      <c r="L2609" s="11" t="s">
        <v>5893</v>
      </c>
      <c r="M2609" s="11" t="s">
        <v>1854</v>
      </c>
      <c r="N2609" s="12"/>
      <c r="O2609" s="11" t="s">
        <v>1859</v>
      </c>
      <c r="P2609" s="56"/>
    </row>
    <row r="2610" spans="1:16" ht="15.75" customHeight="1" x14ac:dyDescent="0.2">
      <c r="A2610" s="48">
        <v>382</v>
      </c>
      <c r="B2610" s="11" t="s">
        <v>1857</v>
      </c>
      <c r="C2610" s="11" t="s">
        <v>1849</v>
      </c>
      <c r="D2610" s="6" t="s">
        <v>1850</v>
      </c>
      <c r="E2610" s="12" t="s">
        <v>5888</v>
      </c>
      <c r="F2610" s="12" t="s">
        <v>6298</v>
      </c>
      <c r="G2610" s="12" t="s">
        <v>6302</v>
      </c>
      <c r="H2610" s="12" t="s">
        <v>6303</v>
      </c>
      <c r="I2610" s="12" t="s">
        <v>6486</v>
      </c>
      <c r="J2610" s="11" t="s">
        <v>2246</v>
      </c>
      <c r="K2610" s="11" t="s">
        <v>2247</v>
      </c>
      <c r="L2610" s="11" t="s">
        <v>5893</v>
      </c>
      <c r="M2610" s="11" t="s">
        <v>1854</v>
      </c>
      <c r="N2610" s="12"/>
      <c r="O2610" s="11" t="s">
        <v>1858</v>
      </c>
      <c r="P2610" s="56"/>
    </row>
    <row r="2611" spans="1:16" ht="15.75" customHeight="1" x14ac:dyDescent="0.2">
      <c r="A2611" s="48">
        <v>437</v>
      </c>
      <c r="B2611" s="11" t="s">
        <v>1857</v>
      </c>
      <c r="C2611" s="11" t="s">
        <v>1849</v>
      </c>
      <c r="D2611" s="6" t="s">
        <v>1850</v>
      </c>
      <c r="E2611" s="12" t="s">
        <v>5888</v>
      </c>
      <c r="F2611" s="12" t="s">
        <v>6298</v>
      </c>
      <c r="G2611" s="12" t="s">
        <v>6299</v>
      </c>
      <c r="H2611" s="12" t="s">
        <v>6310</v>
      </c>
      <c r="I2611" s="12" t="s">
        <v>6487</v>
      </c>
      <c r="J2611" s="11" t="s">
        <v>2246</v>
      </c>
      <c r="K2611" s="11" t="s">
        <v>2247</v>
      </c>
      <c r="L2611" s="11" t="s">
        <v>5893</v>
      </c>
      <c r="M2611" s="11" t="s">
        <v>1854</v>
      </c>
      <c r="N2611" s="12"/>
      <c r="O2611" s="11" t="s">
        <v>1860</v>
      </c>
      <c r="P2611" s="56"/>
    </row>
    <row r="2612" spans="1:16" ht="15.75" customHeight="1" x14ac:dyDescent="0.2">
      <c r="A2612" s="48">
        <v>184</v>
      </c>
      <c r="B2612" s="11" t="s">
        <v>1857</v>
      </c>
      <c r="C2612" s="11" t="s">
        <v>1849</v>
      </c>
      <c r="D2612" s="6" t="s">
        <v>1850</v>
      </c>
      <c r="E2612" s="12" t="s">
        <v>5888</v>
      </c>
      <c r="F2612" s="12" t="s">
        <v>6298</v>
      </c>
      <c r="G2612" s="12" t="s">
        <v>6331</v>
      </c>
      <c r="H2612" s="12" t="s">
        <v>6365</v>
      </c>
      <c r="I2612" s="12" t="s">
        <v>6488</v>
      </c>
      <c r="J2612" s="11" t="s">
        <v>2246</v>
      </c>
      <c r="K2612" s="11" t="s">
        <v>2247</v>
      </c>
      <c r="L2612" s="11" t="s">
        <v>5893</v>
      </c>
      <c r="M2612" s="11" t="s">
        <v>3222</v>
      </c>
      <c r="N2612" s="12" t="s">
        <v>6489</v>
      </c>
      <c r="O2612" s="11" t="s">
        <v>1858</v>
      </c>
      <c r="P2612" s="56"/>
    </row>
    <row r="2613" spans="1:16" ht="15.75" customHeight="1" x14ac:dyDescent="0.2">
      <c r="A2613" s="48">
        <v>5851</v>
      </c>
      <c r="B2613" s="11" t="s">
        <v>1857</v>
      </c>
      <c r="C2613" s="11" t="s">
        <v>1849</v>
      </c>
      <c r="D2613" s="6" t="s">
        <v>1850</v>
      </c>
      <c r="E2613" s="12" t="s">
        <v>5888</v>
      </c>
      <c r="F2613" s="12" t="s">
        <v>6298</v>
      </c>
      <c r="G2613" s="12" t="s">
        <v>6302</v>
      </c>
      <c r="H2613" s="12" t="s">
        <v>6313</v>
      </c>
      <c r="I2613" s="12" t="s">
        <v>4785</v>
      </c>
      <c r="J2613" s="11" t="s">
        <v>2246</v>
      </c>
      <c r="K2613" s="11" t="s">
        <v>2247</v>
      </c>
      <c r="L2613" s="11" t="s">
        <v>5893</v>
      </c>
      <c r="M2613" s="11" t="s">
        <v>2460</v>
      </c>
      <c r="N2613" s="12"/>
      <c r="O2613" s="11" t="s">
        <v>1859</v>
      </c>
      <c r="P2613" s="56"/>
    </row>
    <row r="2614" spans="1:16" ht="15.75" customHeight="1" x14ac:dyDescent="0.2">
      <c r="A2614" s="48">
        <v>106</v>
      </c>
      <c r="B2614" s="11" t="s">
        <v>1857</v>
      </c>
      <c r="C2614" s="11" t="s">
        <v>1849</v>
      </c>
      <c r="D2614" s="6" t="s">
        <v>1850</v>
      </c>
      <c r="E2614" s="12" t="s">
        <v>5888</v>
      </c>
      <c r="F2614" s="12" t="s">
        <v>6298</v>
      </c>
      <c r="G2614" s="12" t="s">
        <v>6331</v>
      </c>
      <c r="H2614" s="12" t="s">
        <v>6369</v>
      </c>
      <c r="I2614" s="12" t="s">
        <v>6490</v>
      </c>
      <c r="J2614" s="11" t="s">
        <v>2246</v>
      </c>
      <c r="K2614" s="11" t="s">
        <v>2247</v>
      </c>
      <c r="L2614" s="11" t="s">
        <v>5893</v>
      </c>
      <c r="M2614" s="11" t="s">
        <v>1854</v>
      </c>
      <c r="N2614" s="12"/>
      <c r="O2614" s="11" t="s">
        <v>1869</v>
      </c>
      <c r="P2614" s="56"/>
    </row>
    <row r="2615" spans="1:16" ht="15.75" customHeight="1" x14ac:dyDescent="0.2">
      <c r="A2615" s="48">
        <v>425</v>
      </c>
      <c r="B2615" s="11" t="s">
        <v>1857</v>
      </c>
      <c r="C2615" s="11" t="s">
        <v>1849</v>
      </c>
      <c r="D2615" s="6" t="s">
        <v>1850</v>
      </c>
      <c r="E2615" s="12" t="s">
        <v>5888</v>
      </c>
      <c r="F2615" s="12" t="s">
        <v>6298</v>
      </c>
      <c r="G2615" s="12" t="s">
        <v>6302</v>
      </c>
      <c r="H2615" s="12" t="s">
        <v>6303</v>
      </c>
      <c r="I2615" s="12" t="s">
        <v>6491</v>
      </c>
      <c r="J2615" s="11" t="s">
        <v>2246</v>
      </c>
      <c r="K2615" s="11" t="s">
        <v>2247</v>
      </c>
      <c r="L2615" s="11" t="s">
        <v>5893</v>
      </c>
      <c r="M2615" s="11" t="s">
        <v>1854</v>
      </c>
      <c r="N2615" s="12"/>
      <c r="O2615" s="11" t="s">
        <v>1860</v>
      </c>
      <c r="P2615" s="56"/>
    </row>
    <row r="2616" spans="1:16" ht="15.75" customHeight="1" x14ac:dyDescent="0.2">
      <c r="A2616" s="48">
        <v>4928</v>
      </c>
      <c r="B2616" s="11" t="s">
        <v>1857</v>
      </c>
      <c r="C2616" s="11" t="s">
        <v>1849</v>
      </c>
      <c r="D2616" s="6" t="s">
        <v>1850</v>
      </c>
      <c r="E2616" s="12" t="s">
        <v>5888</v>
      </c>
      <c r="F2616" s="12" t="s">
        <v>6298</v>
      </c>
      <c r="G2616" s="12" t="s">
        <v>6299</v>
      </c>
      <c r="H2616" s="12" t="s">
        <v>6319</v>
      </c>
      <c r="I2616" s="12" t="s">
        <v>6058</v>
      </c>
      <c r="J2616" s="11" t="s">
        <v>2246</v>
      </c>
      <c r="K2616" s="11" t="s">
        <v>2247</v>
      </c>
      <c r="L2616" s="11" t="s">
        <v>5893</v>
      </c>
      <c r="M2616" s="11" t="s">
        <v>1854</v>
      </c>
      <c r="N2616" s="12"/>
      <c r="O2616" s="11" t="s">
        <v>1859</v>
      </c>
      <c r="P2616" s="56"/>
    </row>
    <row r="2617" spans="1:16" ht="15.75" customHeight="1" x14ac:dyDescent="0.2">
      <c r="A2617" s="48">
        <v>435</v>
      </c>
      <c r="B2617" s="11" t="s">
        <v>1857</v>
      </c>
      <c r="C2617" s="11" t="s">
        <v>1849</v>
      </c>
      <c r="D2617" s="6" t="s">
        <v>1850</v>
      </c>
      <c r="E2617" s="12" t="s">
        <v>5888</v>
      </c>
      <c r="F2617" s="12" t="s">
        <v>6298</v>
      </c>
      <c r="G2617" s="12" t="s">
        <v>6299</v>
      </c>
      <c r="H2617" s="12" t="s">
        <v>6310</v>
      </c>
      <c r="I2617" s="12" t="s">
        <v>6492</v>
      </c>
      <c r="J2617" s="11" t="s">
        <v>2246</v>
      </c>
      <c r="K2617" s="11" t="s">
        <v>2247</v>
      </c>
      <c r="L2617" s="11" t="s">
        <v>5893</v>
      </c>
      <c r="M2617" s="11" t="s">
        <v>1862</v>
      </c>
      <c r="N2617" s="12"/>
      <c r="O2617" s="11" t="s">
        <v>1858</v>
      </c>
      <c r="P2617" s="56"/>
    </row>
    <row r="2618" spans="1:16" ht="15.75" customHeight="1" x14ac:dyDescent="0.2">
      <c r="A2618" s="48">
        <v>504</v>
      </c>
      <c r="B2618" s="11" t="s">
        <v>1857</v>
      </c>
      <c r="C2618" s="11" t="s">
        <v>1849</v>
      </c>
      <c r="D2618" s="6" t="s">
        <v>1850</v>
      </c>
      <c r="E2618" s="12" t="s">
        <v>5888</v>
      </c>
      <c r="F2618" s="12" t="s">
        <v>6298</v>
      </c>
      <c r="G2618" s="12" t="s">
        <v>6302</v>
      </c>
      <c r="H2618" s="12" t="s">
        <v>6303</v>
      </c>
      <c r="I2618" s="12" t="s">
        <v>6493</v>
      </c>
      <c r="J2618" s="11" t="s">
        <v>2246</v>
      </c>
      <c r="K2618" s="11" t="s">
        <v>2247</v>
      </c>
      <c r="L2618" s="11" t="s">
        <v>5893</v>
      </c>
      <c r="M2618" s="11" t="s">
        <v>1854</v>
      </c>
      <c r="N2618" s="12"/>
      <c r="O2618" s="11" t="s">
        <v>1858</v>
      </c>
      <c r="P2618" s="56"/>
    </row>
    <row r="2619" spans="1:16" ht="15.75" customHeight="1" x14ac:dyDescent="0.2">
      <c r="A2619" s="48">
        <v>433</v>
      </c>
      <c r="B2619" s="11" t="s">
        <v>1857</v>
      </c>
      <c r="C2619" s="11" t="s">
        <v>1849</v>
      </c>
      <c r="D2619" s="6" t="s">
        <v>1850</v>
      </c>
      <c r="E2619" s="12" t="s">
        <v>5888</v>
      </c>
      <c r="F2619" s="12" t="s">
        <v>6298</v>
      </c>
      <c r="G2619" s="12" t="s">
        <v>6299</v>
      </c>
      <c r="H2619" s="12" t="s">
        <v>6428</v>
      </c>
      <c r="I2619" s="12" t="s">
        <v>6494</v>
      </c>
      <c r="J2619" s="11" t="s">
        <v>2246</v>
      </c>
      <c r="K2619" s="11" t="s">
        <v>2247</v>
      </c>
      <c r="L2619" s="11" t="s">
        <v>5893</v>
      </c>
      <c r="M2619" s="11" t="s">
        <v>1854</v>
      </c>
      <c r="N2619" s="12"/>
      <c r="O2619" s="11" t="s">
        <v>1858</v>
      </c>
      <c r="P2619" s="56"/>
    </row>
    <row r="2620" spans="1:16" ht="15.75" customHeight="1" x14ac:dyDescent="0.2">
      <c r="A2620" s="48">
        <v>486</v>
      </c>
      <c r="B2620" s="11" t="s">
        <v>1857</v>
      </c>
      <c r="C2620" s="11" t="s">
        <v>1849</v>
      </c>
      <c r="D2620" s="6" t="s">
        <v>1850</v>
      </c>
      <c r="E2620" s="12" t="s">
        <v>5888</v>
      </c>
      <c r="F2620" s="12" t="s">
        <v>6298</v>
      </c>
      <c r="G2620" s="12" t="s">
        <v>6299</v>
      </c>
      <c r="H2620" s="12" t="s">
        <v>6299</v>
      </c>
      <c r="I2620" s="12" t="s">
        <v>6495</v>
      </c>
      <c r="J2620" s="11" t="s">
        <v>2246</v>
      </c>
      <c r="K2620" s="11" t="s">
        <v>2247</v>
      </c>
      <c r="L2620" s="11" t="s">
        <v>5893</v>
      </c>
      <c r="M2620" s="11" t="s">
        <v>1854</v>
      </c>
      <c r="N2620" s="12"/>
      <c r="O2620" s="11" t="s">
        <v>1858</v>
      </c>
      <c r="P2620" s="56"/>
    </row>
    <row r="2621" spans="1:16" ht="15.75" customHeight="1" x14ac:dyDescent="0.2">
      <c r="A2621" s="48">
        <v>511</v>
      </c>
      <c r="B2621" s="11" t="s">
        <v>1857</v>
      </c>
      <c r="C2621" s="11" t="s">
        <v>1849</v>
      </c>
      <c r="D2621" s="6" t="s">
        <v>1850</v>
      </c>
      <c r="E2621" s="12" t="s">
        <v>5888</v>
      </c>
      <c r="F2621" s="12" t="s">
        <v>6298</v>
      </c>
      <c r="G2621" s="12" t="s">
        <v>6302</v>
      </c>
      <c r="H2621" s="12" t="s">
        <v>6344</v>
      </c>
      <c r="I2621" s="12" t="s">
        <v>6496</v>
      </c>
      <c r="J2621" s="11" t="s">
        <v>2246</v>
      </c>
      <c r="K2621" s="11" t="s">
        <v>2247</v>
      </c>
      <c r="L2621" s="11" t="s">
        <v>5893</v>
      </c>
      <c r="M2621" s="11" t="s">
        <v>1854</v>
      </c>
      <c r="N2621" s="12"/>
      <c r="O2621" s="11" t="s">
        <v>1860</v>
      </c>
      <c r="P2621" s="56"/>
    </row>
    <row r="2622" spans="1:16" ht="15.75" customHeight="1" x14ac:dyDescent="0.2">
      <c r="A2622" s="48">
        <v>159</v>
      </c>
      <c r="B2622" s="11" t="s">
        <v>1857</v>
      </c>
      <c r="C2622" s="11" t="s">
        <v>1849</v>
      </c>
      <c r="D2622" s="6" t="s">
        <v>1850</v>
      </c>
      <c r="E2622" s="12" t="s">
        <v>5888</v>
      </c>
      <c r="F2622" s="12" t="s">
        <v>6298</v>
      </c>
      <c r="G2622" s="12" t="s">
        <v>6327</v>
      </c>
      <c r="H2622" s="12" t="s">
        <v>6336</v>
      </c>
      <c r="I2622" s="12" t="s">
        <v>6497</v>
      </c>
      <c r="J2622" s="11" t="s">
        <v>2246</v>
      </c>
      <c r="K2622" s="11" t="s">
        <v>2247</v>
      </c>
      <c r="L2622" s="11" t="s">
        <v>5893</v>
      </c>
      <c r="M2622" s="11" t="s">
        <v>2425</v>
      </c>
      <c r="N2622" s="12"/>
      <c r="O2622" s="11" t="s">
        <v>1858</v>
      </c>
      <c r="P2622" s="56"/>
    </row>
    <row r="2623" spans="1:16" ht="15.75" customHeight="1" x14ac:dyDescent="0.2">
      <c r="A2623" s="48">
        <v>152</v>
      </c>
      <c r="B2623" s="11" t="s">
        <v>1857</v>
      </c>
      <c r="C2623" s="11" t="s">
        <v>1849</v>
      </c>
      <c r="D2623" s="6" t="s">
        <v>1850</v>
      </c>
      <c r="E2623" s="12" t="s">
        <v>5888</v>
      </c>
      <c r="F2623" s="12" t="s">
        <v>6298</v>
      </c>
      <c r="G2623" s="12" t="s">
        <v>6331</v>
      </c>
      <c r="H2623" s="12" t="s">
        <v>6331</v>
      </c>
      <c r="I2623" s="12" t="s">
        <v>6498</v>
      </c>
      <c r="J2623" s="11" t="s">
        <v>2246</v>
      </c>
      <c r="K2623" s="11" t="s">
        <v>2247</v>
      </c>
      <c r="L2623" s="11" t="s">
        <v>5893</v>
      </c>
      <c r="M2623" s="11" t="s">
        <v>2096</v>
      </c>
      <c r="N2623" s="12"/>
      <c r="O2623" s="11" t="s">
        <v>1858</v>
      </c>
      <c r="P2623" s="56"/>
    </row>
    <row r="2624" spans="1:16" ht="15.75" customHeight="1" x14ac:dyDescent="0.2">
      <c r="A2624" s="48">
        <v>197</v>
      </c>
      <c r="B2624" s="11" t="s">
        <v>1857</v>
      </c>
      <c r="C2624" s="11" t="s">
        <v>1849</v>
      </c>
      <c r="D2624" s="6" t="s">
        <v>1850</v>
      </c>
      <c r="E2624" s="12" t="s">
        <v>5888</v>
      </c>
      <c r="F2624" s="12" t="s">
        <v>6298</v>
      </c>
      <c r="G2624" s="12" t="s">
        <v>6331</v>
      </c>
      <c r="H2624" s="12" t="s">
        <v>6365</v>
      </c>
      <c r="I2624" s="12" t="s">
        <v>6499</v>
      </c>
      <c r="J2624" s="11" t="s">
        <v>2246</v>
      </c>
      <c r="K2624" s="11" t="s">
        <v>2247</v>
      </c>
      <c r="L2624" s="11" t="s">
        <v>5893</v>
      </c>
      <c r="M2624" s="11" t="s">
        <v>1854</v>
      </c>
      <c r="N2624" s="12"/>
      <c r="O2624" s="11" t="s">
        <v>1858</v>
      </c>
      <c r="P2624" s="56"/>
    </row>
    <row r="2625" spans="1:16" ht="15.75" customHeight="1" x14ac:dyDescent="0.2">
      <c r="A2625" s="48">
        <v>195</v>
      </c>
      <c r="B2625" s="11" t="s">
        <v>1857</v>
      </c>
      <c r="C2625" s="11" t="s">
        <v>1849</v>
      </c>
      <c r="D2625" s="6" t="s">
        <v>1850</v>
      </c>
      <c r="E2625" s="12" t="s">
        <v>5888</v>
      </c>
      <c r="F2625" s="12" t="s">
        <v>6298</v>
      </c>
      <c r="G2625" s="12" t="s">
        <v>6331</v>
      </c>
      <c r="H2625" s="12" t="s">
        <v>3661</v>
      </c>
      <c r="I2625" s="12" t="s">
        <v>6500</v>
      </c>
      <c r="J2625" s="11" t="s">
        <v>2246</v>
      </c>
      <c r="K2625" s="11" t="s">
        <v>2247</v>
      </c>
      <c r="L2625" s="11" t="s">
        <v>5893</v>
      </c>
      <c r="M2625" s="11" t="s">
        <v>1854</v>
      </c>
      <c r="N2625" s="12"/>
      <c r="O2625" s="11" t="s">
        <v>1858</v>
      </c>
      <c r="P2625" s="56"/>
    </row>
    <row r="2626" spans="1:16" ht="15.75" customHeight="1" x14ac:dyDescent="0.2">
      <c r="A2626" s="48">
        <v>532</v>
      </c>
      <c r="B2626" s="11" t="s">
        <v>1857</v>
      </c>
      <c r="C2626" s="11" t="s">
        <v>1849</v>
      </c>
      <c r="D2626" s="6" t="s">
        <v>1850</v>
      </c>
      <c r="E2626" s="12" t="s">
        <v>5888</v>
      </c>
      <c r="F2626" s="12" t="s">
        <v>6298</v>
      </c>
      <c r="G2626" s="12" t="s">
        <v>6327</v>
      </c>
      <c r="H2626" s="12" t="s">
        <v>6336</v>
      </c>
      <c r="I2626" s="12" t="s">
        <v>6501</v>
      </c>
      <c r="J2626" s="11" t="s">
        <v>2246</v>
      </c>
      <c r="K2626" s="11" t="s">
        <v>2247</v>
      </c>
      <c r="L2626" s="11" t="s">
        <v>5893</v>
      </c>
      <c r="M2626" s="11" t="s">
        <v>1854</v>
      </c>
      <c r="N2626" s="12"/>
      <c r="O2626" s="11" t="s">
        <v>1860</v>
      </c>
      <c r="P2626" s="56"/>
    </row>
    <row r="2627" spans="1:16" ht="15.75" customHeight="1" x14ac:dyDescent="0.2">
      <c r="A2627" s="48">
        <v>137</v>
      </c>
      <c r="B2627" s="11" t="s">
        <v>1857</v>
      </c>
      <c r="C2627" s="11" t="s">
        <v>1849</v>
      </c>
      <c r="D2627" s="6" t="s">
        <v>1850</v>
      </c>
      <c r="E2627" s="12" t="s">
        <v>5888</v>
      </c>
      <c r="F2627" s="12" t="s">
        <v>6298</v>
      </c>
      <c r="G2627" s="12" t="s">
        <v>6331</v>
      </c>
      <c r="H2627" s="12" t="s">
        <v>6331</v>
      </c>
      <c r="I2627" s="12" t="s">
        <v>6502</v>
      </c>
      <c r="J2627" s="11" t="s">
        <v>2246</v>
      </c>
      <c r="K2627" s="11" t="s">
        <v>2247</v>
      </c>
      <c r="L2627" s="11" t="s">
        <v>5893</v>
      </c>
      <c r="M2627" s="11" t="s">
        <v>2053</v>
      </c>
      <c r="N2627" s="12"/>
      <c r="O2627" s="11" t="s">
        <v>1858</v>
      </c>
      <c r="P2627" s="56"/>
    </row>
    <row r="2628" spans="1:16" ht="15.75" customHeight="1" x14ac:dyDescent="0.2">
      <c r="A2628" s="48">
        <v>114</v>
      </c>
      <c r="B2628" s="11" t="s">
        <v>1857</v>
      </c>
      <c r="C2628" s="11" t="s">
        <v>1849</v>
      </c>
      <c r="D2628" s="6" t="s">
        <v>1850</v>
      </c>
      <c r="E2628" s="12" t="s">
        <v>5888</v>
      </c>
      <c r="F2628" s="12" t="s">
        <v>6298</v>
      </c>
      <c r="G2628" s="12" t="s">
        <v>6331</v>
      </c>
      <c r="H2628" s="12" t="s">
        <v>3661</v>
      </c>
      <c r="I2628" s="12" t="s">
        <v>6503</v>
      </c>
      <c r="J2628" s="11" t="s">
        <v>2246</v>
      </c>
      <c r="K2628" s="11" t="s">
        <v>2247</v>
      </c>
      <c r="L2628" s="11" t="s">
        <v>5893</v>
      </c>
      <c r="M2628" s="11" t="s">
        <v>1854</v>
      </c>
      <c r="N2628" s="12"/>
      <c r="O2628" s="11" t="s">
        <v>1858</v>
      </c>
      <c r="P2628" s="56"/>
    </row>
    <row r="2629" spans="1:16" ht="15.75" customHeight="1" x14ac:dyDescent="0.2">
      <c r="A2629" s="48">
        <v>201</v>
      </c>
      <c r="B2629" s="11" t="s">
        <v>1857</v>
      </c>
      <c r="C2629" s="11" t="s">
        <v>1849</v>
      </c>
      <c r="D2629" s="6" t="s">
        <v>1850</v>
      </c>
      <c r="E2629" s="12" t="s">
        <v>5888</v>
      </c>
      <c r="F2629" s="12" t="s">
        <v>6298</v>
      </c>
      <c r="G2629" s="12" t="s">
        <v>6331</v>
      </c>
      <c r="H2629" s="12" t="s">
        <v>3661</v>
      </c>
      <c r="I2629" s="12" t="s">
        <v>6504</v>
      </c>
      <c r="J2629" s="11" t="s">
        <v>2246</v>
      </c>
      <c r="K2629" s="11" t="s">
        <v>2247</v>
      </c>
      <c r="L2629" s="11" t="s">
        <v>5893</v>
      </c>
      <c r="M2629" s="11" t="s">
        <v>2425</v>
      </c>
      <c r="N2629" s="12"/>
      <c r="O2629" s="11" t="s">
        <v>1858</v>
      </c>
      <c r="P2629" s="56"/>
    </row>
    <row r="2630" spans="1:16" ht="15.75" customHeight="1" x14ac:dyDescent="0.2">
      <c r="A2630" s="48">
        <v>182</v>
      </c>
      <c r="B2630" s="11" t="s">
        <v>1857</v>
      </c>
      <c r="C2630" s="11" t="s">
        <v>1849</v>
      </c>
      <c r="D2630" s="6" t="s">
        <v>1850</v>
      </c>
      <c r="E2630" s="12" t="s">
        <v>5888</v>
      </c>
      <c r="F2630" s="12" t="s">
        <v>6298</v>
      </c>
      <c r="G2630" s="12" t="s">
        <v>6331</v>
      </c>
      <c r="H2630" s="12" t="s">
        <v>3661</v>
      </c>
      <c r="I2630" s="12" t="s">
        <v>6505</v>
      </c>
      <c r="J2630" s="11" t="s">
        <v>2246</v>
      </c>
      <c r="K2630" s="11" t="s">
        <v>2247</v>
      </c>
      <c r="L2630" s="11" t="s">
        <v>5893</v>
      </c>
      <c r="M2630" s="11" t="s">
        <v>2329</v>
      </c>
      <c r="N2630" s="12" t="s">
        <v>6506</v>
      </c>
      <c r="O2630" s="11" t="s">
        <v>1858</v>
      </c>
      <c r="P2630" s="56"/>
    </row>
    <row r="2631" spans="1:16" ht="15.75" customHeight="1" x14ac:dyDescent="0.2">
      <c r="A2631" s="48">
        <v>198</v>
      </c>
      <c r="B2631" s="11" t="s">
        <v>1857</v>
      </c>
      <c r="C2631" s="11" t="s">
        <v>1849</v>
      </c>
      <c r="D2631" s="6" t="s">
        <v>1850</v>
      </c>
      <c r="E2631" s="12" t="s">
        <v>5888</v>
      </c>
      <c r="F2631" s="12" t="s">
        <v>6298</v>
      </c>
      <c r="G2631" s="12" t="s">
        <v>6331</v>
      </c>
      <c r="H2631" s="12" t="s">
        <v>3661</v>
      </c>
      <c r="I2631" s="12" t="s">
        <v>6507</v>
      </c>
      <c r="J2631" s="11" t="s">
        <v>2246</v>
      </c>
      <c r="K2631" s="11" t="s">
        <v>2247</v>
      </c>
      <c r="L2631" s="11" t="s">
        <v>5893</v>
      </c>
      <c r="M2631" s="11" t="s">
        <v>1854</v>
      </c>
      <c r="N2631" s="12"/>
      <c r="O2631" s="11" t="s">
        <v>1858</v>
      </c>
      <c r="P2631" s="56"/>
    </row>
    <row r="2632" spans="1:16" ht="15.75" customHeight="1" x14ac:dyDescent="0.2">
      <c r="A2632" s="48">
        <v>5316</v>
      </c>
      <c r="B2632" s="11" t="s">
        <v>1857</v>
      </c>
      <c r="C2632" s="11" t="s">
        <v>1849</v>
      </c>
      <c r="D2632" s="6" t="s">
        <v>1850</v>
      </c>
      <c r="E2632" s="12" t="s">
        <v>5888</v>
      </c>
      <c r="F2632" s="12" t="s">
        <v>6298</v>
      </c>
      <c r="G2632" s="12" t="s">
        <v>6331</v>
      </c>
      <c r="H2632" s="12" t="s">
        <v>6332</v>
      </c>
      <c r="I2632" s="12" t="s">
        <v>6508</v>
      </c>
      <c r="J2632" s="11" t="s">
        <v>2246</v>
      </c>
      <c r="K2632" s="11" t="s">
        <v>2247</v>
      </c>
      <c r="L2632" s="11" t="s">
        <v>5893</v>
      </c>
      <c r="M2632" s="11" t="s">
        <v>2460</v>
      </c>
      <c r="N2632" s="12"/>
      <c r="O2632" s="11" t="s">
        <v>1859</v>
      </c>
      <c r="P2632" s="56"/>
    </row>
    <row r="2633" spans="1:16" ht="15.75" customHeight="1" x14ac:dyDescent="0.2">
      <c r="A2633" s="48">
        <v>541</v>
      </c>
      <c r="B2633" s="11" t="s">
        <v>1857</v>
      </c>
      <c r="C2633" s="11" t="s">
        <v>1849</v>
      </c>
      <c r="D2633" s="6" t="s">
        <v>1850</v>
      </c>
      <c r="E2633" s="12" t="s">
        <v>5888</v>
      </c>
      <c r="F2633" s="12" t="s">
        <v>6298</v>
      </c>
      <c r="G2633" s="12" t="s">
        <v>6331</v>
      </c>
      <c r="H2633" s="12" t="s">
        <v>6331</v>
      </c>
      <c r="I2633" s="12" t="s">
        <v>6509</v>
      </c>
      <c r="J2633" s="11" t="s">
        <v>2246</v>
      </c>
      <c r="K2633" s="11" t="s">
        <v>2247</v>
      </c>
      <c r="L2633" s="11" t="s">
        <v>5893</v>
      </c>
      <c r="M2633" s="11" t="s">
        <v>1854</v>
      </c>
      <c r="N2633" s="12"/>
      <c r="O2633" s="11" t="s">
        <v>1859</v>
      </c>
      <c r="P2633" s="56"/>
    </row>
    <row r="2634" spans="1:16" ht="15.75" customHeight="1" x14ac:dyDescent="0.2">
      <c r="A2634" s="48">
        <v>180</v>
      </c>
      <c r="B2634" s="11" t="s">
        <v>1857</v>
      </c>
      <c r="C2634" s="11" t="s">
        <v>1849</v>
      </c>
      <c r="D2634" s="6" t="s">
        <v>1850</v>
      </c>
      <c r="E2634" s="12" t="s">
        <v>5888</v>
      </c>
      <c r="F2634" s="12" t="s">
        <v>6298</v>
      </c>
      <c r="G2634" s="12" t="s">
        <v>6331</v>
      </c>
      <c r="H2634" s="12" t="s">
        <v>3661</v>
      </c>
      <c r="I2634" s="12" t="s">
        <v>6510</v>
      </c>
      <c r="J2634" s="11" t="s">
        <v>2246</v>
      </c>
      <c r="K2634" s="11" t="s">
        <v>2247</v>
      </c>
      <c r="L2634" s="11" t="s">
        <v>5893</v>
      </c>
      <c r="M2634" s="11" t="s">
        <v>1854</v>
      </c>
      <c r="N2634" s="12"/>
      <c r="O2634" s="11" t="s">
        <v>6511</v>
      </c>
      <c r="P2634" s="56"/>
    </row>
    <row r="2635" spans="1:16" ht="15.75" customHeight="1" x14ac:dyDescent="0.2">
      <c r="A2635" s="48">
        <v>5859</v>
      </c>
      <c r="B2635" s="11" t="s">
        <v>1857</v>
      </c>
      <c r="C2635" s="11" t="s">
        <v>1849</v>
      </c>
      <c r="D2635" s="6" t="s">
        <v>1850</v>
      </c>
      <c r="E2635" s="12" t="s">
        <v>5888</v>
      </c>
      <c r="F2635" s="12" t="s">
        <v>6298</v>
      </c>
      <c r="G2635" s="12" t="s">
        <v>6331</v>
      </c>
      <c r="H2635" s="12" t="s">
        <v>6369</v>
      </c>
      <c r="I2635" s="12" t="s">
        <v>6512</v>
      </c>
      <c r="J2635" s="11" t="s">
        <v>2246</v>
      </c>
      <c r="K2635" s="11" t="s">
        <v>2247</v>
      </c>
      <c r="L2635" s="11" t="s">
        <v>5893</v>
      </c>
      <c r="M2635" s="11" t="s">
        <v>1854</v>
      </c>
      <c r="N2635" s="12"/>
      <c r="O2635" s="11" t="s">
        <v>1858</v>
      </c>
      <c r="P2635" s="56"/>
    </row>
    <row r="2636" spans="1:16" ht="15.75" customHeight="1" x14ac:dyDescent="0.2">
      <c r="A2636" s="48">
        <v>539</v>
      </c>
      <c r="B2636" s="11" t="s">
        <v>1857</v>
      </c>
      <c r="C2636" s="11" t="s">
        <v>1849</v>
      </c>
      <c r="D2636" s="6" t="s">
        <v>1850</v>
      </c>
      <c r="E2636" s="12" t="s">
        <v>5888</v>
      </c>
      <c r="F2636" s="12" t="s">
        <v>6298</v>
      </c>
      <c r="G2636" s="12" t="s">
        <v>6331</v>
      </c>
      <c r="H2636" s="12" t="s">
        <v>6365</v>
      </c>
      <c r="I2636" s="12" t="s">
        <v>6513</v>
      </c>
      <c r="J2636" s="11" t="s">
        <v>2246</v>
      </c>
      <c r="K2636" s="11" t="s">
        <v>2247</v>
      </c>
      <c r="L2636" s="11" t="s">
        <v>5893</v>
      </c>
      <c r="M2636" s="11" t="s">
        <v>1854</v>
      </c>
      <c r="N2636" s="12"/>
      <c r="O2636" s="11" t="s">
        <v>1858</v>
      </c>
      <c r="P2636" s="56"/>
    </row>
    <row r="2637" spans="1:16" ht="15.75" customHeight="1" x14ac:dyDescent="0.2">
      <c r="A2637" s="48">
        <v>165</v>
      </c>
      <c r="B2637" s="11" t="s">
        <v>1857</v>
      </c>
      <c r="C2637" s="11" t="s">
        <v>1849</v>
      </c>
      <c r="D2637" s="6" t="s">
        <v>1850</v>
      </c>
      <c r="E2637" s="12" t="s">
        <v>5888</v>
      </c>
      <c r="F2637" s="12" t="s">
        <v>6298</v>
      </c>
      <c r="G2637" s="12" t="s">
        <v>6327</v>
      </c>
      <c r="H2637" s="12" t="s">
        <v>6336</v>
      </c>
      <c r="I2637" s="12" t="s">
        <v>4573</v>
      </c>
      <c r="J2637" s="11" t="s">
        <v>2246</v>
      </c>
      <c r="K2637" s="11" t="s">
        <v>2247</v>
      </c>
      <c r="L2637" s="11" t="s">
        <v>5893</v>
      </c>
      <c r="M2637" s="11" t="s">
        <v>2425</v>
      </c>
      <c r="N2637" s="12" t="s">
        <v>6514</v>
      </c>
      <c r="O2637" s="11" t="s">
        <v>1858</v>
      </c>
      <c r="P2637" s="56"/>
    </row>
    <row r="2638" spans="1:16" ht="15.75" customHeight="1" x14ac:dyDescent="0.2">
      <c r="A2638" s="48">
        <v>5866</v>
      </c>
      <c r="B2638" s="11" t="s">
        <v>1857</v>
      </c>
      <c r="C2638" s="11" t="s">
        <v>1849</v>
      </c>
      <c r="D2638" s="6" t="s">
        <v>1850</v>
      </c>
      <c r="E2638" s="12" t="s">
        <v>5888</v>
      </c>
      <c r="F2638" s="12" t="s">
        <v>6298</v>
      </c>
      <c r="G2638" s="12" t="s">
        <v>6331</v>
      </c>
      <c r="H2638" s="12" t="s">
        <v>6369</v>
      </c>
      <c r="I2638" s="12" t="s">
        <v>6515</v>
      </c>
      <c r="J2638" s="11" t="s">
        <v>2246</v>
      </c>
      <c r="K2638" s="11" t="s">
        <v>2247</v>
      </c>
      <c r="L2638" s="11" t="s">
        <v>5893</v>
      </c>
      <c r="M2638" s="11" t="s">
        <v>1854</v>
      </c>
      <c r="N2638" s="12"/>
      <c r="O2638" s="11" t="s">
        <v>1858</v>
      </c>
      <c r="P2638" s="56"/>
    </row>
    <row r="2639" spans="1:16" ht="15.75" customHeight="1" x14ac:dyDescent="0.2">
      <c r="A2639" s="48">
        <v>386</v>
      </c>
      <c r="B2639" s="11" t="s">
        <v>1857</v>
      </c>
      <c r="C2639" s="11" t="s">
        <v>1849</v>
      </c>
      <c r="D2639" s="6" t="s">
        <v>1850</v>
      </c>
      <c r="E2639" s="12" t="s">
        <v>5888</v>
      </c>
      <c r="F2639" s="12" t="s">
        <v>6298</v>
      </c>
      <c r="G2639" s="12" t="s">
        <v>6299</v>
      </c>
      <c r="H2639" s="12" t="s">
        <v>6319</v>
      </c>
      <c r="I2639" s="11" t="s">
        <v>6516</v>
      </c>
      <c r="J2639" s="11" t="s">
        <v>2246</v>
      </c>
      <c r="K2639" s="11" t="s">
        <v>2247</v>
      </c>
      <c r="L2639" s="11" t="s">
        <v>5893</v>
      </c>
      <c r="M2639" s="11" t="s">
        <v>1854</v>
      </c>
      <c r="N2639" s="12"/>
      <c r="O2639" s="11" t="s">
        <v>1858</v>
      </c>
      <c r="P2639" s="56"/>
    </row>
    <row r="2640" spans="1:16" ht="15.75" customHeight="1" x14ac:dyDescent="0.2">
      <c r="A2640" s="48">
        <v>5852</v>
      </c>
      <c r="B2640" s="11" t="s">
        <v>1857</v>
      </c>
      <c r="C2640" s="11" t="s">
        <v>1849</v>
      </c>
      <c r="D2640" s="6" t="s">
        <v>1850</v>
      </c>
      <c r="E2640" s="12" t="s">
        <v>5888</v>
      </c>
      <c r="F2640" s="12" t="s">
        <v>6298</v>
      </c>
      <c r="G2640" s="12" t="s">
        <v>6302</v>
      </c>
      <c r="H2640" s="12" t="s">
        <v>6313</v>
      </c>
      <c r="I2640" s="11" t="s">
        <v>3001</v>
      </c>
      <c r="J2640" s="11" t="s">
        <v>2246</v>
      </c>
      <c r="K2640" s="11" t="s">
        <v>2247</v>
      </c>
      <c r="L2640" s="11" t="s">
        <v>5893</v>
      </c>
      <c r="M2640" s="11" t="s">
        <v>1854</v>
      </c>
      <c r="N2640" s="12"/>
      <c r="O2640" s="11" t="s">
        <v>1858</v>
      </c>
      <c r="P2640" s="56"/>
    </row>
    <row r="2641" spans="1:16" ht="15.75" customHeight="1" x14ac:dyDescent="0.2">
      <c r="A2641" s="48">
        <v>4924</v>
      </c>
      <c r="B2641" s="11" t="s">
        <v>1857</v>
      </c>
      <c r="C2641" s="11" t="s">
        <v>1849</v>
      </c>
      <c r="D2641" s="6" t="s">
        <v>1850</v>
      </c>
      <c r="E2641" s="12" t="s">
        <v>5888</v>
      </c>
      <c r="F2641" s="12" t="s">
        <v>6298</v>
      </c>
      <c r="G2641" s="12" t="s">
        <v>6299</v>
      </c>
      <c r="H2641" s="12" t="s">
        <v>6307</v>
      </c>
      <c r="I2641" s="11" t="s">
        <v>1870</v>
      </c>
      <c r="J2641" s="11" t="s">
        <v>2246</v>
      </c>
      <c r="K2641" s="11" t="s">
        <v>2247</v>
      </c>
      <c r="L2641" s="11" t="s">
        <v>5893</v>
      </c>
      <c r="M2641" s="11" t="s">
        <v>2053</v>
      </c>
      <c r="N2641" s="12"/>
      <c r="O2641" s="11" t="s">
        <v>1860</v>
      </c>
      <c r="P2641" s="56"/>
    </row>
    <row r="2642" spans="1:16" ht="15.75" customHeight="1" x14ac:dyDescent="0.2">
      <c r="A2642" s="48">
        <v>496</v>
      </c>
      <c r="B2642" s="11" t="s">
        <v>1857</v>
      </c>
      <c r="C2642" s="11" t="s">
        <v>1849</v>
      </c>
      <c r="D2642" s="6" t="s">
        <v>1850</v>
      </c>
      <c r="E2642" s="12" t="s">
        <v>5888</v>
      </c>
      <c r="F2642" s="12" t="s">
        <v>6298</v>
      </c>
      <c r="G2642" s="12" t="s">
        <v>6302</v>
      </c>
      <c r="H2642" s="12" t="s">
        <v>6313</v>
      </c>
      <c r="I2642" s="11" t="s">
        <v>6517</v>
      </c>
      <c r="J2642" s="11" t="s">
        <v>2246</v>
      </c>
      <c r="K2642" s="11" t="s">
        <v>2247</v>
      </c>
      <c r="L2642" s="11" t="s">
        <v>5893</v>
      </c>
      <c r="M2642" s="11" t="s">
        <v>1854</v>
      </c>
      <c r="N2642" s="12"/>
      <c r="O2642" s="11" t="s">
        <v>1858</v>
      </c>
      <c r="P2642" s="56"/>
    </row>
    <row r="2643" spans="1:16" ht="15.75" customHeight="1" x14ac:dyDescent="0.2">
      <c r="A2643" s="48">
        <v>542</v>
      </c>
      <c r="B2643" s="11" t="s">
        <v>1857</v>
      </c>
      <c r="C2643" s="11" t="s">
        <v>1849</v>
      </c>
      <c r="D2643" s="6" t="s">
        <v>1850</v>
      </c>
      <c r="E2643" s="12" t="s">
        <v>5888</v>
      </c>
      <c r="F2643" s="12" t="s">
        <v>6298</v>
      </c>
      <c r="G2643" s="12" t="s">
        <v>6331</v>
      </c>
      <c r="H2643" s="12" t="s">
        <v>6332</v>
      </c>
      <c r="I2643" s="11" t="s">
        <v>6518</v>
      </c>
      <c r="J2643" s="11" t="s">
        <v>2246</v>
      </c>
      <c r="K2643" s="11" t="s">
        <v>2247</v>
      </c>
      <c r="L2643" s="11" t="s">
        <v>5893</v>
      </c>
      <c r="M2643" s="11" t="s">
        <v>1854</v>
      </c>
      <c r="N2643" s="12"/>
      <c r="O2643" s="11" t="s">
        <v>1860</v>
      </c>
      <c r="P2643" s="56"/>
    </row>
    <row r="2644" spans="1:16" ht="15.75" customHeight="1" x14ac:dyDescent="0.2">
      <c r="A2644" s="48">
        <v>6762</v>
      </c>
      <c r="B2644" s="11" t="s">
        <v>1857</v>
      </c>
      <c r="C2644" s="11" t="s">
        <v>1849</v>
      </c>
      <c r="D2644" s="6" t="s">
        <v>1850</v>
      </c>
      <c r="E2644" s="12" t="s">
        <v>5888</v>
      </c>
      <c r="F2644" s="12" t="s">
        <v>6298</v>
      </c>
      <c r="G2644" s="12" t="s">
        <v>6302</v>
      </c>
      <c r="H2644" s="12" t="s">
        <v>6321</v>
      </c>
      <c r="I2644" s="12" t="s">
        <v>2546</v>
      </c>
      <c r="J2644" s="11" t="s">
        <v>2246</v>
      </c>
      <c r="K2644" s="11" t="s">
        <v>2247</v>
      </c>
      <c r="L2644" s="11" t="s">
        <v>5893</v>
      </c>
      <c r="M2644" s="11" t="s">
        <v>1854</v>
      </c>
      <c r="N2644" s="12"/>
      <c r="O2644" s="11" t="s">
        <v>1858</v>
      </c>
      <c r="P2644" s="56"/>
    </row>
    <row r="2645" spans="1:16" ht="15.75" customHeight="1" x14ac:dyDescent="0.2">
      <c r="A2645" s="48">
        <v>5853</v>
      </c>
      <c r="B2645" s="11" t="s">
        <v>1857</v>
      </c>
      <c r="C2645" s="11" t="s">
        <v>1849</v>
      </c>
      <c r="D2645" s="6" t="s">
        <v>1850</v>
      </c>
      <c r="E2645" s="12" t="s">
        <v>5888</v>
      </c>
      <c r="F2645" s="12" t="s">
        <v>6298</v>
      </c>
      <c r="G2645" s="12" t="s">
        <v>6302</v>
      </c>
      <c r="H2645" s="12" t="s">
        <v>6313</v>
      </c>
      <c r="I2645" s="12" t="s">
        <v>6519</v>
      </c>
      <c r="J2645" s="11" t="s">
        <v>2246</v>
      </c>
      <c r="K2645" s="11" t="s">
        <v>2247</v>
      </c>
      <c r="L2645" s="11" t="s">
        <v>5893</v>
      </c>
      <c r="M2645" s="11" t="s">
        <v>1854</v>
      </c>
      <c r="N2645" s="12"/>
      <c r="O2645" s="11" t="s">
        <v>1858</v>
      </c>
      <c r="P2645" s="56"/>
    </row>
    <row r="2646" spans="1:16" ht="15.75" customHeight="1" x14ac:dyDescent="0.2">
      <c r="A2646" s="48">
        <v>379</v>
      </c>
      <c r="B2646" s="11" t="s">
        <v>1857</v>
      </c>
      <c r="C2646" s="11" t="s">
        <v>1849</v>
      </c>
      <c r="D2646" s="6" t="s">
        <v>1850</v>
      </c>
      <c r="E2646" s="12" t="s">
        <v>5888</v>
      </c>
      <c r="F2646" s="12" t="s">
        <v>6298</v>
      </c>
      <c r="G2646" s="12" t="s">
        <v>6302</v>
      </c>
      <c r="H2646" s="12" t="s">
        <v>6304</v>
      </c>
      <c r="I2646" s="12" t="s">
        <v>6520</v>
      </c>
      <c r="J2646" s="11" t="s">
        <v>2246</v>
      </c>
      <c r="K2646" s="11" t="s">
        <v>2247</v>
      </c>
      <c r="L2646" s="11" t="s">
        <v>5893</v>
      </c>
      <c r="M2646" s="11" t="s">
        <v>1854</v>
      </c>
      <c r="N2646" s="12"/>
      <c r="O2646" s="11" t="s">
        <v>1858</v>
      </c>
      <c r="P2646" s="56"/>
    </row>
    <row r="2647" spans="1:16" ht="15.75" customHeight="1" x14ac:dyDescent="0.2">
      <c r="A2647" s="48">
        <v>5766</v>
      </c>
      <c r="B2647" s="11" t="s">
        <v>1857</v>
      </c>
      <c r="C2647" s="11" t="s">
        <v>1849</v>
      </c>
      <c r="D2647" s="6" t="s">
        <v>1850</v>
      </c>
      <c r="E2647" s="12" t="s">
        <v>5888</v>
      </c>
      <c r="F2647" s="12" t="s">
        <v>6298</v>
      </c>
      <c r="G2647" s="12" t="s">
        <v>6331</v>
      </c>
      <c r="H2647" s="12" t="s">
        <v>6332</v>
      </c>
      <c r="I2647" s="12" t="s">
        <v>6521</v>
      </c>
      <c r="J2647" s="11" t="s">
        <v>2246</v>
      </c>
      <c r="K2647" s="11" t="s">
        <v>2247</v>
      </c>
      <c r="L2647" s="11" t="s">
        <v>5893</v>
      </c>
      <c r="M2647" s="11" t="s">
        <v>1854</v>
      </c>
      <c r="N2647" s="12"/>
      <c r="O2647" s="11" t="s">
        <v>1859</v>
      </c>
      <c r="P2647" s="56"/>
    </row>
    <row r="2648" spans="1:16" ht="15.75" customHeight="1" x14ac:dyDescent="0.2">
      <c r="A2648" s="48">
        <v>4921</v>
      </c>
      <c r="B2648" s="11" t="s">
        <v>1857</v>
      </c>
      <c r="C2648" s="11" t="s">
        <v>1849</v>
      </c>
      <c r="D2648" s="6" t="s">
        <v>1850</v>
      </c>
      <c r="E2648" s="12" t="s">
        <v>5888</v>
      </c>
      <c r="F2648" s="12" t="s">
        <v>6298</v>
      </c>
      <c r="G2648" s="12" t="s">
        <v>6299</v>
      </c>
      <c r="H2648" s="12" t="s">
        <v>6319</v>
      </c>
      <c r="I2648" s="12" t="s">
        <v>6522</v>
      </c>
      <c r="J2648" s="11" t="s">
        <v>2246</v>
      </c>
      <c r="K2648" s="11" t="s">
        <v>2247</v>
      </c>
      <c r="L2648" s="11" t="s">
        <v>5893</v>
      </c>
      <c r="M2648" s="11" t="s">
        <v>1854</v>
      </c>
      <c r="N2648" s="12"/>
      <c r="O2648" s="11" t="s">
        <v>1858</v>
      </c>
      <c r="P2648" s="56"/>
    </row>
    <row r="2649" spans="1:16" ht="15.75" customHeight="1" x14ac:dyDescent="0.2">
      <c r="A2649" s="48">
        <v>442</v>
      </c>
      <c r="B2649" s="11" t="s">
        <v>1857</v>
      </c>
      <c r="C2649" s="11" t="s">
        <v>1849</v>
      </c>
      <c r="D2649" s="6" t="s">
        <v>1850</v>
      </c>
      <c r="E2649" s="12" t="s">
        <v>5888</v>
      </c>
      <c r="F2649" s="12" t="s">
        <v>6298</v>
      </c>
      <c r="G2649" s="12" t="s">
        <v>6299</v>
      </c>
      <c r="H2649" s="12" t="s">
        <v>6307</v>
      </c>
      <c r="I2649" s="12" t="s">
        <v>6523</v>
      </c>
      <c r="J2649" s="11" t="s">
        <v>2246</v>
      </c>
      <c r="K2649" s="11" t="s">
        <v>2247</v>
      </c>
      <c r="L2649" s="11" t="s">
        <v>5893</v>
      </c>
      <c r="M2649" s="11" t="s">
        <v>1854</v>
      </c>
      <c r="N2649" s="12"/>
      <c r="O2649" s="11" t="s">
        <v>1860</v>
      </c>
      <c r="P2649" s="56"/>
    </row>
    <row r="2650" spans="1:16" ht="15.75" customHeight="1" x14ac:dyDescent="0.2">
      <c r="A2650" s="48">
        <v>484</v>
      </c>
      <c r="B2650" s="11" t="s">
        <v>1857</v>
      </c>
      <c r="C2650" s="11" t="s">
        <v>1849</v>
      </c>
      <c r="D2650" s="6" t="s">
        <v>1850</v>
      </c>
      <c r="E2650" s="12" t="s">
        <v>5888</v>
      </c>
      <c r="F2650" s="12" t="s">
        <v>6298</v>
      </c>
      <c r="G2650" s="12" t="s">
        <v>6299</v>
      </c>
      <c r="H2650" s="12" t="s">
        <v>6310</v>
      </c>
      <c r="I2650" s="12" t="s">
        <v>6524</v>
      </c>
      <c r="J2650" s="11" t="s">
        <v>2246</v>
      </c>
      <c r="K2650" s="11" t="s">
        <v>2247</v>
      </c>
      <c r="L2650" s="11" t="s">
        <v>5893</v>
      </c>
      <c r="M2650" s="11" t="s">
        <v>1854</v>
      </c>
      <c r="N2650" s="12"/>
      <c r="O2650" s="11" t="s">
        <v>1859</v>
      </c>
      <c r="P2650" s="56"/>
    </row>
    <row r="2651" spans="1:16" ht="15.75" customHeight="1" x14ac:dyDescent="0.2">
      <c r="A2651" s="48">
        <v>378</v>
      </c>
      <c r="B2651" s="11" t="s">
        <v>1857</v>
      </c>
      <c r="C2651" s="11" t="s">
        <v>1849</v>
      </c>
      <c r="D2651" s="6" t="s">
        <v>1850</v>
      </c>
      <c r="E2651" s="12" t="s">
        <v>5888</v>
      </c>
      <c r="F2651" s="12" t="s">
        <v>6298</v>
      </c>
      <c r="G2651" s="12" t="s">
        <v>6302</v>
      </c>
      <c r="H2651" s="12" t="s">
        <v>6313</v>
      </c>
      <c r="I2651" s="12" t="s">
        <v>6525</v>
      </c>
      <c r="J2651" s="11" t="s">
        <v>2246</v>
      </c>
      <c r="K2651" s="11" t="s">
        <v>2247</v>
      </c>
      <c r="L2651" s="11" t="s">
        <v>5893</v>
      </c>
      <c r="M2651" s="11" t="s">
        <v>1854</v>
      </c>
      <c r="N2651" s="12"/>
      <c r="O2651" s="11" t="s">
        <v>1858</v>
      </c>
      <c r="P2651" s="56"/>
    </row>
    <row r="2652" spans="1:16" ht="15.75" customHeight="1" x14ac:dyDescent="0.2">
      <c r="A2652" s="48">
        <v>460</v>
      </c>
      <c r="B2652" s="11" t="s">
        <v>1857</v>
      </c>
      <c r="C2652" s="11" t="s">
        <v>1849</v>
      </c>
      <c r="D2652" s="6" t="s">
        <v>1850</v>
      </c>
      <c r="E2652" s="12" t="s">
        <v>5888</v>
      </c>
      <c r="F2652" s="12" t="s">
        <v>6298</v>
      </c>
      <c r="G2652" s="12" t="s">
        <v>6299</v>
      </c>
      <c r="H2652" s="12" t="s">
        <v>6428</v>
      </c>
      <c r="I2652" s="12" t="s">
        <v>6526</v>
      </c>
      <c r="J2652" s="11" t="s">
        <v>2246</v>
      </c>
      <c r="K2652" s="11" t="s">
        <v>2247</v>
      </c>
      <c r="L2652" s="11" t="s">
        <v>5893</v>
      </c>
      <c r="M2652" s="11" t="s">
        <v>6527</v>
      </c>
      <c r="N2652" s="12"/>
      <c r="O2652" s="11" t="s">
        <v>2755</v>
      </c>
      <c r="P2652" s="56"/>
    </row>
    <row r="2653" spans="1:16" ht="15.75" customHeight="1" x14ac:dyDescent="0.2">
      <c r="A2653" s="48">
        <v>136</v>
      </c>
      <c r="B2653" s="11" t="s">
        <v>1857</v>
      </c>
      <c r="C2653" s="11" t="s">
        <v>1849</v>
      </c>
      <c r="D2653" s="6" t="s">
        <v>1850</v>
      </c>
      <c r="E2653" s="12" t="s">
        <v>5888</v>
      </c>
      <c r="F2653" s="12" t="s">
        <v>6298</v>
      </c>
      <c r="G2653" s="12" t="s">
        <v>6331</v>
      </c>
      <c r="H2653" s="12" t="s">
        <v>6332</v>
      </c>
      <c r="I2653" s="12" t="s">
        <v>6528</v>
      </c>
      <c r="J2653" s="11" t="s">
        <v>2246</v>
      </c>
      <c r="K2653" s="11" t="s">
        <v>2247</v>
      </c>
      <c r="L2653" s="11" t="s">
        <v>5893</v>
      </c>
      <c r="M2653" s="11" t="s">
        <v>1854</v>
      </c>
      <c r="N2653" s="12"/>
      <c r="O2653" s="11" t="s">
        <v>1858</v>
      </c>
      <c r="P2653" s="56"/>
    </row>
    <row r="2654" spans="1:16" ht="15.75" customHeight="1" x14ac:dyDescent="0.2">
      <c r="A2654" s="48">
        <v>5858</v>
      </c>
      <c r="B2654" s="11" t="s">
        <v>1857</v>
      </c>
      <c r="C2654" s="11" t="s">
        <v>1849</v>
      </c>
      <c r="D2654" s="6" t="s">
        <v>1850</v>
      </c>
      <c r="E2654" s="12" t="s">
        <v>5888</v>
      </c>
      <c r="F2654" s="12" t="s">
        <v>6298</v>
      </c>
      <c r="G2654" s="12" t="s">
        <v>6299</v>
      </c>
      <c r="H2654" s="12" t="s">
        <v>6310</v>
      </c>
      <c r="I2654" s="12" t="s">
        <v>6529</v>
      </c>
      <c r="J2654" s="11" t="s">
        <v>2246</v>
      </c>
      <c r="K2654" s="11" t="s">
        <v>2247</v>
      </c>
      <c r="L2654" s="11" t="s">
        <v>5893</v>
      </c>
      <c r="M2654" s="11" t="s">
        <v>1854</v>
      </c>
      <c r="N2654" s="12"/>
      <c r="O2654" s="11" t="s">
        <v>1858</v>
      </c>
      <c r="P2654" s="56"/>
    </row>
    <row r="2655" spans="1:16" ht="15.75" customHeight="1" x14ac:dyDescent="0.2">
      <c r="A2655" s="48">
        <v>427</v>
      </c>
      <c r="B2655" s="11" t="s">
        <v>1857</v>
      </c>
      <c r="C2655" s="11" t="s">
        <v>1849</v>
      </c>
      <c r="D2655" s="6" t="s">
        <v>1850</v>
      </c>
      <c r="E2655" s="12" t="s">
        <v>5888</v>
      </c>
      <c r="F2655" s="12" t="s">
        <v>6298</v>
      </c>
      <c r="G2655" s="12" t="s">
        <v>6299</v>
      </c>
      <c r="H2655" s="12" t="s">
        <v>6310</v>
      </c>
      <c r="I2655" s="12" t="s">
        <v>6530</v>
      </c>
      <c r="J2655" s="11" t="s">
        <v>2246</v>
      </c>
      <c r="K2655" s="11" t="s">
        <v>2247</v>
      </c>
      <c r="L2655" s="11" t="s">
        <v>5893</v>
      </c>
      <c r="M2655" s="11" t="s">
        <v>1854</v>
      </c>
      <c r="N2655" s="12"/>
      <c r="O2655" s="11" t="s">
        <v>1858</v>
      </c>
      <c r="P2655" s="56"/>
    </row>
    <row r="2656" spans="1:16" ht="15.75" customHeight="1" x14ac:dyDescent="0.2">
      <c r="A2656" s="48">
        <v>401</v>
      </c>
      <c r="B2656" s="11" t="s">
        <v>1857</v>
      </c>
      <c r="C2656" s="11" t="s">
        <v>1849</v>
      </c>
      <c r="D2656" s="6" t="s">
        <v>1850</v>
      </c>
      <c r="E2656" s="12" t="s">
        <v>5888</v>
      </c>
      <c r="F2656" s="12" t="s">
        <v>6298</v>
      </c>
      <c r="G2656" s="12" t="s">
        <v>6299</v>
      </c>
      <c r="H2656" s="12" t="s">
        <v>6300</v>
      </c>
      <c r="I2656" s="12" t="s">
        <v>3175</v>
      </c>
      <c r="J2656" s="11" t="s">
        <v>2246</v>
      </c>
      <c r="K2656" s="11" t="s">
        <v>2247</v>
      </c>
      <c r="L2656" s="11" t="s">
        <v>5893</v>
      </c>
      <c r="M2656" s="11" t="s">
        <v>1854</v>
      </c>
      <c r="N2656" s="12"/>
      <c r="O2656" s="11" t="s">
        <v>1860</v>
      </c>
      <c r="P2656" s="56"/>
    </row>
    <row r="2657" spans="1:16" ht="15.75" customHeight="1" x14ac:dyDescent="0.2">
      <c r="A2657" s="48">
        <v>385</v>
      </c>
      <c r="B2657" s="11" t="s">
        <v>1857</v>
      </c>
      <c r="C2657" s="11" t="s">
        <v>1849</v>
      </c>
      <c r="D2657" s="6" t="s">
        <v>1850</v>
      </c>
      <c r="E2657" s="12" t="s">
        <v>5888</v>
      </c>
      <c r="F2657" s="12" t="s">
        <v>6298</v>
      </c>
      <c r="G2657" s="12" t="s">
        <v>6302</v>
      </c>
      <c r="H2657" s="12" t="s">
        <v>6321</v>
      </c>
      <c r="I2657" s="12" t="s">
        <v>6531</v>
      </c>
      <c r="J2657" s="11" t="s">
        <v>2246</v>
      </c>
      <c r="K2657" s="11" t="s">
        <v>2247</v>
      </c>
      <c r="L2657" s="11" t="s">
        <v>5893</v>
      </c>
      <c r="M2657" s="11" t="s">
        <v>1854</v>
      </c>
      <c r="N2657" s="12"/>
      <c r="O2657" s="11" t="s">
        <v>1858</v>
      </c>
      <c r="P2657" s="56"/>
    </row>
    <row r="2658" spans="1:16" ht="15.75" customHeight="1" x14ac:dyDescent="0.2">
      <c r="A2658" s="48">
        <v>445</v>
      </c>
      <c r="B2658" s="11" t="s">
        <v>1857</v>
      </c>
      <c r="C2658" s="11" t="s">
        <v>1849</v>
      </c>
      <c r="D2658" s="6" t="s">
        <v>1850</v>
      </c>
      <c r="E2658" s="12" t="s">
        <v>5888</v>
      </c>
      <c r="F2658" s="12" t="s">
        <v>6298</v>
      </c>
      <c r="G2658" s="12" t="s">
        <v>6299</v>
      </c>
      <c r="H2658" s="12" t="s">
        <v>6307</v>
      </c>
      <c r="I2658" s="12" t="s">
        <v>6532</v>
      </c>
      <c r="J2658" s="11" t="s">
        <v>2246</v>
      </c>
      <c r="K2658" s="11" t="s">
        <v>2247</v>
      </c>
      <c r="L2658" s="11" t="s">
        <v>5893</v>
      </c>
      <c r="M2658" s="11" t="s">
        <v>2336</v>
      </c>
      <c r="N2658" s="12"/>
      <c r="O2658" s="11" t="s">
        <v>1859</v>
      </c>
      <c r="P2658" s="56"/>
    </row>
    <row r="2659" spans="1:16" ht="15.75" customHeight="1" x14ac:dyDescent="0.2">
      <c r="A2659" s="48">
        <v>447</v>
      </c>
      <c r="B2659" s="11" t="s">
        <v>1857</v>
      </c>
      <c r="C2659" s="11" t="s">
        <v>1849</v>
      </c>
      <c r="D2659" s="6" t="s">
        <v>1850</v>
      </c>
      <c r="E2659" s="12" t="s">
        <v>5888</v>
      </c>
      <c r="F2659" s="12" t="s">
        <v>6298</v>
      </c>
      <c r="G2659" s="12" t="s">
        <v>6299</v>
      </c>
      <c r="H2659" s="12" t="s">
        <v>6319</v>
      </c>
      <c r="I2659" s="12" t="s">
        <v>6533</v>
      </c>
      <c r="J2659" s="11" t="s">
        <v>2246</v>
      </c>
      <c r="K2659" s="11" t="s">
        <v>2247</v>
      </c>
      <c r="L2659" s="11" t="s">
        <v>5893</v>
      </c>
      <c r="M2659" s="11" t="s">
        <v>2336</v>
      </c>
      <c r="N2659" s="12"/>
      <c r="O2659" s="11" t="s">
        <v>1858</v>
      </c>
      <c r="P2659" s="56"/>
    </row>
    <row r="2660" spans="1:16" ht="15.75" customHeight="1" x14ac:dyDescent="0.2">
      <c r="A2660" s="48">
        <v>4923</v>
      </c>
      <c r="B2660" s="11" t="s">
        <v>1857</v>
      </c>
      <c r="C2660" s="11" t="s">
        <v>1849</v>
      </c>
      <c r="D2660" s="6" t="s">
        <v>1850</v>
      </c>
      <c r="E2660" s="12" t="s">
        <v>5888</v>
      </c>
      <c r="F2660" s="12" t="s">
        <v>6298</v>
      </c>
      <c r="G2660" s="12" t="s">
        <v>6299</v>
      </c>
      <c r="H2660" s="12" t="s">
        <v>6299</v>
      </c>
      <c r="I2660" s="12" t="s">
        <v>6534</v>
      </c>
      <c r="J2660" s="11" t="s">
        <v>2246</v>
      </c>
      <c r="K2660" s="11" t="s">
        <v>2247</v>
      </c>
      <c r="L2660" s="11" t="s">
        <v>5893</v>
      </c>
      <c r="M2660" s="11" t="s">
        <v>2329</v>
      </c>
      <c r="N2660" s="12" t="s">
        <v>6535</v>
      </c>
      <c r="O2660" s="11" t="s">
        <v>1859</v>
      </c>
      <c r="P2660" s="56"/>
    </row>
    <row r="2661" spans="1:16" ht="15.75" customHeight="1" x14ac:dyDescent="0.2">
      <c r="A2661" s="48">
        <v>444</v>
      </c>
      <c r="B2661" s="11" t="s">
        <v>1857</v>
      </c>
      <c r="C2661" s="11" t="s">
        <v>1849</v>
      </c>
      <c r="D2661" s="6" t="s">
        <v>1850</v>
      </c>
      <c r="E2661" s="12" t="s">
        <v>5888</v>
      </c>
      <c r="F2661" s="12" t="s">
        <v>6298</v>
      </c>
      <c r="G2661" s="12" t="s">
        <v>6299</v>
      </c>
      <c r="H2661" s="12" t="s">
        <v>6307</v>
      </c>
      <c r="I2661" s="12" t="s">
        <v>6536</v>
      </c>
      <c r="J2661" s="11" t="s">
        <v>2246</v>
      </c>
      <c r="K2661" s="11" t="s">
        <v>2247</v>
      </c>
      <c r="L2661" s="11" t="s">
        <v>5893</v>
      </c>
      <c r="M2661" s="11" t="s">
        <v>2284</v>
      </c>
      <c r="N2661" s="12" t="s">
        <v>6537</v>
      </c>
      <c r="O2661" s="11" t="s">
        <v>1869</v>
      </c>
      <c r="P2661" s="56"/>
    </row>
    <row r="2662" spans="1:16" ht="15.75" customHeight="1" x14ac:dyDescent="0.2">
      <c r="A2662" s="48">
        <v>458</v>
      </c>
      <c r="B2662" s="11" t="s">
        <v>1857</v>
      </c>
      <c r="C2662" s="11" t="s">
        <v>1849</v>
      </c>
      <c r="D2662" s="6" t="s">
        <v>1850</v>
      </c>
      <c r="E2662" s="12" t="s">
        <v>5888</v>
      </c>
      <c r="F2662" s="12" t="s">
        <v>6298</v>
      </c>
      <c r="G2662" s="12" t="s">
        <v>6299</v>
      </c>
      <c r="H2662" s="12" t="s">
        <v>6299</v>
      </c>
      <c r="I2662" s="12" t="s">
        <v>6538</v>
      </c>
      <c r="J2662" s="11" t="s">
        <v>2246</v>
      </c>
      <c r="K2662" s="11" t="s">
        <v>2247</v>
      </c>
      <c r="L2662" s="11" t="s">
        <v>5893</v>
      </c>
      <c r="M2662" s="11" t="s">
        <v>6376</v>
      </c>
      <c r="N2662" s="12" t="s">
        <v>6539</v>
      </c>
      <c r="O2662" s="11" t="s">
        <v>1869</v>
      </c>
      <c r="P2662" s="56"/>
    </row>
    <row r="2663" spans="1:16" ht="15.75" customHeight="1" x14ac:dyDescent="0.2">
      <c r="A2663" s="48">
        <v>487</v>
      </c>
      <c r="B2663" s="11" t="s">
        <v>1857</v>
      </c>
      <c r="C2663" s="11" t="s">
        <v>1849</v>
      </c>
      <c r="D2663" s="6" t="s">
        <v>1850</v>
      </c>
      <c r="E2663" s="12" t="s">
        <v>5888</v>
      </c>
      <c r="F2663" s="12" t="s">
        <v>6298</v>
      </c>
      <c r="G2663" s="12" t="s">
        <v>6299</v>
      </c>
      <c r="H2663" s="12" t="s">
        <v>6300</v>
      </c>
      <c r="I2663" s="12" t="s">
        <v>6540</v>
      </c>
      <c r="J2663" s="11" t="s">
        <v>2246</v>
      </c>
      <c r="K2663" s="11" t="s">
        <v>2247</v>
      </c>
      <c r="L2663" s="11" t="s">
        <v>5893</v>
      </c>
      <c r="M2663" s="11" t="s">
        <v>1854</v>
      </c>
      <c r="N2663" s="12"/>
      <c r="O2663" s="11" t="s">
        <v>1858</v>
      </c>
      <c r="P2663" s="56"/>
    </row>
    <row r="2664" spans="1:16" ht="15.75" customHeight="1" x14ac:dyDescent="0.2">
      <c r="A2664" s="48">
        <v>5856</v>
      </c>
      <c r="B2664" s="11" t="s">
        <v>1857</v>
      </c>
      <c r="C2664" s="11" t="s">
        <v>1849</v>
      </c>
      <c r="D2664" s="6" t="s">
        <v>1850</v>
      </c>
      <c r="E2664" s="12" t="s">
        <v>5888</v>
      </c>
      <c r="F2664" s="12" t="s">
        <v>6298</v>
      </c>
      <c r="G2664" s="12" t="s">
        <v>6302</v>
      </c>
      <c r="H2664" s="12" t="s">
        <v>6344</v>
      </c>
      <c r="I2664" s="12" t="s">
        <v>6541</v>
      </c>
      <c r="J2664" s="11" t="s">
        <v>2246</v>
      </c>
      <c r="K2664" s="11" t="s">
        <v>2247</v>
      </c>
      <c r="L2664" s="11" t="s">
        <v>5893</v>
      </c>
      <c r="M2664" s="11" t="s">
        <v>1854</v>
      </c>
      <c r="N2664" s="12"/>
      <c r="O2664" s="11" t="s">
        <v>1858</v>
      </c>
      <c r="P2664" s="56"/>
    </row>
    <row r="2665" spans="1:16" ht="15.75" customHeight="1" x14ac:dyDescent="0.2">
      <c r="A2665" s="48">
        <v>509</v>
      </c>
      <c r="B2665" s="11" t="s">
        <v>1857</v>
      </c>
      <c r="C2665" s="11" t="s">
        <v>1849</v>
      </c>
      <c r="D2665" s="6" t="s">
        <v>1850</v>
      </c>
      <c r="E2665" s="12" t="s">
        <v>5888</v>
      </c>
      <c r="F2665" s="12" t="s">
        <v>6298</v>
      </c>
      <c r="G2665" s="12" t="s">
        <v>6302</v>
      </c>
      <c r="H2665" s="12" t="s">
        <v>6344</v>
      </c>
      <c r="I2665" s="12" t="s">
        <v>6542</v>
      </c>
      <c r="J2665" s="11" t="s">
        <v>2246</v>
      </c>
      <c r="K2665" s="11" t="s">
        <v>2247</v>
      </c>
      <c r="L2665" s="11" t="s">
        <v>5893</v>
      </c>
      <c r="M2665" s="11" t="s">
        <v>1854</v>
      </c>
      <c r="N2665" s="12"/>
      <c r="O2665" s="11" t="s">
        <v>1858</v>
      </c>
      <c r="P2665" s="56"/>
    </row>
    <row r="2666" spans="1:16" ht="15.75" customHeight="1" x14ac:dyDescent="0.2">
      <c r="A2666" s="48">
        <v>134</v>
      </c>
      <c r="B2666" s="11" t="s">
        <v>1857</v>
      </c>
      <c r="C2666" s="11" t="s">
        <v>1849</v>
      </c>
      <c r="D2666" s="6" t="s">
        <v>1850</v>
      </c>
      <c r="E2666" s="12" t="s">
        <v>5888</v>
      </c>
      <c r="F2666" s="12" t="s">
        <v>6298</v>
      </c>
      <c r="G2666" s="12" t="s">
        <v>6331</v>
      </c>
      <c r="H2666" s="12" t="s">
        <v>6332</v>
      </c>
      <c r="I2666" s="12" t="s">
        <v>6543</v>
      </c>
      <c r="J2666" s="11" t="s">
        <v>2246</v>
      </c>
      <c r="K2666" s="11" t="s">
        <v>2247</v>
      </c>
      <c r="L2666" s="11" t="s">
        <v>5893</v>
      </c>
      <c r="M2666" s="11" t="s">
        <v>2549</v>
      </c>
      <c r="N2666" s="12" t="s">
        <v>6544</v>
      </c>
      <c r="O2666" s="11" t="s">
        <v>1858</v>
      </c>
      <c r="P2666" s="56"/>
    </row>
    <row r="2667" spans="1:16" ht="15.75" customHeight="1" x14ac:dyDescent="0.2">
      <c r="A2667" s="48">
        <v>453</v>
      </c>
      <c r="B2667" s="11" t="s">
        <v>1857</v>
      </c>
      <c r="C2667" s="11" t="s">
        <v>1849</v>
      </c>
      <c r="D2667" s="6" t="s">
        <v>1850</v>
      </c>
      <c r="E2667" s="12" t="s">
        <v>5888</v>
      </c>
      <c r="F2667" s="12" t="s">
        <v>6298</v>
      </c>
      <c r="G2667" s="12" t="s">
        <v>6299</v>
      </c>
      <c r="H2667" s="12" t="s">
        <v>6428</v>
      </c>
      <c r="I2667" s="12" t="s">
        <v>6545</v>
      </c>
      <c r="J2667" s="11" t="s">
        <v>2246</v>
      </c>
      <c r="K2667" s="11" t="s">
        <v>2247</v>
      </c>
      <c r="L2667" s="11" t="s">
        <v>5893</v>
      </c>
      <c r="M2667" s="11" t="s">
        <v>6469</v>
      </c>
      <c r="N2667" s="12"/>
      <c r="O2667" s="11" t="s">
        <v>1858</v>
      </c>
      <c r="P2667" s="56"/>
    </row>
    <row r="2668" spans="1:16" ht="15.75" customHeight="1" x14ac:dyDescent="0.2">
      <c r="A2668" s="48">
        <v>4925</v>
      </c>
      <c r="B2668" s="11" t="s">
        <v>1857</v>
      </c>
      <c r="C2668" s="11" t="s">
        <v>1849</v>
      </c>
      <c r="D2668" s="6" t="s">
        <v>1850</v>
      </c>
      <c r="E2668" s="12" t="s">
        <v>5888</v>
      </c>
      <c r="F2668" s="12" t="s">
        <v>6298</v>
      </c>
      <c r="G2668" s="12" t="s">
        <v>6299</v>
      </c>
      <c r="H2668" s="12" t="s">
        <v>6319</v>
      </c>
      <c r="I2668" s="12" t="s">
        <v>6546</v>
      </c>
      <c r="J2668" s="11" t="s">
        <v>2246</v>
      </c>
      <c r="K2668" s="11" t="s">
        <v>2247</v>
      </c>
      <c r="L2668" s="11" t="s">
        <v>5893</v>
      </c>
      <c r="M2668" s="11" t="s">
        <v>1854</v>
      </c>
      <c r="N2668" s="12"/>
      <c r="O2668" s="11" t="s">
        <v>1858</v>
      </c>
      <c r="P2668" s="56"/>
    </row>
    <row r="2669" spans="1:16" ht="15.75" customHeight="1" x14ac:dyDescent="0.2">
      <c r="A2669" s="48">
        <v>5771</v>
      </c>
      <c r="B2669" s="11" t="s">
        <v>1871</v>
      </c>
      <c r="C2669" s="11" t="s">
        <v>1849</v>
      </c>
      <c r="D2669" s="6" t="s">
        <v>1850</v>
      </c>
      <c r="E2669" s="12" t="s">
        <v>5888</v>
      </c>
      <c r="F2669" s="12" t="s">
        <v>6298</v>
      </c>
      <c r="G2669" s="12" t="s">
        <v>6299</v>
      </c>
      <c r="H2669" s="12" t="s">
        <v>6299</v>
      </c>
      <c r="I2669" s="12" t="s">
        <v>6547</v>
      </c>
      <c r="J2669" s="11" t="s">
        <v>2246</v>
      </c>
      <c r="K2669" s="11" t="s">
        <v>2247</v>
      </c>
      <c r="L2669" s="11" t="s">
        <v>5893</v>
      </c>
      <c r="M2669" s="11" t="s">
        <v>1854</v>
      </c>
      <c r="N2669" s="12"/>
      <c r="O2669" s="11" t="s">
        <v>5538</v>
      </c>
      <c r="P2669" s="56"/>
    </row>
    <row r="2670" spans="1:16" ht="15.75" customHeight="1" x14ac:dyDescent="0.2">
      <c r="A2670" s="48">
        <v>16139</v>
      </c>
      <c r="B2670" s="11" t="s">
        <v>1871</v>
      </c>
      <c r="C2670" s="11" t="s">
        <v>1849</v>
      </c>
      <c r="D2670" s="6" t="s">
        <v>1850</v>
      </c>
      <c r="E2670" s="12" t="s">
        <v>5888</v>
      </c>
      <c r="F2670" s="12" t="s">
        <v>6298</v>
      </c>
      <c r="G2670" s="12" t="s">
        <v>6302</v>
      </c>
      <c r="H2670" s="12" t="s">
        <v>6344</v>
      </c>
      <c r="I2670" s="12" t="s">
        <v>6548</v>
      </c>
      <c r="J2670" s="11" t="s">
        <v>2246</v>
      </c>
      <c r="K2670" s="11" t="s">
        <v>2247</v>
      </c>
      <c r="L2670" s="11" t="s">
        <v>5893</v>
      </c>
      <c r="M2670" s="11" t="s">
        <v>1854</v>
      </c>
      <c r="N2670" s="12"/>
      <c r="O2670" s="11" t="s">
        <v>1866</v>
      </c>
      <c r="P2670" s="56" t="s">
        <v>6549</v>
      </c>
    </row>
    <row r="2671" spans="1:16" ht="15.75" customHeight="1" x14ac:dyDescent="0.2">
      <c r="A2671" s="48">
        <v>16172</v>
      </c>
      <c r="B2671" s="11" t="s">
        <v>1871</v>
      </c>
      <c r="C2671" s="11" t="s">
        <v>1849</v>
      </c>
      <c r="D2671" s="6" t="s">
        <v>1850</v>
      </c>
      <c r="E2671" s="12" t="s">
        <v>5888</v>
      </c>
      <c r="F2671" s="12" t="s">
        <v>6298</v>
      </c>
      <c r="G2671" s="12" t="s">
        <v>6299</v>
      </c>
      <c r="H2671" s="12" t="s">
        <v>6307</v>
      </c>
      <c r="I2671" s="12" t="s">
        <v>6550</v>
      </c>
      <c r="J2671" s="11" t="s">
        <v>2246</v>
      </c>
      <c r="K2671" s="11" t="s">
        <v>2247</v>
      </c>
      <c r="L2671" s="11" t="s">
        <v>5893</v>
      </c>
      <c r="M2671" s="11" t="s">
        <v>1854</v>
      </c>
      <c r="N2671" s="12"/>
      <c r="O2671" s="11" t="s">
        <v>1859</v>
      </c>
      <c r="P2671" s="56"/>
    </row>
    <row r="2672" spans="1:16" ht="15.75" customHeight="1" x14ac:dyDescent="0.2">
      <c r="A2672" s="48">
        <v>16176</v>
      </c>
      <c r="B2672" s="11" t="s">
        <v>1871</v>
      </c>
      <c r="C2672" s="11" t="s">
        <v>1849</v>
      </c>
      <c r="D2672" s="6" t="s">
        <v>1850</v>
      </c>
      <c r="E2672" s="12" t="s">
        <v>5888</v>
      </c>
      <c r="F2672" s="12" t="s">
        <v>6298</v>
      </c>
      <c r="G2672" s="12" t="s">
        <v>6299</v>
      </c>
      <c r="H2672" s="12" t="s">
        <v>6319</v>
      </c>
      <c r="I2672" s="12" t="s">
        <v>6551</v>
      </c>
      <c r="J2672" s="11" t="s">
        <v>2246</v>
      </c>
      <c r="K2672" s="11" t="s">
        <v>2247</v>
      </c>
      <c r="L2672" s="11" t="s">
        <v>5893</v>
      </c>
      <c r="M2672" s="11" t="s">
        <v>1854</v>
      </c>
      <c r="N2672" s="12"/>
      <c r="O2672" s="11" t="s">
        <v>6552</v>
      </c>
      <c r="P2672" s="56" t="s">
        <v>1863</v>
      </c>
    </row>
    <row r="2673" spans="1:16" ht="15.75" customHeight="1" x14ac:dyDescent="0.2">
      <c r="A2673" s="48">
        <v>16175</v>
      </c>
      <c r="B2673" s="11" t="s">
        <v>1871</v>
      </c>
      <c r="C2673" s="11" t="s">
        <v>1849</v>
      </c>
      <c r="D2673" s="6" t="s">
        <v>1850</v>
      </c>
      <c r="E2673" s="12" t="s">
        <v>5888</v>
      </c>
      <c r="F2673" s="12" t="s">
        <v>6298</v>
      </c>
      <c r="G2673" s="12" t="s">
        <v>6327</v>
      </c>
      <c r="H2673" s="12" t="s">
        <v>6349</v>
      </c>
      <c r="I2673" s="12" t="s">
        <v>6553</v>
      </c>
      <c r="J2673" s="11" t="s">
        <v>2246</v>
      </c>
      <c r="K2673" s="11" t="s">
        <v>2247</v>
      </c>
      <c r="L2673" s="11" t="s">
        <v>5893</v>
      </c>
      <c r="M2673" s="11" t="s">
        <v>1854</v>
      </c>
      <c r="N2673" s="12"/>
      <c r="O2673" s="11" t="s">
        <v>6552</v>
      </c>
      <c r="P2673" s="56" t="s">
        <v>2177</v>
      </c>
    </row>
    <row r="2674" spans="1:16" ht="15.75" customHeight="1" x14ac:dyDescent="0.2">
      <c r="A2674" s="48">
        <v>15936</v>
      </c>
      <c r="B2674" s="11" t="s">
        <v>1848</v>
      </c>
      <c r="C2674" s="11" t="s">
        <v>1849</v>
      </c>
      <c r="D2674" s="6" t="s">
        <v>1850</v>
      </c>
      <c r="E2674" s="12" t="s">
        <v>5888</v>
      </c>
      <c r="F2674" s="12" t="s">
        <v>6554</v>
      </c>
      <c r="G2674" s="12" t="s">
        <v>6555</v>
      </c>
      <c r="H2674" s="12" t="s">
        <v>6556</v>
      </c>
      <c r="I2674" s="12" t="s">
        <v>6557</v>
      </c>
      <c r="J2674" s="11" t="s">
        <v>2246</v>
      </c>
      <c r="K2674" s="11" t="s">
        <v>2247</v>
      </c>
      <c r="L2674" s="11" t="s">
        <v>5893</v>
      </c>
      <c r="M2674" s="11" t="s">
        <v>1854</v>
      </c>
      <c r="N2674" s="12"/>
      <c r="O2674" s="11" t="s">
        <v>1855</v>
      </c>
      <c r="P2674" s="56"/>
    </row>
    <row r="2675" spans="1:16" ht="15.75" customHeight="1" x14ac:dyDescent="0.2">
      <c r="A2675" s="48">
        <v>15937</v>
      </c>
      <c r="B2675" s="11" t="s">
        <v>1848</v>
      </c>
      <c r="C2675" s="11" t="s">
        <v>1849</v>
      </c>
      <c r="D2675" s="6" t="s">
        <v>1850</v>
      </c>
      <c r="E2675" s="12" t="s">
        <v>5888</v>
      </c>
      <c r="F2675" s="12" t="s">
        <v>6554</v>
      </c>
      <c r="G2675" s="12" t="s">
        <v>6555</v>
      </c>
      <c r="H2675" s="12" t="s">
        <v>6556</v>
      </c>
      <c r="I2675" s="12" t="s">
        <v>6558</v>
      </c>
      <c r="J2675" s="11" t="s">
        <v>2246</v>
      </c>
      <c r="K2675" s="11" t="s">
        <v>2247</v>
      </c>
      <c r="L2675" s="11" t="s">
        <v>5893</v>
      </c>
      <c r="M2675" s="11" t="s">
        <v>1854</v>
      </c>
      <c r="N2675" s="12"/>
      <c r="O2675" s="11" t="s">
        <v>1855</v>
      </c>
      <c r="P2675" s="56"/>
    </row>
    <row r="2676" spans="1:16" ht="15.75" customHeight="1" x14ac:dyDescent="0.2">
      <c r="A2676" s="48">
        <v>15939</v>
      </c>
      <c r="B2676" s="11" t="s">
        <v>1848</v>
      </c>
      <c r="C2676" s="11" t="s">
        <v>1849</v>
      </c>
      <c r="D2676" s="6" t="s">
        <v>1850</v>
      </c>
      <c r="E2676" s="12" t="s">
        <v>5888</v>
      </c>
      <c r="F2676" s="12" t="s">
        <v>6554</v>
      </c>
      <c r="G2676" s="12" t="s">
        <v>6555</v>
      </c>
      <c r="H2676" s="12" t="s">
        <v>6559</v>
      </c>
      <c r="I2676" s="12" t="s">
        <v>6560</v>
      </c>
      <c r="J2676" s="11" t="s">
        <v>2246</v>
      </c>
      <c r="K2676" s="11" t="s">
        <v>2247</v>
      </c>
      <c r="L2676" s="11" t="s">
        <v>5893</v>
      </c>
      <c r="M2676" s="11" t="s">
        <v>1854</v>
      </c>
      <c r="N2676" s="12"/>
      <c r="O2676" s="11" t="s">
        <v>1855</v>
      </c>
      <c r="P2676" s="56"/>
    </row>
    <row r="2677" spans="1:16" ht="15.75" customHeight="1" x14ac:dyDescent="0.2">
      <c r="A2677" s="48">
        <v>16083</v>
      </c>
      <c r="B2677" s="11" t="s">
        <v>1848</v>
      </c>
      <c r="C2677" s="11" t="s">
        <v>1849</v>
      </c>
      <c r="D2677" s="6" t="s">
        <v>1850</v>
      </c>
      <c r="E2677" s="12" t="s">
        <v>5888</v>
      </c>
      <c r="F2677" s="12" t="s">
        <v>6554</v>
      </c>
      <c r="G2677" s="12" t="s">
        <v>6555</v>
      </c>
      <c r="H2677" s="12" t="s">
        <v>6561</v>
      </c>
      <c r="I2677" s="12" t="s">
        <v>6562</v>
      </c>
      <c r="J2677" s="11" t="s">
        <v>2246</v>
      </c>
      <c r="K2677" s="11" t="s">
        <v>2247</v>
      </c>
      <c r="L2677" s="11" t="s">
        <v>5893</v>
      </c>
      <c r="M2677" s="11" t="s">
        <v>1854</v>
      </c>
      <c r="N2677" s="12"/>
      <c r="O2677" s="11" t="s">
        <v>1855</v>
      </c>
      <c r="P2677" s="56"/>
    </row>
    <row r="2678" spans="1:16" ht="15.75" customHeight="1" x14ac:dyDescent="0.2">
      <c r="A2678" s="48">
        <v>4326</v>
      </c>
      <c r="B2678" s="11" t="s">
        <v>1857</v>
      </c>
      <c r="C2678" s="11" t="s">
        <v>1849</v>
      </c>
      <c r="D2678" s="6" t="s">
        <v>1850</v>
      </c>
      <c r="E2678" s="12" t="s">
        <v>5888</v>
      </c>
      <c r="F2678" s="12" t="s">
        <v>6554</v>
      </c>
      <c r="G2678" s="12" t="s">
        <v>6555</v>
      </c>
      <c r="H2678" s="12" t="s">
        <v>6563</v>
      </c>
      <c r="I2678" s="12" t="s">
        <v>6564</v>
      </c>
      <c r="J2678" s="11" t="s">
        <v>2246</v>
      </c>
      <c r="K2678" s="11" t="s">
        <v>2247</v>
      </c>
      <c r="L2678" s="11" t="s">
        <v>5893</v>
      </c>
      <c r="M2678" s="11" t="s">
        <v>3894</v>
      </c>
      <c r="N2678" s="12"/>
      <c r="O2678" s="11" t="s">
        <v>1860</v>
      </c>
      <c r="P2678" s="56"/>
    </row>
    <row r="2679" spans="1:16" ht="15.75" customHeight="1" x14ac:dyDescent="0.2">
      <c r="A2679" s="48">
        <v>4348</v>
      </c>
      <c r="B2679" s="11" t="s">
        <v>1857</v>
      </c>
      <c r="C2679" s="11" t="s">
        <v>1849</v>
      </c>
      <c r="D2679" s="6" t="s">
        <v>1850</v>
      </c>
      <c r="E2679" s="12" t="s">
        <v>5888</v>
      </c>
      <c r="F2679" s="12" t="s">
        <v>6554</v>
      </c>
      <c r="G2679" s="12" t="s">
        <v>6555</v>
      </c>
      <c r="H2679" s="12" t="s">
        <v>6556</v>
      </c>
      <c r="I2679" s="12" t="s">
        <v>6565</v>
      </c>
      <c r="J2679" s="11" t="s">
        <v>2246</v>
      </c>
      <c r="K2679" s="11" t="s">
        <v>2247</v>
      </c>
      <c r="L2679" s="11" t="s">
        <v>5893</v>
      </c>
      <c r="M2679" s="11" t="s">
        <v>1854</v>
      </c>
      <c r="N2679" s="12"/>
      <c r="O2679" s="11" t="s">
        <v>1858</v>
      </c>
      <c r="P2679" s="56"/>
    </row>
    <row r="2680" spans="1:16" ht="15.75" customHeight="1" x14ac:dyDescent="0.2">
      <c r="A2680" s="48">
        <v>4202</v>
      </c>
      <c r="B2680" s="11" t="s">
        <v>1857</v>
      </c>
      <c r="C2680" s="11" t="s">
        <v>1849</v>
      </c>
      <c r="D2680" s="6" t="s">
        <v>1850</v>
      </c>
      <c r="E2680" s="12" t="s">
        <v>5888</v>
      </c>
      <c r="F2680" s="12" t="s">
        <v>6554</v>
      </c>
      <c r="G2680" s="12" t="s">
        <v>6555</v>
      </c>
      <c r="H2680" s="12" t="s">
        <v>6566</v>
      </c>
      <c r="I2680" s="12" t="s">
        <v>6567</v>
      </c>
      <c r="J2680" s="11" t="s">
        <v>2246</v>
      </c>
      <c r="K2680" s="11" t="s">
        <v>2247</v>
      </c>
      <c r="L2680" s="11" t="s">
        <v>5893</v>
      </c>
      <c r="M2680" s="11" t="s">
        <v>2549</v>
      </c>
      <c r="N2680" s="12" t="s">
        <v>6568</v>
      </c>
      <c r="O2680" s="11" t="s">
        <v>1860</v>
      </c>
      <c r="P2680" s="56"/>
    </row>
    <row r="2681" spans="1:16" ht="15.75" customHeight="1" x14ac:dyDescent="0.2">
      <c r="A2681" s="48">
        <v>5130</v>
      </c>
      <c r="B2681" s="11" t="s">
        <v>1857</v>
      </c>
      <c r="C2681" s="11" t="s">
        <v>1849</v>
      </c>
      <c r="D2681" s="6" t="s">
        <v>1850</v>
      </c>
      <c r="E2681" s="12" t="s">
        <v>5888</v>
      </c>
      <c r="F2681" s="12" t="s">
        <v>6554</v>
      </c>
      <c r="G2681" s="12" t="s">
        <v>6555</v>
      </c>
      <c r="H2681" s="12" t="s">
        <v>6561</v>
      </c>
      <c r="I2681" s="12" t="s">
        <v>2759</v>
      </c>
      <c r="J2681" s="11" t="s">
        <v>2246</v>
      </c>
      <c r="K2681" s="11" t="s">
        <v>2247</v>
      </c>
      <c r="L2681" s="11" t="s">
        <v>5893</v>
      </c>
      <c r="M2681" s="11" t="s">
        <v>6131</v>
      </c>
      <c r="N2681" s="12" t="s">
        <v>6569</v>
      </c>
      <c r="O2681" s="11" t="s">
        <v>2334</v>
      </c>
      <c r="P2681" s="56" t="s">
        <v>6570</v>
      </c>
    </row>
    <row r="2682" spans="1:16" ht="15.75" customHeight="1" x14ac:dyDescent="0.2">
      <c r="A2682" s="48">
        <v>4703</v>
      </c>
      <c r="B2682" s="11" t="s">
        <v>1857</v>
      </c>
      <c r="C2682" s="11" t="s">
        <v>1849</v>
      </c>
      <c r="D2682" s="6" t="s">
        <v>1850</v>
      </c>
      <c r="E2682" s="12" t="s">
        <v>5888</v>
      </c>
      <c r="F2682" s="12" t="s">
        <v>6554</v>
      </c>
      <c r="G2682" s="12" t="s">
        <v>6555</v>
      </c>
      <c r="H2682" s="12" t="s">
        <v>6556</v>
      </c>
      <c r="I2682" s="12" t="s">
        <v>6571</v>
      </c>
      <c r="J2682" s="11" t="s">
        <v>2246</v>
      </c>
      <c r="K2682" s="11" t="s">
        <v>2247</v>
      </c>
      <c r="L2682" s="11" t="s">
        <v>5893</v>
      </c>
      <c r="M2682" s="11" t="s">
        <v>2549</v>
      </c>
      <c r="N2682" s="12" t="s">
        <v>6572</v>
      </c>
      <c r="O2682" s="11" t="s">
        <v>1860</v>
      </c>
      <c r="P2682" s="56"/>
    </row>
    <row r="2683" spans="1:16" ht="15.75" customHeight="1" x14ac:dyDescent="0.2">
      <c r="A2683" s="48">
        <v>5448</v>
      </c>
      <c r="B2683" s="11" t="s">
        <v>1857</v>
      </c>
      <c r="C2683" s="11" t="s">
        <v>1849</v>
      </c>
      <c r="D2683" s="6" t="s">
        <v>1850</v>
      </c>
      <c r="E2683" s="12" t="s">
        <v>5888</v>
      </c>
      <c r="F2683" s="12" t="s">
        <v>6554</v>
      </c>
      <c r="G2683" s="12" t="s">
        <v>6555</v>
      </c>
      <c r="H2683" s="12" t="s">
        <v>6573</v>
      </c>
      <c r="I2683" s="12" t="s">
        <v>6574</v>
      </c>
      <c r="J2683" s="11" t="s">
        <v>2246</v>
      </c>
      <c r="K2683" s="11" t="s">
        <v>2247</v>
      </c>
      <c r="L2683" s="11" t="s">
        <v>5893</v>
      </c>
      <c r="M2683" s="11" t="s">
        <v>1854</v>
      </c>
      <c r="N2683" s="12"/>
      <c r="O2683" s="11" t="s">
        <v>1860</v>
      </c>
      <c r="P2683" s="56"/>
    </row>
    <row r="2684" spans="1:16" ht="15.75" customHeight="1" x14ac:dyDescent="0.2">
      <c r="A2684" s="48">
        <v>4307</v>
      </c>
      <c r="B2684" s="11" t="s">
        <v>1857</v>
      </c>
      <c r="C2684" s="11" t="s">
        <v>1849</v>
      </c>
      <c r="D2684" s="6" t="s">
        <v>1850</v>
      </c>
      <c r="E2684" s="12" t="s">
        <v>5888</v>
      </c>
      <c r="F2684" s="12" t="s">
        <v>6554</v>
      </c>
      <c r="G2684" s="12" t="s">
        <v>6555</v>
      </c>
      <c r="H2684" s="12" t="s">
        <v>6575</v>
      </c>
      <c r="I2684" s="12" t="s">
        <v>6576</v>
      </c>
      <c r="J2684" s="11" t="s">
        <v>2246</v>
      </c>
      <c r="K2684" s="11" t="s">
        <v>2247</v>
      </c>
      <c r="L2684" s="11" t="s">
        <v>5893</v>
      </c>
      <c r="M2684" s="11" t="s">
        <v>3894</v>
      </c>
      <c r="N2684" s="12"/>
      <c r="O2684" s="11" t="s">
        <v>1858</v>
      </c>
      <c r="P2684" s="56"/>
    </row>
    <row r="2685" spans="1:16" ht="15.75" customHeight="1" x14ac:dyDescent="0.2">
      <c r="A2685" s="48">
        <v>4322</v>
      </c>
      <c r="B2685" s="11" t="s">
        <v>1857</v>
      </c>
      <c r="C2685" s="11" t="s">
        <v>1849</v>
      </c>
      <c r="D2685" s="6" t="s">
        <v>1850</v>
      </c>
      <c r="E2685" s="12" t="s">
        <v>5888</v>
      </c>
      <c r="F2685" s="12" t="s">
        <v>6554</v>
      </c>
      <c r="G2685" s="12" t="s">
        <v>6555</v>
      </c>
      <c r="H2685" s="12" t="s">
        <v>6575</v>
      </c>
      <c r="I2685" s="12" t="s">
        <v>6577</v>
      </c>
      <c r="J2685" s="11" t="s">
        <v>2246</v>
      </c>
      <c r="K2685" s="11" t="s">
        <v>2247</v>
      </c>
      <c r="L2685" s="11" t="s">
        <v>5893</v>
      </c>
      <c r="M2685" s="11" t="s">
        <v>6578</v>
      </c>
      <c r="N2685" s="12" t="s">
        <v>6579</v>
      </c>
      <c r="O2685" s="11" t="s">
        <v>2307</v>
      </c>
      <c r="P2685" s="56" t="s">
        <v>6580</v>
      </c>
    </row>
    <row r="2686" spans="1:16" ht="15.75" customHeight="1" x14ac:dyDescent="0.2">
      <c r="A2686" s="48">
        <v>4342</v>
      </c>
      <c r="B2686" s="11" t="s">
        <v>1857</v>
      </c>
      <c r="C2686" s="11" t="s">
        <v>1849</v>
      </c>
      <c r="D2686" s="6" t="s">
        <v>1850</v>
      </c>
      <c r="E2686" s="12" t="s">
        <v>5888</v>
      </c>
      <c r="F2686" s="12" t="s">
        <v>6554</v>
      </c>
      <c r="G2686" s="12" t="s">
        <v>6555</v>
      </c>
      <c r="H2686" s="12" t="s">
        <v>6559</v>
      </c>
      <c r="I2686" s="12" t="s">
        <v>6581</v>
      </c>
      <c r="J2686" s="11" t="s">
        <v>2246</v>
      </c>
      <c r="K2686" s="11" t="s">
        <v>2247</v>
      </c>
      <c r="L2686" s="11" t="s">
        <v>5893</v>
      </c>
      <c r="M2686" s="11" t="s">
        <v>6582</v>
      </c>
      <c r="N2686" s="12" t="s">
        <v>6583</v>
      </c>
      <c r="O2686" s="11" t="s">
        <v>1858</v>
      </c>
      <c r="P2686" s="56"/>
    </row>
    <row r="2687" spans="1:16" ht="15.75" customHeight="1" x14ac:dyDescent="0.2">
      <c r="A2687" s="48">
        <v>6802</v>
      </c>
      <c r="B2687" s="11" t="s">
        <v>1857</v>
      </c>
      <c r="C2687" s="11" t="s">
        <v>1849</v>
      </c>
      <c r="D2687" s="6" t="s">
        <v>1850</v>
      </c>
      <c r="E2687" s="12" t="s">
        <v>5888</v>
      </c>
      <c r="F2687" s="12" t="s">
        <v>6554</v>
      </c>
      <c r="G2687" s="12" t="s">
        <v>6555</v>
      </c>
      <c r="H2687" s="12" t="s">
        <v>6566</v>
      </c>
      <c r="I2687" s="12" t="s">
        <v>6584</v>
      </c>
      <c r="J2687" s="11" t="s">
        <v>2246</v>
      </c>
      <c r="K2687" s="11" t="s">
        <v>2247</v>
      </c>
      <c r="L2687" s="11" t="s">
        <v>5893</v>
      </c>
      <c r="M2687" s="11" t="s">
        <v>6585</v>
      </c>
      <c r="N2687" s="12"/>
      <c r="O2687" s="11" t="s">
        <v>1858</v>
      </c>
      <c r="P2687" s="56"/>
    </row>
    <row r="2688" spans="1:16" ht="15.75" customHeight="1" x14ac:dyDescent="0.2">
      <c r="A2688" s="48">
        <v>4201</v>
      </c>
      <c r="B2688" s="11" t="s">
        <v>1857</v>
      </c>
      <c r="C2688" s="11" t="s">
        <v>1849</v>
      </c>
      <c r="D2688" s="6" t="s">
        <v>1850</v>
      </c>
      <c r="E2688" s="12" t="s">
        <v>5888</v>
      </c>
      <c r="F2688" s="12" t="s">
        <v>6554</v>
      </c>
      <c r="G2688" s="12" t="s">
        <v>6555</v>
      </c>
      <c r="H2688" s="12" t="s">
        <v>6566</v>
      </c>
      <c r="I2688" s="12" t="s">
        <v>6586</v>
      </c>
      <c r="J2688" s="11" t="s">
        <v>2246</v>
      </c>
      <c r="K2688" s="11" t="s">
        <v>2247</v>
      </c>
      <c r="L2688" s="11" t="s">
        <v>5893</v>
      </c>
      <c r="M2688" s="11" t="s">
        <v>6587</v>
      </c>
      <c r="N2688" s="12" t="s">
        <v>6588</v>
      </c>
      <c r="O2688" s="11" t="s">
        <v>1867</v>
      </c>
      <c r="P2688" s="56" t="s">
        <v>1865</v>
      </c>
    </row>
    <row r="2689" spans="1:16" ht="15.75" customHeight="1" x14ac:dyDescent="0.2">
      <c r="A2689" s="48">
        <v>6854</v>
      </c>
      <c r="B2689" s="11" t="s">
        <v>1857</v>
      </c>
      <c r="C2689" s="11" t="s">
        <v>1849</v>
      </c>
      <c r="D2689" s="6" t="s">
        <v>1850</v>
      </c>
      <c r="E2689" s="12" t="s">
        <v>5888</v>
      </c>
      <c r="F2689" s="12" t="s">
        <v>6554</v>
      </c>
      <c r="G2689" s="12" t="s">
        <v>6555</v>
      </c>
      <c r="H2689" s="12" t="s">
        <v>6575</v>
      </c>
      <c r="I2689" s="12" t="s">
        <v>6589</v>
      </c>
      <c r="J2689" s="11" t="s">
        <v>2246</v>
      </c>
      <c r="K2689" s="11" t="s">
        <v>2247</v>
      </c>
      <c r="L2689" s="11" t="s">
        <v>5893</v>
      </c>
      <c r="M2689" s="11" t="s">
        <v>6590</v>
      </c>
      <c r="N2689" s="12" t="s">
        <v>6215</v>
      </c>
      <c r="O2689" s="11" t="s">
        <v>1858</v>
      </c>
      <c r="P2689" s="56"/>
    </row>
    <row r="2690" spans="1:16" ht="15.75" customHeight="1" x14ac:dyDescent="0.2">
      <c r="A2690" s="48">
        <v>5662</v>
      </c>
      <c r="B2690" s="11" t="s">
        <v>1857</v>
      </c>
      <c r="C2690" s="11" t="s">
        <v>1849</v>
      </c>
      <c r="D2690" s="6" t="s">
        <v>1850</v>
      </c>
      <c r="E2690" s="12" t="s">
        <v>5888</v>
      </c>
      <c r="F2690" s="12" t="s">
        <v>6554</v>
      </c>
      <c r="G2690" s="12" t="s">
        <v>6555</v>
      </c>
      <c r="H2690" s="12" t="s">
        <v>6591</v>
      </c>
      <c r="I2690" s="12" t="s">
        <v>6592</v>
      </c>
      <c r="J2690" s="11" t="s">
        <v>2246</v>
      </c>
      <c r="K2690" s="11" t="s">
        <v>2247</v>
      </c>
      <c r="L2690" s="11" t="s">
        <v>5893</v>
      </c>
      <c r="M2690" s="11" t="s">
        <v>6593</v>
      </c>
      <c r="N2690" s="12" t="s">
        <v>6594</v>
      </c>
      <c r="O2690" s="11" t="s">
        <v>2334</v>
      </c>
      <c r="P2690" s="56" t="s">
        <v>6595</v>
      </c>
    </row>
    <row r="2691" spans="1:16" ht="15.75" customHeight="1" x14ac:dyDescent="0.2">
      <c r="A2691" s="48">
        <v>4700</v>
      </c>
      <c r="B2691" s="11" t="s">
        <v>1857</v>
      </c>
      <c r="C2691" s="11" t="s">
        <v>1849</v>
      </c>
      <c r="D2691" s="6" t="s">
        <v>1850</v>
      </c>
      <c r="E2691" s="12" t="s">
        <v>5888</v>
      </c>
      <c r="F2691" s="12" t="s">
        <v>6554</v>
      </c>
      <c r="G2691" s="12" t="s">
        <v>6555</v>
      </c>
      <c r="H2691" s="12" t="s">
        <v>6556</v>
      </c>
      <c r="I2691" s="12" t="s">
        <v>6596</v>
      </c>
      <c r="J2691" s="11" t="s">
        <v>2246</v>
      </c>
      <c r="K2691" s="11" t="s">
        <v>2247</v>
      </c>
      <c r="L2691" s="11" t="s">
        <v>5893</v>
      </c>
      <c r="M2691" s="11" t="s">
        <v>6597</v>
      </c>
      <c r="N2691" s="12" t="s">
        <v>6598</v>
      </c>
      <c r="O2691" s="11" t="s">
        <v>1858</v>
      </c>
      <c r="P2691" s="56"/>
    </row>
    <row r="2692" spans="1:16" ht="15.75" customHeight="1" x14ac:dyDescent="0.2">
      <c r="A2692" s="48">
        <v>4721</v>
      </c>
      <c r="B2692" s="11" t="s">
        <v>1857</v>
      </c>
      <c r="C2692" s="11" t="s">
        <v>1849</v>
      </c>
      <c r="D2692" s="6" t="s">
        <v>1850</v>
      </c>
      <c r="E2692" s="12" t="s">
        <v>5888</v>
      </c>
      <c r="F2692" s="12" t="s">
        <v>6554</v>
      </c>
      <c r="G2692" s="12" t="s">
        <v>6555</v>
      </c>
      <c r="H2692" s="12" t="s">
        <v>6575</v>
      </c>
      <c r="I2692" s="12" t="s">
        <v>3072</v>
      </c>
      <c r="J2692" s="11" t="s">
        <v>2246</v>
      </c>
      <c r="K2692" s="11" t="s">
        <v>2247</v>
      </c>
      <c r="L2692" s="11" t="s">
        <v>5893</v>
      </c>
      <c r="M2692" s="11" t="s">
        <v>1854</v>
      </c>
      <c r="N2692" s="12"/>
      <c r="O2692" s="11" t="s">
        <v>1858</v>
      </c>
      <c r="P2692" s="56"/>
    </row>
    <row r="2693" spans="1:16" ht="15.75" customHeight="1" x14ac:dyDescent="0.2">
      <c r="A2693" s="48">
        <v>4284</v>
      </c>
      <c r="B2693" s="11" t="s">
        <v>1857</v>
      </c>
      <c r="C2693" s="11" t="s">
        <v>1849</v>
      </c>
      <c r="D2693" s="6" t="s">
        <v>1850</v>
      </c>
      <c r="E2693" s="12" t="s">
        <v>5888</v>
      </c>
      <c r="F2693" s="12" t="s">
        <v>6554</v>
      </c>
      <c r="G2693" s="12" t="s">
        <v>6555</v>
      </c>
      <c r="H2693" s="12" t="s">
        <v>6575</v>
      </c>
      <c r="I2693" s="12" t="s">
        <v>6599</v>
      </c>
      <c r="J2693" s="11" t="s">
        <v>2246</v>
      </c>
      <c r="K2693" s="11" t="s">
        <v>2247</v>
      </c>
      <c r="L2693" s="11" t="s">
        <v>5893</v>
      </c>
      <c r="M2693" s="11" t="s">
        <v>1854</v>
      </c>
      <c r="N2693" s="12"/>
      <c r="O2693" s="11" t="s">
        <v>1860</v>
      </c>
      <c r="P2693" s="56"/>
    </row>
    <row r="2694" spans="1:16" ht="15.75" customHeight="1" x14ac:dyDescent="0.2">
      <c r="A2694" s="48">
        <v>4224</v>
      </c>
      <c r="B2694" s="11" t="s">
        <v>1857</v>
      </c>
      <c r="C2694" s="11" t="s">
        <v>1849</v>
      </c>
      <c r="D2694" s="6" t="s">
        <v>1850</v>
      </c>
      <c r="E2694" s="12" t="s">
        <v>5888</v>
      </c>
      <c r="F2694" s="12" t="s">
        <v>6554</v>
      </c>
      <c r="G2694" s="12" t="s">
        <v>6555</v>
      </c>
      <c r="H2694" s="12" t="s">
        <v>6600</v>
      </c>
      <c r="I2694" s="12" t="s">
        <v>6601</v>
      </c>
      <c r="J2694" s="11" t="s">
        <v>2246</v>
      </c>
      <c r="K2694" s="11" t="s">
        <v>2247</v>
      </c>
      <c r="L2694" s="11" t="s">
        <v>5893</v>
      </c>
      <c r="M2694" s="11" t="s">
        <v>1854</v>
      </c>
      <c r="N2694" s="12"/>
      <c r="O2694" s="11" t="s">
        <v>1860</v>
      </c>
      <c r="P2694" s="56"/>
    </row>
    <row r="2695" spans="1:16" ht="15.75" customHeight="1" x14ac:dyDescent="0.2">
      <c r="A2695" s="48">
        <v>4178</v>
      </c>
      <c r="B2695" s="11" t="s">
        <v>1857</v>
      </c>
      <c r="C2695" s="11" t="s">
        <v>1849</v>
      </c>
      <c r="D2695" s="6" t="s">
        <v>1850</v>
      </c>
      <c r="E2695" s="12" t="s">
        <v>5888</v>
      </c>
      <c r="F2695" s="12" t="s">
        <v>6554</v>
      </c>
      <c r="G2695" s="12" t="s">
        <v>6555</v>
      </c>
      <c r="H2695" s="12" t="s">
        <v>6602</v>
      </c>
      <c r="I2695" s="12" t="s">
        <v>6603</v>
      </c>
      <c r="J2695" s="11" t="s">
        <v>2246</v>
      </c>
      <c r="K2695" s="11" t="s">
        <v>2247</v>
      </c>
      <c r="L2695" s="11" t="s">
        <v>5893</v>
      </c>
      <c r="M2695" s="11" t="s">
        <v>6604</v>
      </c>
      <c r="N2695" s="12" t="s">
        <v>6605</v>
      </c>
      <c r="O2695" s="11" t="s">
        <v>1858</v>
      </c>
      <c r="P2695" s="56"/>
    </row>
    <row r="2696" spans="1:16" ht="15.75" customHeight="1" x14ac:dyDescent="0.2">
      <c r="A2696" s="48">
        <v>6804</v>
      </c>
      <c r="B2696" s="11" t="s">
        <v>1857</v>
      </c>
      <c r="C2696" s="11" t="s">
        <v>1849</v>
      </c>
      <c r="D2696" s="6" t="s">
        <v>1850</v>
      </c>
      <c r="E2696" s="12" t="s">
        <v>5888</v>
      </c>
      <c r="F2696" s="12" t="s">
        <v>6554</v>
      </c>
      <c r="G2696" s="12" t="s">
        <v>6555</v>
      </c>
      <c r="H2696" s="12" t="s">
        <v>6606</v>
      </c>
      <c r="I2696" s="12" t="s">
        <v>6607</v>
      </c>
      <c r="J2696" s="11" t="s">
        <v>2246</v>
      </c>
      <c r="K2696" s="11" t="s">
        <v>2247</v>
      </c>
      <c r="L2696" s="11" t="s">
        <v>5893</v>
      </c>
      <c r="M2696" s="11" t="s">
        <v>6608</v>
      </c>
      <c r="N2696" s="12"/>
      <c r="O2696" s="11" t="s">
        <v>1860</v>
      </c>
      <c r="P2696" s="56"/>
    </row>
    <row r="2697" spans="1:16" ht="15.75" customHeight="1" x14ac:dyDescent="0.2">
      <c r="A2697" s="48">
        <v>4197</v>
      </c>
      <c r="B2697" s="11" t="s">
        <v>1857</v>
      </c>
      <c r="C2697" s="11" t="s">
        <v>1849</v>
      </c>
      <c r="D2697" s="6" t="s">
        <v>1850</v>
      </c>
      <c r="E2697" s="12" t="s">
        <v>5888</v>
      </c>
      <c r="F2697" s="12" t="s">
        <v>6554</v>
      </c>
      <c r="G2697" s="12" t="s">
        <v>6555</v>
      </c>
      <c r="H2697" s="12" t="s">
        <v>6602</v>
      </c>
      <c r="I2697" s="12" t="s">
        <v>4107</v>
      </c>
      <c r="J2697" s="11" t="s">
        <v>2246</v>
      </c>
      <c r="K2697" s="11" t="s">
        <v>2247</v>
      </c>
      <c r="L2697" s="11" t="s">
        <v>5893</v>
      </c>
      <c r="M2697" s="11" t="s">
        <v>6609</v>
      </c>
      <c r="N2697" s="12"/>
      <c r="O2697" s="11" t="s">
        <v>1858</v>
      </c>
      <c r="P2697" s="56"/>
    </row>
    <row r="2698" spans="1:16" ht="15.75" customHeight="1" x14ac:dyDescent="0.2">
      <c r="A2698" s="48">
        <v>4195</v>
      </c>
      <c r="B2698" s="11" t="s">
        <v>1857</v>
      </c>
      <c r="C2698" s="11" t="s">
        <v>1849</v>
      </c>
      <c r="D2698" s="6" t="s">
        <v>1850</v>
      </c>
      <c r="E2698" s="12" t="s">
        <v>5888</v>
      </c>
      <c r="F2698" s="12" t="s">
        <v>6554</v>
      </c>
      <c r="G2698" s="12" t="s">
        <v>6555</v>
      </c>
      <c r="H2698" s="12" t="s">
        <v>6566</v>
      </c>
      <c r="I2698" s="12" t="s">
        <v>6610</v>
      </c>
      <c r="J2698" s="11" t="s">
        <v>2246</v>
      </c>
      <c r="K2698" s="11" t="s">
        <v>2247</v>
      </c>
      <c r="L2698" s="11" t="s">
        <v>5893</v>
      </c>
      <c r="M2698" s="11" t="s">
        <v>6611</v>
      </c>
      <c r="N2698" s="12"/>
      <c r="O2698" s="11" t="s">
        <v>1858</v>
      </c>
      <c r="P2698" s="56"/>
    </row>
    <row r="2699" spans="1:16" ht="15.75" customHeight="1" x14ac:dyDescent="0.2">
      <c r="A2699" s="48">
        <v>5693</v>
      </c>
      <c r="B2699" s="11" t="s">
        <v>1857</v>
      </c>
      <c r="C2699" s="11" t="s">
        <v>1849</v>
      </c>
      <c r="D2699" s="6" t="s">
        <v>1850</v>
      </c>
      <c r="E2699" s="12" t="s">
        <v>5888</v>
      </c>
      <c r="F2699" s="12" t="s">
        <v>6554</v>
      </c>
      <c r="G2699" s="12" t="s">
        <v>6555</v>
      </c>
      <c r="H2699" s="12" t="s">
        <v>6575</v>
      </c>
      <c r="I2699" s="12" t="s">
        <v>3173</v>
      </c>
      <c r="J2699" s="11" t="s">
        <v>2246</v>
      </c>
      <c r="K2699" s="11" t="s">
        <v>2247</v>
      </c>
      <c r="L2699" s="11" t="s">
        <v>5893</v>
      </c>
      <c r="M2699" s="11" t="s">
        <v>6612</v>
      </c>
      <c r="N2699" s="12"/>
      <c r="O2699" s="11" t="s">
        <v>1858</v>
      </c>
      <c r="P2699" s="56"/>
    </row>
    <row r="2700" spans="1:16" ht="15.75" customHeight="1" x14ac:dyDescent="0.2">
      <c r="A2700" s="48">
        <v>4339</v>
      </c>
      <c r="B2700" s="11" t="s">
        <v>1857</v>
      </c>
      <c r="C2700" s="11" t="s">
        <v>1849</v>
      </c>
      <c r="D2700" s="6" t="s">
        <v>1850</v>
      </c>
      <c r="E2700" s="12" t="s">
        <v>5888</v>
      </c>
      <c r="F2700" s="12" t="s">
        <v>6554</v>
      </c>
      <c r="G2700" s="12" t="s">
        <v>6555</v>
      </c>
      <c r="H2700" s="12" t="s">
        <v>6559</v>
      </c>
      <c r="I2700" s="12" t="s">
        <v>6613</v>
      </c>
      <c r="J2700" s="11" t="s">
        <v>2246</v>
      </c>
      <c r="K2700" s="11" t="s">
        <v>2247</v>
      </c>
      <c r="L2700" s="11" t="s">
        <v>5893</v>
      </c>
      <c r="M2700" s="11" t="s">
        <v>6614</v>
      </c>
      <c r="N2700" s="12" t="s">
        <v>6615</v>
      </c>
      <c r="O2700" s="11" t="s">
        <v>1858</v>
      </c>
      <c r="P2700" s="56"/>
    </row>
    <row r="2701" spans="1:16" ht="15.75" customHeight="1" x14ac:dyDescent="0.2">
      <c r="A2701" s="48">
        <v>4190</v>
      </c>
      <c r="B2701" s="11" t="s">
        <v>1857</v>
      </c>
      <c r="C2701" s="11" t="s">
        <v>1849</v>
      </c>
      <c r="D2701" s="6" t="s">
        <v>1850</v>
      </c>
      <c r="E2701" s="12" t="s">
        <v>5888</v>
      </c>
      <c r="F2701" s="12" t="s">
        <v>6554</v>
      </c>
      <c r="G2701" s="12" t="s">
        <v>6555</v>
      </c>
      <c r="H2701" s="12" t="s">
        <v>6566</v>
      </c>
      <c r="I2701" s="12" t="s">
        <v>6616</v>
      </c>
      <c r="J2701" s="11" t="s">
        <v>2246</v>
      </c>
      <c r="K2701" s="11" t="s">
        <v>2247</v>
      </c>
      <c r="L2701" s="11" t="s">
        <v>5893</v>
      </c>
      <c r="M2701" s="11" t="s">
        <v>6617</v>
      </c>
      <c r="N2701" s="12"/>
      <c r="O2701" s="11" t="s">
        <v>1858</v>
      </c>
      <c r="P2701" s="56"/>
    </row>
    <row r="2702" spans="1:16" ht="15.75" customHeight="1" x14ac:dyDescent="0.2">
      <c r="A2702" s="48">
        <v>4699</v>
      </c>
      <c r="B2702" s="11" t="s">
        <v>1857</v>
      </c>
      <c r="C2702" s="11" t="s">
        <v>1849</v>
      </c>
      <c r="D2702" s="6" t="s">
        <v>1850</v>
      </c>
      <c r="E2702" s="12" t="s">
        <v>5888</v>
      </c>
      <c r="F2702" s="12" t="s">
        <v>6554</v>
      </c>
      <c r="G2702" s="12" t="s">
        <v>6555</v>
      </c>
      <c r="H2702" s="12" t="s">
        <v>6556</v>
      </c>
      <c r="I2702" s="12" t="s">
        <v>6616</v>
      </c>
      <c r="J2702" s="11" t="s">
        <v>2246</v>
      </c>
      <c r="K2702" s="11" t="s">
        <v>2247</v>
      </c>
      <c r="L2702" s="11" t="s">
        <v>5893</v>
      </c>
      <c r="M2702" s="11" t="s">
        <v>6617</v>
      </c>
      <c r="N2702" s="12"/>
      <c r="O2702" s="11" t="s">
        <v>1859</v>
      </c>
      <c r="P2702" s="56"/>
    </row>
    <row r="2703" spans="1:16" ht="15.75" customHeight="1" x14ac:dyDescent="0.2">
      <c r="A2703" s="48">
        <v>5573</v>
      </c>
      <c r="B2703" s="11" t="s">
        <v>1857</v>
      </c>
      <c r="C2703" s="11" t="s">
        <v>1849</v>
      </c>
      <c r="D2703" s="6" t="s">
        <v>1850</v>
      </c>
      <c r="E2703" s="12" t="s">
        <v>5888</v>
      </c>
      <c r="F2703" s="12" t="s">
        <v>6554</v>
      </c>
      <c r="G2703" s="12" t="s">
        <v>6555</v>
      </c>
      <c r="H2703" s="12" t="s">
        <v>6561</v>
      </c>
      <c r="I2703" s="12" t="s">
        <v>6618</v>
      </c>
      <c r="J2703" s="11" t="s">
        <v>2246</v>
      </c>
      <c r="K2703" s="11" t="s">
        <v>2247</v>
      </c>
      <c r="L2703" s="11" t="s">
        <v>5893</v>
      </c>
      <c r="M2703" s="11" t="s">
        <v>6619</v>
      </c>
      <c r="N2703" s="12"/>
      <c r="O2703" s="11" t="s">
        <v>1858</v>
      </c>
      <c r="P2703" s="56"/>
    </row>
    <row r="2704" spans="1:16" ht="15.75" customHeight="1" x14ac:dyDescent="0.2">
      <c r="A2704" s="48">
        <v>4199</v>
      </c>
      <c r="B2704" s="11" t="s">
        <v>1857</v>
      </c>
      <c r="C2704" s="11" t="s">
        <v>1849</v>
      </c>
      <c r="D2704" s="6" t="s">
        <v>1850</v>
      </c>
      <c r="E2704" s="12" t="s">
        <v>5888</v>
      </c>
      <c r="F2704" s="12" t="s">
        <v>6554</v>
      </c>
      <c r="G2704" s="12" t="s">
        <v>6555</v>
      </c>
      <c r="H2704" s="12" t="s">
        <v>6573</v>
      </c>
      <c r="I2704" s="12" t="s">
        <v>6620</v>
      </c>
      <c r="J2704" s="11" t="s">
        <v>2246</v>
      </c>
      <c r="K2704" s="11" t="s">
        <v>2247</v>
      </c>
      <c r="L2704" s="11" t="s">
        <v>5893</v>
      </c>
      <c r="M2704" s="11" t="s">
        <v>6621</v>
      </c>
      <c r="N2704" s="12" t="s">
        <v>6622</v>
      </c>
      <c r="O2704" s="11" t="s">
        <v>1858</v>
      </c>
      <c r="P2704" s="56"/>
    </row>
    <row r="2705" spans="1:16" ht="15.75" customHeight="1" x14ac:dyDescent="0.2">
      <c r="A2705" s="48">
        <v>4711</v>
      </c>
      <c r="B2705" s="11" t="s">
        <v>1857</v>
      </c>
      <c r="C2705" s="11" t="s">
        <v>1849</v>
      </c>
      <c r="D2705" s="6" t="s">
        <v>1850</v>
      </c>
      <c r="E2705" s="12" t="s">
        <v>5888</v>
      </c>
      <c r="F2705" s="12" t="s">
        <v>6554</v>
      </c>
      <c r="G2705" s="12" t="s">
        <v>6555</v>
      </c>
      <c r="H2705" s="12" t="s">
        <v>6573</v>
      </c>
      <c r="I2705" s="12" t="s">
        <v>6623</v>
      </c>
      <c r="J2705" s="11" t="s">
        <v>2246</v>
      </c>
      <c r="K2705" s="11" t="s">
        <v>2247</v>
      </c>
      <c r="L2705" s="11" t="s">
        <v>5893</v>
      </c>
      <c r="M2705" s="11" t="s">
        <v>1854</v>
      </c>
      <c r="N2705" s="12"/>
      <c r="O2705" s="11" t="s">
        <v>1858</v>
      </c>
      <c r="P2705" s="56"/>
    </row>
    <row r="2706" spans="1:16" ht="15.75" customHeight="1" x14ac:dyDescent="0.2">
      <c r="A2706" s="48">
        <v>4345</v>
      </c>
      <c r="B2706" s="11" t="s">
        <v>1857</v>
      </c>
      <c r="C2706" s="11" t="s">
        <v>1849</v>
      </c>
      <c r="D2706" s="6" t="s">
        <v>1850</v>
      </c>
      <c r="E2706" s="12" t="s">
        <v>5888</v>
      </c>
      <c r="F2706" s="12" t="s">
        <v>6554</v>
      </c>
      <c r="G2706" s="12" t="s">
        <v>6555</v>
      </c>
      <c r="H2706" s="12" t="s">
        <v>6561</v>
      </c>
      <c r="I2706" s="12" t="s">
        <v>6043</v>
      </c>
      <c r="J2706" s="11" t="s">
        <v>2246</v>
      </c>
      <c r="K2706" s="11" t="s">
        <v>2247</v>
      </c>
      <c r="L2706" s="11" t="s">
        <v>5893</v>
      </c>
      <c r="M2706" s="11" t="s">
        <v>6624</v>
      </c>
      <c r="N2706" s="12"/>
      <c r="O2706" s="11" t="s">
        <v>1859</v>
      </c>
      <c r="P2706" s="56"/>
    </row>
    <row r="2707" spans="1:16" ht="15.75" customHeight="1" x14ac:dyDescent="0.2">
      <c r="A2707" s="48">
        <v>4209</v>
      </c>
      <c r="B2707" s="11" t="s">
        <v>1857</v>
      </c>
      <c r="C2707" s="11" t="s">
        <v>1849</v>
      </c>
      <c r="D2707" s="6" t="s">
        <v>1850</v>
      </c>
      <c r="E2707" s="12" t="s">
        <v>5888</v>
      </c>
      <c r="F2707" s="12" t="s">
        <v>6554</v>
      </c>
      <c r="G2707" s="12" t="s">
        <v>6555</v>
      </c>
      <c r="H2707" s="12" t="s">
        <v>6563</v>
      </c>
      <c r="I2707" s="12" t="s">
        <v>6625</v>
      </c>
      <c r="J2707" s="11" t="s">
        <v>2246</v>
      </c>
      <c r="K2707" s="11" t="s">
        <v>2247</v>
      </c>
      <c r="L2707" s="11" t="s">
        <v>5893</v>
      </c>
      <c r="M2707" s="11" t="s">
        <v>1854</v>
      </c>
      <c r="N2707" s="12" t="s">
        <v>6626</v>
      </c>
      <c r="O2707" s="11" t="s">
        <v>1858</v>
      </c>
      <c r="P2707" s="56"/>
    </row>
    <row r="2708" spans="1:16" ht="15.75" customHeight="1" x14ac:dyDescent="0.2">
      <c r="A2708" s="48">
        <v>6803</v>
      </c>
      <c r="B2708" s="11" t="s">
        <v>1857</v>
      </c>
      <c r="C2708" s="11" t="s">
        <v>1849</v>
      </c>
      <c r="D2708" s="6" t="s">
        <v>1850</v>
      </c>
      <c r="E2708" s="12" t="s">
        <v>5888</v>
      </c>
      <c r="F2708" s="12" t="s">
        <v>6554</v>
      </c>
      <c r="G2708" s="12" t="s">
        <v>6555</v>
      </c>
      <c r="H2708" s="12" t="s">
        <v>6600</v>
      </c>
      <c r="I2708" s="12" t="s">
        <v>6627</v>
      </c>
      <c r="J2708" s="11" t="s">
        <v>2246</v>
      </c>
      <c r="K2708" s="11" t="s">
        <v>2247</v>
      </c>
      <c r="L2708" s="11" t="s">
        <v>5893</v>
      </c>
      <c r="M2708" s="11" t="s">
        <v>1854</v>
      </c>
      <c r="N2708" s="12"/>
      <c r="O2708" s="11" t="s">
        <v>1858</v>
      </c>
      <c r="P2708" s="56"/>
    </row>
    <row r="2709" spans="1:16" ht="15.75" customHeight="1" x14ac:dyDescent="0.2">
      <c r="A2709" s="48">
        <v>4340</v>
      </c>
      <c r="B2709" s="11" t="s">
        <v>1857</v>
      </c>
      <c r="C2709" s="11" t="s">
        <v>1849</v>
      </c>
      <c r="D2709" s="6" t="s">
        <v>1850</v>
      </c>
      <c r="E2709" s="12" t="s">
        <v>5888</v>
      </c>
      <c r="F2709" s="12" t="s">
        <v>6554</v>
      </c>
      <c r="G2709" s="12" t="s">
        <v>6555</v>
      </c>
      <c r="H2709" s="12" t="s">
        <v>6559</v>
      </c>
      <c r="I2709" s="12" t="s">
        <v>6628</v>
      </c>
      <c r="J2709" s="11" t="s">
        <v>2246</v>
      </c>
      <c r="K2709" s="11" t="s">
        <v>2247</v>
      </c>
      <c r="L2709" s="11" t="s">
        <v>5893</v>
      </c>
      <c r="M2709" s="11" t="s">
        <v>6629</v>
      </c>
      <c r="N2709" s="12"/>
      <c r="O2709" s="11" t="s">
        <v>1858</v>
      </c>
      <c r="P2709" s="56"/>
    </row>
    <row r="2710" spans="1:16" ht="15.75" customHeight="1" x14ac:dyDescent="0.2">
      <c r="A2710" s="48">
        <v>6370</v>
      </c>
      <c r="B2710" s="11" t="s">
        <v>1857</v>
      </c>
      <c r="C2710" s="11" t="s">
        <v>1849</v>
      </c>
      <c r="D2710" s="6" t="s">
        <v>1850</v>
      </c>
      <c r="E2710" s="12" t="s">
        <v>5888</v>
      </c>
      <c r="F2710" s="12" t="s">
        <v>6554</v>
      </c>
      <c r="G2710" s="12" t="s">
        <v>6555</v>
      </c>
      <c r="H2710" s="12" t="s">
        <v>6566</v>
      </c>
      <c r="I2710" s="12" t="s">
        <v>6630</v>
      </c>
      <c r="J2710" s="11" t="s">
        <v>2246</v>
      </c>
      <c r="K2710" s="11" t="s">
        <v>2247</v>
      </c>
      <c r="L2710" s="11" t="s">
        <v>5893</v>
      </c>
      <c r="M2710" s="11" t="s">
        <v>6631</v>
      </c>
      <c r="N2710" s="12" t="s">
        <v>6632</v>
      </c>
      <c r="O2710" s="11" t="s">
        <v>1858</v>
      </c>
      <c r="P2710" s="56"/>
    </row>
    <row r="2711" spans="1:16" ht="15.75" customHeight="1" x14ac:dyDescent="0.2">
      <c r="A2711" s="48">
        <v>5847</v>
      </c>
      <c r="B2711" s="11" t="s">
        <v>1857</v>
      </c>
      <c r="C2711" s="11" t="s">
        <v>1849</v>
      </c>
      <c r="D2711" s="6" t="s">
        <v>1850</v>
      </c>
      <c r="E2711" s="12" t="s">
        <v>5888</v>
      </c>
      <c r="F2711" s="12" t="s">
        <v>6554</v>
      </c>
      <c r="G2711" s="12" t="s">
        <v>6555</v>
      </c>
      <c r="H2711" s="12" t="s">
        <v>6573</v>
      </c>
      <c r="I2711" s="12" t="s">
        <v>4495</v>
      </c>
      <c r="J2711" s="11" t="s">
        <v>2246</v>
      </c>
      <c r="K2711" s="11" t="s">
        <v>2247</v>
      </c>
      <c r="L2711" s="11" t="s">
        <v>5893</v>
      </c>
      <c r="M2711" s="11" t="s">
        <v>1854</v>
      </c>
      <c r="N2711" s="12"/>
      <c r="O2711" s="11" t="s">
        <v>1860</v>
      </c>
      <c r="P2711" s="56"/>
    </row>
    <row r="2712" spans="1:16" ht="15.75" customHeight="1" x14ac:dyDescent="0.2">
      <c r="A2712" s="48">
        <v>4179</v>
      </c>
      <c r="B2712" s="11" t="s">
        <v>1857</v>
      </c>
      <c r="C2712" s="11" t="s">
        <v>1849</v>
      </c>
      <c r="D2712" s="6" t="s">
        <v>1850</v>
      </c>
      <c r="E2712" s="12" t="s">
        <v>5888</v>
      </c>
      <c r="F2712" s="12" t="s">
        <v>6554</v>
      </c>
      <c r="G2712" s="12" t="s">
        <v>6555</v>
      </c>
      <c r="H2712" s="12" t="s">
        <v>6591</v>
      </c>
      <c r="I2712" s="12" t="s">
        <v>6633</v>
      </c>
      <c r="J2712" s="11" t="s">
        <v>2246</v>
      </c>
      <c r="K2712" s="11" t="s">
        <v>2247</v>
      </c>
      <c r="L2712" s="11" t="s">
        <v>5893</v>
      </c>
      <c r="M2712" s="11" t="s">
        <v>6612</v>
      </c>
      <c r="N2712" s="12"/>
      <c r="O2712" s="11" t="s">
        <v>1859</v>
      </c>
      <c r="P2712" s="56"/>
    </row>
    <row r="2713" spans="1:16" ht="15.75" customHeight="1" x14ac:dyDescent="0.2">
      <c r="A2713" s="48">
        <v>4338</v>
      </c>
      <c r="B2713" s="11" t="s">
        <v>1857</v>
      </c>
      <c r="C2713" s="11" t="s">
        <v>1849</v>
      </c>
      <c r="D2713" s="6" t="s">
        <v>1850</v>
      </c>
      <c r="E2713" s="12" t="s">
        <v>5888</v>
      </c>
      <c r="F2713" s="12" t="s">
        <v>6554</v>
      </c>
      <c r="G2713" s="12" t="s">
        <v>6555</v>
      </c>
      <c r="H2713" s="12" t="s">
        <v>6561</v>
      </c>
      <c r="I2713" s="12" t="s">
        <v>6634</v>
      </c>
      <c r="J2713" s="11" t="s">
        <v>2246</v>
      </c>
      <c r="K2713" s="11" t="s">
        <v>2247</v>
      </c>
      <c r="L2713" s="11" t="s">
        <v>5893</v>
      </c>
      <c r="M2713" s="11" t="s">
        <v>6635</v>
      </c>
      <c r="N2713" s="12"/>
      <c r="O2713" s="11" t="s">
        <v>1858</v>
      </c>
      <c r="P2713" s="56"/>
    </row>
    <row r="2714" spans="1:16" ht="15.75" customHeight="1" x14ac:dyDescent="0.2">
      <c r="A2714" s="48">
        <v>4191</v>
      </c>
      <c r="B2714" s="11" t="s">
        <v>1857</v>
      </c>
      <c r="C2714" s="11" t="s">
        <v>1849</v>
      </c>
      <c r="D2714" s="6" t="s">
        <v>1850</v>
      </c>
      <c r="E2714" s="12" t="s">
        <v>5888</v>
      </c>
      <c r="F2714" s="12" t="s">
        <v>6554</v>
      </c>
      <c r="G2714" s="12" t="s">
        <v>6555</v>
      </c>
      <c r="H2714" s="12" t="s">
        <v>6573</v>
      </c>
      <c r="I2714" s="12" t="s">
        <v>6636</v>
      </c>
      <c r="J2714" s="11" t="s">
        <v>2246</v>
      </c>
      <c r="K2714" s="11" t="s">
        <v>2247</v>
      </c>
      <c r="L2714" s="11" t="s">
        <v>5893</v>
      </c>
      <c r="M2714" s="11" t="s">
        <v>2766</v>
      </c>
      <c r="N2714" s="12"/>
      <c r="O2714" s="11" t="s">
        <v>2334</v>
      </c>
      <c r="P2714" s="56" t="s">
        <v>1863</v>
      </c>
    </row>
    <row r="2715" spans="1:16" ht="15.75" customHeight="1" x14ac:dyDescent="0.2">
      <c r="A2715" s="48">
        <v>15251</v>
      </c>
      <c r="B2715" s="11" t="s">
        <v>1871</v>
      </c>
      <c r="C2715" s="11" t="s">
        <v>1849</v>
      </c>
      <c r="D2715" s="6" t="s">
        <v>1850</v>
      </c>
      <c r="E2715" s="12" t="s">
        <v>5888</v>
      </c>
      <c r="F2715" s="12" t="s">
        <v>6554</v>
      </c>
      <c r="G2715" s="12" t="s">
        <v>6555</v>
      </c>
      <c r="H2715" s="12" t="s">
        <v>6556</v>
      </c>
      <c r="I2715" s="12" t="s">
        <v>6637</v>
      </c>
      <c r="J2715" s="11" t="s">
        <v>2246</v>
      </c>
      <c r="K2715" s="11" t="s">
        <v>2247</v>
      </c>
      <c r="L2715" s="11" t="s">
        <v>5893</v>
      </c>
      <c r="M2715" s="11" t="s">
        <v>1854</v>
      </c>
      <c r="N2715" s="12"/>
      <c r="O2715" s="11" t="s">
        <v>1859</v>
      </c>
      <c r="P2715" s="56"/>
    </row>
    <row r="2716" spans="1:16" ht="15.75" customHeight="1" x14ac:dyDescent="0.2">
      <c r="A2716" s="48">
        <v>16201</v>
      </c>
      <c r="B2716" s="11" t="s">
        <v>1871</v>
      </c>
      <c r="C2716" s="11" t="s">
        <v>1849</v>
      </c>
      <c r="D2716" s="6" t="s">
        <v>1850</v>
      </c>
      <c r="E2716" s="12" t="s">
        <v>5888</v>
      </c>
      <c r="F2716" s="12" t="s">
        <v>6554</v>
      </c>
      <c r="G2716" s="12"/>
      <c r="H2716" s="12"/>
      <c r="I2716" s="12" t="s">
        <v>6638</v>
      </c>
      <c r="J2716" s="11"/>
      <c r="K2716" s="11"/>
      <c r="L2716" s="11" t="s">
        <v>5893</v>
      </c>
      <c r="M2716" s="11" t="s">
        <v>1854</v>
      </c>
      <c r="N2716" s="12"/>
      <c r="O2716" s="11" t="s">
        <v>6639</v>
      </c>
      <c r="P2716" s="56"/>
    </row>
    <row r="2717" spans="1:16" ht="36" customHeight="1" x14ac:dyDescent="0.2">
      <c r="A2717" s="48" t="s">
        <v>6640</v>
      </c>
      <c r="B2717" s="11" t="s">
        <v>1857</v>
      </c>
      <c r="C2717" s="11" t="s">
        <v>1849</v>
      </c>
      <c r="D2717" s="16" t="s">
        <v>4242</v>
      </c>
      <c r="E2717" s="12" t="s">
        <v>5888</v>
      </c>
      <c r="F2717" s="12" t="s">
        <v>6298</v>
      </c>
      <c r="G2717" s="12" t="s">
        <v>6302</v>
      </c>
      <c r="H2717" s="12" t="s">
        <v>6304</v>
      </c>
      <c r="I2717" s="12" t="s">
        <v>6641</v>
      </c>
      <c r="J2717" s="11" t="s">
        <v>2246</v>
      </c>
      <c r="K2717" s="11" t="s">
        <v>2247</v>
      </c>
      <c r="L2717" s="11"/>
      <c r="M2717" s="11"/>
      <c r="N2717" s="12"/>
      <c r="O2717" s="11" t="s">
        <v>1858</v>
      </c>
      <c r="P2717" s="56"/>
    </row>
    <row r="2718" spans="1:16" ht="15.75" customHeight="1" x14ac:dyDescent="0.2">
      <c r="A2718" s="48">
        <v>3486</v>
      </c>
      <c r="B2718" s="11" t="s">
        <v>1848</v>
      </c>
      <c r="C2718" s="11" t="s">
        <v>1849</v>
      </c>
      <c r="D2718" s="6" t="s">
        <v>1850</v>
      </c>
      <c r="E2718" s="11" t="s">
        <v>6642</v>
      </c>
      <c r="F2718" s="12" t="s">
        <v>6643</v>
      </c>
      <c r="G2718" s="12" t="s">
        <v>6642</v>
      </c>
      <c r="H2718" s="58" t="s">
        <v>6644</v>
      </c>
      <c r="I2718" s="12" t="s">
        <v>6645</v>
      </c>
      <c r="J2718" s="11" t="s">
        <v>1851</v>
      </c>
      <c r="K2718" s="11" t="s">
        <v>1852</v>
      </c>
      <c r="L2718" s="11" t="s">
        <v>1853</v>
      </c>
      <c r="M2718" s="11" t="s">
        <v>1854</v>
      </c>
      <c r="N2718" s="12"/>
      <c r="O2718" s="11" t="s">
        <v>1855</v>
      </c>
      <c r="P2718" s="56"/>
    </row>
    <row r="2719" spans="1:16" ht="15.75" customHeight="1" x14ac:dyDescent="0.2">
      <c r="A2719" s="49">
        <v>15753</v>
      </c>
      <c r="B2719" s="11" t="s">
        <v>1848</v>
      </c>
      <c r="C2719" s="11" t="s">
        <v>1849</v>
      </c>
      <c r="D2719" s="6" t="s">
        <v>1850</v>
      </c>
      <c r="E2719" s="11" t="s">
        <v>6642</v>
      </c>
      <c r="F2719" s="12" t="s">
        <v>6643</v>
      </c>
      <c r="G2719" s="12" t="s">
        <v>6642</v>
      </c>
      <c r="H2719" s="58" t="s">
        <v>6646</v>
      </c>
      <c r="I2719" s="12" t="s">
        <v>6647</v>
      </c>
      <c r="J2719" s="11" t="s">
        <v>1851</v>
      </c>
      <c r="K2719" s="11" t="s">
        <v>1852</v>
      </c>
      <c r="L2719" s="11" t="s">
        <v>1853</v>
      </c>
      <c r="M2719" s="11" t="s">
        <v>1854</v>
      </c>
      <c r="N2719" s="12"/>
      <c r="O2719" s="11" t="s">
        <v>1855</v>
      </c>
      <c r="P2719" s="56"/>
    </row>
    <row r="2720" spans="1:16" ht="15.75" customHeight="1" x14ac:dyDescent="0.2">
      <c r="A2720" s="48">
        <v>15766</v>
      </c>
      <c r="B2720" s="11" t="s">
        <v>1848</v>
      </c>
      <c r="C2720" s="11" t="s">
        <v>1849</v>
      </c>
      <c r="D2720" s="6" t="s">
        <v>1850</v>
      </c>
      <c r="E2720" s="11" t="s">
        <v>6642</v>
      </c>
      <c r="F2720" s="12" t="s">
        <v>6643</v>
      </c>
      <c r="G2720" s="12" t="s">
        <v>6642</v>
      </c>
      <c r="H2720" s="58" t="s">
        <v>6648</v>
      </c>
      <c r="I2720" s="12" t="s">
        <v>6649</v>
      </c>
      <c r="J2720" s="11" t="s">
        <v>1851</v>
      </c>
      <c r="K2720" s="11" t="s">
        <v>1852</v>
      </c>
      <c r="L2720" s="11" t="s">
        <v>1853</v>
      </c>
      <c r="M2720" s="11" t="s">
        <v>1854</v>
      </c>
      <c r="N2720" s="12"/>
      <c r="O2720" s="11" t="s">
        <v>1855</v>
      </c>
      <c r="P2720" s="56"/>
    </row>
    <row r="2721" spans="1:16" ht="15.75" customHeight="1" x14ac:dyDescent="0.2">
      <c r="A2721" s="48">
        <v>15765</v>
      </c>
      <c r="B2721" s="11" t="s">
        <v>1848</v>
      </c>
      <c r="C2721" s="11" t="s">
        <v>1849</v>
      </c>
      <c r="D2721" s="6" t="s">
        <v>1850</v>
      </c>
      <c r="E2721" s="11" t="s">
        <v>6642</v>
      </c>
      <c r="F2721" s="12" t="s">
        <v>6643</v>
      </c>
      <c r="G2721" s="12" t="s">
        <v>6642</v>
      </c>
      <c r="H2721" s="58" t="s">
        <v>6648</v>
      </c>
      <c r="I2721" s="12" t="s">
        <v>6650</v>
      </c>
      <c r="J2721" s="11" t="s">
        <v>1851</v>
      </c>
      <c r="K2721" s="11" t="s">
        <v>1852</v>
      </c>
      <c r="L2721" s="11" t="s">
        <v>1853</v>
      </c>
      <c r="M2721" s="11" t="s">
        <v>1854</v>
      </c>
      <c r="N2721" s="12"/>
      <c r="O2721" s="11" t="s">
        <v>1855</v>
      </c>
      <c r="P2721" s="56"/>
    </row>
    <row r="2722" spans="1:16" ht="15.75" customHeight="1" x14ac:dyDescent="0.2">
      <c r="A2722" s="48">
        <v>15764</v>
      </c>
      <c r="B2722" s="11" t="s">
        <v>1848</v>
      </c>
      <c r="C2722" s="11" t="s">
        <v>1849</v>
      </c>
      <c r="D2722" s="6" t="s">
        <v>1850</v>
      </c>
      <c r="E2722" s="11" t="s">
        <v>6642</v>
      </c>
      <c r="F2722" s="12" t="s">
        <v>6643</v>
      </c>
      <c r="G2722" s="12" t="s">
        <v>6642</v>
      </c>
      <c r="H2722" s="58" t="s">
        <v>6648</v>
      </c>
      <c r="I2722" s="12" t="s">
        <v>6651</v>
      </c>
      <c r="J2722" s="11" t="s">
        <v>1851</v>
      </c>
      <c r="K2722" s="11" t="s">
        <v>1852</v>
      </c>
      <c r="L2722" s="11" t="s">
        <v>1853</v>
      </c>
      <c r="M2722" s="11" t="s">
        <v>1854</v>
      </c>
      <c r="N2722" s="12"/>
      <c r="O2722" s="11" t="s">
        <v>1855</v>
      </c>
      <c r="P2722" s="56"/>
    </row>
    <row r="2723" spans="1:16" ht="15.75" customHeight="1" x14ac:dyDescent="0.2">
      <c r="A2723" s="48">
        <v>15768</v>
      </c>
      <c r="B2723" s="11" t="s">
        <v>1848</v>
      </c>
      <c r="C2723" s="11" t="s">
        <v>1849</v>
      </c>
      <c r="D2723" s="6" t="s">
        <v>1850</v>
      </c>
      <c r="E2723" s="11" t="s">
        <v>6642</v>
      </c>
      <c r="F2723" s="12" t="s">
        <v>6643</v>
      </c>
      <c r="G2723" s="12" t="s">
        <v>6642</v>
      </c>
      <c r="H2723" s="58" t="s">
        <v>6648</v>
      </c>
      <c r="I2723" s="12" t="s">
        <v>6652</v>
      </c>
      <c r="J2723" s="11" t="s">
        <v>1851</v>
      </c>
      <c r="K2723" s="11" t="s">
        <v>1852</v>
      </c>
      <c r="L2723" s="11" t="s">
        <v>1853</v>
      </c>
      <c r="M2723" s="11" t="s">
        <v>1854</v>
      </c>
      <c r="N2723" s="12"/>
      <c r="O2723" s="11" t="s">
        <v>1855</v>
      </c>
      <c r="P2723" s="56"/>
    </row>
    <row r="2724" spans="1:16" ht="15.75" customHeight="1" x14ac:dyDescent="0.2">
      <c r="A2724" s="48">
        <v>15781</v>
      </c>
      <c r="B2724" s="11" t="s">
        <v>1848</v>
      </c>
      <c r="C2724" s="11" t="s">
        <v>1849</v>
      </c>
      <c r="D2724" s="6" t="s">
        <v>1850</v>
      </c>
      <c r="E2724" s="11" t="s">
        <v>6642</v>
      </c>
      <c r="F2724" s="12" t="s">
        <v>6643</v>
      </c>
      <c r="G2724" s="12" t="s">
        <v>6642</v>
      </c>
      <c r="H2724" s="12" t="s">
        <v>6653</v>
      </c>
      <c r="I2724" s="12" t="s">
        <v>6654</v>
      </c>
      <c r="J2724" s="11" t="s">
        <v>1851</v>
      </c>
      <c r="K2724" s="11" t="s">
        <v>1852</v>
      </c>
      <c r="L2724" s="11" t="s">
        <v>1853</v>
      </c>
      <c r="M2724" s="11" t="s">
        <v>1854</v>
      </c>
      <c r="N2724" s="12"/>
      <c r="O2724" s="11" t="s">
        <v>1855</v>
      </c>
      <c r="P2724" s="56"/>
    </row>
    <row r="2725" spans="1:16" ht="15.75" customHeight="1" x14ac:dyDescent="0.2">
      <c r="A2725" s="48">
        <v>15786</v>
      </c>
      <c r="B2725" s="11" t="s">
        <v>1848</v>
      </c>
      <c r="C2725" s="11" t="s">
        <v>1849</v>
      </c>
      <c r="D2725" s="6" t="s">
        <v>1850</v>
      </c>
      <c r="E2725" s="11" t="s">
        <v>6642</v>
      </c>
      <c r="F2725" s="12" t="s">
        <v>6643</v>
      </c>
      <c r="G2725" s="12" t="s">
        <v>6642</v>
      </c>
      <c r="H2725" s="12" t="s">
        <v>6655</v>
      </c>
      <c r="I2725" s="12" t="s">
        <v>6656</v>
      </c>
      <c r="J2725" s="11" t="s">
        <v>1851</v>
      </c>
      <c r="K2725" s="11" t="s">
        <v>1852</v>
      </c>
      <c r="L2725" s="11" t="s">
        <v>1853</v>
      </c>
      <c r="M2725" s="11" t="s">
        <v>1854</v>
      </c>
      <c r="N2725" s="12"/>
      <c r="O2725" s="11" t="s">
        <v>1855</v>
      </c>
      <c r="P2725" s="56"/>
    </row>
    <row r="2726" spans="1:16" ht="15.75" customHeight="1" x14ac:dyDescent="0.2">
      <c r="A2726" s="48">
        <v>15783</v>
      </c>
      <c r="B2726" s="11" t="s">
        <v>1848</v>
      </c>
      <c r="C2726" s="11" t="s">
        <v>1849</v>
      </c>
      <c r="D2726" s="6" t="s">
        <v>1850</v>
      </c>
      <c r="E2726" s="11" t="s">
        <v>6642</v>
      </c>
      <c r="F2726" s="12" t="s">
        <v>6643</v>
      </c>
      <c r="G2726" s="12" t="s">
        <v>6642</v>
      </c>
      <c r="H2726" s="12" t="s">
        <v>6655</v>
      </c>
      <c r="I2726" s="12" t="s">
        <v>6657</v>
      </c>
      <c r="J2726" s="11" t="s">
        <v>1851</v>
      </c>
      <c r="K2726" s="11" t="s">
        <v>1852</v>
      </c>
      <c r="L2726" s="11" t="s">
        <v>1853</v>
      </c>
      <c r="M2726" s="11" t="s">
        <v>1854</v>
      </c>
      <c r="N2726" s="12"/>
      <c r="O2726" s="11" t="s">
        <v>1855</v>
      </c>
      <c r="P2726" s="56"/>
    </row>
    <row r="2727" spans="1:16" ht="15.75" customHeight="1" x14ac:dyDescent="0.2">
      <c r="A2727" s="48">
        <v>7544</v>
      </c>
      <c r="B2727" s="11" t="s">
        <v>1848</v>
      </c>
      <c r="C2727" s="11" t="s">
        <v>1849</v>
      </c>
      <c r="D2727" s="6" t="s">
        <v>1850</v>
      </c>
      <c r="E2727" s="11" t="s">
        <v>6642</v>
      </c>
      <c r="F2727" s="12" t="s">
        <v>6643</v>
      </c>
      <c r="G2727" s="12" t="s">
        <v>6642</v>
      </c>
      <c r="H2727" s="58" t="s">
        <v>6658</v>
      </c>
      <c r="I2727" s="12" t="s">
        <v>6659</v>
      </c>
      <c r="J2727" s="11" t="s">
        <v>1851</v>
      </c>
      <c r="K2727" s="11" t="s">
        <v>1852</v>
      </c>
      <c r="L2727" s="11" t="s">
        <v>1853</v>
      </c>
      <c r="M2727" s="11" t="s">
        <v>1854</v>
      </c>
      <c r="N2727" s="12"/>
      <c r="O2727" s="11" t="s">
        <v>1855</v>
      </c>
      <c r="P2727" s="56"/>
    </row>
    <row r="2728" spans="1:16" ht="15.75" customHeight="1" x14ac:dyDescent="0.2">
      <c r="A2728" s="48">
        <v>7545</v>
      </c>
      <c r="B2728" s="11" t="s">
        <v>1848</v>
      </c>
      <c r="C2728" s="11" t="s">
        <v>1849</v>
      </c>
      <c r="D2728" s="6" t="s">
        <v>1850</v>
      </c>
      <c r="E2728" s="11" t="s">
        <v>6642</v>
      </c>
      <c r="F2728" s="12" t="s">
        <v>6643</v>
      </c>
      <c r="G2728" s="12" t="s">
        <v>6642</v>
      </c>
      <c r="H2728" s="58" t="s">
        <v>6644</v>
      </c>
      <c r="I2728" s="12" t="s">
        <v>6660</v>
      </c>
      <c r="J2728" s="11" t="s">
        <v>1851</v>
      </c>
      <c r="K2728" s="11" t="s">
        <v>1852</v>
      </c>
      <c r="L2728" s="11" t="s">
        <v>1853</v>
      </c>
      <c r="M2728" s="11" t="s">
        <v>1854</v>
      </c>
      <c r="N2728" s="12"/>
      <c r="O2728" s="11" t="s">
        <v>1855</v>
      </c>
      <c r="P2728" s="56"/>
    </row>
    <row r="2729" spans="1:16" ht="15.75" customHeight="1" x14ac:dyDescent="0.2">
      <c r="A2729" s="49">
        <v>7556</v>
      </c>
      <c r="B2729" s="11" t="s">
        <v>1848</v>
      </c>
      <c r="C2729" s="11" t="s">
        <v>1849</v>
      </c>
      <c r="D2729" s="6" t="s">
        <v>1850</v>
      </c>
      <c r="E2729" s="11" t="s">
        <v>6642</v>
      </c>
      <c r="F2729" s="12" t="s">
        <v>6643</v>
      </c>
      <c r="G2729" s="12" t="s">
        <v>6642</v>
      </c>
      <c r="H2729" s="12" t="s">
        <v>6661</v>
      </c>
      <c r="I2729" s="12" t="s">
        <v>6662</v>
      </c>
      <c r="J2729" s="11" t="s">
        <v>1851</v>
      </c>
      <c r="K2729" s="11" t="s">
        <v>1852</v>
      </c>
      <c r="L2729" s="11" t="s">
        <v>1853</v>
      </c>
      <c r="M2729" s="11" t="s">
        <v>1854</v>
      </c>
      <c r="N2729" s="12"/>
      <c r="O2729" s="11" t="s">
        <v>1855</v>
      </c>
      <c r="P2729" s="56"/>
    </row>
    <row r="2730" spans="1:16" ht="15.75" customHeight="1" x14ac:dyDescent="0.2">
      <c r="A2730" s="49">
        <v>7541</v>
      </c>
      <c r="B2730" s="11" t="s">
        <v>1848</v>
      </c>
      <c r="C2730" s="11" t="s">
        <v>1849</v>
      </c>
      <c r="D2730" s="6" t="s">
        <v>1850</v>
      </c>
      <c r="E2730" s="11" t="s">
        <v>6642</v>
      </c>
      <c r="F2730" s="12" t="s">
        <v>6643</v>
      </c>
      <c r="G2730" s="12" t="s">
        <v>6642</v>
      </c>
      <c r="H2730" s="12" t="s">
        <v>6646</v>
      </c>
      <c r="I2730" s="12" t="s">
        <v>6663</v>
      </c>
      <c r="J2730" s="11" t="s">
        <v>1851</v>
      </c>
      <c r="K2730" s="11" t="s">
        <v>1852</v>
      </c>
      <c r="L2730" s="11" t="s">
        <v>1853</v>
      </c>
      <c r="M2730" s="11" t="s">
        <v>1854</v>
      </c>
      <c r="N2730" s="12"/>
      <c r="O2730" s="11" t="s">
        <v>1855</v>
      </c>
      <c r="P2730" s="56"/>
    </row>
    <row r="2731" spans="1:16" ht="15.75" customHeight="1" x14ac:dyDescent="0.2">
      <c r="A2731" s="48">
        <v>15573</v>
      </c>
      <c r="B2731" s="11" t="s">
        <v>1848</v>
      </c>
      <c r="C2731" s="11" t="s">
        <v>1849</v>
      </c>
      <c r="D2731" s="6" t="s">
        <v>1850</v>
      </c>
      <c r="E2731" s="11" t="s">
        <v>6642</v>
      </c>
      <c r="F2731" s="12" t="s">
        <v>6643</v>
      </c>
      <c r="G2731" s="12" t="s">
        <v>6642</v>
      </c>
      <c r="H2731" s="58" t="s">
        <v>6664</v>
      </c>
      <c r="I2731" s="12" t="s">
        <v>6665</v>
      </c>
      <c r="J2731" s="11" t="s">
        <v>1851</v>
      </c>
      <c r="K2731" s="11" t="s">
        <v>1852</v>
      </c>
      <c r="L2731" s="11" t="s">
        <v>1853</v>
      </c>
      <c r="M2731" s="11" t="s">
        <v>1854</v>
      </c>
      <c r="N2731" s="12"/>
      <c r="O2731" s="11" t="s">
        <v>1855</v>
      </c>
      <c r="P2731" s="56"/>
    </row>
    <row r="2732" spans="1:16" ht="15.75" customHeight="1" x14ac:dyDescent="0.2">
      <c r="A2732" s="48">
        <v>15574</v>
      </c>
      <c r="B2732" s="11" t="s">
        <v>1848</v>
      </c>
      <c r="C2732" s="11" t="s">
        <v>1849</v>
      </c>
      <c r="D2732" s="6" t="s">
        <v>1850</v>
      </c>
      <c r="E2732" s="11" t="s">
        <v>6642</v>
      </c>
      <c r="F2732" s="12" t="s">
        <v>6643</v>
      </c>
      <c r="G2732" s="12" t="s">
        <v>6642</v>
      </c>
      <c r="H2732" s="62" t="s">
        <v>6666</v>
      </c>
      <c r="I2732" s="12" t="s">
        <v>6667</v>
      </c>
      <c r="J2732" s="11" t="s">
        <v>1851</v>
      </c>
      <c r="K2732" s="11" t="s">
        <v>1852</v>
      </c>
      <c r="L2732" s="11" t="s">
        <v>1853</v>
      </c>
      <c r="M2732" s="11" t="s">
        <v>1854</v>
      </c>
      <c r="N2732" s="12"/>
      <c r="O2732" s="11" t="s">
        <v>1855</v>
      </c>
      <c r="P2732" s="56"/>
    </row>
    <row r="2733" spans="1:16" ht="15.75" customHeight="1" x14ac:dyDescent="0.2">
      <c r="A2733" s="48">
        <v>15575</v>
      </c>
      <c r="B2733" s="11" t="s">
        <v>1848</v>
      </c>
      <c r="C2733" s="11" t="s">
        <v>1849</v>
      </c>
      <c r="D2733" s="6" t="s">
        <v>1850</v>
      </c>
      <c r="E2733" s="11" t="s">
        <v>6642</v>
      </c>
      <c r="F2733" s="12" t="s">
        <v>6643</v>
      </c>
      <c r="G2733" s="12" t="s">
        <v>6642</v>
      </c>
      <c r="H2733" s="12" t="s">
        <v>5550</v>
      </c>
      <c r="I2733" s="12" t="s">
        <v>6668</v>
      </c>
      <c r="J2733" s="11" t="s">
        <v>1851</v>
      </c>
      <c r="K2733" s="11" t="s">
        <v>1852</v>
      </c>
      <c r="L2733" s="11" t="s">
        <v>1853</v>
      </c>
      <c r="M2733" s="11" t="s">
        <v>1854</v>
      </c>
      <c r="N2733" s="12"/>
      <c r="O2733" s="11" t="s">
        <v>1855</v>
      </c>
      <c r="P2733" s="56"/>
    </row>
    <row r="2734" spans="1:16" ht="15.75" customHeight="1" x14ac:dyDescent="0.2">
      <c r="A2734" s="48">
        <v>15578</v>
      </c>
      <c r="B2734" s="11" t="s">
        <v>1848</v>
      </c>
      <c r="C2734" s="11" t="s">
        <v>1849</v>
      </c>
      <c r="D2734" s="6" t="s">
        <v>1850</v>
      </c>
      <c r="E2734" s="11" t="s">
        <v>6642</v>
      </c>
      <c r="F2734" s="12" t="s">
        <v>6643</v>
      </c>
      <c r="G2734" s="12" t="s">
        <v>6642</v>
      </c>
      <c r="H2734" s="12" t="s">
        <v>6661</v>
      </c>
      <c r="I2734" s="12" t="s">
        <v>6669</v>
      </c>
      <c r="J2734" s="11" t="s">
        <v>1851</v>
      </c>
      <c r="K2734" s="11" t="s">
        <v>1852</v>
      </c>
      <c r="L2734" s="11" t="s">
        <v>1853</v>
      </c>
      <c r="M2734" s="11" t="s">
        <v>1854</v>
      </c>
      <c r="N2734" s="12"/>
      <c r="O2734" s="11" t="s">
        <v>1855</v>
      </c>
      <c r="P2734" s="56"/>
    </row>
    <row r="2735" spans="1:16" ht="15.75" customHeight="1" x14ac:dyDescent="0.2">
      <c r="A2735" s="48">
        <v>15579</v>
      </c>
      <c r="B2735" s="11" t="s">
        <v>1848</v>
      </c>
      <c r="C2735" s="11" t="s">
        <v>1849</v>
      </c>
      <c r="D2735" s="6" t="s">
        <v>1850</v>
      </c>
      <c r="E2735" s="11" t="s">
        <v>6642</v>
      </c>
      <c r="F2735" s="12" t="s">
        <v>6643</v>
      </c>
      <c r="G2735" s="12" t="s">
        <v>6642</v>
      </c>
      <c r="H2735" s="58" t="s">
        <v>6648</v>
      </c>
      <c r="I2735" s="12" t="s">
        <v>6670</v>
      </c>
      <c r="J2735" s="11" t="s">
        <v>1851</v>
      </c>
      <c r="K2735" s="11" t="s">
        <v>1852</v>
      </c>
      <c r="L2735" s="11" t="s">
        <v>1853</v>
      </c>
      <c r="M2735" s="11" t="s">
        <v>1854</v>
      </c>
      <c r="N2735" s="12"/>
      <c r="O2735" s="11" t="s">
        <v>1855</v>
      </c>
      <c r="P2735" s="56"/>
    </row>
    <row r="2736" spans="1:16" ht="15.75" customHeight="1" x14ac:dyDescent="0.2">
      <c r="A2736" s="48">
        <v>15582</v>
      </c>
      <c r="B2736" s="11" t="s">
        <v>1848</v>
      </c>
      <c r="C2736" s="11" t="s">
        <v>1849</v>
      </c>
      <c r="D2736" s="6" t="s">
        <v>1850</v>
      </c>
      <c r="E2736" s="11" t="s">
        <v>6642</v>
      </c>
      <c r="F2736" s="12" t="s">
        <v>6643</v>
      </c>
      <c r="G2736" s="12" t="s">
        <v>6642</v>
      </c>
      <c r="H2736" s="12" t="s">
        <v>6671</v>
      </c>
      <c r="I2736" s="12" t="s">
        <v>6672</v>
      </c>
      <c r="J2736" s="11" t="s">
        <v>1851</v>
      </c>
      <c r="K2736" s="11" t="s">
        <v>1852</v>
      </c>
      <c r="L2736" s="11" t="s">
        <v>1853</v>
      </c>
      <c r="M2736" s="11" t="s">
        <v>1854</v>
      </c>
      <c r="N2736" s="12"/>
      <c r="O2736" s="11" t="s">
        <v>1855</v>
      </c>
      <c r="P2736" s="56"/>
    </row>
    <row r="2737" spans="1:16" ht="15.75" customHeight="1" x14ac:dyDescent="0.2">
      <c r="A2737" s="48">
        <v>15583</v>
      </c>
      <c r="B2737" s="11" t="s">
        <v>1848</v>
      </c>
      <c r="C2737" s="11" t="s">
        <v>1849</v>
      </c>
      <c r="D2737" s="6" t="s">
        <v>1850</v>
      </c>
      <c r="E2737" s="11" t="s">
        <v>6642</v>
      </c>
      <c r="F2737" s="12" t="s">
        <v>6643</v>
      </c>
      <c r="G2737" s="12" t="s">
        <v>6642</v>
      </c>
      <c r="H2737" s="12" t="s">
        <v>3542</v>
      </c>
      <c r="I2737" s="12" t="s">
        <v>6673</v>
      </c>
      <c r="J2737" s="11" t="s">
        <v>1851</v>
      </c>
      <c r="K2737" s="11" t="s">
        <v>1852</v>
      </c>
      <c r="L2737" s="11" t="s">
        <v>1853</v>
      </c>
      <c r="M2737" s="11" t="s">
        <v>1854</v>
      </c>
      <c r="N2737" s="12"/>
      <c r="O2737" s="11" t="s">
        <v>1855</v>
      </c>
      <c r="P2737" s="56"/>
    </row>
    <row r="2738" spans="1:16" ht="15.75" customHeight="1" x14ac:dyDescent="0.2">
      <c r="A2738" s="48">
        <v>15585</v>
      </c>
      <c r="B2738" s="11" t="s">
        <v>1848</v>
      </c>
      <c r="C2738" s="11" t="s">
        <v>1849</v>
      </c>
      <c r="D2738" s="6" t="s">
        <v>1850</v>
      </c>
      <c r="E2738" s="11" t="s">
        <v>6642</v>
      </c>
      <c r="F2738" s="12" t="s">
        <v>6643</v>
      </c>
      <c r="G2738" s="12" t="s">
        <v>6642</v>
      </c>
      <c r="H2738" s="12" t="s">
        <v>6661</v>
      </c>
      <c r="I2738" s="12" t="s">
        <v>6674</v>
      </c>
      <c r="J2738" s="11" t="s">
        <v>1851</v>
      </c>
      <c r="K2738" s="11" t="s">
        <v>1852</v>
      </c>
      <c r="L2738" s="11" t="s">
        <v>1853</v>
      </c>
      <c r="M2738" s="11" t="s">
        <v>1854</v>
      </c>
      <c r="N2738" s="12"/>
      <c r="O2738" s="11" t="s">
        <v>1855</v>
      </c>
      <c r="P2738" s="56"/>
    </row>
    <row r="2739" spans="1:16" ht="15.75" customHeight="1" x14ac:dyDescent="0.2">
      <c r="A2739" s="48">
        <v>15586</v>
      </c>
      <c r="B2739" s="11" t="s">
        <v>1848</v>
      </c>
      <c r="C2739" s="11" t="s">
        <v>1849</v>
      </c>
      <c r="D2739" s="6" t="s">
        <v>1850</v>
      </c>
      <c r="E2739" s="11" t="s">
        <v>6642</v>
      </c>
      <c r="F2739" s="11" t="s">
        <v>6643</v>
      </c>
      <c r="G2739" s="11" t="s">
        <v>6642</v>
      </c>
      <c r="H2739" s="11" t="s">
        <v>6658</v>
      </c>
      <c r="I2739" s="11" t="s">
        <v>6675</v>
      </c>
      <c r="J2739" s="11" t="s">
        <v>1851</v>
      </c>
      <c r="K2739" s="11" t="s">
        <v>1852</v>
      </c>
      <c r="L2739" s="11" t="s">
        <v>1853</v>
      </c>
      <c r="M2739" s="11" t="s">
        <v>1854</v>
      </c>
      <c r="N2739" s="11"/>
      <c r="O2739" s="11" t="s">
        <v>1855</v>
      </c>
      <c r="P2739" s="53"/>
    </row>
    <row r="2740" spans="1:16" ht="15.75" customHeight="1" x14ac:dyDescent="0.2">
      <c r="A2740" s="49">
        <v>7543</v>
      </c>
      <c r="B2740" s="11" t="s">
        <v>1848</v>
      </c>
      <c r="C2740" s="11" t="s">
        <v>1849</v>
      </c>
      <c r="D2740" s="6" t="s">
        <v>1850</v>
      </c>
      <c r="E2740" s="11" t="s">
        <v>6642</v>
      </c>
      <c r="F2740" s="12" t="s">
        <v>6643</v>
      </c>
      <c r="G2740" s="12" t="s">
        <v>6642</v>
      </c>
      <c r="H2740" s="12" t="s">
        <v>6661</v>
      </c>
      <c r="I2740" s="12" t="s">
        <v>6676</v>
      </c>
      <c r="J2740" s="11" t="s">
        <v>1851</v>
      </c>
      <c r="K2740" s="11" t="s">
        <v>1852</v>
      </c>
      <c r="L2740" s="11" t="s">
        <v>1853</v>
      </c>
      <c r="M2740" s="11" t="s">
        <v>1854</v>
      </c>
      <c r="N2740" s="12"/>
      <c r="O2740" s="11" t="s">
        <v>1855</v>
      </c>
      <c r="P2740" s="56"/>
    </row>
    <row r="2741" spans="1:16" ht="15.75" customHeight="1" x14ac:dyDescent="0.2">
      <c r="A2741" s="48">
        <v>15588</v>
      </c>
      <c r="B2741" s="11" t="s">
        <v>1848</v>
      </c>
      <c r="C2741" s="11" t="s">
        <v>1849</v>
      </c>
      <c r="D2741" s="6" t="s">
        <v>1850</v>
      </c>
      <c r="E2741" s="11" t="s">
        <v>6642</v>
      </c>
      <c r="F2741" s="12" t="s">
        <v>6643</v>
      </c>
      <c r="G2741" s="12" t="s">
        <v>6642</v>
      </c>
      <c r="H2741" s="12" t="s">
        <v>2768</v>
      </c>
      <c r="I2741" s="12" t="s">
        <v>6677</v>
      </c>
      <c r="J2741" s="11" t="s">
        <v>1851</v>
      </c>
      <c r="K2741" s="11" t="s">
        <v>1852</v>
      </c>
      <c r="L2741" s="11" t="s">
        <v>1853</v>
      </c>
      <c r="M2741" s="11" t="s">
        <v>1854</v>
      </c>
      <c r="N2741" s="12"/>
      <c r="O2741" s="11" t="s">
        <v>1855</v>
      </c>
      <c r="P2741" s="56"/>
    </row>
    <row r="2742" spans="1:16" ht="15.75" customHeight="1" x14ac:dyDescent="0.2">
      <c r="A2742" s="49">
        <v>7557</v>
      </c>
      <c r="B2742" s="11" t="s">
        <v>1848</v>
      </c>
      <c r="C2742" s="11" t="s">
        <v>1849</v>
      </c>
      <c r="D2742" s="6" t="s">
        <v>1850</v>
      </c>
      <c r="E2742" s="11" t="s">
        <v>6642</v>
      </c>
      <c r="F2742" s="12" t="s">
        <v>6643</v>
      </c>
      <c r="G2742" s="12" t="s">
        <v>6642</v>
      </c>
      <c r="H2742" s="12" t="s">
        <v>2768</v>
      </c>
      <c r="I2742" s="12" t="s">
        <v>6678</v>
      </c>
      <c r="J2742" s="11" t="s">
        <v>1851</v>
      </c>
      <c r="K2742" s="11" t="s">
        <v>1852</v>
      </c>
      <c r="L2742" s="11" t="s">
        <v>1853</v>
      </c>
      <c r="M2742" s="11" t="s">
        <v>1854</v>
      </c>
      <c r="N2742" s="12"/>
      <c r="O2742" s="11" t="s">
        <v>1855</v>
      </c>
      <c r="P2742" s="56"/>
    </row>
    <row r="2743" spans="1:16" ht="15.75" customHeight="1" x14ac:dyDescent="0.2">
      <c r="A2743" s="48">
        <v>15590</v>
      </c>
      <c r="B2743" s="11" t="s">
        <v>1848</v>
      </c>
      <c r="C2743" s="11" t="s">
        <v>1849</v>
      </c>
      <c r="D2743" s="6" t="s">
        <v>1850</v>
      </c>
      <c r="E2743" s="11" t="s">
        <v>6642</v>
      </c>
      <c r="F2743" s="12" t="s">
        <v>6643</v>
      </c>
      <c r="G2743" s="12" t="s">
        <v>6642</v>
      </c>
      <c r="H2743" s="58" t="s">
        <v>6646</v>
      </c>
      <c r="I2743" s="12" t="s">
        <v>6679</v>
      </c>
      <c r="J2743" s="11" t="s">
        <v>1851</v>
      </c>
      <c r="K2743" s="11" t="s">
        <v>1852</v>
      </c>
      <c r="L2743" s="11" t="s">
        <v>1853</v>
      </c>
      <c r="M2743" s="11" t="s">
        <v>1854</v>
      </c>
      <c r="N2743" s="12"/>
      <c r="O2743" s="11" t="s">
        <v>1855</v>
      </c>
      <c r="P2743" s="56"/>
    </row>
    <row r="2744" spans="1:16" ht="15.75" customHeight="1" x14ac:dyDescent="0.2">
      <c r="A2744" s="48">
        <v>15592</v>
      </c>
      <c r="B2744" s="11" t="s">
        <v>1848</v>
      </c>
      <c r="C2744" s="11" t="s">
        <v>1849</v>
      </c>
      <c r="D2744" s="6" t="s">
        <v>1850</v>
      </c>
      <c r="E2744" s="11" t="s">
        <v>6642</v>
      </c>
      <c r="F2744" s="12" t="s">
        <v>6643</v>
      </c>
      <c r="G2744" s="12" t="s">
        <v>6642</v>
      </c>
      <c r="H2744" s="12" t="s">
        <v>6661</v>
      </c>
      <c r="I2744" s="12" t="s">
        <v>6680</v>
      </c>
      <c r="J2744" s="11" t="s">
        <v>1851</v>
      </c>
      <c r="K2744" s="11" t="s">
        <v>1852</v>
      </c>
      <c r="L2744" s="11" t="s">
        <v>1853</v>
      </c>
      <c r="M2744" s="11" t="s">
        <v>1854</v>
      </c>
      <c r="N2744" s="12"/>
      <c r="O2744" s="11" t="s">
        <v>1855</v>
      </c>
      <c r="P2744" s="56"/>
    </row>
    <row r="2745" spans="1:16" ht="15.75" customHeight="1" x14ac:dyDescent="0.2">
      <c r="A2745" s="49">
        <v>7554</v>
      </c>
      <c r="B2745" s="11" t="s">
        <v>1848</v>
      </c>
      <c r="C2745" s="11" t="s">
        <v>1849</v>
      </c>
      <c r="D2745" s="6" t="s">
        <v>1850</v>
      </c>
      <c r="E2745" s="11" t="s">
        <v>6642</v>
      </c>
      <c r="F2745" s="12" t="s">
        <v>6643</v>
      </c>
      <c r="G2745" s="12" t="s">
        <v>6642</v>
      </c>
      <c r="H2745" s="58" t="s">
        <v>6646</v>
      </c>
      <c r="I2745" s="12" t="s">
        <v>6681</v>
      </c>
      <c r="J2745" s="11" t="s">
        <v>1851</v>
      </c>
      <c r="K2745" s="11" t="s">
        <v>1852</v>
      </c>
      <c r="L2745" s="11" t="s">
        <v>1853</v>
      </c>
      <c r="M2745" s="11" t="s">
        <v>1854</v>
      </c>
      <c r="N2745" s="12"/>
      <c r="O2745" s="11" t="s">
        <v>1855</v>
      </c>
      <c r="P2745" s="56"/>
    </row>
    <row r="2746" spans="1:16" ht="15.75" customHeight="1" x14ac:dyDescent="0.2">
      <c r="A2746" s="49">
        <v>7548</v>
      </c>
      <c r="B2746" s="11" t="s">
        <v>1848</v>
      </c>
      <c r="C2746" s="11" t="s">
        <v>1849</v>
      </c>
      <c r="D2746" s="6" t="s">
        <v>1850</v>
      </c>
      <c r="E2746" s="11" t="s">
        <v>6642</v>
      </c>
      <c r="F2746" s="12" t="s">
        <v>6643</v>
      </c>
      <c r="G2746" s="12" t="s">
        <v>6642</v>
      </c>
      <c r="H2746" s="12" t="s">
        <v>2768</v>
      </c>
      <c r="I2746" s="12" t="s">
        <v>6682</v>
      </c>
      <c r="J2746" s="11" t="s">
        <v>1851</v>
      </c>
      <c r="K2746" s="11" t="s">
        <v>1852</v>
      </c>
      <c r="L2746" s="11" t="s">
        <v>1853</v>
      </c>
      <c r="M2746" s="11" t="s">
        <v>1854</v>
      </c>
      <c r="N2746" s="12"/>
      <c r="O2746" s="11" t="s">
        <v>1855</v>
      </c>
      <c r="P2746" s="56"/>
    </row>
    <row r="2747" spans="1:16" ht="15.75" customHeight="1" x14ac:dyDescent="0.2">
      <c r="A2747" s="48">
        <v>15714</v>
      </c>
      <c r="B2747" s="11" t="s">
        <v>1848</v>
      </c>
      <c r="C2747" s="11" t="s">
        <v>1849</v>
      </c>
      <c r="D2747" s="6" t="s">
        <v>1850</v>
      </c>
      <c r="E2747" s="11" t="s">
        <v>6642</v>
      </c>
      <c r="F2747" s="12" t="s">
        <v>6643</v>
      </c>
      <c r="G2747" s="12" t="s">
        <v>6642</v>
      </c>
      <c r="H2747" s="58" t="s">
        <v>6646</v>
      </c>
      <c r="I2747" s="12" t="s">
        <v>6683</v>
      </c>
      <c r="J2747" s="11" t="s">
        <v>1851</v>
      </c>
      <c r="K2747" s="11" t="s">
        <v>1852</v>
      </c>
      <c r="L2747" s="11" t="s">
        <v>1853</v>
      </c>
      <c r="M2747" s="11" t="s">
        <v>1854</v>
      </c>
      <c r="N2747" s="12"/>
      <c r="O2747" s="11" t="s">
        <v>1855</v>
      </c>
      <c r="P2747" s="56"/>
    </row>
    <row r="2748" spans="1:16" ht="15.75" customHeight="1" x14ac:dyDescent="0.2">
      <c r="A2748" s="49">
        <v>15752</v>
      </c>
      <c r="B2748" s="11" t="s">
        <v>1848</v>
      </c>
      <c r="C2748" s="11" t="s">
        <v>1849</v>
      </c>
      <c r="D2748" s="6" t="s">
        <v>1850</v>
      </c>
      <c r="E2748" s="11" t="s">
        <v>6642</v>
      </c>
      <c r="F2748" s="12" t="s">
        <v>6643</v>
      </c>
      <c r="G2748" s="12" t="s">
        <v>6642</v>
      </c>
      <c r="H2748" s="58" t="s">
        <v>6646</v>
      </c>
      <c r="I2748" s="12" t="s">
        <v>6684</v>
      </c>
      <c r="J2748" s="11" t="s">
        <v>1851</v>
      </c>
      <c r="K2748" s="11" t="s">
        <v>1852</v>
      </c>
      <c r="L2748" s="11" t="s">
        <v>1853</v>
      </c>
      <c r="M2748" s="11" t="s">
        <v>1854</v>
      </c>
      <c r="N2748" s="12"/>
      <c r="O2748" s="11" t="s">
        <v>1855</v>
      </c>
      <c r="P2748" s="56"/>
    </row>
    <row r="2749" spans="1:16" ht="15.75" customHeight="1" x14ac:dyDescent="0.2">
      <c r="A2749" s="48">
        <v>15778</v>
      </c>
      <c r="B2749" s="11" t="s">
        <v>1848</v>
      </c>
      <c r="C2749" s="11" t="s">
        <v>1849</v>
      </c>
      <c r="D2749" s="6" t="s">
        <v>1850</v>
      </c>
      <c r="E2749" s="11" t="s">
        <v>6642</v>
      </c>
      <c r="F2749" s="12" t="s">
        <v>6643</v>
      </c>
      <c r="G2749" s="12" t="s">
        <v>6642</v>
      </c>
      <c r="H2749" s="12" t="s">
        <v>6653</v>
      </c>
      <c r="I2749" s="12" t="s">
        <v>6685</v>
      </c>
      <c r="J2749" s="11" t="s">
        <v>1851</v>
      </c>
      <c r="K2749" s="11" t="s">
        <v>1852</v>
      </c>
      <c r="L2749" s="11" t="s">
        <v>1853</v>
      </c>
      <c r="M2749" s="11" t="s">
        <v>1854</v>
      </c>
      <c r="N2749" s="12"/>
      <c r="O2749" s="11" t="s">
        <v>1855</v>
      </c>
      <c r="P2749" s="56"/>
    </row>
    <row r="2750" spans="1:16" ht="15.75" customHeight="1" x14ac:dyDescent="0.2">
      <c r="A2750" s="48">
        <v>15779</v>
      </c>
      <c r="B2750" s="11" t="s">
        <v>1848</v>
      </c>
      <c r="C2750" s="11" t="s">
        <v>1849</v>
      </c>
      <c r="D2750" s="6" t="s">
        <v>1850</v>
      </c>
      <c r="E2750" s="11" t="s">
        <v>6642</v>
      </c>
      <c r="F2750" s="12" t="s">
        <v>6643</v>
      </c>
      <c r="G2750" s="12" t="s">
        <v>6642</v>
      </c>
      <c r="H2750" s="12" t="s">
        <v>6653</v>
      </c>
      <c r="I2750" s="12" t="s">
        <v>6686</v>
      </c>
      <c r="J2750" s="11" t="s">
        <v>1851</v>
      </c>
      <c r="K2750" s="11" t="s">
        <v>1852</v>
      </c>
      <c r="L2750" s="11" t="s">
        <v>1853</v>
      </c>
      <c r="M2750" s="11" t="s">
        <v>1854</v>
      </c>
      <c r="N2750" s="12"/>
      <c r="O2750" s="11" t="s">
        <v>1855</v>
      </c>
      <c r="P2750" s="56"/>
    </row>
    <row r="2751" spans="1:16" ht="15.75" customHeight="1" x14ac:dyDescent="0.2">
      <c r="A2751" s="48">
        <v>15577</v>
      </c>
      <c r="B2751" s="11" t="s">
        <v>1848</v>
      </c>
      <c r="C2751" s="11" t="s">
        <v>1849</v>
      </c>
      <c r="D2751" s="6" t="s">
        <v>1850</v>
      </c>
      <c r="E2751" s="11" t="s">
        <v>6642</v>
      </c>
      <c r="F2751" s="12" t="s">
        <v>6643</v>
      </c>
      <c r="G2751" s="12" t="s">
        <v>6642</v>
      </c>
      <c r="H2751" s="12" t="s">
        <v>6687</v>
      </c>
      <c r="I2751" s="12" t="s">
        <v>6688</v>
      </c>
      <c r="J2751" s="11" t="s">
        <v>1851</v>
      </c>
      <c r="K2751" s="11" t="s">
        <v>1852</v>
      </c>
      <c r="L2751" s="11" t="s">
        <v>1853</v>
      </c>
      <c r="M2751" s="11" t="s">
        <v>1854</v>
      </c>
      <c r="N2751" s="12"/>
      <c r="O2751" s="11" t="s">
        <v>1855</v>
      </c>
      <c r="P2751" s="56"/>
    </row>
    <row r="2752" spans="1:16" ht="15.75" customHeight="1" x14ac:dyDescent="0.2">
      <c r="A2752" s="48">
        <v>15790</v>
      </c>
      <c r="B2752" s="11" t="s">
        <v>1848</v>
      </c>
      <c r="C2752" s="11" t="s">
        <v>1849</v>
      </c>
      <c r="D2752" s="6" t="s">
        <v>1850</v>
      </c>
      <c r="E2752" s="11" t="s">
        <v>6642</v>
      </c>
      <c r="F2752" s="12" t="s">
        <v>6643</v>
      </c>
      <c r="G2752" s="12" t="s">
        <v>6642</v>
      </c>
      <c r="H2752" s="12" t="s">
        <v>6689</v>
      </c>
      <c r="I2752" s="12" t="s">
        <v>6690</v>
      </c>
      <c r="J2752" s="11" t="s">
        <v>1851</v>
      </c>
      <c r="K2752" s="11" t="s">
        <v>1852</v>
      </c>
      <c r="L2752" s="11" t="s">
        <v>1853</v>
      </c>
      <c r="M2752" s="11" t="s">
        <v>1854</v>
      </c>
      <c r="N2752" s="12"/>
      <c r="O2752" s="11" t="s">
        <v>1855</v>
      </c>
      <c r="P2752" s="56"/>
    </row>
    <row r="2753" spans="1:16" ht="15.75" customHeight="1" x14ac:dyDescent="0.2">
      <c r="A2753" s="48">
        <v>15789</v>
      </c>
      <c r="B2753" s="11" t="s">
        <v>1848</v>
      </c>
      <c r="C2753" s="11" t="s">
        <v>1849</v>
      </c>
      <c r="D2753" s="6" t="s">
        <v>1850</v>
      </c>
      <c r="E2753" s="11" t="s">
        <v>6642</v>
      </c>
      <c r="F2753" s="12" t="s">
        <v>6643</v>
      </c>
      <c r="G2753" s="12" t="s">
        <v>6642</v>
      </c>
      <c r="H2753" s="12" t="s">
        <v>6661</v>
      </c>
      <c r="I2753" s="12" t="s">
        <v>6691</v>
      </c>
      <c r="J2753" s="11" t="s">
        <v>1851</v>
      </c>
      <c r="K2753" s="11" t="s">
        <v>1852</v>
      </c>
      <c r="L2753" s="11" t="s">
        <v>1853</v>
      </c>
      <c r="M2753" s="11" t="s">
        <v>1854</v>
      </c>
      <c r="N2753" s="12"/>
      <c r="O2753" s="11" t="s">
        <v>1855</v>
      </c>
      <c r="P2753" s="56"/>
    </row>
    <row r="2754" spans="1:16" ht="15.75" customHeight="1" x14ac:dyDescent="0.2">
      <c r="A2754" s="48">
        <v>15788</v>
      </c>
      <c r="B2754" s="11" t="s">
        <v>1848</v>
      </c>
      <c r="C2754" s="11" t="s">
        <v>1849</v>
      </c>
      <c r="D2754" s="6" t="s">
        <v>1850</v>
      </c>
      <c r="E2754" s="11" t="s">
        <v>6642</v>
      </c>
      <c r="F2754" s="12" t="s">
        <v>6643</v>
      </c>
      <c r="G2754" s="12" t="s">
        <v>6642</v>
      </c>
      <c r="H2754" s="12" t="s">
        <v>6671</v>
      </c>
      <c r="I2754" s="12" t="s">
        <v>6692</v>
      </c>
      <c r="J2754" s="11" t="s">
        <v>1851</v>
      </c>
      <c r="K2754" s="11" t="s">
        <v>1852</v>
      </c>
      <c r="L2754" s="11" t="s">
        <v>1853</v>
      </c>
      <c r="M2754" s="11" t="s">
        <v>1854</v>
      </c>
      <c r="N2754" s="12"/>
      <c r="O2754" s="11" t="s">
        <v>1855</v>
      </c>
      <c r="P2754" s="56"/>
    </row>
    <row r="2755" spans="1:16" ht="15.75" customHeight="1" x14ac:dyDescent="0.2">
      <c r="A2755" s="48">
        <v>15792</v>
      </c>
      <c r="B2755" s="11" t="s">
        <v>1848</v>
      </c>
      <c r="C2755" s="11" t="s">
        <v>1849</v>
      </c>
      <c r="D2755" s="6" t="s">
        <v>1850</v>
      </c>
      <c r="E2755" s="11" t="s">
        <v>6642</v>
      </c>
      <c r="F2755" s="12" t="s">
        <v>6643</v>
      </c>
      <c r="G2755" s="12" t="s">
        <v>6642</v>
      </c>
      <c r="H2755" s="12" t="s">
        <v>3542</v>
      </c>
      <c r="I2755" s="12" t="s">
        <v>6693</v>
      </c>
      <c r="J2755" s="11" t="s">
        <v>1851</v>
      </c>
      <c r="K2755" s="11" t="s">
        <v>1852</v>
      </c>
      <c r="L2755" s="11" t="s">
        <v>1853</v>
      </c>
      <c r="M2755" s="11" t="s">
        <v>1854</v>
      </c>
      <c r="N2755" s="12"/>
      <c r="O2755" s="11" t="s">
        <v>1855</v>
      </c>
      <c r="P2755" s="56"/>
    </row>
    <row r="2756" spans="1:16" ht="15.75" customHeight="1" x14ac:dyDescent="0.2">
      <c r="A2756" s="48">
        <v>15993</v>
      </c>
      <c r="B2756" s="11" t="s">
        <v>1848</v>
      </c>
      <c r="C2756" s="11" t="s">
        <v>1849</v>
      </c>
      <c r="D2756" s="6" t="s">
        <v>1850</v>
      </c>
      <c r="E2756" s="11" t="s">
        <v>6642</v>
      </c>
      <c r="F2756" s="12" t="s">
        <v>6643</v>
      </c>
      <c r="G2756" s="12" t="s">
        <v>6642</v>
      </c>
      <c r="H2756" s="12" t="s">
        <v>2768</v>
      </c>
      <c r="I2756" s="12" t="s">
        <v>6694</v>
      </c>
      <c r="J2756" s="11" t="s">
        <v>1851</v>
      </c>
      <c r="K2756" s="11" t="s">
        <v>1852</v>
      </c>
      <c r="L2756" s="11" t="s">
        <v>1853</v>
      </c>
      <c r="M2756" s="11" t="s">
        <v>1854</v>
      </c>
      <c r="N2756" s="12"/>
      <c r="O2756" s="11" t="s">
        <v>1855</v>
      </c>
      <c r="P2756" s="56"/>
    </row>
    <row r="2757" spans="1:16" ht="15.75" customHeight="1" x14ac:dyDescent="0.2">
      <c r="A2757" s="48">
        <v>16032</v>
      </c>
      <c r="B2757" s="11" t="s">
        <v>1848</v>
      </c>
      <c r="C2757" s="11" t="s">
        <v>1849</v>
      </c>
      <c r="D2757" s="6" t="s">
        <v>1850</v>
      </c>
      <c r="E2757" s="11" t="s">
        <v>6642</v>
      </c>
      <c r="F2757" s="12" t="s">
        <v>6643</v>
      </c>
      <c r="G2757" s="12" t="s">
        <v>6642</v>
      </c>
      <c r="H2757" s="12" t="s">
        <v>6689</v>
      </c>
      <c r="I2757" s="12" t="s">
        <v>6695</v>
      </c>
      <c r="J2757" s="11" t="s">
        <v>1851</v>
      </c>
      <c r="K2757" s="11" t="s">
        <v>1852</v>
      </c>
      <c r="L2757" s="11" t="s">
        <v>1853</v>
      </c>
      <c r="M2757" s="11" t="s">
        <v>1854</v>
      </c>
      <c r="N2757" s="12"/>
      <c r="O2757" s="11" t="s">
        <v>1855</v>
      </c>
      <c r="P2757" s="56"/>
    </row>
    <row r="2758" spans="1:16" ht="15.75" customHeight="1" x14ac:dyDescent="0.2">
      <c r="A2758" s="48">
        <v>16033</v>
      </c>
      <c r="B2758" s="11" t="s">
        <v>1848</v>
      </c>
      <c r="C2758" s="11" t="s">
        <v>1849</v>
      </c>
      <c r="D2758" s="6" t="s">
        <v>1850</v>
      </c>
      <c r="E2758" s="11" t="s">
        <v>6642</v>
      </c>
      <c r="F2758" s="12" t="s">
        <v>6643</v>
      </c>
      <c r="G2758" s="12" t="s">
        <v>6642</v>
      </c>
      <c r="H2758" s="12" t="s">
        <v>6661</v>
      </c>
      <c r="I2758" s="12" t="s">
        <v>6696</v>
      </c>
      <c r="J2758" s="11" t="s">
        <v>1851</v>
      </c>
      <c r="K2758" s="11" t="s">
        <v>1852</v>
      </c>
      <c r="L2758" s="11" t="s">
        <v>1853</v>
      </c>
      <c r="M2758" s="11" t="s">
        <v>1854</v>
      </c>
      <c r="N2758" s="12"/>
      <c r="O2758" s="11" t="s">
        <v>1855</v>
      </c>
      <c r="P2758" s="56"/>
    </row>
    <row r="2759" spans="1:16" ht="15.75" customHeight="1" x14ac:dyDescent="0.2">
      <c r="A2759" s="48">
        <v>16034</v>
      </c>
      <c r="B2759" s="11" t="s">
        <v>1848</v>
      </c>
      <c r="C2759" s="11" t="s">
        <v>1849</v>
      </c>
      <c r="D2759" s="6" t="s">
        <v>1850</v>
      </c>
      <c r="E2759" s="11" t="s">
        <v>6642</v>
      </c>
      <c r="F2759" s="12" t="s">
        <v>6643</v>
      </c>
      <c r="G2759" s="12" t="s">
        <v>6642</v>
      </c>
      <c r="H2759" s="12" t="s">
        <v>6658</v>
      </c>
      <c r="I2759" s="12" t="s">
        <v>6697</v>
      </c>
      <c r="J2759" s="11" t="s">
        <v>1851</v>
      </c>
      <c r="K2759" s="11" t="s">
        <v>1852</v>
      </c>
      <c r="L2759" s="11" t="s">
        <v>1853</v>
      </c>
      <c r="M2759" s="11" t="s">
        <v>1854</v>
      </c>
      <c r="N2759" s="12"/>
      <c r="O2759" s="11" t="s">
        <v>1855</v>
      </c>
      <c r="P2759" s="56"/>
    </row>
    <row r="2760" spans="1:16" ht="15.75" customHeight="1" x14ac:dyDescent="0.2">
      <c r="A2760" s="48">
        <v>16035</v>
      </c>
      <c r="B2760" s="11" t="s">
        <v>1848</v>
      </c>
      <c r="C2760" s="11" t="s">
        <v>1849</v>
      </c>
      <c r="D2760" s="6" t="s">
        <v>1850</v>
      </c>
      <c r="E2760" s="11" t="s">
        <v>6642</v>
      </c>
      <c r="F2760" s="12" t="s">
        <v>6643</v>
      </c>
      <c r="G2760" s="12" t="s">
        <v>6642</v>
      </c>
      <c r="H2760" s="58" t="s">
        <v>6664</v>
      </c>
      <c r="I2760" s="12" t="s">
        <v>6698</v>
      </c>
      <c r="J2760" s="11" t="s">
        <v>1851</v>
      </c>
      <c r="K2760" s="11" t="s">
        <v>1852</v>
      </c>
      <c r="L2760" s="11" t="s">
        <v>1853</v>
      </c>
      <c r="M2760" s="11" t="s">
        <v>1854</v>
      </c>
      <c r="N2760" s="12"/>
      <c r="O2760" s="11" t="s">
        <v>1855</v>
      </c>
      <c r="P2760" s="56"/>
    </row>
    <row r="2761" spans="1:16" ht="15.75" customHeight="1" x14ac:dyDescent="0.2">
      <c r="A2761" s="48">
        <v>16036</v>
      </c>
      <c r="B2761" s="11" t="s">
        <v>1848</v>
      </c>
      <c r="C2761" s="11" t="s">
        <v>1849</v>
      </c>
      <c r="D2761" s="6" t="s">
        <v>1850</v>
      </c>
      <c r="E2761" s="11" t="s">
        <v>6642</v>
      </c>
      <c r="F2761" s="12" t="s">
        <v>6643</v>
      </c>
      <c r="G2761" s="12" t="s">
        <v>6642</v>
      </c>
      <c r="H2761" s="12" t="s">
        <v>2626</v>
      </c>
      <c r="I2761" s="12" t="s">
        <v>6699</v>
      </c>
      <c r="J2761" s="11" t="s">
        <v>1856</v>
      </c>
      <c r="K2761" s="11" t="s">
        <v>1852</v>
      </c>
      <c r="L2761" s="11" t="s">
        <v>1853</v>
      </c>
      <c r="M2761" s="11" t="s">
        <v>1854</v>
      </c>
      <c r="N2761" s="12"/>
      <c r="O2761" s="11" t="s">
        <v>1855</v>
      </c>
      <c r="P2761" s="56"/>
    </row>
    <row r="2762" spans="1:16" ht="15.75" customHeight="1" x14ac:dyDescent="0.2">
      <c r="A2762" s="48">
        <v>16037</v>
      </c>
      <c r="B2762" s="11" t="s">
        <v>1848</v>
      </c>
      <c r="C2762" s="11" t="s">
        <v>1849</v>
      </c>
      <c r="D2762" s="6" t="s">
        <v>1850</v>
      </c>
      <c r="E2762" s="11" t="s">
        <v>6642</v>
      </c>
      <c r="F2762" s="12" t="s">
        <v>6643</v>
      </c>
      <c r="G2762" s="12" t="s">
        <v>6642</v>
      </c>
      <c r="H2762" s="12" t="s">
        <v>2626</v>
      </c>
      <c r="I2762" s="12" t="s">
        <v>6700</v>
      </c>
      <c r="J2762" s="11" t="s">
        <v>1856</v>
      </c>
      <c r="K2762" s="11" t="s">
        <v>1852</v>
      </c>
      <c r="L2762" s="11" t="s">
        <v>1853</v>
      </c>
      <c r="M2762" s="11" t="s">
        <v>1854</v>
      </c>
      <c r="N2762" s="12"/>
      <c r="O2762" s="11" t="s">
        <v>1855</v>
      </c>
      <c r="P2762" s="56"/>
    </row>
    <row r="2763" spans="1:16" ht="15.75" customHeight="1" x14ac:dyDescent="0.2">
      <c r="A2763" s="49">
        <v>7546</v>
      </c>
      <c r="B2763" s="11" t="s">
        <v>1848</v>
      </c>
      <c r="C2763" s="11" t="s">
        <v>1849</v>
      </c>
      <c r="D2763" s="6" t="s">
        <v>1850</v>
      </c>
      <c r="E2763" s="11" t="s">
        <v>6642</v>
      </c>
      <c r="F2763" s="12" t="s">
        <v>6643</v>
      </c>
      <c r="G2763" s="12" t="s">
        <v>6642</v>
      </c>
      <c r="H2763" s="12" t="s">
        <v>3542</v>
      </c>
      <c r="I2763" s="12" t="s">
        <v>6701</v>
      </c>
      <c r="J2763" s="11" t="s">
        <v>1851</v>
      </c>
      <c r="K2763" s="11" t="s">
        <v>1852</v>
      </c>
      <c r="L2763" s="11" t="s">
        <v>1853</v>
      </c>
      <c r="M2763" s="11" t="s">
        <v>1854</v>
      </c>
      <c r="N2763" s="12"/>
      <c r="O2763" s="11" t="s">
        <v>1858</v>
      </c>
      <c r="P2763" s="56"/>
    </row>
    <row r="2764" spans="1:16" ht="15.75" customHeight="1" x14ac:dyDescent="0.2">
      <c r="A2764" s="48">
        <v>15576</v>
      </c>
      <c r="B2764" s="11" t="s">
        <v>1848</v>
      </c>
      <c r="C2764" s="11" t="s">
        <v>1849</v>
      </c>
      <c r="D2764" s="6" t="s">
        <v>1850</v>
      </c>
      <c r="E2764" s="11" t="s">
        <v>6642</v>
      </c>
      <c r="F2764" s="12" t="s">
        <v>6643</v>
      </c>
      <c r="G2764" s="12" t="s">
        <v>6642</v>
      </c>
      <c r="H2764" s="12" t="s">
        <v>2626</v>
      </c>
      <c r="I2764" s="12" t="s">
        <v>6702</v>
      </c>
      <c r="J2764" s="11" t="s">
        <v>1856</v>
      </c>
      <c r="K2764" s="11" t="s">
        <v>1852</v>
      </c>
      <c r="L2764" s="11" t="s">
        <v>1853</v>
      </c>
      <c r="M2764" s="11" t="s">
        <v>1854</v>
      </c>
      <c r="N2764" s="12"/>
      <c r="O2764" s="11" t="s">
        <v>1855</v>
      </c>
      <c r="P2764" s="56"/>
    </row>
    <row r="2765" spans="1:16" ht="15.75" customHeight="1" x14ac:dyDescent="0.2">
      <c r="A2765" s="48">
        <v>15580</v>
      </c>
      <c r="B2765" s="11" t="s">
        <v>1848</v>
      </c>
      <c r="C2765" s="11" t="s">
        <v>1849</v>
      </c>
      <c r="D2765" s="6" t="s">
        <v>1850</v>
      </c>
      <c r="E2765" s="11" t="s">
        <v>6642</v>
      </c>
      <c r="F2765" s="12" t="s">
        <v>6643</v>
      </c>
      <c r="G2765" s="12" t="s">
        <v>6642</v>
      </c>
      <c r="H2765" s="12" t="s">
        <v>6657</v>
      </c>
      <c r="I2765" s="12" t="s">
        <v>6703</v>
      </c>
      <c r="J2765" s="11" t="s">
        <v>1851</v>
      </c>
      <c r="K2765" s="11" t="s">
        <v>1852</v>
      </c>
      <c r="L2765" s="11" t="s">
        <v>1853</v>
      </c>
      <c r="M2765" s="11" t="s">
        <v>1854</v>
      </c>
      <c r="N2765" s="12"/>
      <c r="O2765" s="11" t="s">
        <v>1855</v>
      </c>
      <c r="P2765" s="56"/>
    </row>
    <row r="2766" spans="1:16" ht="15.75" customHeight="1" x14ac:dyDescent="0.2">
      <c r="A2766" s="48">
        <v>15791</v>
      </c>
      <c r="B2766" s="11" t="s">
        <v>1848</v>
      </c>
      <c r="C2766" s="11" t="s">
        <v>1849</v>
      </c>
      <c r="D2766" s="6" t="s">
        <v>1850</v>
      </c>
      <c r="E2766" s="11" t="s">
        <v>6642</v>
      </c>
      <c r="F2766" s="12" t="s">
        <v>6643</v>
      </c>
      <c r="G2766" s="12" t="s">
        <v>6642</v>
      </c>
      <c r="H2766" s="12" t="s">
        <v>6704</v>
      </c>
      <c r="I2766" s="12" t="s">
        <v>6705</v>
      </c>
      <c r="J2766" s="11" t="s">
        <v>1851</v>
      </c>
      <c r="K2766" s="11" t="s">
        <v>1852</v>
      </c>
      <c r="L2766" s="11" t="s">
        <v>1853</v>
      </c>
      <c r="M2766" s="11" t="s">
        <v>1854</v>
      </c>
      <c r="N2766" s="12"/>
      <c r="O2766" s="11" t="s">
        <v>1855</v>
      </c>
      <c r="P2766" s="56"/>
    </row>
    <row r="2767" spans="1:16" ht="15.75" customHeight="1" x14ac:dyDescent="0.2">
      <c r="A2767" s="48">
        <v>15794</v>
      </c>
      <c r="B2767" s="11" t="s">
        <v>1848</v>
      </c>
      <c r="C2767" s="11" t="s">
        <v>1849</v>
      </c>
      <c r="D2767" s="6" t="s">
        <v>1850</v>
      </c>
      <c r="E2767" s="11" t="s">
        <v>6642</v>
      </c>
      <c r="F2767" s="12" t="s">
        <v>6643</v>
      </c>
      <c r="G2767" s="12" t="s">
        <v>6642</v>
      </c>
      <c r="H2767" s="58" t="s">
        <v>6706</v>
      </c>
      <c r="I2767" s="12" t="s">
        <v>6707</v>
      </c>
      <c r="J2767" s="11" t="s">
        <v>1856</v>
      </c>
      <c r="K2767" s="11" t="s">
        <v>1852</v>
      </c>
      <c r="L2767" s="11" t="s">
        <v>1853</v>
      </c>
      <c r="M2767" s="11" t="s">
        <v>1854</v>
      </c>
      <c r="N2767" s="12"/>
      <c r="O2767" s="11" t="s">
        <v>1855</v>
      </c>
      <c r="P2767" s="56"/>
    </row>
    <row r="2768" spans="1:16" ht="15.75" customHeight="1" x14ac:dyDescent="0.2">
      <c r="A2768" s="48">
        <v>15772</v>
      </c>
      <c r="B2768" s="11" t="s">
        <v>1848</v>
      </c>
      <c r="C2768" s="11" t="s">
        <v>1849</v>
      </c>
      <c r="D2768" s="6" t="s">
        <v>1850</v>
      </c>
      <c r="E2768" s="11" t="s">
        <v>6642</v>
      </c>
      <c r="F2768" s="12" t="s">
        <v>6643</v>
      </c>
      <c r="G2768" s="12" t="s">
        <v>6642</v>
      </c>
      <c r="H2768" s="12" t="s">
        <v>6708</v>
      </c>
      <c r="I2768" s="12" t="s">
        <v>6709</v>
      </c>
      <c r="J2768" s="11" t="s">
        <v>1851</v>
      </c>
      <c r="K2768" s="11" t="s">
        <v>1852</v>
      </c>
      <c r="L2768" s="11" t="s">
        <v>1853</v>
      </c>
      <c r="M2768" s="11" t="s">
        <v>1854</v>
      </c>
      <c r="N2768" s="12"/>
      <c r="O2768" s="11" t="s">
        <v>1855</v>
      </c>
      <c r="P2768" s="56"/>
    </row>
    <row r="2769" spans="1:16" ht="15.75" customHeight="1" x14ac:dyDescent="0.2">
      <c r="A2769" s="48">
        <v>15784</v>
      </c>
      <c r="B2769" s="11" t="s">
        <v>1848</v>
      </c>
      <c r="C2769" s="11" t="s">
        <v>1849</v>
      </c>
      <c r="D2769" s="6" t="s">
        <v>1850</v>
      </c>
      <c r="E2769" s="11" t="s">
        <v>6642</v>
      </c>
      <c r="F2769" s="12" t="s">
        <v>6643</v>
      </c>
      <c r="G2769" s="12" t="s">
        <v>6642</v>
      </c>
      <c r="H2769" s="12" t="s">
        <v>6655</v>
      </c>
      <c r="I2769" s="12" t="s">
        <v>6710</v>
      </c>
      <c r="J2769" s="11" t="s">
        <v>1851</v>
      </c>
      <c r="K2769" s="11" t="s">
        <v>1852</v>
      </c>
      <c r="L2769" s="11" t="s">
        <v>1853</v>
      </c>
      <c r="M2769" s="11" t="s">
        <v>1854</v>
      </c>
      <c r="N2769" s="12"/>
      <c r="O2769" s="11" t="s">
        <v>1855</v>
      </c>
      <c r="P2769" s="56"/>
    </row>
    <row r="2770" spans="1:16" ht="15.75" customHeight="1" x14ac:dyDescent="0.2">
      <c r="A2770" s="48">
        <v>15760</v>
      </c>
      <c r="B2770" s="11" t="s">
        <v>1848</v>
      </c>
      <c r="C2770" s="11" t="s">
        <v>1849</v>
      </c>
      <c r="D2770" s="6" t="s">
        <v>1850</v>
      </c>
      <c r="E2770" s="11" t="s">
        <v>6642</v>
      </c>
      <c r="F2770" s="12" t="s">
        <v>6643</v>
      </c>
      <c r="G2770" s="12" t="s">
        <v>6642</v>
      </c>
      <c r="H2770" s="12" t="s">
        <v>6687</v>
      </c>
      <c r="I2770" s="12" t="s">
        <v>6711</v>
      </c>
      <c r="J2770" s="11" t="s">
        <v>1851</v>
      </c>
      <c r="K2770" s="11" t="s">
        <v>1852</v>
      </c>
      <c r="L2770" s="11" t="s">
        <v>1853</v>
      </c>
      <c r="M2770" s="11" t="s">
        <v>1854</v>
      </c>
      <c r="N2770" s="12"/>
      <c r="O2770" s="11" t="s">
        <v>1855</v>
      </c>
      <c r="P2770" s="56"/>
    </row>
    <row r="2771" spans="1:16" ht="15.75" customHeight="1" x14ac:dyDescent="0.2">
      <c r="A2771" s="48">
        <v>15770</v>
      </c>
      <c r="B2771" s="11" t="s">
        <v>1848</v>
      </c>
      <c r="C2771" s="11" t="s">
        <v>1849</v>
      </c>
      <c r="D2771" s="6" t="s">
        <v>1850</v>
      </c>
      <c r="E2771" s="11" t="s">
        <v>6642</v>
      </c>
      <c r="F2771" s="12" t="s">
        <v>6643</v>
      </c>
      <c r="G2771" s="12" t="s">
        <v>6642</v>
      </c>
      <c r="H2771" s="12" t="s">
        <v>6708</v>
      </c>
      <c r="I2771" s="12" t="s">
        <v>6712</v>
      </c>
      <c r="J2771" s="11" t="s">
        <v>1851</v>
      </c>
      <c r="K2771" s="11" t="s">
        <v>1852</v>
      </c>
      <c r="L2771" s="11" t="s">
        <v>1853</v>
      </c>
      <c r="M2771" s="11" t="s">
        <v>1854</v>
      </c>
      <c r="N2771" s="12"/>
      <c r="O2771" s="11" t="s">
        <v>1855</v>
      </c>
      <c r="P2771" s="56"/>
    </row>
    <row r="2772" spans="1:16" ht="15.75" customHeight="1" x14ac:dyDescent="0.2">
      <c r="A2772" s="48">
        <v>15773</v>
      </c>
      <c r="B2772" s="11" t="s">
        <v>1848</v>
      </c>
      <c r="C2772" s="11" t="s">
        <v>1849</v>
      </c>
      <c r="D2772" s="6" t="s">
        <v>1850</v>
      </c>
      <c r="E2772" s="11" t="s">
        <v>6642</v>
      </c>
      <c r="F2772" s="12" t="s">
        <v>6643</v>
      </c>
      <c r="G2772" s="12" t="s">
        <v>6642</v>
      </c>
      <c r="H2772" s="12" t="s">
        <v>6708</v>
      </c>
      <c r="I2772" s="12" t="s">
        <v>6713</v>
      </c>
      <c r="J2772" s="11" t="s">
        <v>1851</v>
      </c>
      <c r="K2772" s="11" t="s">
        <v>1852</v>
      </c>
      <c r="L2772" s="11" t="s">
        <v>1853</v>
      </c>
      <c r="M2772" s="11" t="s">
        <v>1854</v>
      </c>
      <c r="N2772" s="12"/>
      <c r="O2772" s="11" t="s">
        <v>1855</v>
      </c>
      <c r="P2772" s="56"/>
    </row>
    <row r="2773" spans="1:16" ht="15.75" customHeight="1" x14ac:dyDescent="0.2">
      <c r="A2773" s="48">
        <v>15775</v>
      </c>
      <c r="B2773" s="11" t="s">
        <v>1848</v>
      </c>
      <c r="C2773" s="11" t="s">
        <v>1849</v>
      </c>
      <c r="D2773" s="6" t="s">
        <v>1850</v>
      </c>
      <c r="E2773" s="11" t="s">
        <v>6642</v>
      </c>
      <c r="F2773" s="12" t="s">
        <v>6643</v>
      </c>
      <c r="G2773" s="12" t="s">
        <v>6642</v>
      </c>
      <c r="H2773" s="12" t="s">
        <v>6708</v>
      </c>
      <c r="I2773" s="12" t="s">
        <v>6714</v>
      </c>
      <c r="J2773" s="11" t="s">
        <v>1851</v>
      </c>
      <c r="K2773" s="11" t="s">
        <v>1852</v>
      </c>
      <c r="L2773" s="11" t="s">
        <v>1853</v>
      </c>
      <c r="M2773" s="11" t="s">
        <v>1854</v>
      </c>
      <c r="N2773" s="12"/>
      <c r="O2773" s="11" t="s">
        <v>1855</v>
      </c>
      <c r="P2773" s="56"/>
    </row>
    <row r="2774" spans="1:16" ht="15.75" customHeight="1" x14ac:dyDescent="0.2">
      <c r="A2774" s="48">
        <v>15767</v>
      </c>
      <c r="B2774" s="11" t="s">
        <v>1848</v>
      </c>
      <c r="C2774" s="11" t="s">
        <v>1849</v>
      </c>
      <c r="D2774" s="6" t="s">
        <v>1850</v>
      </c>
      <c r="E2774" s="11" t="s">
        <v>6642</v>
      </c>
      <c r="F2774" s="12" t="s">
        <v>6643</v>
      </c>
      <c r="G2774" s="12" t="s">
        <v>6642</v>
      </c>
      <c r="H2774" s="58" t="s">
        <v>6648</v>
      </c>
      <c r="I2774" s="12" t="s">
        <v>6715</v>
      </c>
      <c r="J2774" s="11" t="s">
        <v>1851</v>
      </c>
      <c r="K2774" s="11" t="s">
        <v>1852</v>
      </c>
      <c r="L2774" s="11" t="s">
        <v>1853</v>
      </c>
      <c r="M2774" s="11" t="s">
        <v>1854</v>
      </c>
      <c r="N2774" s="12"/>
      <c r="O2774" s="11" t="s">
        <v>1855</v>
      </c>
      <c r="P2774" s="56"/>
    </row>
    <row r="2775" spans="1:16" ht="15.75" customHeight="1" x14ac:dyDescent="0.2">
      <c r="A2775" s="48">
        <v>15759</v>
      </c>
      <c r="B2775" s="11" t="s">
        <v>1848</v>
      </c>
      <c r="C2775" s="11" t="s">
        <v>1849</v>
      </c>
      <c r="D2775" s="6" t="s">
        <v>1850</v>
      </c>
      <c r="E2775" s="11" t="s">
        <v>6642</v>
      </c>
      <c r="F2775" s="12" t="s">
        <v>6643</v>
      </c>
      <c r="G2775" s="12" t="s">
        <v>6642</v>
      </c>
      <c r="H2775" s="12" t="s">
        <v>2626</v>
      </c>
      <c r="I2775" s="12" t="s">
        <v>6716</v>
      </c>
      <c r="J2775" s="11" t="s">
        <v>1851</v>
      </c>
      <c r="K2775" s="11" t="s">
        <v>1852</v>
      </c>
      <c r="L2775" s="11" t="s">
        <v>1853</v>
      </c>
      <c r="M2775" s="11" t="s">
        <v>1854</v>
      </c>
      <c r="N2775" s="12"/>
      <c r="O2775" s="11" t="s">
        <v>1855</v>
      </c>
      <c r="P2775" s="56"/>
    </row>
    <row r="2776" spans="1:16" ht="15.75" customHeight="1" x14ac:dyDescent="0.2">
      <c r="A2776" s="48">
        <v>15787</v>
      </c>
      <c r="B2776" s="11" t="s">
        <v>1848</v>
      </c>
      <c r="C2776" s="11" t="s">
        <v>1849</v>
      </c>
      <c r="D2776" s="6" t="s">
        <v>1850</v>
      </c>
      <c r="E2776" s="11" t="s">
        <v>6642</v>
      </c>
      <c r="F2776" s="12" t="s">
        <v>6643</v>
      </c>
      <c r="G2776" s="12" t="s">
        <v>6642</v>
      </c>
      <c r="H2776" s="58" t="s">
        <v>6706</v>
      </c>
      <c r="I2776" s="12" t="s">
        <v>6717</v>
      </c>
      <c r="J2776" s="11" t="s">
        <v>1856</v>
      </c>
      <c r="K2776" s="11" t="s">
        <v>1852</v>
      </c>
      <c r="L2776" s="11" t="s">
        <v>1853</v>
      </c>
      <c r="M2776" s="11" t="s">
        <v>1854</v>
      </c>
      <c r="N2776" s="12"/>
      <c r="O2776" s="11" t="s">
        <v>1855</v>
      </c>
      <c r="P2776" s="56"/>
    </row>
    <row r="2777" spans="1:16" ht="15.75" customHeight="1" x14ac:dyDescent="0.2">
      <c r="A2777" s="48">
        <v>15761</v>
      </c>
      <c r="B2777" s="11" t="s">
        <v>1848</v>
      </c>
      <c r="C2777" s="11" t="s">
        <v>1849</v>
      </c>
      <c r="D2777" s="6" t="s">
        <v>1850</v>
      </c>
      <c r="E2777" s="11" t="s">
        <v>6642</v>
      </c>
      <c r="F2777" s="12" t="s">
        <v>6643</v>
      </c>
      <c r="G2777" s="12" t="s">
        <v>6642</v>
      </c>
      <c r="H2777" s="12" t="s">
        <v>6687</v>
      </c>
      <c r="I2777" s="12" t="s">
        <v>6718</v>
      </c>
      <c r="J2777" s="11" t="s">
        <v>1851</v>
      </c>
      <c r="K2777" s="11" t="s">
        <v>1852</v>
      </c>
      <c r="L2777" s="11" t="s">
        <v>1853</v>
      </c>
      <c r="M2777" s="11" t="s">
        <v>1854</v>
      </c>
      <c r="N2777" s="12"/>
      <c r="O2777" s="11" t="s">
        <v>1855</v>
      </c>
      <c r="P2777" s="56"/>
    </row>
    <row r="2778" spans="1:16" ht="15.75" customHeight="1" x14ac:dyDescent="0.2">
      <c r="A2778" s="48">
        <v>15754</v>
      </c>
      <c r="B2778" s="11" t="s">
        <v>1848</v>
      </c>
      <c r="C2778" s="11" t="s">
        <v>1849</v>
      </c>
      <c r="D2778" s="6" t="s">
        <v>1850</v>
      </c>
      <c r="E2778" s="11" t="s">
        <v>6642</v>
      </c>
      <c r="F2778" s="12" t="s">
        <v>6643</v>
      </c>
      <c r="G2778" s="12" t="s">
        <v>6642</v>
      </c>
      <c r="H2778" s="12" t="s">
        <v>3542</v>
      </c>
      <c r="I2778" s="12" t="s">
        <v>6719</v>
      </c>
      <c r="J2778" s="11" t="s">
        <v>1851</v>
      </c>
      <c r="K2778" s="11" t="s">
        <v>1852</v>
      </c>
      <c r="L2778" s="11" t="s">
        <v>1853</v>
      </c>
      <c r="M2778" s="11" t="s">
        <v>1854</v>
      </c>
      <c r="N2778" s="12"/>
      <c r="O2778" s="11" t="s">
        <v>1855</v>
      </c>
      <c r="P2778" s="56"/>
    </row>
    <row r="2779" spans="1:16" ht="15.75" customHeight="1" x14ac:dyDescent="0.2">
      <c r="A2779" s="48">
        <v>15769</v>
      </c>
      <c r="B2779" s="11" t="s">
        <v>1848</v>
      </c>
      <c r="C2779" s="11" t="s">
        <v>1849</v>
      </c>
      <c r="D2779" s="6" t="s">
        <v>1850</v>
      </c>
      <c r="E2779" s="11" t="s">
        <v>6642</v>
      </c>
      <c r="F2779" s="12" t="s">
        <v>6643</v>
      </c>
      <c r="G2779" s="12" t="s">
        <v>6642</v>
      </c>
      <c r="H2779" s="58" t="s">
        <v>6648</v>
      </c>
      <c r="I2779" s="12" t="s">
        <v>6720</v>
      </c>
      <c r="J2779" s="11" t="s">
        <v>1851</v>
      </c>
      <c r="K2779" s="11" t="s">
        <v>1852</v>
      </c>
      <c r="L2779" s="11" t="s">
        <v>1853</v>
      </c>
      <c r="M2779" s="11" t="s">
        <v>1854</v>
      </c>
      <c r="N2779" s="12"/>
      <c r="O2779" s="11" t="s">
        <v>1855</v>
      </c>
      <c r="P2779" s="56"/>
    </row>
    <row r="2780" spans="1:16" ht="15.75" customHeight="1" x14ac:dyDescent="0.2">
      <c r="A2780" s="48">
        <v>15763</v>
      </c>
      <c r="B2780" s="11" t="s">
        <v>1848</v>
      </c>
      <c r="C2780" s="11" t="s">
        <v>1849</v>
      </c>
      <c r="D2780" s="6" t="s">
        <v>1850</v>
      </c>
      <c r="E2780" s="11" t="s">
        <v>6642</v>
      </c>
      <c r="F2780" s="12" t="s">
        <v>6643</v>
      </c>
      <c r="G2780" s="12" t="s">
        <v>6642</v>
      </c>
      <c r="H2780" s="12" t="s">
        <v>6687</v>
      </c>
      <c r="I2780" s="12" t="s">
        <v>6721</v>
      </c>
      <c r="J2780" s="11" t="s">
        <v>1851</v>
      </c>
      <c r="K2780" s="11" t="s">
        <v>1852</v>
      </c>
      <c r="L2780" s="11" t="s">
        <v>1853</v>
      </c>
      <c r="M2780" s="11" t="s">
        <v>1854</v>
      </c>
      <c r="N2780" s="12"/>
      <c r="O2780" s="11" t="s">
        <v>1855</v>
      </c>
      <c r="P2780" s="56"/>
    </row>
    <row r="2781" spans="1:16" s="17" customFormat="1" ht="15.75" customHeight="1" x14ac:dyDescent="0.2">
      <c r="A2781" s="48">
        <v>7549</v>
      </c>
      <c r="B2781" s="11" t="s">
        <v>1848</v>
      </c>
      <c r="C2781" s="11" t="s">
        <v>1849</v>
      </c>
      <c r="D2781" s="6" t="s">
        <v>1850</v>
      </c>
      <c r="E2781" s="11" t="s">
        <v>6642</v>
      </c>
      <c r="F2781" s="12" t="s">
        <v>6643</v>
      </c>
      <c r="G2781" s="12" t="s">
        <v>6642</v>
      </c>
      <c r="H2781" s="12" t="s">
        <v>6646</v>
      </c>
      <c r="I2781" s="12" t="s">
        <v>6722</v>
      </c>
      <c r="J2781" s="11" t="s">
        <v>1851</v>
      </c>
      <c r="K2781" s="11" t="s">
        <v>1852</v>
      </c>
      <c r="L2781" s="11" t="s">
        <v>1853</v>
      </c>
      <c r="M2781" s="11" t="s">
        <v>1854</v>
      </c>
      <c r="N2781" s="12"/>
      <c r="O2781" s="11" t="s">
        <v>1855</v>
      </c>
      <c r="P2781" s="56"/>
    </row>
    <row r="2782" spans="1:16" ht="15.75" customHeight="1" x14ac:dyDescent="0.2">
      <c r="A2782" s="48">
        <v>3720</v>
      </c>
      <c r="B2782" s="11" t="s">
        <v>2240</v>
      </c>
      <c r="C2782" s="11" t="s">
        <v>1849</v>
      </c>
      <c r="D2782" s="6" t="s">
        <v>1850</v>
      </c>
      <c r="E2782" s="11" t="s">
        <v>6642</v>
      </c>
      <c r="F2782" s="12" t="s">
        <v>6643</v>
      </c>
      <c r="G2782" s="12" t="s">
        <v>6642</v>
      </c>
      <c r="H2782" s="12" t="s">
        <v>6689</v>
      </c>
      <c r="I2782" s="12" t="s">
        <v>6723</v>
      </c>
      <c r="J2782" s="11" t="s">
        <v>1851</v>
      </c>
      <c r="K2782" s="11" t="s">
        <v>1852</v>
      </c>
      <c r="L2782" s="11" t="s">
        <v>1853</v>
      </c>
      <c r="M2782" s="11" t="s">
        <v>6724</v>
      </c>
      <c r="N2782" s="12"/>
      <c r="O2782" s="11" t="s">
        <v>1855</v>
      </c>
      <c r="P2782" s="56"/>
    </row>
    <row r="2783" spans="1:16" ht="15.75" customHeight="1" x14ac:dyDescent="0.2">
      <c r="A2783" s="48">
        <v>3786</v>
      </c>
      <c r="B2783" s="11" t="s">
        <v>2240</v>
      </c>
      <c r="C2783" s="11" t="s">
        <v>1849</v>
      </c>
      <c r="D2783" s="6" t="s">
        <v>1850</v>
      </c>
      <c r="E2783" s="11" t="s">
        <v>6642</v>
      </c>
      <c r="F2783" s="12" t="s">
        <v>6643</v>
      </c>
      <c r="G2783" s="12" t="s">
        <v>6642</v>
      </c>
      <c r="H2783" s="58" t="s">
        <v>6646</v>
      </c>
      <c r="I2783" s="12" t="s">
        <v>6725</v>
      </c>
      <c r="J2783" s="11" t="s">
        <v>1851</v>
      </c>
      <c r="K2783" s="11" t="s">
        <v>1852</v>
      </c>
      <c r="L2783" s="11" t="s">
        <v>1853</v>
      </c>
      <c r="M2783" s="11" t="s">
        <v>6726</v>
      </c>
      <c r="N2783" s="12"/>
      <c r="O2783" s="11" t="s">
        <v>1855</v>
      </c>
      <c r="P2783" s="56"/>
    </row>
    <row r="2784" spans="1:16" ht="15.75" customHeight="1" x14ac:dyDescent="0.2">
      <c r="A2784" s="48">
        <v>3480</v>
      </c>
      <c r="B2784" s="11" t="s">
        <v>1857</v>
      </c>
      <c r="C2784" s="11" t="s">
        <v>1849</v>
      </c>
      <c r="D2784" s="6" t="s">
        <v>1850</v>
      </c>
      <c r="E2784" s="11" t="s">
        <v>6642</v>
      </c>
      <c r="F2784" s="12" t="s">
        <v>6643</v>
      </c>
      <c r="G2784" s="12" t="s">
        <v>6642</v>
      </c>
      <c r="H2784" s="58" t="s">
        <v>6653</v>
      </c>
      <c r="I2784" s="12" t="s">
        <v>6727</v>
      </c>
      <c r="J2784" s="11" t="s">
        <v>1851</v>
      </c>
      <c r="K2784" s="11" t="s">
        <v>1852</v>
      </c>
      <c r="L2784" s="11" t="s">
        <v>1853</v>
      </c>
      <c r="M2784" s="11" t="s">
        <v>6728</v>
      </c>
      <c r="N2784" s="12" t="s">
        <v>6729</v>
      </c>
      <c r="O2784" s="11" t="s">
        <v>1860</v>
      </c>
      <c r="P2784" s="56"/>
    </row>
    <row r="2785" spans="1:16" ht="15.75" customHeight="1" x14ac:dyDescent="0.2">
      <c r="A2785" s="48">
        <v>3483</v>
      </c>
      <c r="B2785" s="11" t="s">
        <v>1857</v>
      </c>
      <c r="C2785" s="11" t="s">
        <v>1849</v>
      </c>
      <c r="D2785" s="6" t="s">
        <v>1850</v>
      </c>
      <c r="E2785" s="11" t="s">
        <v>6642</v>
      </c>
      <c r="F2785" s="12" t="s">
        <v>6643</v>
      </c>
      <c r="G2785" s="12" t="s">
        <v>6642</v>
      </c>
      <c r="H2785" s="58" t="s">
        <v>6644</v>
      </c>
      <c r="I2785" s="12" t="s">
        <v>6730</v>
      </c>
      <c r="J2785" s="11" t="s">
        <v>1851</v>
      </c>
      <c r="K2785" s="11" t="s">
        <v>1852</v>
      </c>
      <c r="L2785" s="11" t="s">
        <v>1853</v>
      </c>
      <c r="M2785" s="11" t="s">
        <v>6731</v>
      </c>
      <c r="N2785" s="12" t="s">
        <v>2281</v>
      </c>
      <c r="O2785" s="11" t="s">
        <v>1858</v>
      </c>
      <c r="P2785" s="56"/>
    </row>
    <row r="2786" spans="1:16" ht="15.75" customHeight="1" x14ac:dyDescent="0.2">
      <c r="A2786" s="48">
        <v>3487</v>
      </c>
      <c r="B2786" s="11" t="s">
        <v>1857</v>
      </c>
      <c r="C2786" s="11" t="s">
        <v>1849</v>
      </c>
      <c r="D2786" s="6" t="s">
        <v>1850</v>
      </c>
      <c r="E2786" s="11" t="s">
        <v>6642</v>
      </c>
      <c r="F2786" s="12" t="s">
        <v>6643</v>
      </c>
      <c r="G2786" s="12" t="s">
        <v>6642</v>
      </c>
      <c r="H2786" s="58" t="s">
        <v>5550</v>
      </c>
      <c r="I2786" s="12" t="s">
        <v>6732</v>
      </c>
      <c r="J2786" s="11" t="s">
        <v>1851</v>
      </c>
      <c r="K2786" s="11" t="s">
        <v>1852</v>
      </c>
      <c r="L2786" s="11" t="s">
        <v>1853</v>
      </c>
      <c r="M2786" s="11" t="s">
        <v>1854</v>
      </c>
      <c r="N2786" s="12"/>
      <c r="O2786" s="11" t="s">
        <v>1858</v>
      </c>
      <c r="P2786" s="56"/>
    </row>
    <row r="2787" spans="1:16" ht="15.75" customHeight="1" x14ac:dyDescent="0.2">
      <c r="A2787" s="48">
        <v>3491</v>
      </c>
      <c r="B2787" s="11" t="s">
        <v>1857</v>
      </c>
      <c r="C2787" s="11" t="s">
        <v>1849</v>
      </c>
      <c r="D2787" s="6" t="s">
        <v>1850</v>
      </c>
      <c r="E2787" s="11" t="s">
        <v>6642</v>
      </c>
      <c r="F2787" s="12" t="s">
        <v>6643</v>
      </c>
      <c r="G2787" s="12" t="s">
        <v>6642</v>
      </c>
      <c r="H2787" s="12" t="s">
        <v>6661</v>
      </c>
      <c r="I2787" s="12" t="s">
        <v>6733</v>
      </c>
      <c r="J2787" s="11" t="s">
        <v>1851</v>
      </c>
      <c r="K2787" s="11" t="s">
        <v>1852</v>
      </c>
      <c r="L2787" s="11" t="s">
        <v>1853</v>
      </c>
      <c r="M2787" s="11" t="s">
        <v>6734</v>
      </c>
      <c r="N2787" s="12"/>
      <c r="O2787" s="11" t="s">
        <v>2022</v>
      </c>
      <c r="P2787" s="56" t="s">
        <v>6218</v>
      </c>
    </row>
    <row r="2788" spans="1:16" ht="15.75" customHeight="1" x14ac:dyDescent="0.2">
      <c r="A2788" s="48">
        <v>3492</v>
      </c>
      <c r="B2788" s="11" t="s">
        <v>1857</v>
      </c>
      <c r="C2788" s="11" t="s">
        <v>1849</v>
      </c>
      <c r="D2788" s="6" t="s">
        <v>1850</v>
      </c>
      <c r="E2788" s="11" t="s">
        <v>6642</v>
      </c>
      <c r="F2788" s="12" t="s">
        <v>6643</v>
      </c>
      <c r="G2788" s="12" t="s">
        <v>6642</v>
      </c>
      <c r="H2788" s="58" t="s">
        <v>6646</v>
      </c>
      <c r="I2788" s="12" t="s">
        <v>6735</v>
      </c>
      <c r="J2788" s="11" t="s">
        <v>1851</v>
      </c>
      <c r="K2788" s="11" t="s">
        <v>1852</v>
      </c>
      <c r="L2788" s="11" t="s">
        <v>1853</v>
      </c>
      <c r="M2788" s="11" t="s">
        <v>6736</v>
      </c>
      <c r="N2788" s="12"/>
      <c r="O2788" s="11" t="s">
        <v>1873</v>
      </c>
      <c r="P2788" s="56"/>
    </row>
    <row r="2789" spans="1:16" ht="15.75" customHeight="1" x14ac:dyDescent="0.2">
      <c r="A2789" s="48">
        <v>3497</v>
      </c>
      <c r="B2789" s="11" t="s">
        <v>1857</v>
      </c>
      <c r="C2789" s="11" t="s">
        <v>1849</v>
      </c>
      <c r="D2789" s="6" t="s">
        <v>1850</v>
      </c>
      <c r="E2789" s="11" t="s">
        <v>6642</v>
      </c>
      <c r="F2789" s="12" t="s">
        <v>6643</v>
      </c>
      <c r="G2789" s="12" t="s">
        <v>6642</v>
      </c>
      <c r="H2789" s="58" t="s">
        <v>6644</v>
      </c>
      <c r="I2789" s="12" t="s">
        <v>6737</v>
      </c>
      <c r="J2789" s="11" t="s">
        <v>1851</v>
      </c>
      <c r="K2789" s="11" t="s">
        <v>1852</v>
      </c>
      <c r="L2789" s="11" t="s">
        <v>1853</v>
      </c>
      <c r="M2789" s="11" t="s">
        <v>6731</v>
      </c>
      <c r="N2789" s="12"/>
      <c r="O2789" s="11" t="s">
        <v>1858</v>
      </c>
      <c r="P2789" s="56"/>
    </row>
    <row r="2790" spans="1:16" ht="15.75" customHeight="1" x14ac:dyDescent="0.2">
      <c r="A2790" s="48">
        <v>3498</v>
      </c>
      <c r="B2790" s="11" t="s">
        <v>1857</v>
      </c>
      <c r="C2790" s="11" t="s">
        <v>1849</v>
      </c>
      <c r="D2790" s="6" t="s">
        <v>1850</v>
      </c>
      <c r="E2790" s="11" t="s">
        <v>6642</v>
      </c>
      <c r="F2790" s="12" t="s">
        <v>6643</v>
      </c>
      <c r="G2790" s="12" t="s">
        <v>6642</v>
      </c>
      <c r="H2790" s="58" t="s">
        <v>6644</v>
      </c>
      <c r="I2790" s="12" t="s">
        <v>6738</v>
      </c>
      <c r="J2790" s="11" t="s">
        <v>1851</v>
      </c>
      <c r="K2790" s="11" t="s">
        <v>1852</v>
      </c>
      <c r="L2790" s="11" t="s">
        <v>1853</v>
      </c>
      <c r="M2790" s="11" t="s">
        <v>6739</v>
      </c>
      <c r="N2790" s="12" t="s">
        <v>2281</v>
      </c>
      <c r="O2790" s="11" t="s">
        <v>1858</v>
      </c>
      <c r="P2790" s="56"/>
    </row>
    <row r="2791" spans="1:16" ht="15.75" customHeight="1" x14ac:dyDescent="0.2">
      <c r="A2791" s="48">
        <v>3514</v>
      </c>
      <c r="B2791" s="11" t="s">
        <v>1857</v>
      </c>
      <c r="C2791" s="11" t="s">
        <v>1849</v>
      </c>
      <c r="D2791" s="6" t="s">
        <v>1850</v>
      </c>
      <c r="E2791" s="11" t="s">
        <v>6642</v>
      </c>
      <c r="F2791" s="12" t="s">
        <v>6643</v>
      </c>
      <c r="G2791" s="12" t="s">
        <v>6642</v>
      </c>
      <c r="H2791" s="58" t="s">
        <v>6671</v>
      </c>
      <c r="I2791" s="12" t="s">
        <v>6740</v>
      </c>
      <c r="J2791" s="11" t="s">
        <v>1851</v>
      </c>
      <c r="K2791" s="11" t="s">
        <v>1852</v>
      </c>
      <c r="L2791" s="11" t="s">
        <v>1853</v>
      </c>
      <c r="M2791" s="11" t="s">
        <v>6731</v>
      </c>
      <c r="N2791" s="12" t="s">
        <v>2281</v>
      </c>
      <c r="O2791" s="11" t="s">
        <v>1858</v>
      </c>
      <c r="P2791" s="56"/>
    </row>
    <row r="2792" spans="1:16" ht="15.75" customHeight="1" x14ac:dyDescent="0.2">
      <c r="A2792" s="48">
        <v>3515</v>
      </c>
      <c r="B2792" s="11" t="s">
        <v>1857</v>
      </c>
      <c r="C2792" s="11" t="s">
        <v>1849</v>
      </c>
      <c r="D2792" s="6" t="s">
        <v>1850</v>
      </c>
      <c r="E2792" s="11" t="s">
        <v>6642</v>
      </c>
      <c r="F2792" s="12" t="s">
        <v>6643</v>
      </c>
      <c r="G2792" s="12" t="s">
        <v>6642</v>
      </c>
      <c r="H2792" s="58" t="s">
        <v>6687</v>
      </c>
      <c r="I2792" s="12" t="s">
        <v>6741</v>
      </c>
      <c r="J2792" s="11" t="s">
        <v>1851</v>
      </c>
      <c r="K2792" s="11" t="s">
        <v>1852</v>
      </c>
      <c r="L2792" s="11" t="s">
        <v>1853</v>
      </c>
      <c r="M2792" s="11" t="s">
        <v>6742</v>
      </c>
      <c r="N2792" s="12"/>
      <c r="O2792" s="11" t="s">
        <v>1858</v>
      </c>
      <c r="P2792" s="56"/>
    </row>
    <row r="2793" spans="1:16" ht="15.75" customHeight="1" x14ac:dyDescent="0.2">
      <c r="A2793" s="48">
        <v>3516</v>
      </c>
      <c r="B2793" s="11" t="s">
        <v>1857</v>
      </c>
      <c r="C2793" s="11" t="s">
        <v>1849</v>
      </c>
      <c r="D2793" s="6" t="s">
        <v>1850</v>
      </c>
      <c r="E2793" s="11" t="s">
        <v>6642</v>
      </c>
      <c r="F2793" s="12" t="s">
        <v>6643</v>
      </c>
      <c r="G2793" s="12" t="s">
        <v>6642</v>
      </c>
      <c r="H2793" s="58" t="s">
        <v>5550</v>
      </c>
      <c r="I2793" s="12" t="s">
        <v>6743</v>
      </c>
      <c r="J2793" s="11" t="s">
        <v>1851</v>
      </c>
      <c r="K2793" s="11" t="s">
        <v>1852</v>
      </c>
      <c r="L2793" s="11" t="s">
        <v>1853</v>
      </c>
      <c r="M2793" s="11" t="s">
        <v>6731</v>
      </c>
      <c r="N2793" s="12"/>
      <c r="O2793" s="11" t="s">
        <v>1858</v>
      </c>
      <c r="P2793" s="56"/>
    </row>
    <row r="2794" spans="1:16" ht="15.75" customHeight="1" x14ac:dyDescent="0.2">
      <c r="A2794" s="48">
        <v>3521</v>
      </c>
      <c r="B2794" s="11" t="s">
        <v>1857</v>
      </c>
      <c r="C2794" s="11" t="s">
        <v>1849</v>
      </c>
      <c r="D2794" s="6" t="s">
        <v>1850</v>
      </c>
      <c r="E2794" s="11" t="s">
        <v>6642</v>
      </c>
      <c r="F2794" s="12" t="s">
        <v>6643</v>
      </c>
      <c r="G2794" s="12" t="s">
        <v>6642</v>
      </c>
      <c r="H2794" s="58" t="s">
        <v>5550</v>
      </c>
      <c r="I2794" s="12" t="s">
        <v>6744</v>
      </c>
      <c r="J2794" s="11" t="s">
        <v>1851</v>
      </c>
      <c r="K2794" s="11" t="s">
        <v>1852</v>
      </c>
      <c r="L2794" s="11" t="s">
        <v>1853</v>
      </c>
      <c r="M2794" s="11" t="s">
        <v>1854</v>
      </c>
      <c r="N2794" s="12"/>
      <c r="O2794" s="11" t="s">
        <v>1864</v>
      </c>
      <c r="P2794" s="56" t="s">
        <v>6745</v>
      </c>
    </row>
    <row r="2795" spans="1:16" ht="15.75" customHeight="1" x14ac:dyDescent="0.2">
      <c r="A2795" s="48">
        <v>3524</v>
      </c>
      <c r="B2795" s="11" t="s">
        <v>1857</v>
      </c>
      <c r="C2795" s="11" t="s">
        <v>1849</v>
      </c>
      <c r="D2795" s="6" t="s">
        <v>1850</v>
      </c>
      <c r="E2795" s="11" t="s">
        <v>6642</v>
      </c>
      <c r="F2795" s="12" t="s">
        <v>6643</v>
      </c>
      <c r="G2795" s="12" t="s">
        <v>6642</v>
      </c>
      <c r="H2795" s="62" t="s">
        <v>6666</v>
      </c>
      <c r="I2795" s="12" t="s">
        <v>6746</v>
      </c>
      <c r="J2795" s="11" t="s">
        <v>1851</v>
      </c>
      <c r="K2795" s="11" t="s">
        <v>1852</v>
      </c>
      <c r="L2795" s="11" t="s">
        <v>1853</v>
      </c>
      <c r="M2795" s="11" t="s">
        <v>6747</v>
      </c>
      <c r="N2795" s="12"/>
      <c r="O2795" s="11" t="s">
        <v>1858</v>
      </c>
      <c r="P2795" s="56"/>
    </row>
    <row r="2796" spans="1:16" ht="15.75" customHeight="1" x14ac:dyDescent="0.2">
      <c r="A2796" s="48">
        <v>3611</v>
      </c>
      <c r="B2796" s="11" t="s">
        <v>1857</v>
      </c>
      <c r="C2796" s="11" t="s">
        <v>1849</v>
      </c>
      <c r="D2796" s="6" t="s">
        <v>1850</v>
      </c>
      <c r="E2796" s="11" t="s">
        <v>6642</v>
      </c>
      <c r="F2796" s="12" t="s">
        <v>6643</v>
      </c>
      <c r="G2796" s="12" t="s">
        <v>6642</v>
      </c>
      <c r="H2796" s="62" t="s">
        <v>6666</v>
      </c>
      <c r="I2796" s="12" t="s">
        <v>6748</v>
      </c>
      <c r="J2796" s="11" t="s">
        <v>1851</v>
      </c>
      <c r="K2796" s="11" t="s">
        <v>1852</v>
      </c>
      <c r="L2796" s="11" t="s">
        <v>1853</v>
      </c>
      <c r="M2796" s="11" t="s">
        <v>6749</v>
      </c>
      <c r="N2796" s="12"/>
      <c r="O2796" s="11" t="s">
        <v>1874</v>
      </c>
      <c r="P2796" s="56" t="s">
        <v>6750</v>
      </c>
    </row>
    <row r="2797" spans="1:16" ht="15.75" customHeight="1" x14ac:dyDescent="0.2">
      <c r="A2797" s="48">
        <v>3636</v>
      </c>
      <c r="B2797" s="11" t="s">
        <v>1857</v>
      </c>
      <c r="C2797" s="11" t="s">
        <v>1849</v>
      </c>
      <c r="D2797" s="6" t="s">
        <v>1850</v>
      </c>
      <c r="E2797" s="11" t="s">
        <v>6642</v>
      </c>
      <c r="F2797" s="12" t="s">
        <v>6643</v>
      </c>
      <c r="G2797" s="12" t="s">
        <v>6642</v>
      </c>
      <c r="H2797" s="62" t="s">
        <v>6666</v>
      </c>
      <c r="I2797" s="12" t="s">
        <v>6751</v>
      </c>
      <c r="J2797" s="11" t="s">
        <v>1851</v>
      </c>
      <c r="K2797" s="11" t="s">
        <v>1852</v>
      </c>
      <c r="L2797" s="11" t="s">
        <v>1853</v>
      </c>
      <c r="M2797" s="11" t="s">
        <v>6752</v>
      </c>
      <c r="N2797" s="12"/>
      <c r="O2797" s="11" t="s">
        <v>1858</v>
      </c>
      <c r="P2797" s="56"/>
    </row>
    <row r="2798" spans="1:16" ht="15.75" customHeight="1" x14ac:dyDescent="0.2">
      <c r="A2798" s="48">
        <v>3638</v>
      </c>
      <c r="B2798" s="11" t="s">
        <v>1857</v>
      </c>
      <c r="C2798" s="11" t="s">
        <v>1849</v>
      </c>
      <c r="D2798" s="6" t="s">
        <v>1850</v>
      </c>
      <c r="E2798" s="11" t="s">
        <v>6642</v>
      </c>
      <c r="F2798" s="12" t="s">
        <v>6643</v>
      </c>
      <c r="G2798" s="12" t="s">
        <v>6642</v>
      </c>
      <c r="H2798" s="62" t="s">
        <v>6666</v>
      </c>
      <c r="I2798" s="12" t="s">
        <v>6753</v>
      </c>
      <c r="J2798" s="11" t="s">
        <v>1851</v>
      </c>
      <c r="K2798" s="11" t="s">
        <v>1852</v>
      </c>
      <c r="L2798" s="11" t="s">
        <v>1853</v>
      </c>
      <c r="M2798" s="11" t="s">
        <v>6731</v>
      </c>
      <c r="N2798" s="12" t="s">
        <v>2281</v>
      </c>
      <c r="O2798" s="11" t="s">
        <v>1858</v>
      </c>
      <c r="P2798" s="56"/>
    </row>
    <row r="2799" spans="1:16" ht="15.75" customHeight="1" x14ac:dyDescent="0.2">
      <c r="A2799" s="48">
        <v>3639</v>
      </c>
      <c r="B2799" s="11" t="s">
        <v>1857</v>
      </c>
      <c r="C2799" s="11" t="s">
        <v>1849</v>
      </c>
      <c r="D2799" s="6" t="s">
        <v>1850</v>
      </c>
      <c r="E2799" s="11" t="s">
        <v>6642</v>
      </c>
      <c r="F2799" s="12" t="s">
        <v>6643</v>
      </c>
      <c r="G2799" s="12" t="s">
        <v>6642</v>
      </c>
      <c r="H2799" s="62" t="s">
        <v>6666</v>
      </c>
      <c r="I2799" s="12" t="s">
        <v>6754</v>
      </c>
      <c r="J2799" s="11" t="s">
        <v>1851</v>
      </c>
      <c r="K2799" s="11" t="s">
        <v>1852</v>
      </c>
      <c r="L2799" s="11" t="s">
        <v>1853</v>
      </c>
      <c r="M2799" s="11" t="s">
        <v>6731</v>
      </c>
      <c r="N2799" s="12" t="s">
        <v>2281</v>
      </c>
      <c r="O2799" s="11" t="s">
        <v>1858</v>
      </c>
      <c r="P2799" s="56"/>
    </row>
    <row r="2800" spans="1:16" ht="15.75" customHeight="1" x14ac:dyDescent="0.2">
      <c r="A2800" s="48">
        <v>3640</v>
      </c>
      <c r="B2800" s="11" t="s">
        <v>1857</v>
      </c>
      <c r="C2800" s="11" t="s">
        <v>1849</v>
      </c>
      <c r="D2800" s="6" t="s">
        <v>1850</v>
      </c>
      <c r="E2800" s="11" t="s">
        <v>6642</v>
      </c>
      <c r="F2800" s="12" t="s">
        <v>6643</v>
      </c>
      <c r="G2800" s="12" t="s">
        <v>6642</v>
      </c>
      <c r="H2800" s="58" t="s">
        <v>6664</v>
      </c>
      <c r="I2800" s="12" t="s">
        <v>6755</v>
      </c>
      <c r="J2800" s="11" t="s">
        <v>1851</v>
      </c>
      <c r="K2800" s="11" t="s">
        <v>1852</v>
      </c>
      <c r="L2800" s="11" t="s">
        <v>1853</v>
      </c>
      <c r="M2800" s="11" t="s">
        <v>6756</v>
      </c>
      <c r="N2800" s="12"/>
      <c r="O2800" s="11" t="s">
        <v>1858</v>
      </c>
      <c r="P2800" s="56"/>
    </row>
    <row r="2801" spans="1:16" ht="15.75" customHeight="1" x14ac:dyDescent="0.2">
      <c r="A2801" s="48">
        <v>3642</v>
      </c>
      <c r="B2801" s="11" t="s">
        <v>1857</v>
      </c>
      <c r="C2801" s="11" t="s">
        <v>1849</v>
      </c>
      <c r="D2801" s="6" t="s">
        <v>1850</v>
      </c>
      <c r="E2801" s="11" t="s">
        <v>6642</v>
      </c>
      <c r="F2801" s="12" t="s">
        <v>6643</v>
      </c>
      <c r="G2801" s="12" t="s">
        <v>6642</v>
      </c>
      <c r="H2801" s="58" t="s">
        <v>6664</v>
      </c>
      <c r="I2801" s="12" t="s">
        <v>6757</v>
      </c>
      <c r="J2801" s="11" t="s">
        <v>1851</v>
      </c>
      <c r="K2801" s="11" t="s">
        <v>1852</v>
      </c>
      <c r="L2801" s="11" t="s">
        <v>1853</v>
      </c>
      <c r="M2801" s="11" t="s">
        <v>6758</v>
      </c>
      <c r="N2801" s="12"/>
      <c r="O2801" s="11" t="s">
        <v>1874</v>
      </c>
      <c r="P2801" s="56" t="s">
        <v>6759</v>
      </c>
    </row>
    <row r="2802" spans="1:16" ht="15.75" customHeight="1" x14ac:dyDescent="0.2">
      <c r="A2802" s="48">
        <v>3645</v>
      </c>
      <c r="B2802" s="11" t="s">
        <v>1857</v>
      </c>
      <c r="C2802" s="11" t="s">
        <v>1849</v>
      </c>
      <c r="D2802" s="6" t="s">
        <v>1850</v>
      </c>
      <c r="E2802" s="11" t="s">
        <v>6642</v>
      </c>
      <c r="F2802" s="12" t="s">
        <v>6643</v>
      </c>
      <c r="G2802" s="12" t="s">
        <v>6642</v>
      </c>
      <c r="H2802" s="58" t="s">
        <v>6664</v>
      </c>
      <c r="I2802" s="12" t="s">
        <v>6760</v>
      </c>
      <c r="J2802" s="11" t="s">
        <v>1851</v>
      </c>
      <c r="K2802" s="11" t="s">
        <v>1852</v>
      </c>
      <c r="L2802" s="11" t="s">
        <v>1853</v>
      </c>
      <c r="M2802" s="11" t="s">
        <v>6761</v>
      </c>
      <c r="N2802" s="12"/>
      <c r="O2802" s="11" t="s">
        <v>1858</v>
      </c>
      <c r="P2802" s="56"/>
    </row>
    <row r="2803" spans="1:16" ht="15.75" customHeight="1" x14ac:dyDescent="0.2">
      <c r="A2803" s="48">
        <v>3649</v>
      </c>
      <c r="B2803" s="11" t="s">
        <v>1857</v>
      </c>
      <c r="C2803" s="11" t="s">
        <v>1849</v>
      </c>
      <c r="D2803" s="6" t="s">
        <v>1850</v>
      </c>
      <c r="E2803" s="11" t="s">
        <v>6642</v>
      </c>
      <c r="F2803" s="12" t="s">
        <v>6643</v>
      </c>
      <c r="G2803" s="12" t="s">
        <v>6642</v>
      </c>
      <c r="H2803" s="12" t="s">
        <v>6661</v>
      </c>
      <c r="I2803" s="12" t="s">
        <v>6762</v>
      </c>
      <c r="J2803" s="11" t="s">
        <v>1851</v>
      </c>
      <c r="K2803" s="11" t="s">
        <v>1852</v>
      </c>
      <c r="L2803" s="11" t="s">
        <v>1853</v>
      </c>
      <c r="M2803" s="11" t="s">
        <v>6763</v>
      </c>
      <c r="N2803" s="12" t="s">
        <v>2281</v>
      </c>
      <c r="O2803" s="11" t="s">
        <v>1858</v>
      </c>
      <c r="P2803" s="56"/>
    </row>
    <row r="2804" spans="1:16" ht="15.75" customHeight="1" x14ac:dyDescent="0.2">
      <c r="A2804" s="48">
        <v>3657</v>
      </c>
      <c r="B2804" s="11" t="s">
        <v>1857</v>
      </c>
      <c r="C2804" s="11" t="s">
        <v>1849</v>
      </c>
      <c r="D2804" s="6" t="s">
        <v>1850</v>
      </c>
      <c r="E2804" s="11" t="s">
        <v>6642</v>
      </c>
      <c r="F2804" s="12" t="s">
        <v>6643</v>
      </c>
      <c r="G2804" s="12" t="s">
        <v>6642</v>
      </c>
      <c r="H2804" s="12" t="s">
        <v>6661</v>
      </c>
      <c r="I2804" s="12" t="s">
        <v>6764</v>
      </c>
      <c r="J2804" s="11" t="s">
        <v>1851</v>
      </c>
      <c r="K2804" s="11" t="s">
        <v>1852</v>
      </c>
      <c r="L2804" s="11" t="s">
        <v>1853</v>
      </c>
      <c r="M2804" s="11" t="s">
        <v>6765</v>
      </c>
      <c r="N2804" s="12"/>
      <c r="O2804" s="11" t="s">
        <v>4302</v>
      </c>
      <c r="P2804" s="56" t="s">
        <v>6766</v>
      </c>
    </row>
    <row r="2805" spans="1:16" ht="15.75" customHeight="1" x14ac:dyDescent="0.2">
      <c r="A2805" s="48">
        <v>3669</v>
      </c>
      <c r="B2805" s="11" t="s">
        <v>1857</v>
      </c>
      <c r="C2805" s="11" t="s">
        <v>1849</v>
      </c>
      <c r="D2805" s="6" t="s">
        <v>1850</v>
      </c>
      <c r="E2805" s="11" t="s">
        <v>6642</v>
      </c>
      <c r="F2805" s="12" t="s">
        <v>6643</v>
      </c>
      <c r="G2805" s="12" t="s">
        <v>6642</v>
      </c>
      <c r="H2805" s="12" t="s">
        <v>6661</v>
      </c>
      <c r="I2805" s="12" t="s">
        <v>6767</v>
      </c>
      <c r="J2805" s="11" t="s">
        <v>1851</v>
      </c>
      <c r="K2805" s="11" t="s">
        <v>1852</v>
      </c>
      <c r="L2805" s="11" t="s">
        <v>1853</v>
      </c>
      <c r="M2805" s="11" t="s">
        <v>6768</v>
      </c>
      <c r="N2805" s="12"/>
      <c r="O2805" s="11" t="s">
        <v>3016</v>
      </c>
      <c r="P2805" s="56" t="s">
        <v>6769</v>
      </c>
    </row>
    <row r="2806" spans="1:16" ht="15.75" customHeight="1" x14ac:dyDescent="0.2">
      <c r="A2806" s="48">
        <v>3671</v>
      </c>
      <c r="B2806" s="11" t="s">
        <v>1857</v>
      </c>
      <c r="C2806" s="11" t="s">
        <v>1849</v>
      </c>
      <c r="D2806" s="6" t="s">
        <v>1850</v>
      </c>
      <c r="E2806" s="11" t="s">
        <v>6642</v>
      </c>
      <c r="F2806" s="12" t="s">
        <v>6643</v>
      </c>
      <c r="G2806" s="12" t="s">
        <v>6642</v>
      </c>
      <c r="H2806" s="12" t="s">
        <v>6661</v>
      </c>
      <c r="I2806" s="12" t="s">
        <v>6770</v>
      </c>
      <c r="J2806" s="11" t="s">
        <v>1851</v>
      </c>
      <c r="K2806" s="11" t="s">
        <v>1852</v>
      </c>
      <c r="L2806" s="11" t="s">
        <v>1853</v>
      </c>
      <c r="M2806" s="11" t="s">
        <v>6771</v>
      </c>
      <c r="N2806" s="12"/>
      <c r="O2806" s="11" t="s">
        <v>2334</v>
      </c>
      <c r="P2806" s="56" t="s">
        <v>4974</v>
      </c>
    </row>
    <row r="2807" spans="1:16" ht="15.75" customHeight="1" x14ac:dyDescent="0.2">
      <c r="A2807" s="48">
        <v>3672</v>
      </c>
      <c r="B2807" s="11" t="s">
        <v>1857</v>
      </c>
      <c r="C2807" s="11" t="s">
        <v>1849</v>
      </c>
      <c r="D2807" s="6" t="s">
        <v>1850</v>
      </c>
      <c r="E2807" s="11" t="s">
        <v>6642</v>
      </c>
      <c r="F2807" s="12" t="s">
        <v>6643</v>
      </c>
      <c r="G2807" s="12" t="s">
        <v>6642</v>
      </c>
      <c r="H2807" s="12" t="s">
        <v>6661</v>
      </c>
      <c r="I2807" s="12" t="s">
        <v>6772</v>
      </c>
      <c r="J2807" s="11" t="s">
        <v>1851</v>
      </c>
      <c r="K2807" s="11" t="s">
        <v>1852</v>
      </c>
      <c r="L2807" s="11" t="s">
        <v>1853</v>
      </c>
      <c r="M2807" s="11" t="s">
        <v>6773</v>
      </c>
      <c r="N2807" s="12"/>
      <c r="O2807" s="11" t="s">
        <v>1864</v>
      </c>
      <c r="P2807" s="56" t="s">
        <v>3529</v>
      </c>
    </row>
    <row r="2808" spans="1:16" ht="15.75" customHeight="1" x14ac:dyDescent="0.2">
      <c r="A2808" s="48">
        <v>3676</v>
      </c>
      <c r="B2808" s="11" t="s">
        <v>1857</v>
      </c>
      <c r="C2808" s="11" t="s">
        <v>1849</v>
      </c>
      <c r="D2808" s="6" t="s">
        <v>1850</v>
      </c>
      <c r="E2808" s="11" t="s">
        <v>6642</v>
      </c>
      <c r="F2808" s="12" t="s">
        <v>6643</v>
      </c>
      <c r="G2808" s="12" t="s">
        <v>6642</v>
      </c>
      <c r="H2808" s="12" t="s">
        <v>6661</v>
      </c>
      <c r="I2808" s="12" t="s">
        <v>6774</v>
      </c>
      <c r="J2808" s="11" t="s">
        <v>1851</v>
      </c>
      <c r="K2808" s="11" t="s">
        <v>1852</v>
      </c>
      <c r="L2808" s="11" t="s">
        <v>1853</v>
      </c>
      <c r="M2808" s="11" t="s">
        <v>6775</v>
      </c>
      <c r="N2808" s="12"/>
      <c r="O2808" s="11" t="s">
        <v>1858</v>
      </c>
      <c r="P2808" s="56"/>
    </row>
    <row r="2809" spans="1:16" ht="15.75" customHeight="1" x14ac:dyDescent="0.2">
      <c r="A2809" s="48">
        <v>3678</v>
      </c>
      <c r="B2809" s="11" t="s">
        <v>1857</v>
      </c>
      <c r="C2809" s="11" t="s">
        <v>1849</v>
      </c>
      <c r="D2809" s="6" t="s">
        <v>1850</v>
      </c>
      <c r="E2809" s="11" t="s">
        <v>6642</v>
      </c>
      <c r="F2809" s="12" t="s">
        <v>6643</v>
      </c>
      <c r="G2809" s="12" t="s">
        <v>6642</v>
      </c>
      <c r="H2809" s="12" t="s">
        <v>6661</v>
      </c>
      <c r="I2809" s="12" t="s">
        <v>6776</v>
      </c>
      <c r="J2809" s="11" t="s">
        <v>1851</v>
      </c>
      <c r="K2809" s="11" t="s">
        <v>1852</v>
      </c>
      <c r="L2809" s="11" t="s">
        <v>1853</v>
      </c>
      <c r="M2809" s="11" t="s">
        <v>6777</v>
      </c>
      <c r="N2809" s="12"/>
      <c r="O2809" s="11" t="s">
        <v>1858</v>
      </c>
      <c r="P2809" s="56"/>
    </row>
    <row r="2810" spans="1:16" ht="15.75" customHeight="1" x14ac:dyDescent="0.2">
      <c r="A2810" s="48">
        <v>3682</v>
      </c>
      <c r="B2810" s="11" t="s">
        <v>1857</v>
      </c>
      <c r="C2810" s="11" t="s">
        <v>1849</v>
      </c>
      <c r="D2810" s="6" t="s">
        <v>1850</v>
      </c>
      <c r="E2810" s="11" t="s">
        <v>6642</v>
      </c>
      <c r="F2810" s="12" t="s">
        <v>6643</v>
      </c>
      <c r="G2810" s="12" t="s">
        <v>6642</v>
      </c>
      <c r="H2810" s="63" t="s">
        <v>2768</v>
      </c>
      <c r="I2810" s="12" t="s">
        <v>6778</v>
      </c>
      <c r="J2810" s="11" t="s">
        <v>1851</v>
      </c>
      <c r="K2810" s="11" t="s">
        <v>1852</v>
      </c>
      <c r="L2810" s="11" t="s">
        <v>1853</v>
      </c>
      <c r="M2810" s="11" t="s">
        <v>4326</v>
      </c>
      <c r="N2810" s="12"/>
      <c r="O2810" s="11" t="s">
        <v>1872</v>
      </c>
      <c r="P2810" s="56"/>
    </row>
    <row r="2811" spans="1:16" ht="15.75" customHeight="1" x14ac:dyDescent="0.2">
      <c r="A2811" s="48">
        <v>3687</v>
      </c>
      <c r="B2811" s="11" t="s">
        <v>1857</v>
      </c>
      <c r="C2811" s="11" t="s">
        <v>1849</v>
      </c>
      <c r="D2811" s="6" t="s">
        <v>1850</v>
      </c>
      <c r="E2811" s="11" t="s">
        <v>6642</v>
      </c>
      <c r="F2811" s="12" t="s">
        <v>6643</v>
      </c>
      <c r="G2811" s="12" t="s">
        <v>6642</v>
      </c>
      <c r="H2811" s="58" t="s">
        <v>6657</v>
      </c>
      <c r="I2811" s="12" t="s">
        <v>6779</v>
      </c>
      <c r="J2811" s="11" t="s">
        <v>1851</v>
      </c>
      <c r="K2811" s="11" t="s">
        <v>1852</v>
      </c>
      <c r="L2811" s="11" t="s">
        <v>1853</v>
      </c>
      <c r="M2811" s="11" t="s">
        <v>6780</v>
      </c>
      <c r="N2811" s="12" t="s">
        <v>2281</v>
      </c>
      <c r="O2811" s="11" t="s">
        <v>1860</v>
      </c>
      <c r="P2811" s="56"/>
    </row>
    <row r="2812" spans="1:16" ht="15.75" customHeight="1" x14ac:dyDescent="0.2">
      <c r="A2812" s="48">
        <v>3688</v>
      </c>
      <c r="B2812" s="11" t="s">
        <v>1857</v>
      </c>
      <c r="C2812" s="11" t="s">
        <v>1849</v>
      </c>
      <c r="D2812" s="6" t="s">
        <v>1850</v>
      </c>
      <c r="E2812" s="11" t="s">
        <v>6642</v>
      </c>
      <c r="F2812" s="12" t="s">
        <v>6643</v>
      </c>
      <c r="G2812" s="12" t="s">
        <v>6642</v>
      </c>
      <c r="H2812" s="58" t="s">
        <v>6657</v>
      </c>
      <c r="I2812" s="12" t="s">
        <v>6781</v>
      </c>
      <c r="J2812" s="11" t="s">
        <v>1851</v>
      </c>
      <c r="K2812" s="11" t="s">
        <v>1852</v>
      </c>
      <c r="L2812" s="11" t="s">
        <v>1853</v>
      </c>
      <c r="M2812" s="11" t="s">
        <v>6782</v>
      </c>
      <c r="N2812" s="12"/>
      <c r="O2812" s="11" t="s">
        <v>4302</v>
      </c>
      <c r="P2812" s="56" t="s">
        <v>6783</v>
      </c>
    </row>
    <row r="2813" spans="1:16" ht="15.75" customHeight="1" x14ac:dyDescent="0.2">
      <c r="A2813" s="48">
        <v>3694</v>
      </c>
      <c r="B2813" s="11" t="s">
        <v>1857</v>
      </c>
      <c r="C2813" s="11" t="s">
        <v>1849</v>
      </c>
      <c r="D2813" s="6" t="s">
        <v>1850</v>
      </c>
      <c r="E2813" s="11" t="s">
        <v>6642</v>
      </c>
      <c r="F2813" s="12" t="s">
        <v>6643</v>
      </c>
      <c r="G2813" s="12" t="s">
        <v>6642</v>
      </c>
      <c r="H2813" s="58" t="s">
        <v>6657</v>
      </c>
      <c r="I2813" s="12" t="s">
        <v>6784</v>
      </c>
      <c r="J2813" s="11" t="s">
        <v>1851</v>
      </c>
      <c r="K2813" s="11" t="s">
        <v>1852</v>
      </c>
      <c r="L2813" s="11" t="s">
        <v>1853</v>
      </c>
      <c r="M2813" s="11" t="s">
        <v>6777</v>
      </c>
      <c r="N2813" s="12" t="s">
        <v>2281</v>
      </c>
      <c r="O2813" s="11" t="s">
        <v>1858</v>
      </c>
      <c r="P2813" s="56"/>
    </row>
    <row r="2814" spans="1:16" ht="15.75" customHeight="1" x14ac:dyDescent="0.2">
      <c r="A2814" s="48">
        <v>3696</v>
      </c>
      <c r="B2814" s="11" t="s">
        <v>1857</v>
      </c>
      <c r="C2814" s="11" t="s">
        <v>1849</v>
      </c>
      <c r="D2814" s="6" t="s">
        <v>1850</v>
      </c>
      <c r="E2814" s="11" t="s">
        <v>6642</v>
      </c>
      <c r="F2814" s="12" t="s">
        <v>6643</v>
      </c>
      <c r="G2814" s="12" t="s">
        <v>6642</v>
      </c>
      <c r="H2814" s="58" t="s">
        <v>6658</v>
      </c>
      <c r="I2814" s="12" t="s">
        <v>6785</v>
      </c>
      <c r="J2814" s="11" t="s">
        <v>1851</v>
      </c>
      <c r="K2814" s="11" t="s">
        <v>1852</v>
      </c>
      <c r="L2814" s="11" t="s">
        <v>1853</v>
      </c>
      <c r="M2814" s="11" t="s">
        <v>6786</v>
      </c>
      <c r="N2814" s="12"/>
      <c r="O2814" s="11" t="s">
        <v>1858</v>
      </c>
      <c r="P2814" s="56"/>
    </row>
    <row r="2815" spans="1:16" ht="15.75" customHeight="1" x14ac:dyDescent="0.2">
      <c r="A2815" s="48">
        <v>3702</v>
      </c>
      <c r="B2815" s="11" t="s">
        <v>1857</v>
      </c>
      <c r="C2815" s="11" t="s">
        <v>1849</v>
      </c>
      <c r="D2815" s="6" t="s">
        <v>1850</v>
      </c>
      <c r="E2815" s="11" t="s">
        <v>6642</v>
      </c>
      <c r="F2815" s="12" t="s">
        <v>6643</v>
      </c>
      <c r="G2815" s="12" t="s">
        <v>6642</v>
      </c>
      <c r="H2815" s="58" t="s">
        <v>6658</v>
      </c>
      <c r="I2815" s="12" t="s">
        <v>6787</v>
      </c>
      <c r="J2815" s="11" t="s">
        <v>1851</v>
      </c>
      <c r="K2815" s="11" t="s">
        <v>1852</v>
      </c>
      <c r="L2815" s="11" t="s">
        <v>1853</v>
      </c>
      <c r="M2815" s="11" t="s">
        <v>6788</v>
      </c>
      <c r="N2815" s="12"/>
      <c r="O2815" s="11" t="s">
        <v>3016</v>
      </c>
      <c r="P2815" s="56" t="s">
        <v>6789</v>
      </c>
    </row>
    <row r="2816" spans="1:16" ht="15.75" customHeight="1" x14ac:dyDescent="0.2">
      <c r="A2816" s="48">
        <v>3703</v>
      </c>
      <c r="B2816" s="11" t="s">
        <v>1857</v>
      </c>
      <c r="C2816" s="11" t="s">
        <v>1849</v>
      </c>
      <c r="D2816" s="6" t="s">
        <v>1850</v>
      </c>
      <c r="E2816" s="11" t="s">
        <v>6642</v>
      </c>
      <c r="F2816" s="12" t="s">
        <v>6643</v>
      </c>
      <c r="G2816" s="12" t="s">
        <v>6642</v>
      </c>
      <c r="H2816" s="58" t="s">
        <v>6658</v>
      </c>
      <c r="I2816" s="12" t="s">
        <v>6790</v>
      </c>
      <c r="J2816" s="11" t="s">
        <v>1851</v>
      </c>
      <c r="K2816" s="11" t="s">
        <v>1852</v>
      </c>
      <c r="L2816" s="11" t="s">
        <v>1853</v>
      </c>
      <c r="M2816" s="11" t="s">
        <v>6791</v>
      </c>
      <c r="N2816" s="12"/>
      <c r="O2816" s="11" t="s">
        <v>5055</v>
      </c>
      <c r="P2816" s="56" t="s">
        <v>6750</v>
      </c>
    </row>
    <row r="2817" spans="1:16" ht="15.75" customHeight="1" x14ac:dyDescent="0.2">
      <c r="A2817" s="48">
        <v>3704</v>
      </c>
      <c r="B2817" s="11" t="s">
        <v>1857</v>
      </c>
      <c r="C2817" s="11" t="s">
        <v>1849</v>
      </c>
      <c r="D2817" s="6" t="s">
        <v>1850</v>
      </c>
      <c r="E2817" s="11" t="s">
        <v>6642</v>
      </c>
      <c r="F2817" s="12" t="s">
        <v>6643</v>
      </c>
      <c r="G2817" s="12" t="s">
        <v>6642</v>
      </c>
      <c r="H2817" s="58" t="s">
        <v>6658</v>
      </c>
      <c r="I2817" s="12" t="s">
        <v>6792</v>
      </c>
      <c r="J2817" s="11" t="s">
        <v>1851</v>
      </c>
      <c r="K2817" s="11" t="s">
        <v>1852</v>
      </c>
      <c r="L2817" s="11" t="s">
        <v>1853</v>
      </c>
      <c r="M2817" s="11" t="s">
        <v>6793</v>
      </c>
      <c r="N2817" s="12"/>
      <c r="O2817" s="11" t="s">
        <v>1864</v>
      </c>
      <c r="P2817" s="56" t="s">
        <v>5520</v>
      </c>
    </row>
    <row r="2818" spans="1:16" ht="15.75" customHeight="1" x14ac:dyDescent="0.2">
      <c r="A2818" s="48">
        <v>3709</v>
      </c>
      <c r="B2818" s="11" t="s">
        <v>1857</v>
      </c>
      <c r="C2818" s="11" t="s">
        <v>1849</v>
      </c>
      <c r="D2818" s="6" t="s">
        <v>1850</v>
      </c>
      <c r="E2818" s="11" t="s">
        <v>6642</v>
      </c>
      <c r="F2818" s="12" t="s">
        <v>6643</v>
      </c>
      <c r="G2818" s="12" t="s">
        <v>6642</v>
      </c>
      <c r="H2818" s="58" t="s">
        <v>6658</v>
      </c>
      <c r="I2818" s="12" t="s">
        <v>6794</v>
      </c>
      <c r="J2818" s="11" t="s">
        <v>1851</v>
      </c>
      <c r="K2818" s="11" t="s">
        <v>1852</v>
      </c>
      <c r="L2818" s="11" t="s">
        <v>1853</v>
      </c>
      <c r="M2818" s="11" t="s">
        <v>6795</v>
      </c>
      <c r="N2818" s="12" t="s">
        <v>2281</v>
      </c>
      <c r="O2818" s="11" t="s">
        <v>1858</v>
      </c>
      <c r="P2818" s="56"/>
    </row>
    <row r="2819" spans="1:16" ht="15.75" customHeight="1" x14ac:dyDescent="0.2">
      <c r="A2819" s="48">
        <v>3710</v>
      </c>
      <c r="B2819" s="11" t="s">
        <v>1857</v>
      </c>
      <c r="C2819" s="11" t="s">
        <v>1849</v>
      </c>
      <c r="D2819" s="6" t="s">
        <v>1850</v>
      </c>
      <c r="E2819" s="11" t="s">
        <v>6642</v>
      </c>
      <c r="F2819" s="12" t="s">
        <v>6643</v>
      </c>
      <c r="G2819" s="12" t="s">
        <v>6642</v>
      </c>
      <c r="H2819" s="58" t="s">
        <v>6658</v>
      </c>
      <c r="I2819" s="12" t="s">
        <v>6796</v>
      </c>
      <c r="J2819" s="11" t="s">
        <v>1851</v>
      </c>
      <c r="K2819" s="11" t="s">
        <v>1852</v>
      </c>
      <c r="L2819" s="11" t="s">
        <v>1853</v>
      </c>
      <c r="M2819" s="11" t="s">
        <v>6797</v>
      </c>
      <c r="N2819" s="12" t="s">
        <v>2281</v>
      </c>
      <c r="O2819" s="11" t="s">
        <v>1858</v>
      </c>
      <c r="P2819" s="56"/>
    </row>
    <row r="2820" spans="1:16" ht="15.75" customHeight="1" x14ac:dyDescent="0.2">
      <c r="A2820" s="48">
        <v>3713</v>
      </c>
      <c r="B2820" s="11" t="s">
        <v>1857</v>
      </c>
      <c r="C2820" s="11" t="s">
        <v>1849</v>
      </c>
      <c r="D2820" s="6" t="s">
        <v>1850</v>
      </c>
      <c r="E2820" s="11" t="s">
        <v>6642</v>
      </c>
      <c r="F2820" s="12" t="s">
        <v>6643</v>
      </c>
      <c r="G2820" s="12" t="s">
        <v>6642</v>
      </c>
      <c r="H2820" s="58" t="s">
        <v>6658</v>
      </c>
      <c r="I2820" s="12" t="s">
        <v>6798</v>
      </c>
      <c r="J2820" s="11" t="s">
        <v>1851</v>
      </c>
      <c r="K2820" s="11" t="s">
        <v>1852</v>
      </c>
      <c r="L2820" s="11" t="s">
        <v>1853</v>
      </c>
      <c r="M2820" s="11" t="s">
        <v>6799</v>
      </c>
      <c r="N2820" s="12"/>
      <c r="O2820" s="11" t="s">
        <v>1858</v>
      </c>
      <c r="P2820" s="56"/>
    </row>
    <row r="2821" spans="1:16" ht="15.75" customHeight="1" x14ac:dyDescent="0.2">
      <c r="A2821" s="48">
        <v>3714</v>
      </c>
      <c r="B2821" s="11" t="s">
        <v>1857</v>
      </c>
      <c r="C2821" s="11" t="s">
        <v>1849</v>
      </c>
      <c r="D2821" s="6" t="s">
        <v>1850</v>
      </c>
      <c r="E2821" s="11" t="s">
        <v>6642</v>
      </c>
      <c r="F2821" s="12" t="s">
        <v>6643</v>
      </c>
      <c r="G2821" s="12" t="s">
        <v>6642</v>
      </c>
      <c r="H2821" s="58" t="s">
        <v>6689</v>
      </c>
      <c r="I2821" s="12" t="s">
        <v>6800</v>
      </c>
      <c r="J2821" s="11" t="s">
        <v>1851</v>
      </c>
      <c r="K2821" s="11" t="s">
        <v>1852</v>
      </c>
      <c r="L2821" s="11" t="s">
        <v>1853</v>
      </c>
      <c r="M2821" s="11" t="s">
        <v>6801</v>
      </c>
      <c r="N2821" s="12" t="s">
        <v>2281</v>
      </c>
      <c r="O2821" s="11" t="s">
        <v>2334</v>
      </c>
      <c r="P2821" s="56" t="s">
        <v>4974</v>
      </c>
    </row>
    <row r="2822" spans="1:16" ht="15.75" customHeight="1" x14ac:dyDescent="0.2">
      <c r="A2822" s="48">
        <v>3718</v>
      </c>
      <c r="B2822" s="11" t="s">
        <v>1857</v>
      </c>
      <c r="C2822" s="11" t="s">
        <v>1849</v>
      </c>
      <c r="D2822" s="6" t="s">
        <v>1850</v>
      </c>
      <c r="E2822" s="11" t="s">
        <v>6642</v>
      </c>
      <c r="F2822" s="12" t="s">
        <v>6643</v>
      </c>
      <c r="G2822" s="12" t="s">
        <v>6642</v>
      </c>
      <c r="H2822" s="58" t="s">
        <v>6689</v>
      </c>
      <c r="I2822" s="12" t="s">
        <v>6802</v>
      </c>
      <c r="J2822" s="11" t="s">
        <v>1851</v>
      </c>
      <c r="K2822" s="11" t="s">
        <v>1852</v>
      </c>
      <c r="L2822" s="11" t="s">
        <v>1853</v>
      </c>
      <c r="M2822" s="11" t="s">
        <v>6803</v>
      </c>
      <c r="N2822" s="12"/>
      <c r="O2822" s="11" t="s">
        <v>4302</v>
      </c>
      <c r="P2822" s="56" t="s">
        <v>6804</v>
      </c>
    </row>
    <row r="2823" spans="1:16" ht="15.75" customHeight="1" x14ac:dyDescent="0.2">
      <c r="A2823" s="48">
        <v>3725</v>
      </c>
      <c r="B2823" s="11" t="s">
        <v>1857</v>
      </c>
      <c r="C2823" s="11" t="s">
        <v>1849</v>
      </c>
      <c r="D2823" s="6" t="s">
        <v>1850</v>
      </c>
      <c r="E2823" s="11" t="s">
        <v>6642</v>
      </c>
      <c r="F2823" s="12" t="s">
        <v>6643</v>
      </c>
      <c r="G2823" s="12" t="s">
        <v>6642</v>
      </c>
      <c r="H2823" s="58" t="s">
        <v>6689</v>
      </c>
      <c r="I2823" s="12" t="s">
        <v>6805</v>
      </c>
      <c r="J2823" s="11" t="s">
        <v>1851</v>
      </c>
      <c r="K2823" s="11" t="s">
        <v>1852</v>
      </c>
      <c r="L2823" s="11" t="s">
        <v>1853</v>
      </c>
      <c r="M2823" s="11" t="s">
        <v>6806</v>
      </c>
      <c r="N2823" s="12" t="s">
        <v>2281</v>
      </c>
      <c r="O2823" s="11" t="s">
        <v>1858</v>
      </c>
      <c r="P2823" s="56"/>
    </row>
    <row r="2824" spans="1:16" ht="15.75" customHeight="1" x14ac:dyDescent="0.2">
      <c r="A2824" s="48">
        <v>3726</v>
      </c>
      <c r="B2824" s="11" t="s">
        <v>1857</v>
      </c>
      <c r="C2824" s="11" t="s">
        <v>1849</v>
      </c>
      <c r="D2824" s="6" t="s">
        <v>1850</v>
      </c>
      <c r="E2824" s="11" t="s">
        <v>6642</v>
      </c>
      <c r="F2824" s="12" t="s">
        <v>6643</v>
      </c>
      <c r="G2824" s="12" t="s">
        <v>6642</v>
      </c>
      <c r="H2824" s="58" t="s">
        <v>6689</v>
      </c>
      <c r="I2824" s="12" t="s">
        <v>6807</v>
      </c>
      <c r="J2824" s="11" t="s">
        <v>1851</v>
      </c>
      <c r="K2824" s="11" t="s">
        <v>1852</v>
      </c>
      <c r="L2824" s="11" t="s">
        <v>1853</v>
      </c>
      <c r="M2824" s="11" t="s">
        <v>6780</v>
      </c>
      <c r="N2824" s="12"/>
      <c r="O2824" s="11" t="s">
        <v>1858</v>
      </c>
      <c r="P2824" s="56"/>
    </row>
    <row r="2825" spans="1:16" ht="15.75" customHeight="1" x14ac:dyDescent="0.2">
      <c r="A2825" s="48">
        <v>3727</v>
      </c>
      <c r="B2825" s="11" t="s">
        <v>1857</v>
      </c>
      <c r="C2825" s="11" t="s">
        <v>1849</v>
      </c>
      <c r="D2825" s="6" t="s">
        <v>1850</v>
      </c>
      <c r="E2825" s="11" t="s">
        <v>6642</v>
      </c>
      <c r="F2825" s="12" t="s">
        <v>6643</v>
      </c>
      <c r="G2825" s="12" t="s">
        <v>6642</v>
      </c>
      <c r="H2825" s="58" t="s">
        <v>6689</v>
      </c>
      <c r="I2825" s="12" t="s">
        <v>6808</v>
      </c>
      <c r="J2825" s="11" t="s">
        <v>1851</v>
      </c>
      <c r="K2825" s="11" t="s">
        <v>1852</v>
      </c>
      <c r="L2825" s="11" t="s">
        <v>1853</v>
      </c>
      <c r="M2825" s="11" t="s">
        <v>6795</v>
      </c>
      <c r="N2825" s="12" t="s">
        <v>2281</v>
      </c>
      <c r="O2825" s="11" t="s">
        <v>1858</v>
      </c>
      <c r="P2825" s="56"/>
    </row>
    <row r="2826" spans="1:16" ht="15.75" customHeight="1" x14ac:dyDescent="0.2">
      <c r="A2826" s="48">
        <v>3729</v>
      </c>
      <c r="B2826" s="11" t="s">
        <v>1857</v>
      </c>
      <c r="C2826" s="11" t="s">
        <v>1849</v>
      </c>
      <c r="D2826" s="6" t="s">
        <v>1850</v>
      </c>
      <c r="E2826" s="11" t="s">
        <v>6642</v>
      </c>
      <c r="F2826" s="12" t="s">
        <v>6643</v>
      </c>
      <c r="G2826" s="12" t="s">
        <v>6642</v>
      </c>
      <c r="H2826" s="58" t="s">
        <v>6689</v>
      </c>
      <c r="I2826" s="12" t="s">
        <v>6809</v>
      </c>
      <c r="J2826" s="11" t="s">
        <v>1851</v>
      </c>
      <c r="K2826" s="11" t="s">
        <v>1852</v>
      </c>
      <c r="L2826" s="11" t="s">
        <v>1853</v>
      </c>
      <c r="M2826" s="11" t="s">
        <v>6810</v>
      </c>
      <c r="N2826" s="12" t="s">
        <v>2281</v>
      </c>
      <c r="O2826" s="11" t="s">
        <v>1858</v>
      </c>
      <c r="P2826" s="56"/>
    </row>
    <row r="2827" spans="1:16" ht="15.75" customHeight="1" x14ac:dyDescent="0.2">
      <c r="A2827" s="48">
        <v>3730</v>
      </c>
      <c r="B2827" s="11" t="s">
        <v>1857</v>
      </c>
      <c r="C2827" s="11" t="s">
        <v>1849</v>
      </c>
      <c r="D2827" s="6" t="s">
        <v>1850</v>
      </c>
      <c r="E2827" s="11" t="s">
        <v>6642</v>
      </c>
      <c r="F2827" s="12" t="s">
        <v>6643</v>
      </c>
      <c r="G2827" s="12" t="s">
        <v>6642</v>
      </c>
      <c r="H2827" s="12" t="s">
        <v>6704</v>
      </c>
      <c r="I2827" s="12" t="s">
        <v>6811</v>
      </c>
      <c r="J2827" s="11" t="s">
        <v>1851</v>
      </c>
      <c r="K2827" s="11" t="s">
        <v>1852</v>
      </c>
      <c r="L2827" s="11" t="s">
        <v>1853</v>
      </c>
      <c r="M2827" s="11" t="s">
        <v>6812</v>
      </c>
      <c r="N2827" s="12"/>
      <c r="O2827" s="11" t="s">
        <v>1858</v>
      </c>
      <c r="P2827" s="56"/>
    </row>
    <row r="2828" spans="1:16" ht="15.75" customHeight="1" x14ac:dyDescent="0.2">
      <c r="A2828" s="48">
        <v>3732</v>
      </c>
      <c r="B2828" s="11" t="s">
        <v>1857</v>
      </c>
      <c r="C2828" s="11" t="s">
        <v>1849</v>
      </c>
      <c r="D2828" s="6" t="s">
        <v>1850</v>
      </c>
      <c r="E2828" s="11" t="s">
        <v>6642</v>
      </c>
      <c r="F2828" s="12" t="s">
        <v>6643</v>
      </c>
      <c r="G2828" s="12" t="s">
        <v>6642</v>
      </c>
      <c r="H2828" s="12" t="s">
        <v>6704</v>
      </c>
      <c r="I2828" s="12" t="s">
        <v>6813</v>
      </c>
      <c r="J2828" s="11" t="s">
        <v>1851</v>
      </c>
      <c r="K2828" s="11" t="s">
        <v>1852</v>
      </c>
      <c r="L2828" s="11" t="s">
        <v>1853</v>
      </c>
      <c r="M2828" s="11" t="s">
        <v>6814</v>
      </c>
      <c r="N2828" s="12" t="s">
        <v>2281</v>
      </c>
      <c r="O2828" s="11" t="s">
        <v>1858</v>
      </c>
      <c r="P2828" s="56"/>
    </row>
    <row r="2829" spans="1:16" ht="15.75" customHeight="1" x14ac:dyDescent="0.2">
      <c r="A2829" s="48">
        <v>3736</v>
      </c>
      <c r="B2829" s="11" t="s">
        <v>1857</v>
      </c>
      <c r="C2829" s="11" t="s">
        <v>1849</v>
      </c>
      <c r="D2829" s="6" t="s">
        <v>1850</v>
      </c>
      <c r="E2829" s="11" t="s">
        <v>6642</v>
      </c>
      <c r="F2829" s="12" t="s">
        <v>6643</v>
      </c>
      <c r="G2829" s="12" t="s">
        <v>6642</v>
      </c>
      <c r="H2829" s="12" t="s">
        <v>6815</v>
      </c>
      <c r="I2829" s="12" t="s">
        <v>6816</v>
      </c>
      <c r="J2829" s="11" t="s">
        <v>1851</v>
      </c>
      <c r="K2829" s="11" t="s">
        <v>1852</v>
      </c>
      <c r="L2829" s="11" t="s">
        <v>1853</v>
      </c>
      <c r="M2829" s="11" t="s">
        <v>6817</v>
      </c>
      <c r="N2829" s="12"/>
      <c r="O2829" s="11" t="s">
        <v>1860</v>
      </c>
      <c r="P2829" s="56"/>
    </row>
    <row r="2830" spans="1:16" ht="15.75" customHeight="1" x14ac:dyDescent="0.2">
      <c r="A2830" s="48">
        <v>3737</v>
      </c>
      <c r="B2830" s="11" t="s">
        <v>1857</v>
      </c>
      <c r="C2830" s="11" t="s">
        <v>1849</v>
      </c>
      <c r="D2830" s="6" t="s">
        <v>1850</v>
      </c>
      <c r="E2830" s="11" t="s">
        <v>6642</v>
      </c>
      <c r="F2830" s="12" t="s">
        <v>6643</v>
      </c>
      <c r="G2830" s="12" t="s">
        <v>6642</v>
      </c>
      <c r="H2830" s="12" t="s">
        <v>3542</v>
      </c>
      <c r="I2830" s="12" t="s">
        <v>6818</v>
      </c>
      <c r="J2830" s="11" t="s">
        <v>1851</v>
      </c>
      <c r="K2830" s="11" t="s">
        <v>1852</v>
      </c>
      <c r="L2830" s="11" t="s">
        <v>1853</v>
      </c>
      <c r="M2830" s="11" t="s">
        <v>6819</v>
      </c>
      <c r="N2830" s="12"/>
      <c r="O2830" s="11" t="s">
        <v>1858</v>
      </c>
      <c r="P2830" s="56"/>
    </row>
    <row r="2831" spans="1:16" ht="15.75" customHeight="1" x14ac:dyDescent="0.2">
      <c r="A2831" s="48">
        <v>3738</v>
      </c>
      <c r="B2831" s="11" t="s">
        <v>1857</v>
      </c>
      <c r="C2831" s="11" t="s">
        <v>1849</v>
      </c>
      <c r="D2831" s="6" t="s">
        <v>1850</v>
      </c>
      <c r="E2831" s="11" t="s">
        <v>6642</v>
      </c>
      <c r="F2831" s="12" t="s">
        <v>6643</v>
      </c>
      <c r="G2831" s="12" t="s">
        <v>6642</v>
      </c>
      <c r="H2831" s="12" t="s">
        <v>3542</v>
      </c>
      <c r="I2831" s="12" t="s">
        <v>6820</v>
      </c>
      <c r="J2831" s="11" t="s">
        <v>1851</v>
      </c>
      <c r="K2831" s="11" t="s">
        <v>1852</v>
      </c>
      <c r="L2831" s="11" t="s">
        <v>1853</v>
      </c>
      <c r="M2831" s="11" t="s">
        <v>6821</v>
      </c>
      <c r="N2831" s="12"/>
      <c r="O2831" s="11" t="s">
        <v>1858</v>
      </c>
      <c r="P2831" s="56"/>
    </row>
    <row r="2832" spans="1:16" ht="15.75" customHeight="1" x14ac:dyDescent="0.2">
      <c r="A2832" s="48">
        <v>3741</v>
      </c>
      <c r="B2832" s="11" t="s">
        <v>1857</v>
      </c>
      <c r="C2832" s="11" t="s">
        <v>1849</v>
      </c>
      <c r="D2832" s="6" t="s">
        <v>1850</v>
      </c>
      <c r="E2832" s="11" t="s">
        <v>6642</v>
      </c>
      <c r="F2832" s="12" t="s">
        <v>6643</v>
      </c>
      <c r="G2832" s="12" t="s">
        <v>6642</v>
      </c>
      <c r="H2832" s="12" t="s">
        <v>3542</v>
      </c>
      <c r="I2832" s="12" t="s">
        <v>6822</v>
      </c>
      <c r="J2832" s="11" t="s">
        <v>1851</v>
      </c>
      <c r="K2832" s="11" t="s">
        <v>1852</v>
      </c>
      <c r="L2832" s="11" t="s">
        <v>1853</v>
      </c>
      <c r="M2832" s="11" t="s">
        <v>6823</v>
      </c>
      <c r="N2832" s="12"/>
      <c r="O2832" s="11" t="s">
        <v>1858</v>
      </c>
      <c r="P2832" s="56"/>
    </row>
    <row r="2833" spans="1:16" ht="15.75" customHeight="1" x14ac:dyDescent="0.2">
      <c r="A2833" s="48">
        <v>3742</v>
      </c>
      <c r="B2833" s="11" t="s">
        <v>1857</v>
      </c>
      <c r="C2833" s="11" t="s">
        <v>1849</v>
      </c>
      <c r="D2833" s="6" t="s">
        <v>1850</v>
      </c>
      <c r="E2833" s="11" t="s">
        <v>6642</v>
      </c>
      <c r="F2833" s="12" t="s">
        <v>6643</v>
      </c>
      <c r="G2833" s="12" t="s">
        <v>6642</v>
      </c>
      <c r="H2833" s="12" t="s">
        <v>6815</v>
      </c>
      <c r="I2833" s="12" t="s">
        <v>6824</v>
      </c>
      <c r="J2833" s="11" t="s">
        <v>1851</v>
      </c>
      <c r="K2833" s="11" t="s">
        <v>1852</v>
      </c>
      <c r="L2833" s="11" t="s">
        <v>1853</v>
      </c>
      <c r="M2833" s="11" t="s">
        <v>6825</v>
      </c>
      <c r="N2833" s="12"/>
      <c r="O2833" s="11" t="s">
        <v>2022</v>
      </c>
      <c r="P2833" s="56" t="s">
        <v>6826</v>
      </c>
    </row>
    <row r="2834" spans="1:16" ht="15.75" customHeight="1" x14ac:dyDescent="0.2">
      <c r="A2834" s="48">
        <v>3743</v>
      </c>
      <c r="B2834" s="11" t="s">
        <v>1857</v>
      </c>
      <c r="C2834" s="11" t="s">
        <v>1849</v>
      </c>
      <c r="D2834" s="6" t="s">
        <v>1850</v>
      </c>
      <c r="E2834" s="11" t="s">
        <v>6642</v>
      </c>
      <c r="F2834" s="12" t="s">
        <v>6643</v>
      </c>
      <c r="G2834" s="12" t="s">
        <v>6642</v>
      </c>
      <c r="H2834" s="12" t="s">
        <v>3542</v>
      </c>
      <c r="I2834" s="12" t="s">
        <v>6827</v>
      </c>
      <c r="J2834" s="11" t="s">
        <v>1851</v>
      </c>
      <c r="K2834" s="11" t="s">
        <v>1852</v>
      </c>
      <c r="L2834" s="11" t="s">
        <v>1853</v>
      </c>
      <c r="M2834" s="11" t="s">
        <v>6828</v>
      </c>
      <c r="N2834" s="12"/>
      <c r="O2834" s="11" t="s">
        <v>2022</v>
      </c>
      <c r="P2834" s="56" t="s">
        <v>6750</v>
      </c>
    </row>
    <row r="2835" spans="1:16" ht="15.75" customHeight="1" x14ac:dyDescent="0.2">
      <c r="A2835" s="48">
        <v>3746</v>
      </c>
      <c r="B2835" s="11" t="s">
        <v>1857</v>
      </c>
      <c r="C2835" s="11" t="s">
        <v>1849</v>
      </c>
      <c r="D2835" s="6" t="s">
        <v>1850</v>
      </c>
      <c r="E2835" s="11" t="s">
        <v>6642</v>
      </c>
      <c r="F2835" s="12" t="s">
        <v>6643</v>
      </c>
      <c r="G2835" s="12" t="s">
        <v>6642</v>
      </c>
      <c r="H2835" s="12" t="s">
        <v>3542</v>
      </c>
      <c r="I2835" s="12" t="s">
        <v>6829</v>
      </c>
      <c r="J2835" s="11" t="s">
        <v>1851</v>
      </c>
      <c r="K2835" s="11" t="s">
        <v>1852</v>
      </c>
      <c r="L2835" s="11" t="s">
        <v>1853</v>
      </c>
      <c r="M2835" s="11" t="s">
        <v>6830</v>
      </c>
      <c r="N2835" s="12"/>
      <c r="O2835" s="11" t="s">
        <v>1860</v>
      </c>
      <c r="P2835" s="56"/>
    </row>
    <row r="2836" spans="1:16" ht="15.75" customHeight="1" x14ac:dyDescent="0.2">
      <c r="A2836" s="48">
        <v>3747</v>
      </c>
      <c r="B2836" s="11" t="s">
        <v>1857</v>
      </c>
      <c r="C2836" s="11" t="s">
        <v>1849</v>
      </c>
      <c r="D2836" s="6" t="s">
        <v>1850</v>
      </c>
      <c r="E2836" s="11" t="s">
        <v>6642</v>
      </c>
      <c r="F2836" s="12" t="s">
        <v>6643</v>
      </c>
      <c r="G2836" s="12" t="s">
        <v>6642</v>
      </c>
      <c r="H2836" s="12" t="s">
        <v>3542</v>
      </c>
      <c r="I2836" s="12" t="s">
        <v>6831</v>
      </c>
      <c r="J2836" s="11" t="s">
        <v>1851</v>
      </c>
      <c r="K2836" s="11" t="s">
        <v>1852</v>
      </c>
      <c r="L2836" s="11" t="s">
        <v>1853</v>
      </c>
      <c r="M2836" s="11" t="s">
        <v>6832</v>
      </c>
      <c r="N2836" s="12"/>
      <c r="O2836" s="11" t="s">
        <v>1864</v>
      </c>
      <c r="P2836" s="56" t="s">
        <v>5520</v>
      </c>
    </row>
    <row r="2837" spans="1:16" ht="15.75" customHeight="1" x14ac:dyDescent="0.2">
      <c r="A2837" s="48">
        <v>3761</v>
      </c>
      <c r="B2837" s="11" t="s">
        <v>1857</v>
      </c>
      <c r="C2837" s="11" t="s">
        <v>1849</v>
      </c>
      <c r="D2837" s="6" t="s">
        <v>1850</v>
      </c>
      <c r="E2837" s="11" t="s">
        <v>6642</v>
      </c>
      <c r="F2837" s="12" t="s">
        <v>6643</v>
      </c>
      <c r="G2837" s="12" t="s">
        <v>6642</v>
      </c>
      <c r="H2837" s="58" t="s">
        <v>2626</v>
      </c>
      <c r="I2837" s="12" t="s">
        <v>6833</v>
      </c>
      <c r="J2837" s="11" t="s">
        <v>1856</v>
      </c>
      <c r="K2837" s="11" t="s">
        <v>1852</v>
      </c>
      <c r="L2837" s="11" t="s">
        <v>1853</v>
      </c>
      <c r="M2837" s="11" t="s">
        <v>6834</v>
      </c>
      <c r="N2837" s="12"/>
      <c r="O2837" s="11" t="s">
        <v>1858</v>
      </c>
      <c r="P2837" s="56"/>
    </row>
    <row r="2838" spans="1:16" ht="15.75" customHeight="1" x14ac:dyDescent="0.2">
      <c r="A2838" s="48">
        <v>3762</v>
      </c>
      <c r="B2838" s="11" t="s">
        <v>1857</v>
      </c>
      <c r="C2838" s="11" t="s">
        <v>1849</v>
      </c>
      <c r="D2838" s="6" t="s">
        <v>1850</v>
      </c>
      <c r="E2838" s="11" t="s">
        <v>6642</v>
      </c>
      <c r="F2838" s="12" t="s">
        <v>6643</v>
      </c>
      <c r="G2838" s="12" t="s">
        <v>6642</v>
      </c>
      <c r="H2838" s="12" t="s">
        <v>6815</v>
      </c>
      <c r="I2838" s="12" t="s">
        <v>6835</v>
      </c>
      <c r="J2838" s="11" t="s">
        <v>1851</v>
      </c>
      <c r="K2838" s="11" t="s">
        <v>1852</v>
      </c>
      <c r="L2838" s="11" t="s">
        <v>1853</v>
      </c>
      <c r="M2838" s="11" t="s">
        <v>6836</v>
      </c>
      <c r="N2838" s="12" t="s">
        <v>2281</v>
      </c>
      <c r="O2838" s="11" t="s">
        <v>1858</v>
      </c>
      <c r="P2838" s="56"/>
    </row>
    <row r="2839" spans="1:16" ht="15.75" customHeight="1" x14ac:dyDescent="0.2">
      <c r="A2839" s="48">
        <v>3763</v>
      </c>
      <c r="B2839" s="11" t="s">
        <v>1857</v>
      </c>
      <c r="C2839" s="11" t="s">
        <v>1849</v>
      </c>
      <c r="D2839" s="6" t="s">
        <v>1850</v>
      </c>
      <c r="E2839" s="11" t="s">
        <v>6642</v>
      </c>
      <c r="F2839" s="12" t="s">
        <v>6643</v>
      </c>
      <c r="G2839" s="12" t="s">
        <v>6642</v>
      </c>
      <c r="H2839" s="12" t="s">
        <v>6815</v>
      </c>
      <c r="I2839" s="12" t="s">
        <v>6837</v>
      </c>
      <c r="J2839" s="11" t="s">
        <v>1851</v>
      </c>
      <c r="K2839" s="11" t="s">
        <v>1852</v>
      </c>
      <c r="L2839" s="11" t="s">
        <v>1853</v>
      </c>
      <c r="M2839" s="11" t="s">
        <v>6838</v>
      </c>
      <c r="N2839" s="12" t="s">
        <v>2281</v>
      </c>
      <c r="O2839" s="11" t="s">
        <v>1858</v>
      </c>
      <c r="P2839" s="56"/>
    </row>
    <row r="2840" spans="1:16" ht="15.75" customHeight="1" x14ac:dyDescent="0.2">
      <c r="A2840" s="48">
        <v>3765</v>
      </c>
      <c r="B2840" s="11" t="s">
        <v>1857</v>
      </c>
      <c r="C2840" s="11" t="s">
        <v>1849</v>
      </c>
      <c r="D2840" s="6" t="s">
        <v>1850</v>
      </c>
      <c r="E2840" s="11" t="s">
        <v>6642</v>
      </c>
      <c r="F2840" s="12" t="s">
        <v>6643</v>
      </c>
      <c r="G2840" s="12" t="s">
        <v>6642</v>
      </c>
      <c r="H2840" s="12" t="s">
        <v>3542</v>
      </c>
      <c r="I2840" s="12" t="s">
        <v>6839</v>
      </c>
      <c r="J2840" s="11" t="s">
        <v>1851</v>
      </c>
      <c r="K2840" s="11" t="s">
        <v>1852</v>
      </c>
      <c r="L2840" s="11" t="s">
        <v>1853</v>
      </c>
      <c r="M2840" s="11" t="s">
        <v>6840</v>
      </c>
      <c r="N2840" s="12"/>
      <c r="O2840" s="11" t="s">
        <v>1858</v>
      </c>
      <c r="P2840" s="56"/>
    </row>
    <row r="2841" spans="1:16" ht="15.75" customHeight="1" x14ac:dyDescent="0.2">
      <c r="A2841" s="48">
        <v>3767</v>
      </c>
      <c r="B2841" s="11" t="s">
        <v>1857</v>
      </c>
      <c r="C2841" s="11" t="s">
        <v>1849</v>
      </c>
      <c r="D2841" s="6" t="s">
        <v>1850</v>
      </c>
      <c r="E2841" s="11" t="s">
        <v>6642</v>
      </c>
      <c r="F2841" s="12" t="s">
        <v>6643</v>
      </c>
      <c r="G2841" s="12" t="s">
        <v>6642</v>
      </c>
      <c r="H2841" s="12" t="s">
        <v>3542</v>
      </c>
      <c r="I2841" s="12" t="s">
        <v>5350</v>
      </c>
      <c r="J2841" s="11" t="s">
        <v>1851</v>
      </c>
      <c r="K2841" s="11" t="s">
        <v>1852</v>
      </c>
      <c r="L2841" s="11" t="s">
        <v>1853</v>
      </c>
      <c r="M2841" s="11" t="s">
        <v>6780</v>
      </c>
      <c r="N2841" s="12"/>
      <c r="O2841" s="11" t="s">
        <v>1858</v>
      </c>
      <c r="P2841" s="56"/>
    </row>
    <row r="2842" spans="1:16" ht="15.75" customHeight="1" x14ac:dyDescent="0.2">
      <c r="A2842" s="48">
        <v>3768</v>
      </c>
      <c r="B2842" s="11" t="s">
        <v>1857</v>
      </c>
      <c r="C2842" s="11" t="s">
        <v>1849</v>
      </c>
      <c r="D2842" s="6" t="s">
        <v>1850</v>
      </c>
      <c r="E2842" s="11" t="s">
        <v>6642</v>
      </c>
      <c r="F2842" s="12" t="s">
        <v>6643</v>
      </c>
      <c r="G2842" s="12" t="s">
        <v>6642</v>
      </c>
      <c r="H2842" s="12" t="s">
        <v>3542</v>
      </c>
      <c r="I2842" s="12" t="s">
        <v>6841</v>
      </c>
      <c r="J2842" s="11" t="s">
        <v>1851</v>
      </c>
      <c r="K2842" s="11" t="s">
        <v>1852</v>
      </c>
      <c r="L2842" s="11" t="s">
        <v>1853</v>
      </c>
      <c r="M2842" s="11" t="s">
        <v>6842</v>
      </c>
      <c r="N2842" s="12"/>
      <c r="O2842" s="11" t="s">
        <v>1858</v>
      </c>
      <c r="P2842" s="56"/>
    </row>
    <row r="2843" spans="1:16" ht="15.75" customHeight="1" x14ac:dyDescent="0.2">
      <c r="A2843" s="48">
        <v>3769</v>
      </c>
      <c r="B2843" s="11" t="s">
        <v>1857</v>
      </c>
      <c r="C2843" s="11" t="s">
        <v>1849</v>
      </c>
      <c r="D2843" s="6" t="s">
        <v>1850</v>
      </c>
      <c r="E2843" s="11" t="s">
        <v>6642</v>
      </c>
      <c r="F2843" s="12" t="s">
        <v>6643</v>
      </c>
      <c r="G2843" s="12" t="s">
        <v>6642</v>
      </c>
      <c r="H2843" s="58" t="s">
        <v>2626</v>
      </c>
      <c r="I2843" s="12" t="s">
        <v>6843</v>
      </c>
      <c r="J2843" s="11" t="s">
        <v>1851</v>
      </c>
      <c r="K2843" s="11" t="s">
        <v>1852</v>
      </c>
      <c r="L2843" s="11" t="s">
        <v>1853</v>
      </c>
      <c r="M2843" s="11" t="s">
        <v>6844</v>
      </c>
      <c r="N2843" s="12"/>
      <c r="O2843" s="11" t="s">
        <v>1858</v>
      </c>
      <c r="P2843" s="56"/>
    </row>
    <row r="2844" spans="1:16" ht="15.75" customHeight="1" x14ac:dyDescent="0.2">
      <c r="A2844" s="48">
        <v>3771</v>
      </c>
      <c r="B2844" s="11" t="s">
        <v>1857</v>
      </c>
      <c r="C2844" s="11" t="s">
        <v>1849</v>
      </c>
      <c r="D2844" s="6" t="s">
        <v>1850</v>
      </c>
      <c r="E2844" s="11" t="s">
        <v>6642</v>
      </c>
      <c r="F2844" s="12" t="s">
        <v>6643</v>
      </c>
      <c r="G2844" s="12" t="s">
        <v>6642</v>
      </c>
      <c r="H2844" s="58" t="s">
        <v>2626</v>
      </c>
      <c r="I2844" s="12" t="s">
        <v>6845</v>
      </c>
      <c r="J2844" s="11" t="s">
        <v>1851</v>
      </c>
      <c r="K2844" s="11" t="s">
        <v>1852</v>
      </c>
      <c r="L2844" s="11" t="s">
        <v>1853</v>
      </c>
      <c r="M2844" s="11" t="s">
        <v>6846</v>
      </c>
      <c r="N2844" s="12" t="s">
        <v>2281</v>
      </c>
      <c r="O2844" s="11" t="s">
        <v>1858</v>
      </c>
      <c r="P2844" s="56"/>
    </row>
    <row r="2845" spans="1:16" ht="15.75" customHeight="1" x14ac:dyDescent="0.2">
      <c r="A2845" s="48">
        <v>3775</v>
      </c>
      <c r="B2845" s="11" t="s">
        <v>1857</v>
      </c>
      <c r="C2845" s="11" t="s">
        <v>1849</v>
      </c>
      <c r="D2845" s="6" t="s">
        <v>1850</v>
      </c>
      <c r="E2845" s="11" t="s">
        <v>6642</v>
      </c>
      <c r="F2845" s="12" t="s">
        <v>6643</v>
      </c>
      <c r="G2845" s="12" t="s">
        <v>6642</v>
      </c>
      <c r="H2845" s="58" t="s">
        <v>2626</v>
      </c>
      <c r="I2845" s="12" t="s">
        <v>6847</v>
      </c>
      <c r="J2845" s="11" t="s">
        <v>1851</v>
      </c>
      <c r="K2845" s="11" t="s">
        <v>1852</v>
      </c>
      <c r="L2845" s="11" t="s">
        <v>1853</v>
      </c>
      <c r="M2845" s="11" t="s">
        <v>6848</v>
      </c>
      <c r="N2845" s="12"/>
      <c r="O2845" s="11" t="s">
        <v>1860</v>
      </c>
      <c r="P2845" s="56"/>
    </row>
    <row r="2846" spans="1:16" ht="15.75" customHeight="1" x14ac:dyDescent="0.2">
      <c r="A2846" s="48">
        <v>3779</v>
      </c>
      <c r="B2846" s="11" t="s">
        <v>1857</v>
      </c>
      <c r="C2846" s="11" t="s">
        <v>1849</v>
      </c>
      <c r="D2846" s="6" t="s">
        <v>1850</v>
      </c>
      <c r="E2846" s="11" t="s">
        <v>6642</v>
      </c>
      <c r="F2846" s="12" t="s">
        <v>6643</v>
      </c>
      <c r="G2846" s="12" t="s">
        <v>6642</v>
      </c>
      <c r="H2846" s="58" t="s">
        <v>2626</v>
      </c>
      <c r="I2846" s="12" t="s">
        <v>6849</v>
      </c>
      <c r="J2846" s="11" t="s">
        <v>1851</v>
      </c>
      <c r="K2846" s="11" t="s">
        <v>1852</v>
      </c>
      <c r="L2846" s="11" t="s">
        <v>1853</v>
      </c>
      <c r="M2846" s="11" t="s">
        <v>6850</v>
      </c>
      <c r="N2846" s="12" t="s">
        <v>2281</v>
      </c>
      <c r="O2846" s="11" t="s">
        <v>1858</v>
      </c>
      <c r="P2846" s="56"/>
    </row>
    <row r="2847" spans="1:16" ht="15.75" customHeight="1" x14ac:dyDescent="0.2">
      <c r="A2847" s="48">
        <v>3780</v>
      </c>
      <c r="B2847" s="11" t="s">
        <v>1857</v>
      </c>
      <c r="C2847" s="11" t="s">
        <v>1849</v>
      </c>
      <c r="D2847" s="6" t="s">
        <v>1850</v>
      </c>
      <c r="E2847" s="11" t="s">
        <v>6642</v>
      </c>
      <c r="F2847" s="12" t="s">
        <v>6643</v>
      </c>
      <c r="G2847" s="12" t="s">
        <v>6642</v>
      </c>
      <c r="H2847" s="58" t="s">
        <v>2626</v>
      </c>
      <c r="I2847" s="12" t="s">
        <v>3225</v>
      </c>
      <c r="J2847" s="11" t="s">
        <v>1856</v>
      </c>
      <c r="K2847" s="11" t="s">
        <v>1852</v>
      </c>
      <c r="L2847" s="11" t="s">
        <v>1853</v>
      </c>
      <c r="M2847" s="11" t="s">
        <v>6851</v>
      </c>
      <c r="N2847" s="12"/>
      <c r="O2847" s="11" t="s">
        <v>1859</v>
      </c>
      <c r="P2847" s="56"/>
    </row>
    <row r="2848" spans="1:16" ht="15.75" customHeight="1" x14ac:dyDescent="0.2">
      <c r="A2848" s="48">
        <v>3782</v>
      </c>
      <c r="B2848" s="11" t="s">
        <v>1857</v>
      </c>
      <c r="C2848" s="11" t="s">
        <v>1849</v>
      </c>
      <c r="D2848" s="6" t="s">
        <v>1850</v>
      </c>
      <c r="E2848" s="11" t="s">
        <v>6642</v>
      </c>
      <c r="F2848" s="12" t="s">
        <v>6643</v>
      </c>
      <c r="G2848" s="12" t="s">
        <v>6642</v>
      </c>
      <c r="H2848" s="58" t="s">
        <v>2626</v>
      </c>
      <c r="I2848" s="12" t="s">
        <v>6852</v>
      </c>
      <c r="J2848" s="11" t="s">
        <v>1851</v>
      </c>
      <c r="K2848" s="11" t="s">
        <v>1852</v>
      </c>
      <c r="L2848" s="11" t="s">
        <v>1853</v>
      </c>
      <c r="M2848" s="11" t="s">
        <v>6853</v>
      </c>
      <c r="N2848" s="12"/>
      <c r="O2848" s="11" t="s">
        <v>1858</v>
      </c>
      <c r="P2848" s="56"/>
    </row>
    <row r="2849" spans="1:16" ht="15.75" customHeight="1" x14ac:dyDescent="0.2">
      <c r="A2849" s="48">
        <v>3791</v>
      </c>
      <c r="B2849" s="11" t="s">
        <v>1857</v>
      </c>
      <c r="C2849" s="11" t="s">
        <v>1849</v>
      </c>
      <c r="D2849" s="6" t="s">
        <v>1850</v>
      </c>
      <c r="E2849" s="11" t="s">
        <v>6642</v>
      </c>
      <c r="F2849" s="12" t="s">
        <v>6643</v>
      </c>
      <c r="G2849" s="12" t="s">
        <v>6642</v>
      </c>
      <c r="H2849" s="58" t="s">
        <v>6646</v>
      </c>
      <c r="I2849" s="12" t="s">
        <v>6854</v>
      </c>
      <c r="J2849" s="11" t="s">
        <v>1851</v>
      </c>
      <c r="K2849" s="11" t="s">
        <v>1852</v>
      </c>
      <c r="L2849" s="11" t="s">
        <v>1853</v>
      </c>
      <c r="M2849" s="11" t="s">
        <v>6855</v>
      </c>
      <c r="N2849" s="12" t="s">
        <v>2281</v>
      </c>
      <c r="O2849" s="11" t="s">
        <v>1858</v>
      </c>
      <c r="P2849" s="56"/>
    </row>
    <row r="2850" spans="1:16" ht="15.75" customHeight="1" x14ac:dyDescent="0.2">
      <c r="A2850" s="48">
        <v>3858</v>
      </c>
      <c r="B2850" s="11" t="s">
        <v>1857</v>
      </c>
      <c r="C2850" s="11" t="s">
        <v>1849</v>
      </c>
      <c r="D2850" s="6" t="s">
        <v>1850</v>
      </c>
      <c r="E2850" s="11" t="s">
        <v>6642</v>
      </c>
      <c r="F2850" s="12" t="s">
        <v>6643</v>
      </c>
      <c r="G2850" s="12" t="s">
        <v>6642</v>
      </c>
      <c r="H2850" s="58" t="s">
        <v>6708</v>
      </c>
      <c r="I2850" s="12" t="s">
        <v>6856</v>
      </c>
      <c r="J2850" s="11" t="s">
        <v>1851</v>
      </c>
      <c r="K2850" s="11" t="s">
        <v>1852</v>
      </c>
      <c r="L2850" s="11" t="s">
        <v>1853</v>
      </c>
      <c r="M2850" s="11" t="s">
        <v>4326</v>
      </c>
      <c r="N2850" s="12"/>
      <c r="O2850" s="11" t="s">
        <v>1860</v>
      </c>
      <c r="P2850" s="56"/>
    </row>
    <row r="2851" spans="1:16" ht="15.75" customHeight="1" x14ac:dyDescent="0.2">
      <c r="A2851" s="48">
        <v>3859</v>
      </c>
      <c r="B2851" s="11" t="s">
        <v>1857</v>
      </c>
      <c r="C2851" s="11" t="s">
        <v>1849</v>
      </c>
      <c r="D2851" s="6" t="s">
        <v>1850</v>
      </c>
      <c r="E2851" s="11" t="s">
        <v>6642</v>
      </c>
      <c r="F2851" s="12" t="s">
        <v>6643</v>
      </c>
      <c r="G2851" s="12" t="s">
        <v>6642</v>
      </c>
      <c r="H2851" s="58" t="s">
        <v>6653</v>
      </c>
      <c r="I2851" s="12" t="s">
        <v>6857</v>
      </c>
      <c r="J2851" s="11" t="s">
        <v>1856</v>
      </c>
      <c r="K2851" s="11" t="s">
        <v>1852</v>
      </c>
      <c r="L2851" s="11" t="s">
        <v>1853</v>
      </c>
      <c r="M2851" s="11" t="s">
        <v>6858</v>
      </c>
      <c r="N2851" s="12"/>
      <c r="O2851" s="11" t="s">
        <v>1860</v>
      </c>
      <c r="P2851" s="56"/>
    </row>
    <row r="2852" spans="1:16" ht="15.75" customHeight="1" x14ac:dyDescent="0.2">
      <c r="A2852" s="48">
        <v>3860</v>
      </c>
      <c r="B2852" s="11" t="s">
        <v>1857</v>
      </c>
      <c r="C2852" s="11" t="s">
        <v>1849</v>
      </c>
      <c r="D2852" s="6" t="s">
        <v>1850</v>
      </c>
      <c r="E2852" s="11" t="s">
        <v>6642</v>
      </c>
      <c r="F2852" s="12" t="s">
        <v>6643</v>
      </c>
      <c r="G2852" s="12" t="s">
        <v>6642</v>
      </c>
      <c r="H2852" s="58" t="s">
        <v>6655</v>
      </c>
      <c r="I2852" s="12" t="s">
        <v>6654</v>
      </c>
      <c r="J2852" s="11" t="s">
        <v>1856</v>
      </c>
      <c r="K2852" s="11" t="s">
        <v>1852</v>
      </c>
      <c r="L2852" s="11" t="s">
        <v>1853</v>
      </c>
      <c r="M2852" s="11" t="s">
        <v>6859</v>
      </c>
      <c r="N2852" s="12"/>
      <c r="O2852" s="11" t="s">
        <v>1858</v>
      </c>
      <c r="P2852" s="56"/>
    </row>
    <row r="2853" spans="1:16" ht="15.75" customHeight="1" x14ac:dyDescent="0.2">
      <c r="A2853" s="48">
        <v>3871</v>
      </c>
      <c r="B2853" s="11" t="s">
        <v>1857</v>
      </c>
      <c r="C2853" s="11" t="s">
        <v>1849</v>
      </c>
      <c r="D2853" s="6" t="s">
        <v>1850</v>
      </c>
      <c r="E2853" s="11" t="s">
        <v>6642</v>
      </c>
      <c r="F2853" s="12" t="s">
        <v>6643</v>
      </c>
      <c r="G2853" s="12" t="s">
        <v>6642</v>
      </c>
      <c r="H2853" s="58" t="s">
        <v>6706</v>
      </c>
      <c r="I2853" s="12" t="s">
        <v>6860</v>
      </c>
      <c r="J2853" s="11" t="s">
        <v>1856</v>
      </c>
      <c r="K2853" s="11" t="s">
        <v>1852</v>
      </c>
      <c r="L2853" s="11" t="s">
        <v>1853</v>
      </c>
      <c r="M2853" s="11" t="s">
        <v>6861</v>
      </c>
      <c r="N2853" s="12" t="s">
        <v>6862</v>
      </c>
      <c r="O2853" s="11" t="s">
        <v>2022</v>
      </c>
      <c r="P2853" s="56" t="s">
        <v>6863</v>
      </c>
    </row>
    <row r="2854" spans="1:16" ht="15.75" customHeight="1" x14ac:dyDescent="0.2">
      <c r="A2854" s="48">
        <v>3872</v>
      </c>
      <c r="B2854" s="11" t="s">
        <v>1857</v>
      </c>
      <c r="C2854" s="11" t="s">
        <v>1849</v>
      </c>
      <c r="D2854" s="6" t="s">
        <v>1850</v>
      </c>
      <c r="E2854" s="11" t="s">
        <v>6642</v>
      </c>
      <c r="F2854" s="12" t="s">
        <v>6643</v>
      </c>
      <c r="G2854" s="12" t="s">
        <v>6642</v>
      </c>
      <c r="H2854" s="58" t="s">
        <v>6708</v>
      </c>
      <c r="I2854" s="12" t="s">
        <v>6864</v>
      </c>
      <c r="J2854" s="11" t="s">
        <v>1851</v>
      </c>
      <c r="K2854" s="11" t="s">
        <v>1852</v>
      </c>
      <c r="L2854" s="11" t="s">
        <v>1853</v>
      </c>
      <c r="M2854" s="11" t="s">
        <v>6865</v>
      </c>
      <c r="N2854" s="12"/>
      <c r="O2854" s="11" t="s">
        <v>1874</v>
      </c>
      <c r="P2854" s="56" t="s">
        <v>6866</v>
      </c>
    </row>
    <row r="2855" spans="1:16" ht="15.75" customHeight="1" x14ac:dyDescent="0.2">
      <c r="A2855" s="48">
        <v>3873</v>
      </c>
      <c r="B2855" s="11" t="s">
        <v>1857</v>
      </c>
      <c r="C2855" s="11" t="s">
        <v>1849</v>
      </c>
      <c r="D2855" s="6" t="s">
        <v>1850</v>
      </c>
      <c r="E2855" s="11" t="s">
        <v>6642</v>
      </c>
      <c r="F2855" s="12" t="s">
        <v>6643</v>
      </c>
      <c r="G2855" s="12" t="s">
        <v>6642</v>
      </c>
      <c r="H2855" s="58" t="s">
        <v>6708</v>
      </c>
      <c r="I2855" s="12" t="s">
        <v>6867</v>
      </c>
      <c r="J2855" s="11" t="s">
        <v>1851</v>
      </c>
      <c r="K2855" s="11" t="s">
        <v>1852</v>
      </c>
      <c r="L2855" s="11" t="s">
        <v>1853</v>
      </c>
      <c r="M2855" s="11" t="s">
        <v>6868</v>
      </c>
      <c r="N2855" s="12"/>
      <c r="O2855" s="11" t="s">
        <v>1867</v>
      </c>
      <c r="P2855" s="56" t="s">
        <v>5520</v>
      </c>
    </row>
    <row r="2856" spans="1:16" ht="15.75" customHeight="1" x14ac:dyDescent="0.2">
      <c r="A2856" s="48">
        <v>3881</v>
      </c>
      <c r="B2856" s="11" t="s">
        <v>1857</v>
      </c>
      <c r="C2856" s="11" t="s">
        <v>1849</v>
      </c>
      <c r="D2856" s="6" t="s">
        <v>1850</v>
      </c>
      <c r="E2856" s="11" t="s">
        <v>6642</v>
      </c>
      <c r="F2856" s="12" t="s">
        <v>6643</v>
      </c>
      <c r="G2856" s="12" t="s">
        <v>6642</v>
      </c>
      <c r="H2856" s="58" t="s">
        <v>6708</v>
      </c>
      <c r="I2856" s="12" t="s">
        <v>6869</v>
      </c>
      <c r="J2856" s="11" t="s">
        <v>1856</v>
      </c>
      <c r="K2856" s="11" t="s">
        <v>1852</v>
      </c>
      <c r="L2856" s="11" t="s">
        <v>1853</v>
      </c>
      <c r="M2856" s="11" t="s">
        <v>6416</v>
      </c>
      <c r="N2856" s="12"/>
      <c r="O2856" s="11" t="s">
        <v>1860</v>
      </c>
      <c r="P2856" s="56"/>
    </row>
    <row r="2857" spans="1:16" ht="15.75" customHeight="1" x14ac:dyDescent="0.2">
      <c r="A2857" s="48">
        <v>3885</v>
      </c>
      <c r="B2857" s="11" t="s">
        <v>1857</v>
      </c>
      <c r="C2857" s="11" t="s">
        <v>1849</v>
      </c>
      <c r="D2857" s="6" t="s">
        <v>1850</v>
      </c>
      <c r="E2857" s="11" t="s">
        <v>6642</v>
      </c>
      <c r="F2857" s="12" t="s">
        <v>6643</v>
      </c>
      <c r="G2857" s="12" t="s">
        <v>6642</v>
      </c>
      <c r="H2857" s="58" t="s">
        <v>6708</v>
      </c>
      <c r="I2857" s="12" t="s">
        <v>684</v>
      </c>
      <c r="J2857" s="11" t="s">
        <v>1851</v>
      </c>
      <c r="K2857" s="11" t="s">
        <v>1852</v>
      </c>
      <c r="L2857" s="11" t="s">
        <v>1853</v>
      </c>
      <c r="M2857" s="11" t="s">
        <v>6870</v>
      </c>
      <c r="N2857" s="12"/>
      <c r="O2857" s="11" t="s">
        <v>1858</v>
      </c>
      <c r="P2857" s="56"/>
    </row>
    <row r="2858" spans="1:16" ht="15.75" customHeight="1" x14ac:dyDescent="0.2">
      <c r="A2858" s="48">
        <v>3887</v>
      </c>
      <c r="B2858" s="11" t="s">
        <v>1857</v>
      </c>
      <c r="C2858" s="11" t="s">
        <v>1849</v>
      </c>
      <c r="D2858" s="6" t="s">
        <v>1850</v>
      </c>
      <c r="E2858" s="11" t="s">
        <v>6642</v>
      </c>
      <c r="F2858" s="12" t="s">
        <v>6643</v>
      </c>
      <c r="G2858" s="12" t="s">
        <v>6642</v>
      </c>
      <c r="H2858" s="58" t="s">
        <v>6655</v>
      </c>
      <c r="I2858" s="12" t="s">
        <v>6871</v>
      </c>
      <c r="J2858" s="11" t="s">
        <v>1851</v>
      </c>
      <c r="K2858" s="11" t="s">
        <v>1852</v>
      </c>
      <c r="L2858" s="11" t="s">
        <v>1853</v>
      </c>
      <c r="M2858" s="11" t="s">
        <v>6872</v>
      </c>
      <c r="N2858" s="12"/>
      <c r="O2858" s="11" t="s">
        <v>1860</v>
      </c>
      <c r="P2858" s="56"/>
    </row>
    <row r="2859" spans="1:16" ht="15.75" customHeight="1" x14ac:dyDescent="0.2">
      <c r="A2859" s="48">
        <v>3888</v>
      </c>
      <c r="B2859" s="11" t="s">
        <v>1857</v>
      </c>
      <c r="C2859" s="11" t="s">
        <v>1849</v>
      </c>
      <c r="D2859" s="6" t="s">
        <v>1850</v>
      </c>
      <c r="E2859" s="11" t="s">
        <v>6642</v>
      </c>
      <c r="F2859" s="12" t="s">
        <v>6643</v>
      </c>
      <c r="G2859" s="12" t="s">
        <v>6642</v>
      </c>
      <c r="H2859" s="58" t="s">
        <v>6708</v>
      </c>
      <c r="I2859" s="12" t="s">
        <v>6873</v>
      </c>
      <c r="J2859" s="11" t="s">
        <v>1851</v>
      </c>
      <c r="K2859" s="11" t="s">
        <v>1852</v>
      </c>
      <c r="L2859" s="11" t="s">
        <v>1853</v>
      </c>
      <c r="M2859" s="11" t="s">
        <v>6874</v>
      </c>
      <c r="N2859" s="12"/>
      <c r="O2859" s="11" t="s">
        <v>1858</v>
      </c>
      <c r="P2859" s="56"/>
    </row>
    <row r="2860" spans="1:16" ht="15.75" customHeight="1" x14ac:dyDescent="0.2">
      <c r="A2860" s="48">
        <v>3889</v>
      </c>
      <c r="B2860" s="11" t="s">
        <v>1857</v>
      </c>
      <c r="C2860" s="11" t="s">
        <v>1849</v>
      </c>
      <c r="D2860" s="6" t="s">
        <v>1850</v>
      </c>
      <c r="E2860" s="11" t="s">
        <v>6642</v>
      </c>
      <c r="F2860" s="12" t="s">
        <v>6643</v>
      </c>
      <c r="G2860" s="12" t="s">
        <v>6642</v>
      </c>
      <c r="H2860" s="58" t="s">
        <v>6653</v>
      </c>
      <c r="I2860" s="12" t="s">
        <v>843</v>
      </c>
      <c r="J2860" s="11" t="s">
        <v>1851</v>
      </c>
      <c r="K2860" s="11" t="s">
        <v>1852</v>
      </c>
      <c r="L2860" s="11" t="s">
        <v>1853</v>
      </c>
      <c r="M2860" s="11" t="s">
        <v>6870</v>
      </c>
      <c r="N2860" s="12"/>
      <c r="O2860" s="11" t="s">
        <v>1858</v>
      </c>
      <c r="P2860" s="56"/>
    </row>
    <row r="2861" spans="1:16" ht="15.75" customHeight="1" x14ac:dyDescent="0.2">
      <c r="A2861" s="48">
        <v>3892</v>
      </c>
      <c r="B2861" s="11" t="s">
        <v>1857</v>
      </c>
      <c r="C2861" s="11" t="s">
        <v>1849</v>
      </c>
      <c r="D2861" s="6" t="s">
        <v>1850</v>
      </c>
      <c r="E2861" s="11" t="s">
        <v>6642</v>
      </c>
      <c r="F2861" s="12" t="s">
        <v>6643</v>
      </c>
      <c r="G2861" s="12" t="s">
        <v>6642</v>
      </c>
      <c r="H2861" s="58" t="s">
        <v>6708</v>
      </c>
      <c r="I2861" s="12" t="s">
        <v>6875</v>
      </c>
      <c r="J2861" s="11" t="s">
        <v>1851</v>
      </c>
      <c r="K2861" s="11" t="s">
        <v>1852</v>
      </c>
      <c r="L2861" s="11" t="s">
        <v>1853</v>
      </c>
      <c r="M2861" s="11" t="s">
        <v>6876</v>
      </c>
      <c r="N2861" s="12"/>
      <c r="O2861" s="11" t="s">
        <v>1858</v>
      </c>
      <c r="P2861" s="56"/>
    </row>
    <row r="2862" spans="1:16" ht="15.75" customHeight="1" x14ac:dyDescent="0.2">
      <c r="A2862" s="49">
        <v>3894</v>
      </c>
      <c r="B2862" s="11" t="s">
        <v>1857</v>
      </c>
      <c r="C2862" s="11" t="s">
        <v>1849</v>
      </c>
      <c r="D2862" s="6" t="s">
        <v>1850</v>
      </c>
      <c r="E2862" s="11" t="s">
        <v>6642</v>
      </c>
      <c r="F2862" s="12" t="s">
        <v>6643</v>
      </c>
      <c r="G2862" s="12" t="s">
        <v>6642</v>
      </c>
      <c r="H2862" s="58" t="s">
        <v>6708</v>
      </c>
      <c r="I2862" s="12" t="s">
        <v>682</v>
      </c>
      <c r="J2862" s="11" t="s">
        <v>1851</v>
      </c>
      <c r="K2862" s="11" t="s">
        <v>1852</v>
      </c>
      <c r="L2862" s="11" t="s">
        <v>1853</v>
      </c>
      <c r="M2862" s="11" t="s">
        <v>6877</v>
      </c>
      <c r="N2862" s="12"/>
      <c r="O2862" s="11" t="s">
        <v>1858</v>
      </c>
      <c r="P2862" s="56"/>
    </row>
    <row r="2863" spans="1:16" ht="15.75" customHeight="1" x14ac:dyDescent="0.2">
      <c r="A2863" s="48">
        <v>3896</v>
      </c>
      <c r="B2863" s="11" t="s">
        <v>1857</v>
      </c>
      <c r="C2863" s="11" t="s">
        <v>1849</v>
      </c>
      <c r="D2863" s="6" t="s">
        <v>1850</v>
      </c>
      <c r="E2863" s="11" t="s">
        <v>6642</v>
      </c>
      <c r="F2863" s="12" t="s">
        <v>6643</v>
      </c>
      <c r="G2863" s="12" t="s">
        <v>6642</v>
      </c>
      <c r="H2863" s="58" t="s">
        <v>6655</v>
      </c>
      <c r="I2863" s="12" t="s">
        <v>6878</v>
      </c>
      <c r="J2863" s="11" t="s">
        <v>1856</v>
      </c>
      <c r="K2863" s="11" t="s">
        <v>1852</v>
      </c>
      <c r="L2863" s="11" t="s">
        <v>1853</v>
      </c>
      <c r="M2863" s="11" t="s">
        <v>6879</v>
      </c>
      <c r="N2863" s="12"/>
      <c r="O2863" s="11" t="s">
        <v>1858</v>
      </c>
      <c r="P2863" s="56"/>
    </row>
    <row r="2864" spans="1:16" ht="15.75" customHeight="1" x14ac:dyDescent="0.2">
      <c r="A2864" s="48">
        <v>3897</v>
      </c>
      <c r="B2864" s="11" t="s">
        <v>1857</v>
      </c>
      <c r="C2864" s="11" t="s">
        <v>1849</v>
      </c>
      <c r="D2864" s="6" t="s">
        <v>1850</v>
      </c>
      <c r="E2864" s="11" t="s">
        <v>6642</v>
      </c>
      <c r="F2864" s="12" t="s">
        <v>6643</v>
      </c>
      <c r="G2864" s="12" t="s">
        <v>6642</v>
      </c>
      <c r="H2864" s="58" t="s">
        <v>6655</v>
      </c>
      <c r="I2864" s="12" t="s">
        <v>6880</v>
      </c>
      <c r="J2864" s="11" t="s">
        <v>1851</v>
      </c>
      <c r="K2864" s="11" t="s">
        <v>1852</v>
      </c>
      <c r="L2864" s="11" t="s">
        <v>1853</v>
      </c>
      <c r="M2864" s="11" t="s">
        <v>6881</v>
      </c>
      <c r="N2864" s="12"/>
      <c r="O2864" s="11" t="s">
        <v>1858</v>
      </c>
      <c r="P2864" s="56"/>
    </row>
    <row r="2865" spans="1:16" ht="15.75" customHeight="1" x14ac:dyDescent="0.2">
      <c r="A2865" s="48">
        <v>3898</v>
      </c>
      <c r="B2865" s="11" t="s">
        <v>1857</v>
      </c>
      <c r="C2865" s="11" t="s">
        <v>1849</v>
      </c>
      <c r="D2865" s="6" t="s">
        <v>1850</v>
      </c>
      <c r="E2865" s="11" t="s">
        <v>6642</v>
      </c>
      <c r="F2865" s="12" t="s">
        <v>6643</v>
      </c>
      <c r="G2865" s="12" t="s">
        <v>6642</v>
      </c>
      <c r="H2865" s="58" t="s">
        <v>6708</v>
      </c>
      <c r="I2865" s="12" t="s">
        <v>6882</v>
      </c>
      <c r="J2865" s="11" t="s">
        <v>1851</v>
      </c>
      <c r="K2865" s="11" t="s">
        <v>1852</v>
      </c>
      <c r="L2865" s="11" t="s">
        <v>1853</v>
      </c>
      <c r="M2865" s="11" t="s">
        <v>6883</v>
      </c>
      <c r="N2865" s="12"/>
      <c r="O2865" s="11" t="s">
        <v>1858</v>
      </c>
      <c r="P2865" s="56"/>
    </row>
    <row r="2866" spans="1:16" ht="15.75" customHeight="1" x14ac:dyDescent="0.2">
      <c r="A2866" s="48">
        <v>3899</v>
      </c>
      <c r="B2866" s="11" t="s">
        <v>1857</v>
      </c>
      <c r="C2866" s="11" t="s">
        <v>1849</v>
      </c>
      <c r="D2866" s="6" t="s">
        <v>1850</v>
      </c>
      <c r="E2866" s="11" t="s">
        <v>6642</v>
      </c>
      <c r="F2866" s="12" t="s">
        <v>6643</v>
      </c>
      <c r="G2866" s="12" t="s">
        <v>6642</v>
      </c>
      <c r="H2866" s="58" t="s">
        <v>6655</v>
      </c>
      <c r="I2866" s="12" t="s">
        <v>6884</v>
      </c>
      <c r="J2866" s="11" t="s">
        <v>1856</v>
      </c>
      <c r="K2866" s="11" t="s">
        <v>1852</v>
      </c>
      <c r="L2866" s="11" t="s">
        <v>1853</v>
      </c>
      <c r="M2866" s="11" t="s">
        <v>6885</v>
      </c>
      <c r="N2866" s="12"/>
      <c r="O2866" s="11" t="s">
        <v>1858</v>
      </c>
      <c r="P2866" s="56"/>
    </row>
    <row r="2867" spans="1:16" ht="15.75" customHeight="1" x14ac:dyDescent="0.2">
      <c r="A2867" s="48">
        <v>3902</v>
      </c>
      <c r="B2867" s="11" t="s">
        <v>1857</v>
      </c>
      <c r="C2867" s="11" t="s">
        <v>1849</v>
      </c>
      <c r="D2867" s="6" t="s">
        <v>1850</v>
      </c>
      <c r="E2867" s="11" t="s">
        <v>6642</v>
      </c>
      <c r="F2867" s="12" t="s">
        <v>6643</v>
      </c>
      <c r="G2867" s="12" t="s">
        <v>6642</v>
      </c>
      <c r="H2867" s="58" t="s">
        <v>6706</v>
      </c>
      <c r="I2867" s="12" t="s">
        <v>6886</v>
      </c>
      <c r="J2867" s="11" t="s">
        <v>1856</v>
      </c>
      <c r="K2867" s="11" t="s">
        <v>1852</v>
      </c>
      <c r="L2867" s="11" t="s">
        <v>1853</v>
      </c>
      <c r="M2867" s="11" t="s">
        <v>6887</v>
      </c>
      <c r="N2867" s="12" t="s">
        <v>6888</v>
      </c>
      <c r="O2867" s="11" t="s">
        <v>1860</v>
      </c>
      <c r="P2867" s="56"/>
    </row>
    <row r="2868" spans="1:16" ht="15.75" customHeight="1" x14ac:dyDescent="0.2">
      <c r="A2868" s="48">
        <v>3904</v>
      </c>
      <c r="B2868" s="11" t="s">
        <v>1857</v>
      </c>
      <c r="C2868" s="11" t="s">
        <v>1849</v>
      </c>
      <c r="D2868" s="6" t="s">
        <v>1850</v>
      </c>
      <c r="E2868" s="11" t="s">
        <v>6642</v>
      </c>
      <c r="F2868" s="12" t="s">
        <v>6643</v>
      </c>
      <c r="G2868" s="12" t="s">
        <v>6642</v>
      </c>
      <c r="H2868" s="58" t="s">
        <v>6706</v>
      </c>
      <c r="I2868" s="12" t="s">
        <v>6889</v>
      </c>
      <c r="J2868" s="11" t="s">
        <v>1856</v>
      </c>
      <c r="K2868" s="11" t="s">
        <v>1852</v>
      </c>
      <c r="L2868" s="11" t="s">
        <v>1853</v>
      </c>
      <c r="M2868" s="11" t="s">
        <v>6780</v>
      </c>
      <c r="N2868" s="12"/>
      <c r="O2868" s="11" t="s">
        <v>1858</v>
      </c>
      <c r="P2868" s="56"/>
    </row>
    <row r="2869" spans="1:16" ht="15.75" customHeight="1" x14ac:dyDescent="0.2">
      <c r="A2869" s="48">
        <v>3905</v>
      </c>
      <c r="B2869" s="11" t="s">
        <v>1857</v>
      </c>
      <c r="C2869" s="11" t="s">
        <v>1849</v>
      </c>
      <c r="D2869" s="6" t="s">
        <v>1850</v>
      </c>
      <c r="E2869" s="11" t="s">
        <v>6642</v>
      </c>
      <c r="F2869" s="12" t="s">
        <v>6643</v>
      </c>
      <c r="G2869" s="12" t="s">
        <v>6642</v>
      </c>
      <c r="H2869" s="58" t="s">
        <v>6706</v>
      </c>
      <c r="I2869" s="12" t="s">
        <v>905</v>
      </c>
      <c r="J2869" s="11" t="s">
        <v>1856</v>
      </c>
      <c r="K2869" s="11" t="s">
        <v>1852</v>
      </c>
      <c r="L2869" s="11" t="s">
        <v>1853</v>
      </c>
      <c r="M2869" s="11" t="s">
        <v>6780</v>
      </c>
      <c r="N2869" s="12"/>
      <c r="O2869" s="11" t="s">
        <v>1860</v>
      </c>
      <c r="P2869" s="56"/>
    </row>
    <row r="2870" spans="1:16" ht="15.75" customHeight="1" x14ac:dyDescent="0.2">
      <c r="A2870" s="48">
        <v>3906</v>
      </c>
      <c r="B2870" s="11" t="s">
        <v>1857</v>
      </c>
      <c r="C2870" s="11" t="s">
        <v>1849</v>
      </c>
      <c r="D2870" s="6" t="s">
        <v>1850</v>
      </c>
      <c r="E2870" s="11" t="s">
        <v>6642</v>
      </c>
      <c r="F2870" s="12" t="s">
        <v>6643</v>
      </c>
      <c r="G2870" s="12" t="s">
        <v>6642</v>
      </c>
      <c r="H2870" s="58" t="s">
        <v>6706</v>
      </c>
      <c r="I2870" s="12" t="s">
        <v>4571</v>
      </c>
      <c r="J2870" s="11" t="s">
        <v>1856</v>
      </c>
      <c r="K2870" s="11" t="s">
        <v>1852</v>
      </c>
      <c r="L2870" s="11" t="s">
        <v>1853</v>
      </c>
      <c r="M2870" s="11" t="s">
        <v>6890</v>
      </c>
      <c r="N2870" s="12"/>
      <c r="O2870" s="11" t="s">
        <v>1859</v>
      </c>
      <c r="P2870" s="56"/>
    </row>
    <row r="2871" spans="1:16" ht="15.75" customHeight="1" x14ac:dyDescent="0.2">
      <c r="A2871" s="48">
        <v>3908</v>
      </c>
      <c r="B2871" s="11" t="s">
        <v>1857</v>
      </c>
      <c r="C2871" s="11" t="s">
        <v>1849</v>
      </c>
      <c r="D2871" s="6" t="s">
        <v>1850</v>
      </c>
      <c r="E2871" s="11" t="s">
        <v>6642</v>
      </c>
      <c r="F2871" s="12" t="s">
        <v>6643</v>
      </c>
      <c r="G2871" s="12" t="s">
        <v>6642</v>
      </c>
      <c r="H2871" s="58" t="s">
        <v>6706</v>
      </c>
      <c r="I2871" s="12" t="s">
        <v>6891</v>
      </c>
      <c r="J2871" s="11" t="s">
        <v>1856</v>
      </c>
      <c r="K2871" s="11" t="s">
        <v>1852</v>
      </c>
      <c r="L2871" s="11" t="s">
        <v>1853</v>
      </c>
      <c r="M2871" s="11" t="s">
        <v>6892</v>
      </c>
      <c r="N2871" s="12"/>
      <c r="O2871" s="11" t="s">
        <v>1859</v>
      </c>
      <c r="P2871" s="56"/>
    </row>
    <row r="2872" spans="1:16" ht="15.75" customHeight="1" x14ac:dyDescent="0.2">
      <c r="A2872" s="48">
        <v>3909</v>
      </c>
      <c r="B2872" s="11" t="s">
        <v>1857</v>
      </c>
      <c r="C2872" s="11" t="s">
        <v>1849</v>
      </c>
      <c r="D2872" s="6" t="s">
        <v>1850</v>
      </c>
      <c r="E2872" s="11" t="s">
        <v>6642</v>
      </c>
      <c r="F2872" s="12" t="s">
        <v>6643</v>
      </c>
      <c r="G2872" s="12" t="s">
        <v>6642</v>
      </c>
      <c r="H2872" s="58" t="s">
        <v>6648</v>
      </c>
      <c r="I2872" s="12" t="s">
        <v>6893</v>
      </c>
      <c r="J2872" s="11" t="s">
        <v>1851</v>
      </c>
      <c r="K2872" s="11" t="s">
        <v>1852</v>
      </c>
      <c r="L2872" s="11" t="s">
        <v>1853</v>
      </c>
      <c r="M2872" s="11" t="s">
        <v>6894</v>
      </c>
      <c r="N2872" s="12"/>
      <c r="O2872" s="11" t="s">
        <v>1858</v>
      </c>
      <c r="P2872" s="56"/>
    </row>
    <row r="2873" spans="1:16" ht="15.75" customHeight="1" x14ac:dyDescent="0.2">
      <c r="A2873" s="48">
        <v>3916</v>
      </c>
      <c r="B2873" s="11" t="s">
        <v>1857</v>
      </c>
      <c r="C2873" s="11" t="s">
        <v>1849</v>
      </c>
      <c r="D2873" s="6" t="s">
        <v>1850</v>
      </c>
      <c r="E2873" s="11" t="s">
        <v>6642</v>
      </c>
      <c r="F2873" s="12" t="s">
        <v>6643</v>
      </c>
      <c r="G2873" s="12" t="s">
        <v>6642</v>
      </c>
      <c r="H2873" s="58" t="s">
        <v>6687</v>
      </c>
      <c r="I2873" s="12" t="s">
        <v>6895</v>
      </c>
      <c r="J2873" s="11" t="s">
        <v>1851</v>
      </c>
      <c r="K2873" s="11" t="s">
        <v>1852</v>
      </c>
      <c r="L2873" s="11" t="s">
        <v>1853</v>
      </c>
      <c r="M2873" s="11" t="s">
        <v>6896</v>
      </c>
      <c r="N2873" s="12"/>
      <c r="O2873" s="11" t="s">
        <v>1858</v>
      </c>
      <c r="P2873" s="56"/>
    </row>
    <row r="2874" spans="1:16" ht="15.75" customHeight="1" x14ac:dyDescent="0.2">
      <c r="A2874" s="48">
        <v>3921</v>
      </c>
      <c r="B2874" s="11" t="s">
        <v>1857</v>
      </c>
      <c r="C2874" s="11" t="s">
        <v>1849</v>
      </c>
      <c r="D2874" s="6" t="s">
        <v>1850</v>
      </c>
      <c r="E2874" s="11" t="s">
        <v>6642</v>
      </c>
      <c r="F2874" s="12" t="s">
        <v>6643</v>
      </c>
      <c r="G2874" s="12" t="s">
        <v>6642</v>
      </c>
      <c r="H2874" s="58" t="s">
        <v>6687</v>
      </c>
      <c r="I2874" s="12" t="s">
        <v>6897</v>
      </c>
      <c r="J2874" s="11" t="s">
        <v>1851</v>
      </c>
      <c r="K2874" s="11" t="s">
        <v>1852</v>
      </c>
      <c r="L2874" s="11" t="s">
        <v>1853</v>
      </c>
      <c r="M2874" s="11" t="s">
        <v>6898</v>
      </c>
      <c r="N2874" s="12"/>
      <c r="O2874" s="11" t="s">
        <v>1872</v>
      </c>
      <c r="P2874" s="56"/>
    </row>
    <row r="2875" spans="1:16" ht="15.75" customHeight="1" x14ac:dyDescent="0.2">
      <c r="A2875" s="48">
        <v>3922</v>
      </c>
      <c r="B2875" s="11" t="s">
        <v>1857</v>
      </c>
      <c r="C2875" s="11" t="s">
        <v>1849</v>
      </c>
      <c r="D2875" s="6" t="s">
        <v>1850</v>
      </c>
      <c r="E2875" s="11" t="s">
        <v>6642</v>
      </c>
      <c r="F2875" s="12" t="s">
        <v>6643</v>
      </c>
      <c r="G2875" s="12" t="s">
        <v>6642</v>
      </c>
      <c r="H2875" s="58" t="s">
        <v>6648</v>
      </c>
      <c r="I2875" s="12" t="s">
        <v>6899</v>
      </c>
      <c r="J2875" s="11" t="s">
        <v>1851</v>
      </c>
      <c r="K2875" s="11" t="s">
        <v>1852</v>
      </c>
      <c r="L2875" s="11" t="s">
        <v>1853</v>
      </c>
      <c r="M2875" s="11" t="s">
        <v>6900</v>
      </c>
      <c r="N2875" s="12"/>
      <c r="O2875" s="11" t="s">
        <v>1872</v>
      </c>
      <c r="P2875" s="56"/>
    </row>
    <row r="2876" spans="1:16" ht="15.75" customHeight="1" x14ac:dyDescent="0.2">
      <c r="A2876" s="48">
        <v>3940</v>
      </c>
      <c r="B2876" s="11" t="s">
        <v>1857</v>
      </c>
      <c r="C2876" s="11" t="s">
        <v>1849</v>
      </c>
      <c r="D2876" s="6" t="s">
        <v>1850</v>
      </c>
      <c r="E2876" s="11" t="s">
        <v>6642</v>
      </c>
      <c r="F2876" s="12" t="s">
        <v>6643</v>
      </c>
      <c r="G2876" s="12" t="s">
        <v>6642</v>
      </c>
      <c r="H2876" s="58" t="s">
        <v>6648</v>
      </c>
      <c r="I2876" s="12" t="s">
        <v>6901</v>
      </c>
      <c r="J2876" s="11" t="s">
        <v>1851</v>
      </c>
      <c r="K2876" s="11" t="s">
        <v>1852</v>
      </c>
      <c r="L2876" s="11" t="s">
        <v>1853</v>
      </c>
      <c r="M2876" s="11" t="s">
        <v>6870</v>
      </c>
      <c r="N2876" s="12" t="s">
        <v>2281</v>
      </c>
      <c r="O2876" s="11" t="s">
        <v>1858</v>
      </c>
      <c r="P2876" s="56"/>
    </row>
    <row r="2877" spans="1:16" ht="15.75" customHeight="1" x14ac:dyDescent="0.2">
      <c r="A2877" s="48">
        <v>3941</v>
      </c>
      <c r="B2877" s="11" t="s">
        <v>1857</v>
      </c>
      <c r="C2877" s="11" t="s">
        <v>1849</v>
      </c>
      <c r="D2877" s="6" t="s">
        <v>1850</v>
      </c>
      <c r="E2877" s="11" t="s">
        <v>6642</v>
      </c>
      <c r="F2877" s="12" t="s">
        <v>6643</v>
      </c>
      <c r="G2877" s="12" t="s">
        <v>6642</v>
      </c>
      <c r="H2877" s="58" t="s">
        <v>6648</v>
      </c>
      <c r="I2877" s="12" t="s">
        <v>6902</v>
      </c>
      <c r="J2877" s="11" t="s">
        <v>1851</v>
      </c>
      <c r="K2877" s="11" t="s">
        <v>1852</v>
      </c>
      <c r="L2877" s="11" t="s">
        <v>1853</v>
      </c>
      <c r="M2877" s="11" t="s">
        <v>6903</v>
      </c>
      <c r="N2877" s="12"/>
      <c r="O2877" s="11" t="s">
        <v>1858</v>
      </c>
      <c r="P2877" s="56"/>
    </row>
    <row r="2878" spans="1:16" ht="15.75" customHeight="1" x14ac:dyDescent="0.2">
      <c r="A2878" s="48">
        <v>3942</v>
      </c>
      <c r="B2878" s="11" t="s">
        <v>1857</v>
      </c>
      <c r="C2878" s="11" t="s">
        <v>1849</v>
      </c>
      <c r="D2878" s="6" t="s">
        <v>1850</v>
      </c>
      <c r="E2878" s="11" t="s">
        <v>6642</v>
      </c>
      <c r="F2878" s="12" t="s">
        <v>6643</v>
      </c>
      <c r="G2878" s="12" t="s">
        <v>6642</v>
      </c>
      <c r="H2878" s="58" t="s">
        <v>6648</v>
      </c>
      <c r="I2878" s="12" t="s">
        <v>6904</v>
      </c>
      <c r="J2878" s="11" t="s">
        <v>1851</v>
      </c>
      <c r="K2878" s="11" t="s">
        <v>1852</v>
      </c>
      <c r="L2878" s="11" t="s">
        <v>1853</v>
      </c>
      <c r="M2878" s="11" t="s">
        <v>4326</v>
      </c>
      <c r="N2878" s="12"/>
      <c r="O2878" s="11" t="s">
        <v>1858</v>
      </c>
      <c r="P2878" s="56"/>
    </row>
    <row r="2879" spans="1:16" ht="15.75" customHeight="1" x14ac:dyDescent="0.2">
      <c r="A2879" s="48">
        <v>3943</v>
      </c>
      <c r="B2879" s="11" t="s">
        <v>1857</v>
      </c>
      <c r="C2879" s="11" t="s">
        <v>1849</v>
      </c>
      <c r="D2879" s="6" t="s">
        <v>1850</v>
      </c>
      <c r="E2879" s="11" t="s">
        <v>6642</v>
      </c>
      <c r="F2879" s="12" t="s">
        <v>6643</v>
      </c>
      <c r="G2879" s="12" t="s">
        <v>6642</v>
      </c>
      <c r="H2879" s="58" t="s">
        <v>6687</v>
      </c>
      <c r="I2879" s="12" t="s">
        <v>6905</v>
      </c>
      <c r="J2879" s="11" t="s">
        <v>1851</v>
      </c>
      <c r="K2879" s="11" t="s">
        <v>1852</v>
      </c>
      <c r="L2879" s="11" t="s">
        <v>1853</v>
      </c>
      <c r="M2879" s="11" t="s">
        <v>6906</v>
      </c>
      <c r="N2879" s="12"/>
      <c r="O2879" s="11" t="s">
        <v>1858</v>
      </c>
      <c r="P2879" s="56"/>
    </row>
    <row r="2880" spans="1:16" ht="15.75" customHeight="1" x14ac:dyDescent="0.2">
      <c r="A2880" s="48">
        <v>3944</v>
      </c>
      <c r="B2880" s="11" t="s">
        <v>1857</v>
      </c>
      <c r="C2880" s="11" t="s">
        <v>1849</v>
      </c>
      <c r="D2880" s="6" t="s">
        <v>1850</v>
      </c>
      <c r="E2880" s="11" t="s">
        <v>6642</v>
      </c>
      <c r="F2880" s="12" t="s">
        <v>6643</v>
      </c>
      <c r="G2880" s="12" t="s">
        <v>6642</v>
      </c>
      <c r="H2880" s="58" t="s">
        <v>6687</v>
      </c>
      <c r="I2880" s="12" t="s">
        <v>6907</v>
      </c>
      <c r="J2880" s="11" t="s">
        <v>1851</v>
      </c>
      <c r="K2880" s="11" t="s">
        <v>1852</v>
      </c>
      <c r="L2880" s="11" t="s">
        <v>1853</v>
      </c>
      <c r="M2880" s="11" t="s">
        <v>6799</v>
      </c>
      <c r="N2880" s="12" t="s">
        <v>2281</v>
      </c>
      <c r="O2880" s="11" t="s">
        <v>1858</v>
      </c>
      <c r="P2880" s="56"/>
    </row>
    <row r="2881" spans="1:16" ht="15.75" customHeight="1" x14ac:dyDescent="0.2">
      <c r="A2881" s="48">
        <v>4081</v>
      </c>
      <c r="B2881" s="11" t="s">
        <v>1857</v>
      </c>
      <c r="C2881" s="11" t="s">
        <v>1849</v>
      </c>
      <c r="D2881" s="6" t="s">
        <v>1850</v>
      </c>
      <c r="E2881" s="11" t="s">
        <v>6642</v>
      </c>
      <c r="F2881" s="12" t="s">
        <v>6643</v>
      </c>
      <c r="G2881" s="12" t="s">
        <v>6642</v>
      </c>
      <c r="H2881" s="58" t="s">
        <v>6646</v>
      </c>
      <c r="I2881" s="12" t="s">
        <v>6908</v>
      </c>
      <c r="J2881" s="11" t="s">
        <v>1851</v>
      </c>
      <c r="K2881" s="11" t="s">
        <v>1852</v>
      </c>
      <c r="L2881" s="11" t="s">
        <v>1853</v>
      </c>
      <c r="M2881" s="11" t="s">
        <v>6909</v>
      </c>
      <c r="N2881" s="12" t="s">
        <v>2281</v>
      </c>
      <c r="O2881" s="11" t="s">
        <v>1858</v>
      </c>
      <c r="P2881" s="56"/>
    </row>
    <row r="2882" spans="1:16" ht="15.75" customHeight="1" x14ac:dyDescent="0.2">
      <c r="A2882" s="48">
        <v>4989</v>
      </c>
      <c r="B2882" s="11" t="s">
        <v>1857</v>
      </c>
      <c r="C2882" s="11" t="s">
        <v>1849</v>
      </c>
      <c r="D2882" s="6" t="s">
        <v>1850</v>
      </c>
      <c r="E2882" s="11" t="s">
        <v>6642</v>
      </c>
      <c r="F2882" s="12" t="s">
        <v>6643</v>
      </c>
      <c r="G2882" s="12" t="s">
        <v>6642</v>
      </c>
      <c r="H2882" s="58" t="s">
        <v>6671</v>
      </c>
      <c r="I2882" s="12" t="s">
        <v>6910</v>
      </c>
      <c r="J2882" s="11" t="s">
        <v>1851</v>
      </c>
      <c r="K2882" s="11" t="s">
        <v>1852</v>
      </c>
      <c r="L2882" s="11" t="s">
        <v>1853</v>
      </c>
      <c r="M2882" s="11" t="s">
        <v>6731</v>
      </c>
      <c r="N2882" s="12"/>
      <c r="O2882" s="11" t="s">
        <v>1858</v>
      </c>
      <c r="P2882" s="56"/>
    </row>
    <row r="2883" spans="1:16" ht="15.75" customHeight="1" x14ac:dyDescent="0.2">
      <c r="A2883" s="48">
        <v>4991</v>
      </c>
      <c r="B2883" s="11" t="s">
        <v>1857</v>
      </c>
      <c r="C2883" s="11" t="s">
        <v>1849</v>
      </c>
      <c r="D2883" s="6" t="s">
        <v>1850</v>
      </c>
      <c r="E2883" s="11" t="s">
        <v>6642</v>
      </c>
      <c r="F2883" s="12" t="s">
        <v>6643</v>
      </c>
      <c r="G2883" s="12" t="s">
        <v>6642</v>
      </c>
      <c r="H2883" s="58" t="s">
        <v>6648</v>
      </c>
      <c r="I2883" s="12" t="s">
        <v>6911</v>
      </c>
      <c r="J2883" s="11" t="s">
        <v>1851</v>
      </c>
      <c r="K2883" s="11" t="s">
        <v>1852</v>
      </c>
      <c r="L2883" s="11" t="s">
        <v>1853</v>
      </c>
      <c r="M2883" s="11" t="s">
        <v>4326</v>
      </c>
      <c r="N2883" s="12"/>
      <c r="O2883" s="11" t="s">
        <v>1860</v>
      </c>
      <c r="P2883" s="56"/>
    </row>
    <row r="2884" spans="1:16" ht="15.75" customHeight="1" x14ac:dyDescent="0.2">
      <c r="A2884" s="48">
        <v>5308</v>
      </c>
      <c r="B2884" s="11" t="s">
        <v>1857</v>
      </c>
      <c r="C2884" s="11" t="s">
        <v>1849</v>
      </c>
      <c r="D2884" s="6" t="s">
        <v>1850</v>
      </c>
      <c r="E2884" s="11" t="s">
        <v>6642</v>
      </c>
      <c r="F2884" s="12" t="s">
        <v>6643</v>
      </c>
      <c r="G2884" s="12" t="s">
        <v>6642</v>
      </c>
      <c r="H2884" s="58" t="s">
        <v>6655</v>
      </c>
      <c r="I2884" s="12" t="s">
        <v>841</v>
      </c>
      <c r="J2884" s="11" t="s">
        <v>1851</v>
      </c>
      <c r="K2884" s="11" t="s">
        <v>1852</v>
      </c>
      <c r="L2884" s="11" t="s">
        <v>1853</v>
      </c>
      <c r="M2884" s="11" t="s">
        <v>6912</v>
      </c>
      <c r="N2884" s="12"/>
      <c r="O2884" s="11" t="s">
        <v>1860</v>
      </c>
      <c r="P2884" s="56"/>
    </row>
    <row r="2885" spans="1:16" ht="15.75" customHeight="1" x14ac:dyDescent="0.2">
      <c r="A2885" s="48">
        <v>5309</v>
      </c>
      <c r="B2885" s="11" t="s">
        <v>1857</v>
      </c>
      <c r="C2885" s="11" t="s">
        <v>1849</v>
      </c>
      <c r="D2885" s="6" t="s">
        <v>1850</v>
      </c>
      <c r="E2885" s="11" t="s">
        <v>6642</v>
      </c>
      <c r="F2885" s="12" t="s">
        <v>6643</v>
      </c>
      <c r="G2885" s="12" t="s">
        <v>6642</v>
      </c>
      <c r="H2885" s="58" t="s">
        <v>6655</v>
      </c>
      <c r="I2885" s="12" t="s">
        <v>840</v>
      </c>
      <c r="J2885" s="11" t="s">
        <v>1856</v>
      </c>
      <c r="K2885" s="11" t="s">
        <v>1852</v>
      </c>
      <c r="L2885" s="11" t="s">
        <v>1853</v>
      </c>
      <c r="M2885" s="11" t="s">
        <v>6913</v>
      </c>
      <c r="N2885" s="12"/>
      <c r="O2885" s="11" t="s">
        <v>1858</v>
      </c>
      <c r="P2885" s="56"/>
    </row>
    <row r="2886" spans="1:16" ht="15.75" customHeight="1" x14ac:dyDescent="0.2">
      <c r="A2886" s="48">
        <v>5398</v>
      </c>
      <c r="B2886" s="11" t="s">
        <v>1857</v>
      </c>
      <c r="C2886" s="11" t="s">
        <v>1849</v>
      </c>
      <c r="D2886" s="6" t="s">
        <v>1850</v>
      </c>
      <c r="E2886" s="11" t="s">
        <v>6642</v>
      </c>
      <c r="F2886" s="12" t="s">
        <v>6643</v>
      </c>
      <c r="G2886" s="12" t="s">
        <v>6642</v>
      </c>
      <c r="H2886" s="12" t="s">
        <v>3542</v>
      </c>
      <c r="I2886" s="12" t="s">
        <v>6914</v>
      </c>
      <c r="J2886" s="11" t="s">
        <v>1851</v>
      </c>
      <c r="K2886" s="11" t="s">
        <v>1852</v>
      </c>
      <c r="L2886" s="11" t="s">
        <v>1853</v>
      </c>
      <c r="M2886" s="11" t="s">
        <v>6915</v>
      </c>
      <c r="N2886" s="12"/>
      <c r="O2886" s="11" t="s">
        <v>2022</v>
      </c>
      <c r="P2886" s="56" t="s">
        <v>4974</v>
      </c>
    </row>
    <row r="2887" spans="1:16" ht="15.75" customHeight="1" x14ac:dyDescent="0.2">
      <c r="A2887" s="48">
        <v>5880</v>
      </c>
      <c r="B2887" s="11" t="s">
        <v>1857</v>
      </c>
      <c r="C2887" s="11" t="s">
        <v>1849</v>
      </c>
      <c r="D2887" s="6" t="s">
        <v>1850</v>
      </c>
      <c r="E2887" s="11" t="s">
        <v>6642</v>
      </c>
      <c r="F2887" s="12" t="s">
        <v>6643</v>
      </c>
      <c r="G2887" s="12" t="s">
        <v>6642</v>
      </c>
      <c r="H2887" s="58" t="s">
        <v>6658</v>
      </c>
      <c r="I2887" s="12" t="s">
        <v>6916</v>
      </c>
      <c r="J2887" s="11" t="s">
        <v>1851</v>
      </c>
      <c r="K2887" s="11" t="s">
        <v>1852</v>
      </c>
      <c r="L2887" s="11" t="s">
        <v>1853</v>
      </c>
      <c r="M2887" s="11" t="s">
        <v>1854</v>
      </c>
      <c r="N2887" s="12"/>
      <c r="O2887" s="11" t="s">
        <v>2755</v>
      </c>
      <c r="P2887" s="56"/>
    </row>
    <row r="2888" spans="1:16" ht="15.75" customHeight="1" x14ac:dyDescent="0.2">
      <c r="A2888" s="48">
        <v>6809</v>
      </c>
      <c r="B2888" s="11" t="s">
        <v>1857</v>
      </c>
      <c r="C2888" s="11" t="s">
        <v>1849</v>
      </c>
      <c r="D2888" s="6" t="s">
        <v>1850</v>
      </c>
      <c r="E2888" s="11" t="s">
        <v>6642</v>
      </c>
      <c r="F2888" s="12" t="s">
        <v>6643</v>
      </c>
      <c r="G2888" s="12" t="s">
        <v>6642</v>
      </c>
      <c r="H2888" s="58" t="s">
        <v>6671</v>
      </c>
      <c r="I2888" s="12" t="s">
        <v>6917</v>
      </c>
      <c r="J2888" s="11" t="s">
        <v>1851</v>
      </c>
      <c r="K2888" s="11" t="s">
        <v>1852</v>
      </c>
      <c r="L2888" s="11" t="s">
        <v>1853</v>
      </c>
      <c r="M2888" s="11" t="s">
        <v>6918</v>
      </c>
      <c r="N2888" s="12" t="s">
        <v>2281</v>
      </c>
      <c r="O2888" s="11" t="s">
        <v>1860</v>
      </c>
      <c r="P2888" s="56"/>
    </row>
    <row r="2889" spans="1:16" ht="15.75" customHeight="1" x14ac:dyDescent="0.2">
      <c r="A2889" s="48">
        <v>6821</v>
      </c>
      <c r="B2889" s="11" t="s">
        <v>1857</v>
      </c>
      <c r="C2889" s="11" t="s">
        <v>1849</v>
      </c>
      <c r="D2889" s="6" t="s">
        <v>1850</v>
      </c>
      <c r="E2889" s="11" t="s">
        <v>6642</v>
      </c>
      <c r="F2889" s="12" t="s">
        <v>6643</v>
      </c>
      <c r="G2889" s="12" t="s">
        <v>6642</v>
      </c>
      <c r="H2889" s="58" t="s">
        <v>6653</v>
      </c>
      <c r="I2889" s="12" t="s">
        <v>6919</v>
      </c>
      <c r="J2889" s="11" t="s">
        <v>1851</v>
      </c>
      <c r="K2889" s="11" t="s">
        <v>1852</v>
      </c>
      <c r="L2889" s="11" t="s">
        <v>1853</v>
      </c>
      <c r="M2889" s="11" t="s">
        <v>6920</v>
      </c>
      <c r="N2889" s="12" t="s">
        <v>2281</v>
      </c>
      <c r="O2889" s="11" t="s">
        <v>2334</v>
      </c>
      <c r="P2889" s="56" t="s">
        <v>6921</v>
      </c>
    </row>
    <row r="2890" spans="1:16" ht="15.75" customHeight="1" x14ac:dyDescent="0.2">
      <c r="A2890" s="48">
        <v>6823</v>
      </c>
      <c r="B2890" s="11" t="s">
        <v>1857</v>
      </c>
      <c r="C2890" s="11" t="s">
        <v>1849</v>
      </c>
      <c r="D2890" s="6" t="s">
        <v>1850</v>
      </c>
      <c r="E2890" s="11" t="s">
        <v>6642</v>
      </c>
      <c r="F2890" s="12" t="s">
        <v>6643</v>
      </c>
      <c r="G2890" s="12" t="s">
        <v>6642</v>
      </c>
      <c r="H2890" s="58" t="s">
        <v>6646</v>
      </c>
      <c r="I2890" s="12" t="s">
        <v>6922</v>
      </c>
      <c r="J2890" s="11" t="s">
        <v>1851</v>
      </c>
      <c r="K2890" s="11" t="s">
        <v>1852</v>
      </c>
      <c r="L2890" s="11" t="s">
        <v>1853</v>
      </c>
      <c r="M2890" s="11" t="s">
        <v>1854</v>
      </c>
      <c r="N2890" s="12"/>
      <c r="O2890" s="11" t="s">
        <v>3835</v>
      </c>
      <c r="P2890" s="56" t="s">
        <v>4665</v>
      </c>
    </row>
    <row r="2891" spans="1:16" ht="15.75" customHeight="1" x14ac:dyDescent="0.2">
      <c r="A2891" s="48">
        <v>7297</v>
      </c>
      <c r="B2891" s="11" t="s">
        <v>1857</v>
      </c>
      <c r="C2891" s="11" t="s">
        <v>1849</v>
      </c>
      <c r="D2891" s="6" t="s">
        <v>1850</v>
      </c>
      <c r="E2891" s="11" t="s">
        <v>6642</v>
      </c>
      <c r="F2891" s="12" t="s">
        <v>6643</v>
      </c>
      <c r="G2891" s="12" t="s">
        <v>6642</v>
      </c>
      <c r="H2891" s="58" t="s">
        <v>6655</v>
      </c>
      <c r="I2891" s="15" t="s">
        <v>6923</v>
      </c>
      <c r="J2891" s="11" t="s">
        <v>1851</v>
      </c>
      <c r="K2891" s="11" t="s">
        <v>1852</v>
      </c>
      <c r="L2891" s="11" t="s">
        <v>1853</v>
      </c>
      <c r="M2891" s="11" t="s">
        <v>6924</v>
      </c>
      <c r="N2891" s="12" t="s">
        <v>2281</v>
      </c>
      <c r="O2891" s="11" t="s">
        <v>2307</v>
      </c>
      <c r="P2891" s="56" t="s">
        <v>3355</v>
      </c>
    </row>
    <row r="2892" spans="1:16" ht="15.75" customHeight="1" x14ac:dyDescent="0.2">
      <c r="A2892" s="48">
        <v>3781</v>
      </c>
      <c r="B2892" s="11" t="s">
        <v>1857</v>
      </c>
      <c r="C2892" s="11" t="s">
        <v>1849</v>
      </c>
      <c r="D2892" s="6" t="s">
        <v>1850</v>
      </c>
      <c r="E2892" s="11" t="s">
        <v>6642</v>
      </c>
      <c r="F2892" s="12" t="s">
        <v>6643</v>
      </c>
      <c r="G2892" s="12" t="s">
        <v>6642</v>
      </c>
      <c r="H2892" s="58" t="s">
        <v>2626</v>
      </c>
      <c r="I2892" s="12" t="s">
        <v>6925</v>
      </c>
      <c r="J2892" s="11" t="s">
        <v>1856</v>
      </c>
      <c r="K2892" s="11" t="s">
        <v>1852</v>
      </c>
      <c r="L2892" s="11" t="s">
        <v>1853</v>
      </c>
      <c r="M2892" s="11" t="s">
        <v>1854</v>
      </c>
      <c r="N2892" s="12"/>
      <c r="O2892" s="11" t="s">
        <v>1858</v>
      </c>
      <c r="P2892" s="56"/>
    </row>
    <row r="2893" spans="1:16" ht="15.75" customHeight="1" x14ac:dyDescent="0.2">
      <c r="A2893" s="48">
        <v>3891</v>
      </c>
      <c r="B2893" s="11" t="s">
        <v>1857</v>
      </c>
      <c r="C2893" s="11" t="s">
        <v>1849</v>
      </c>
      <c r="D2893" s="6" t="s">
        <v>1850</v>
      </c>
      <c r="E2893" s="11" t="s">
        <v>6642</v>
      </c>
      <c r="F2893" s="12" t="s">
        <v>6643</v>
      </c>
      <c r="G2893" s="12" t="s">
        <v>6642</v>
      </c>
      <c r="H2893" s="58" t="s">
        <v>6655</v>
      </c>
      <c r="I2893" s="12" t="s">
        <v>6926</v>
      </c>
      <c r="J2893" s="11" t="s">
        <v>1856</v>
      </c>
      <c r="K2893" s="11" t="s">
        <v>1852</v>
      </c>
      <c r="L2893" s="11" t="s">
        <v>1853</v>
      </c>
      <c r="M2893" s="11" t="s">
        <v>6885</v>
      </c>
      <c r="N2893" s="12"/>
      <c r="O2893" s="11" t="s">
        <v>1860</v>
      </c>
      <c r="P2893" s="56"/>
    </row>
    <row r="2894" spans="1:16" ht="15.75" customHeight="1" x14ac:dyDescent="0.2">
      <c r="A2894" s="48">
        <v>3900</v>
      </c>
      <c r="B2894" s="11" t="s">
        <v>1857</v>
      </c>
      <c r="C2894" s="11" t="s">
        <v>1849</v>
      </c>
      <c r="D2894" s="6" t="s">
        <v>1850</v>
      </c>
      <c r="E2894" s="11" t="s">
        <v>6642</v>
      </c>
      <c r="F2894" s="12" t="s">
        <v>6643</v>
      </c>
      <c r="G2894" s="12" t="s">
        <v>6642</v>
      </c>
      <c r="H2894" s="58" t="s">
        <v>6706</v>
      </c>
      <c r="I2894" s="12" t="s">
        <v>6927</v>
      </c>
      <c r="J2894" s="11" t="s">
        <v>1856</v>
      </c>
      <c r="K2894" s="11" t="s">
        <v>1852</v>
      </c>
      <c r="L2894" s="11" t="s">
        <v>1853</v>
      </c>
      <c r="M2894" s="11" t="s">
        <v>6775</v>
      </c>
      <c r="N2894" s="12"/>
      <c r="O2894" s="11" t="s">
        <v>1858</v>
      </c>
      <c r="P2894" s="56"/>
    </row>
    <row r="2895" spans="1:16" ht="15.75" customHeight="1" x14ac:dyDescent="0.2">
      <c r="A2895" s="48">
        <v>3907</v>
      </c>
      <c r="B2895" s="11" t="s">
        <v>1857</v>
      </c>
      <c r="C2895" s="11" t="s">
        <v>1849</v>
      </c>
      <c r="D2895" s="6" t="s">
        <v>1850</v>
      </c>
      <c r="E2895" s="11" t="s">
        <v>6642</v>
      </c>
      <c r="F2895" s="12" t="s">
        <v>6643</v>
      </c>
      <c r="G2895" s="12" t="s">
        <v>6642</v>
      </c>
      <c r="H2895" s="58" t="s">
        <v>6706</v>
      </c>
      <c r="I2895" s="12" t="s">
        <v>907</v>
      </c>
      <c r="J2895" s="11" t="s">
        <v>1856</v>
      </c>
      <c r="K2895" s="11" t="s">
        <v>1852</v>
      </c>
      <c r="L2895" s="11" t="s">
        <v>1853</v>
      </c>
      <c r="M2895" s="11" t="s">
        <v>6928</v>
      </c>
      <c r="N2895" s="12"/>
      <c r="O2895" s="11" t="s">
        <v>1858</v>
      </c>
      <c r="P2895" s="56"/>
    </row>
    <row r="2896" spans="1:16" ht="15.75" customHeight="1" x14ac:dyDescent="0.2">
      <c r="A2896" s="48">
        <v>3520</v>
      </c>
      <c r="B2896" s="11" t="s">
        <v>1871</v>
      </c>
      <c r="C2896" s="11" t="s">
        <v>1849</v>
      </c>
      <c r="D2896" s="6" t="s">
        <v>1850</v>
      </c>
      <c r="E2896" s="11" t="s">
        <v>6642</v>
      </c>
      <c r="F2896" s="12" t="s">
        <v>6643</v>
      </c>
      <c r="G2896" s="12" t="s">
        <v>6642</v>
      </c>
      <c r="H2896" s="62" t="s">
        <v>6666</v>
      </c>
      <c r="I2896" s="12" t="s">
        <v>6929</v>
      </c>
      <c r="J2896" s="11" t="s">
        <v>1851</v>
      </c>
      <c r="K2896" s="11" t="s">
        <v>1852</v>
      </c>
      <c r="L2896" s="11" t="s">
        <v>1853</v>
      </c>
      <c r="M2896" s="11" t="s">
        <v>1854</v>
      </c>
      <c r="N2896" s="12"/>
      <c r="O2896" s="11" t="s">
        <v>5538</v>
      </c>
      <c r="P2896" s="56" t="s">
        <v>2819</v>
      </c>
    </row>
    <row r="2897" spans="1:16" ht="15.75" customHeight="1" x14ac:dyDescent="0.2">
      <c r="A2897" s="48">
        <v>3641</v>
      </c>
      <c r="B2897" s="11" t="s">
        <v>1871</v>
      </c>
      <c r="C2897" s="11" t="s">
        <v>1849</v>
      </c>
      <c r="D2897" s="6" t="s">
        <v>1850</v>
      </c>
      <c r="E2897" s="11" t="s">
        <v>6642</v>
      </c>
      <c r="F2897" s="12" t="s">
        <v>6643</v>
      </c>
      <c r="G2897" s="12" t="s">
        <v>6642</v>
      </c>
      <c r="H2897" s="58" t="s">
        <v>6664</v>
      </c>
      <c r="I2897" s="12" t="s">
        <v>6930</v>
      </c>
      <c r="J2897" s="11" t="s">
        <v>1851</v>
      </c>
      <c r="K2897" s="11" t="s">
        <v>1852</v>
      </c>
      <c r="L2897" s="11" t="s">
        <v>1853</v>
      </c>
      <c r="M2897" s="11" t="s">
        <v>1854</v>
      </c>
      <c r="N2897" s="12"/>
      <c r="O2897" s="11" t="s">
        <v>1874</v>
      </c>
      <c r="P2897" s="56"/>
    </row>
    <row r="2898" spans="1:16" ht="15.75" customHeight="1" x14ac:dyDescent="0.2">
      <c r="A2898" s="48">
        <v>3689</v>
      </c>
      <c r="B2898" s="11" t="s">
        <v>1871</v>
      </c>
      <c r="C2898" s="11" t="s">
        <v>1849</v>
      </c>
      <c r="D2898" s="6" t="s">
        <v>1850</v>
      </c>
      <c r="E2898" s="11" t="s">
        <v>6642</v>
      </c>
      <c r="F2898" s="12" t="s">
        <v>6643</v>
      </c>
      <c r="G2898" s="12" t="s">
        <v>6642</v>
      </c>
      <c r="H2898" s="12" t="s">
        <v>6657</v>
      </c>
      <c r="I2898" s="12" t="s">
        <v>6931</v>
      </c>
      <c r="J2898" s="11" t="s">
        <v>1851</v>
      </c>
      <c r="K2898" s="11" t="s">
        <v>1852</v>
      </c>
      <c r="L2898" s="11" t="s">
        <v>1853</v>
      </c>
      <c r="M2898" s="11" t="s">
        <v>1854</v>
      </c>
      <c r="N2898" s="12"/>
      <c r="O2898" s="11" t="s">
        <v>1866</v>
      </c>
      <c r="P2898" s="56"/>
    </row>
    <row r="2899" spans="1:16" ht="15.75" customHeight="1" x14ac:dyDescent="0.2">
      <c r="A2899" s="48">
        <v>3787</v>
      </c>
      <c r="B2899" s="11" t="s">
        <v>1871</v>
      </c>
      <c r="C2899" s="11" t="s">
        <v>1849</v>
      </c>
      <c r="D2899" s="6" t="s">
        <v>1850</v>
      </c>
      <c r="E2899" s="11" t="s">
        <v>6642</v>
      </c>
      <c r="F2899" s="12" t="s">
        <v>6643</v>
      </c>
      <c r="G2899" s="12" t="s">
        <v>6642</v>
      </c>
      <c r="H2899" s="62" t="s">
        <v>6646</v>
      </c>
      <c r="I2899" s="12" t="s">
        <v>6932</v>
      </c>
      <c r="J2899" s="11" t="s">
        <v>1851</v>
      </c>
      <c r="K2899" s="11" t="s">
        <v>1852</v>
      </c>
      <c r="L2899" s="11" t="s">
        <v>1853</v>
      </c>
      <c r="M2899" s="11" t="s">
        <v>1854</v>
      </c>
      <c r="N2899" s="12"/>
      <c r="O2899" s="11" t="s">
        <v>2350</v>
      </c>
      <c r="P2899" s="56" t="s">
        <v>6933</v>
      </c>
    </row>
    <row r="2900" spans="1:16" ht="15.75" customHeight="1" x14ac:dyDescent="0.2">
      <c r="A2900" s="48">
        <v>3869</v>
      </c>
      <c r="B2900" s="11" t="s">
        <v>1871</v>
      </c>
      <c r="C2900" s="11" t="s">
        <v>1849</v>
      </c>
      <c r="D2900" s="6" t="s">
        <v>1850</v>
      </c>
      <c r="E2900" s="11" t="s">
        <v>6642</v>
      </c>
      <c r="F2900" s="12" t="s">
        <v>6643</v>
      </c>
      <c r="G2900" s="12" t="s">
        <v>6642</v>
      </c>
      <c r="H2900" s="12" t="s">
        <v>6708</v>
      </c>
      <c r="I2900" s="12" t="s">
        <v>6934</v>
      </c>
      <c r="J2900" s="11" t="s">
        <v>1851</v>
      </c>
      <c r="K2900" s="11" t="s">
        <v>1852</v>
      </c>
      <c r="L2900" s="11" t="s">
        <v>1853</v>
      </c>
      <c r="M2900" s="11" t="s">
        <v>1854</v>
      </c>
      <c r="N2900" s="12"/>
      <c r="O2900" s="11" t="s">
        <v>3387</v>
      </c>
      <c r="P2900" s="56"/>
    </row>
    <row r="2901" spans="1:16" ht="15.75" customHeight="1" x14ac:dyDescent="0.2">
      <c r="A2901" s="48">
        <v>3870</v>
      </c>
      <c r="B2901" s="11" t="s">
        <v>1871</v>
      </c>
      <c r="C2901" s="11" t="s">
        <v>1849</v>
      </c>
      <c r="D2901" s="6" t="s">
        <v>1850</v>
      </c>
      <c r="E2901" s="11" t="s">
        <v>6642</v>
      </c>
      <c r="F2901" s="12" t="s">
        <v>6643</v>
      </c>
      <c r="G2901" s="12" t="s">
        <v>6642</v>
      </c>
      <c r="H2901" s="12" t="s">
        <v>6655</v>
      </c>
      <c r="I2901" s="12" t="s">
        <v>6935</v>
      </c>
      <c r="J2901" s="11" t="s">
        <v>1856</v>
      </c>
      <c r="K2901" s="11" t="s">
        <v>1852</v>
      </c>
      <c r="L2901" s="11" t="s">
        <v>1853</v>
      </c>
      <c r="M2901" s="11" t="s">
        <v>1854</v>
      </c>
      <c r="N2901" s="12"/>
      <c r="O2901" s="11" t="s">
        <v>3387</v>
      </c>
      <c r="P2901" s="56"/>
    </row>
    <row r="2902" spans="1:16" ht="15.75" customHeight="1" x14ac:dyDescent="0.2">
      <c r="A2902" s="48">
        <v>15966</v>
      </c>
      <c r="B2902" s="11" t="s">
        <v>1871</v>
      </c>
      <c r="C2902" s="11" t="s">
        <v>1849</v>
      </c>
      <c r="D2902" s="6" t="s">
        <v>1850</v>
      </c>
      <c r="E2902" s="11" t="s">
        <v>6642</v>
      </c>
      <c r="F2902" s="12" t="s">
        <v>6643</v>
      </c>
      <c r="G2902" s="12" t="s">
        <v>6642</v>
      </c>
      <c r="H2902" s="62" t="s">
        <v>6666</v>
      </c>
      <c r="I2902" s="12" t="s">
        <v>6936</v>
      </c>
      <c r="J2902" s="11" t="s">
        <v>1851</v>
      </c>
      <c r="K2902" s="11" t="s">
        <v>1852</v>
      </c>
      <c r="L2902" s="11" t="s">
        <v>1853</v>
      </c>
      <c r="M2902" s="11" t="s">
        <v>1854</v>
      </c>
      <c r="N2902" s="12"/>
      <c r="O2902" s="11" t="s">
        <v>2350</v>
      </c>
      <c r="P2902" s="56" t="s">
        <v>1865</v>
      </c>
    </row>
    <row r="2903" spans="1:16" ht="15.75" customHeight="1" x14ac:dyDescent="0.2">
      <c r="A2903" s="48">
        <v>15412</v>
      </c>
      <c r="B2903" s="11" t="s">
        <v>1871</v>
      </c>
      <c r="C2903" s="11" t="s">
        <v>1849</v>
      </c>
      <c r="D2903" s="6" t="s">
        <v>1850</v>
      </c>
      <c r="E2903" s="11" t="s">
        <v>6642</v>
      </c>
      <c r="F2903" s="12" t="s">
        <v>6643</v>
      </c>
      <c r="G2903" s="12" t="s">
        <v>6642</v>
      </c>
      <c r="H2903" s="12" t="s">
        <v>6708</v>
      </c>
      <c r="I2903" s="12" t="s">
        <v>6875</v>
      </c>
      <c r="J2903" s="11" t="s">
        <v>1856</v>
      </c>
      <c r="K2903" s="11" t="s">
        <v>1852</v>
      </c>
      <c r="L2903" s="11" t="s">
        <v>1853</v>
      </c>
      <c r="M2903" s="11" t="s">
        <v>1854</v>
      </c>
      <c r="N2903" s="12"/>
      <c r="O2903" s="11" t="s">
        <v>2755</v>
      </c>
      <c r="P2903" s="56"/>
    </row>
    <row r="2904" spans="1:16" ht="15.75" customHeight="1" x14ac:dyDescent="0.2">
      <c r="A2904" s="48">
        <v>15413</v>
      </c>
      <c r="B2904" s="11" t="s">
        <v>1871</v>
      </c>
      <c r="C2904" s="11" t="s">
        <v>1849</v>
      </c>
      <c r="D2904" s="6" t="s">
        <v>1850</v>
      </c>
      <c r="E2904" s="11" t="s">
        <v>6642</v>
      </c>
      <c r="F2904" s="12" t="s">
        <v>6643</v>
      </c>
      <c r="G2904" s="12" t="s">
        <v>6642</v>
      </c>
      <c r="H2904" s="12" t="s">
        <v>6655</v>
      </c>
      <c r="I2904" s="12" t="s">
        <v>6937</v>
      </c>
      <c r="J2904" s="11" t="s">
        <v>1851</v>
      </c>
      <c r="K2904" s="11" t="s">
        <v>1852</v>
      </c>
      <c r="L2904" s="11" t="s">
        <v>1853</v>
      </c>
      <c r="M2904" s="11" t="s">
        <v>1854</v>
      </c>
      <c r="N2904" s="12"/>
      <c r="O2904" s="11" t="s">
        <v>2755</v>
      </c>
      <c r="P2904" s="56"/>
    </row>
    <row r="2905" spans="1:16" ht="15.75" customHeight="1" x14ac:dyDescent="0.2">
      <c r="A2905" s="48">
        <v>15414</v>
      </c>
      <c r="B2905" s="11" t="s">
        <v>1871</v>
      </c>
      <c r="C2905" s="11" t="s">
        <v>1849</v>
      </c>
      <c r="D2905" s="6" t="s">
        <v>1850</v>
      </c>
      <c r="E2905" s="11" t="s">
        <v>6642</v>
      </c>
      <c r="F2905" s="12" t="s">
        <v>6643</v>
      </c>
      <c r="G2905" s="12" t="s">
        <v>6642</v>
      </c>
      <c r="H2905" s="12" t="s">
        <v>6687</v>
      </c>
      <c r="I2905" s="12" t="s">
        <v>6938</v>
      </c>
      <c r="J2905" s="11" t="s">
        <v>1851</v>
      </c>
      <c r="K2905" s="11" t="s">
        <v>1852</v>
      </c>
      <c r="L2905" s="11" t="s">
        <v>1853</v>
      </c>
      <c r="M2905" s="11" t="s">
        <v>1854</v>
      </c>
      <c r="N2905" s="12"/>
      <c r="O2905" s="11" t="s">
        <v>2755</v>
      </c>
      <c r="P2905" s="56"/>
    </row>
    <row r="2906" spans="1:16" ht="15.75" customHeight="1" x14ac:dyDescent="0.2">
      <c r="A2906" s="48">
        <v>15415</v>
      </c>
      <c r="B2906" s="11" t="s">
        <v>1871</v>
      </c>
      <c r="C2906" s="11" t="s">
        <v>1849</v>
      </c>
      <c r="D2906" s="6" t="s">
        <v>1850</v>
      </c>
      <c r="E2906" s="11" t="s">
        <v>6642</v>
      </c>
      <c r="F2906" s="12" t="s">
        <v>6643</v>
      </c>
      <c r="G2906" s="12" t="s">
        <v>6642</v>
      </c>
      <c r="H2906" s="12" t="s">
        <v>6655</v>
      </c>
      <c r="I2906" s="12" t="s">
        <v>6880</v>
      </c>
      <c r="J2906" s="11" t="s">
        <v>1851</v>
      </c>
      <c r="K2906" s="11" t="s">
        <v>1852</v>
      </c>
      <c r="L2906" s="11" t="s">
        <v>1853</v>
      </c>
      <c r="M2906" s="11" t="s">
        <v>1854</v>
      </c>
      <c r="N2906" s="12"/>
      <c r="O2906" s="11" t="s">
        <v>2755</v>
      </c>
      <c r="P2906" s="56"/>
    </row>
    <row r="2907" spans="1:16" ht="15.75" customHeight="1" x14ac:dyDescent="0.2">
      <c r="A2907" s="48">
        <v>3668</v>
      </c>
      <c r="B2907" s="11" t="s">
        <v>1871</v>
      </c>
      <c r="C2907" s="11" t="s">
        <v>1849</v>
      </c>
      <c r="D2907" s="6" t="s">
        <v>1850</v>
      </c>
      <c r="E2907" s="11" t="s">
        <v>6642</v>
      </c>
      <c r="F2907" s="12" t="s">
        <v>6643</v>
      </c>
      <c r="G2907" s="12" t="s">
        <v>6642</v>
      </c>
      <c r="H2907" s="12" t="s">
        <v>6661</v>
      </c>
      <c r="I2907" s="12" t="s">
        <v>6939</v>
      </c>
      <c r="J2907" s="11" t="s">
        <v>1851</v>
      </c>
      <c r="K2907" s="11" t="s">
        <v>1852</v>
      </c>
      <c r="L2907" s="11" t="s">
        <v>1853</v>
      </c>
      <c r="M2907" s="11" t="s">
        <v>1854</v>
      </c>
      <c r="N2907" s="12"/>
      <c r="O2907" s="11" t="s">
        <v>2618</v>
      </c>
      <c r="P2907" s="56"/>
    </row>
    <row r="2908" spans="1:16" ht="15.75" customHeight="1" x14ac:dyDescent="0.2">
      <c r="A2908" s="48">
        <v>15418</v>
      </c>
      <c r="B2908" s="11" t="s">
        <v>1871</v>
      </c>
      <c r="C2908" s="11" t="s">
        <v>1849</v>
      </c>
      <c r="D2908" s="6" t="s">
        <v>1850</v>
      </c>
      <c r="E2908" s="11" t="s">
        <v>6642</v>
      </c>
      <c r="F2908" s="12" t="s">
        <v>6643</v>
      </c>
      <c r="G2908" s="12" t="s">
        <v>6642</v>
      </c>
      <c r="H2908" s="12" t="s">
        <v>6655</v>
      </c>
      <c r="I2908" s="12" t="s">
        <v>6940</v>
      </c>
      <c r="J2908" s="11" t="s">
        <v>1851</v>
      </c>
      <c r="K2908" s="11" t="s">
        <v>1852</v>
      </c>
      <c r="L2908" s="11" t="s">
        <v>1853</v>
      </c>
      <c r="M2908" s="11" t="s">
        <v>1854</v>
      </c>
      <c r="N2908" s="12"/>
      <c r="O2908" s="11" t="s">
        <v>2755</v>
      </c>
      <c r="P2908" s="56"/>
    </row>
    <row r="2909" spans="1:16" ht="15.75" customHeight="1" x14ac:dyDescent="0.2">
      <c r="A2909" s="48">
        <v>15419</v>
      </c>
      <c r="B2909" s="11" t="s">
        <v>1871</v>
      </c>
      <c r="C2909" s="11" t="s">
        <v>1849</v>
      </c>
      <c r="D2909" s="6" t="s">
        <v>1850</v>
      </c>
      <c r="E2909" s="11" t="s">
        <v>6642</v>
      </c>
      <c r="F2909" s="12" t="s">
        <v>6643</v>
      </c>
      <c r="G2909" s="12" t="s">
        <v>6642</v>
      </c>
      <c r="H2909" s="58" t="s">
        <v>6648</v>
      </c>
      <c r="I2909" s="12" t="s">
        <v>6941</v>
      </c>
      <c r="J2909" s="11" t="s">
        <v>1851</v>
      </c>
      <c r="K2909" s="11" t="s">
        <v>1852</v>
      </c>
      <c r="L2909" s="11" t="s">
        <v>1853</v>
      </c>
      <c r="M2909" s="11" t="s">
        <v>1854</v>
      </c>
      <c r="N2909" s="12"/>
      <c r="O2909" s="11" t="s">
        <v>2755</v>
      </c>
      <c r="P2909" s="56"/>
    </row>
    <row r="2910" spans="1:16" ht="15.75" customHeight="1" x14ac:dyDescent="0.2">
      <c r="A2910" s="48">
        <v>15420</v>
      </c>
      <c r="B2910" s="11" t="s">
        <v>1871</v>
      </c>
      <c r="C2910" s="11" t="s">
        <v>1849</v>
      </c>
      <c r="D2910" s="6" t="s">
        <v>1850</v>
      </c>
      <c r="E2910" s="11" t="s">
        <v>6642</v>
      </c>
      <c r="F2910" s="12" t="s">
        <v>6643</v>
      </c>
      <c r="G2910" s="12" t="s">
        <v>6642</v>
      </c>
      <c r="H2910" s="12" t="s">
        <v>6704</v>
      </c>
      <c r="I2910" s="12" t="s">
        <v>6942</v>
      </c>
      <c r="J2910" s="11" t="s">
        <v>1851</v>
      </c>
      <c r="K2910" s="11" t="s">
        <v>1852</v>
      </c>
      <c r="L2910" s="11" t="s">
        <v>1853</v>
      </c>
      <c r="M2910" s="11" t="s">
        <v>1854</v>
      </c>
      <c r="N2910" s="12"/>
      <c r="O2910" s="11" t="s">
        <v>2618</v>
      </c>
      <c r="P2910" s="56"/>
    </row>
    <row r="2911" spans="1:16" ht="15.75" customHeight="1" x14ac:dyDescent="0.2">
      <c r="A2911" s="48">
        <v>15422</v>
      </c>
      <c r="B2911" s="11" t="s">
        <v>1871</v>
      </c>
      <c r="C2911" s="11" t="s">
        <v>1849</v>
      </c>
      <c r="D2911" s="6" t="s">
        <v>1850</v>
      </c>
      <c r="E2911" s="11" t="s">
        <v>6642</v>
      </c>
      <c r="F2911" s="12" t="s">
        <v>6643</v>
      </c>
      <c r="G2911" s="12" t="s">
        <v>6642</v>
      </c>
      <c r="H2911" s="62" t="s">
        <v>6666</v>
      </c>
      <c r="I2911" s="12" t="s">
        <v>6943</v>
      </c>
      <c r="J2911" s="11" t="s">
        <v>1851</v>
      </c>
      <c r="K2911" s="11" t="s">
        <v>1852</v>
      </c>
      <c r="L2911" s="11" t="s">
        <v>1853</v>
      </c>
      <c r="M2911" s="11" t="s">
        <v>1854</v>
      </c>
      <c r="N2911" s="12"/>
      <c r="O2911" s="11" t="s">
        <v>1859</v>
      </c>
      <c r="P2911" s="56"/>
    </row>
    <row r="2912" spans="1:16" ht="15.75" customHeight="1" x14ac:dyDescent="0.2">
      <c r="A2912" s="48">
        <v>15640</v>
      </c>
      <c r="B2912" s="11" t="s">
        <v>1871</v>
      </c>
      <c r="C2912" s="11" t="s">
        <v>1849</v>
      </c>
      <c r="D2912" s="6" t="s">
        <v>1850</v>
      </c>
      <c r="E2912" s="11" t="s">
        <v>6642</v>
      </c>
      <c r="F2912" s="12" t="s">
        <v>6643</v>
      </c>
      <c r="G2912" s="12" t="s">
        <v>6642</v>
      </c>
      <c r="H2912" s="58" t="s">
        <v>6648</v>
      </c>
      <c r="I2912" s="12" t="s">
        <v>6944</v>
      </c>
      <c r="J2912" s="11" t="s">
        <v>1851</v>
      </c>
      <c r="K2912" s="11" t="s">
        <v>1852</v>
      </c>
      <c r="L2912" s="11" t="s">
        <v>1853</v>
      </c>
      <c r="M2912" s="11" t="s">
        <v>1854</v>
      </c>
      <c r="N2912" s="12"/>
      <c r="O2912" s="11" t="s">
        <v>1872</v>
      </c>
      <c r="P2912" s="56"/>
    </row>
    <row r="2913" spans="1:16" ht="15.75" customHeight="1" x14ac:dyDescent="0.2">
      <c r="A2913" s="48">
        <v>4854</v>
      </c>
      <c r="B2913" s="11" t="s">
        <v>1871</v>
      </c>
      <c r="C2913" s="11" t="s">
        <v>1849</v>
      </c>
      <c r="D2913" s="6" t="s">
        <v>1850</v>
      </c>
      <c r="E2913" s="11" t="s">
        <v>6642</v>
      </c>
      <c r="F2913" s="12" t="s">
        <v>6643</v>
      </c>
      <c r="G2913" s="12" t="s">
        <v>6642</v>
      </c>
      <c r="H2913" s="12" t="s">
        <v>6648</v>
      </c>
      <c r="I2913" s="12" t="s">
        <v>6945</v>
      </c>
      <c r="J2913" s="11" t="s">
        <v>1851</v>
      </c>
      <c r="K2913" s="11" t="s">
        <v>1852</v>
      </c>
      <c r="L2913" s="11" t="s">
        <v>1853</v>
      </c>
      <c r="M2913" s="11" t="s">
        <v>1854</v>
      </c>
      <c r="N2913" s="12"/>
      <c r="O2913" s="11" t="s">
        <v>1859</v>
      </c>
      <c r="P2913" s="56"/>
    </row>
    <row r="2914" spans="1:16" ht="15.75" customHeight="1" x14ac:dyDescent="0.2">
      <c r="A2914" s="48">
        <v>15845</v>
      </c>
      <c r="B2914" s="11" t="s">
        <v>1871</v>
      </c>
      <c r="C2914" s="11" t="s">
        <v>1849</v>
      </c>
      <c r="D2914" s="6" t="s">
        <v>1850</v>
      </c>
      <c r="E2914" s="11" t="s">
        <v>6642</v>
      </c>
      <c r="F2914" s="12" t="s">
        <v>6643</v>
      </c>
      <c r="G2914" s="12" t="s">
        <v>6642</v>
      </c>
      <c r="H2914" s="58" t="s">
        <v>6648</v>
      </c>
      <c r="I2914" s="12" t="s">
        <v>6946</v>
      </c>
      <c r="J2914" s="11" t="s">
        <v>1851</v>
      </c>
      <c r="K2914" s="11" t="s">
        <v>1852</v>
      </c>
      <c r="L2914" s="11" t="s">
        <v>1853</v>
      </c>
      <c r="M2914" s="11" t="s">
        <v>1854</v>
      </c>
      <c r="N2914" s="12"/>
      <c r="O2914" s="11" t="s">
        <v>3387</v>
      </c>
      <c r="P2914" s="56"/>
    </row>
    <row r="2915" spans="1:16" ht="15.75" customHeight="1" x14ac:dyDescent="0.2">
      <c r="A2915" s="48">
        <v>16106</v>
      </c>
      <c r="B2915" s="11" t="s">
        <v>1871</v>
      </c>
      <c r="C2915" s="11" t="s">
        <v>1849</v>
      </c>
      <c r="D2915" s="6" t="s">
        <v>1850</v>
      </c>
      <c r="E2915" s="11" t="s">
        <v>6642</v>
      </c>
      <c r="F2915" s="12" t="s">
        <v>6643</v>
      </c>
      <c r="G2915" s="12" t="s">
        <v>6642</v>
      </c>
      <c r="H2915" s="12" t="s">
        <v>6644</v>
      </c>
      <c r="I2915" s="12" t="s">
        <v>6947</v>
      </c>
      <c r="J2915" s="11" t="s">
        <v>1851</v>
      </c>
      <c r="K2915" s="11" t="s">
        <v>1852</v>
      </c>
      <c r="L2915" s="11" t="s">
        <v>1853</v>
      </c>
      <c r="M2915" s="11" t="s">
        <v>1854</v>
      </c>
      <c r="N2915" s="12"/>
      <c r="O2915" s="11" t="s">
        <v>1859</v>
      </c>
      <c r="P2915" s="56"/>
    </row>
    <row r="2916" spans="1:16" ht="15.75" customHeight="1" x14ac:dyDescent="0.2">
      <c r="A2916" s="48">
        <v>16113</v>
      </c>
      <c r="B2916" s="11" t="s">
        <v>1871</v>
      </c>
      <c r="C2916" s="11" t="s">
        <v>1849</v>
      </c>
      <c r="D2916" s="6" t="s">
        <v>1850</v>
      </c>
      <c r="E2916" s="11" t="s">
        <v>6642</v>
      </c>
      <c r="F2916" s="12" t="s">
        <v>6643</v>
      </c>
      <c r="G2916" s="12" t="s">
        <v>6642</v>
      </c>
      <c r="H2916" s="12" t="s">
        <v>6666</v>
      </c>
      <c r="I2916" s="12" t="s">
        <v>6948</v>
      </c>
      <c r="J2916" s="11" t="s">
        <v>1851</v>
      </c>
      <c r="K2916" s="11" t="s">
        <v>1852</v>
      </c>
      <c r="L2916" s="11" t="s">
        <v>1853</v>
      </c>
      <c r="M2916" s="11" t="s">
        <v>1854</v>
      </c>
      <c r="N2916" s="12"/>
      <c r="O2916" s="11" t="s">
        <v>6949</v>
      </c>
      <c r="P2916" s="56" t="s">
        <v>4736</v>
      </c>
    </row>
    <row r="2917" spans="1:16" ht="15.75" customHeight="1" x14ac:dyDescent="0.2">
      <c r="A2917" s="48">
        <v>7579</v>
      </c>
      <c r="B2917" s="11" t="s">
        <v>1857</v>
      </c>
      <c r="C2917" s="11" t="s">
        <v>1849</v>
      </c>
      <c r="D2917" s="6" t="s">
        <v>1875</v>
      </c>
      <c r="E2917" s="11" t="s">
        <v>6642</v>
      </c>
      <c r="F2917" s="12" t="s">
        <v>6643</v>
      </c>
      <c r="G2917" s="12" t="s">
        <v>6642</v>
      </c>
      <c r="H2917" s="58" t="s">
        <v>6646</v>
      </c>
      <c r="I2917" s="12" t="s">
        <v>6950</v>
      </c>
      <c r="J2917" s="11" t="s">
        <v>1851</v>
      </c>
      <c r="K2917" s="11" t="s">
        <v>1852</v>
      </c>
      <c r="L2917" s="11" t="s">
        <v>1853</v>
      </c>
      <c r="M2917" s="11" t="s">
        <v>1854</v>
      </c>
      <c r="N2917" s="12"/>
      <c r="O2917" s="11" t="s">
        <v>1854</v>
      </c>
      <c r="P2917" s="56"/>
    </row>
    <row r="2918" spans="1:16" ht="15.75" customHeight="1" x14ac:dyDescent="0.2">
      <c r="A2918" s="48">
        <v>7580</v>
      </c>
      <c r="B2918" s="11" t="s">
        <v>1857</v>
      </c>
      <c r="C2918" s="11" t="s">
        <v>1849</v>
      </c>
      <c r="D2918" s="6" t="s">
        <v>1875</v>
      </c>
      <c r="E2918" s="11" t="s">
        <v>6642</v>
      </c>
      <c r="F2918" s="12" t="s">
        <v>6643</v>
      </c>
      <c r="G2918" s="12" t="s">
        <v>6642</v>
      </c>
      <c r="H2918" s="58" t="s">
        <v>6646</v>
      </c>
      <c r="I2918" s="12" t="s">
        <v>6951</v>
      </c>
      <c r="J2918" s="11" t="s">
        <v>1851</v>
      </c>
      <c r="K2918" s="11" t="s">
        <v>1852</v>
      </c>
      <c r="L2918" s="11" t="s">
        <v>1853</v>
      </c>
      <c r="M2918" s="11" t="s">
        <v>1854</v>
      </c>
      <c r="N2918" s="12"/>
      <c r="O2918" s="11" t="s">
        <v>1854</v>
      </c>
      <c r="P2918" s="56"/>
    </row>
    <row r="2919" spans="1:16" ht="15.75" customHeight="1" x14ac:dyDescent="0.2">
      <c r="A2919" s="48">
        <v>7581</v>
      </c>
      <c r="B2919" s="11" t="s">
        <v>1857</v>
      </c>
      <c r="C2919" s="11" t="s">
        <v>1849</v>
      </c>
      <c r="D2919" s="6" t="s">
        <v>1875</v>
      </c>
      <c r="E2919" s="11" t="s">
        <v>6642</v>
      </c>
      <c r="F2919" s="12" t="s">
        <v>6643</v>
      </c>
      <c r="G2919" s="12" t="s">
        <v>6642</v>
      </c>
      <c r="H2919" s="58" t="s">
        <v>6646</v>
      </c>
      <c r="I2919" s="12" t="s">
        <v>6952</v>
      </c>
      <c r="J2919" s="11" t="s">
        <v>1851</v>
      </c>
      <c r="K2919" s="11" t="s">
        <v>1852</v>
      </c>
      <c r="L2919" s="11" t="s">
        <v>1853</v>
      </c>
      <c r="M2919" s="11" t="s">
        <v>1854</v>
      </c>
      <c r="N2919" s="12"/>
      <c r="O2919" s="11" t="s">
        <v>1854</v>
      </c>
      <c r="P2919" s="56"/>
    </row>
    <row r="2920" spans="1:16" ht="15.75" customHeight="1" x14ac:dyDescent="0.2">
      <c r="A2920" s="48">
        <v>7582</v>
      </c>
      <c r="B2920" s="11" t="s">
        <v>1857</v>
      </c>
      <c r="C2920" s="11" t="s">
        <v>1849</v>
      </c>
      <c r="D2920" s="6" t="s">
        <v>1875</v>
      </c>
      <c r="E2920" s="11" t="s">
        <v>6642</v>
      </c>
      <c r="F2920" s="12" t="s">
        <v>6643</v>
      </c>
      <c r="G2920" s="12" t="s">
        <v>6642</v>
      </c>
      <c r="H2920" s="58" t="s">
        <v>6689</v>
      </c>
      <c r="I2920" s="12" t="s">
        <v>6953</v>
      </c>
      <c r="J2920" s="11" t="s">
        <v>1851</v>
      </c>
      <c r="K2920" s="11" t="s">
        <v>1852</v>
      </c>
      <c r="L2920" s="11" t="s">
        <v>1853</v>
      </c>
      <c r="M2920" s="11" t="s">
        <v>1854</v>
      </c>
      <c r="N2920" s="12"/>
      <c r="O2920" s="11" t="s">
        <v>1854</v>
      </c>
      <c r="P2920" s="56"/>
    </row>
    <row r="2921" spans="1:16" ht="15.75" customHeight="1" x14ac:dyDescent="0.2">
      <c r="A2921" s="48">
        <v>7583</v>
      </c>
      <c r="B2921" s="11" t="s">
        <v>1857</v>
      </c>
      <c r="C2921" s="11" t="s">
        <v>1849</v>
      </c>
      <c r="D2921" s="6" t="s">
        <v>1875</v>
      </c>
      <c r="E2921" s="11" t="s">
        <v>6642</v>
      </c>
      <c r="F2921" s="12" t="s">
        <v>6643</v>
      </c>
      <c r="G2921" s="12" t="s">
        <v>6642</v>
      </c>
      <c r="H2921" s="58" t="s">
        <v>6689</v>
      </c>
      <c r="I2921" s="12" t="s">
        <v>6954</v>
      </c>
      <c r="J2921" s="11" t="s">
        <v>1851</v>
      </c>
      <c r="K2921" s="11" t="s">
        <v>1852</v>
      </c>
      <c r="L2921" s="11" t="s">
        <v>1853</v>
      </c>
      <c r="M2921" s="11" t="s">
        <v>1854</v>
      </c>
      <c r="N2921" s="12"/>
      <c r="O2921" s="11" t="s">
        <v>1854</v>
      </c>
      <c r="P2921" s="56"/>
    </row>
    <row r="2922" spans="1:16" ht="15.75" customHeight="1" x14ac:dyDescent="0.2">
      <c r="A2922" s="48">
        <v>7330</v>
      </c>
      <c r="B2922" s="11" t="s">
        <v>1857</v>
      </c>
      <c r="C2922" s="11" t="s">
        <v>1849</v>
      </c>
      <c r="D2922" s="6" t="s">
        <v>4261</v>
      </c>
      <c r="E2922" s="11" t="s">
        <v>6642</v>
      </c>
      <c r="F2922" s="12" t="s">
        <v>6643</v>
      </c>
      <c r="G2922" s="12" t="s">
        <v>6642</v>
      </c>
      <c r="H2922" s="58" t="s">
        <v>6646</v>
      </c>
      <c r="I2922" s="12" t="s">
        <v>6955</v>
      </c>
      <c r="J2922" s="11" t="s">
        <v>1851</v>
      </c>
      <c r="K2922" s="11" t="s">
        <v>1852</v>
      </c>
      <c r="L2922" s="11" t="s">
        <v>1853</v>
      </c>
      <c r="M2922" s="11" t="s">
        <v>6956</v>
      </c>
      <c r="N2922" s="12"/>
      <c r="O2922" s="11" t="s">
        <v>2350</v>
      </c>
      <c r="P2922" s="56" t="s">
        <v>1865</v>
      </c>
    </row>
    <row r="2923" spans="1:16" ht="15.75" customHeight="1" x14ac:dyDescent="0.2">
      <c r="A2923" s="48">
        <v>7316</v>
      </c>
      <c r="B2923" s="11" t="s">
        <v>1857</v>
      </c>
      <c r="C2923" s="11" t="s">
        <v>1849</v>
      </c>
      <c r="D2923" s="6" t="s">
        <v>2594</v>
      </c>
      <c r="E2923" s="11" t="s">
        <v>6642</v>
      </c>
      <c r="F2923" s="12" t="s">
        <v>6643</v>
      </c>
      <c r="G2923" s="12" t="s">
        <v>6642</v>
      </c>
      <c r="H2923" s="58" t="s">
        <v>6661</v>
      </c>
      <c r="I2923" s="12" t="s">
        <v>6957</v>
      </c>
      <c r="J2923" s="11" t="s">
        <v>1851</v>
      </c>
      <c r="K2923" s="11" t="s">
        <v>1852</v>
      </c>
      <c r="L2923" s="11" t="s">
        <v>1853</v>
      </c>
      <c r="M2923" s="11" t="s">
        <v>1854</v>
      </c>
      <c r="N2923" s="12"/>
      <c r="O2923" s="11" t="s">
        <v>1854</v>
      </c>
      <c r="P2923" s="56"/>
    </row>
    <row r="2924" spans="1:16" ht="15.75" customHeight="1" x14ac:dyDescent="0.2">
      <c r="A2924" s="48">
        <v>7317</v>
      </c>
      <c r="B2924" s="11" t="s">
        <v>1857</v>
      </c>
      <c r="C2924" s="11" t="s">
        <v>1849</v>
      </c>
      <c r="D2924" s="6" t="s">
        <v>2594</v>
      </c>
      <c r="E2924" s="11" t="s">
        <v>6642</v>
      </c>
      <c r="F2924" s="12" t="s">
        <v>6643</v>
      </c>
      <c r="G2924" s="12" t="s">
        <v>6642</v>
      </c>
      <c r="H2924" s="58" t="s">
        <v>6646</v>
      </c>
      <c r="I2924" s="12" t="s">
        <v>6958</v>
      </c>
      <c r="J2924" s="11" t="s">
        <v>1851</v>
      </c>
      <c r="K2924" s="11" t="s">
        <v>1852</v>
      </c>
      <c r="L2924" s="11" t="s">
        <v>1853</v>
      </c>
      <c r="M2924" s="11" t="s">
        <v>1854</v>
      </c>
      <c r="N2924" s="12"/>
      <c r="O2924" s="11" t="s">
        <v>2022</v>
      </c>
      <c r="P2924" s="56"/>
    </row>
    <row r="2925" spans="1:16" ht="15.75" customHeight="1" x14ac:dyDescent="0.2">
      <c r="A2925" s="48">
        <v>7318</v>
      </c>
      <c r="B2925" s="11" t="s">
        <v>1857</v>
      </c>
      <c r="C2925" s="11" t="s">
        <v>1849</v>
      </c>
      <c r="D2925" s="6" t="s">
        <v>2594</v>
      </c>
      <c r="E2925" s="11" t="s">
        <v>6642</v>
      </c>
      <c r="F2925" s="12" t="s">
        <v>6643</v>
      </c>
      <c r="G2925" s="12" t="s">
        <v>6642</v>
      </c>
      <c r="H2925" s="58" t="s">
        <v>6661</v>
      </c>
      <c r="I2925" s="12" t="s">
        <v>6959</v>
      </c>
      <c r="J2925" s="11" t="s">
        <v>1851</v>
      </c>
      <c r="K2925" s="11" t="s">
        <v>1852</v>
      </c>
      <c r="L2925" s="11" t="s">
        <v>1853</v>
      </c>
      <c r="M2925" s="11" t="s">
        <v>1854</v>
      </c>
      <c r="N2925" s="12"/>
      <c r="O2925" s="11" t="s">
        <v>1854</v>
      </c>
      <c r="P2925" s="56"/>
    </row>
    <row r="2926" spans="1:16" ht="15.75" customHeight="1" x14ac:dyDescent="0.2">
      <c r="A2926" s="48">
        <v>7319</v>
      </c>
      <c r="B2926" s="11" t="s">
        <v>1857</v>
      </c>
      <c r="C2926" s="11" t="s">
        <v>1849</v>
      </c>
      <c r="D2926" s="6" t="s">
        <v>2594</v>
      </c>
      <c r="E2926" s="11" t="s">
        <v>6642</v>
      </c>
      <c r="F2926" s="12" t="s">
        <v>6643</v>
      </c>
      <c r="G2926" s="12" t="s">
        <v>6642</v>
      </c>
      <c r="H2926" s="58" t="s">
        <v>6661</v>
      </c>
      <c r="I2926" s="12" t="s">
        <v>6960</v>
      </c>
      <c r="J2926" s="11" t="s">
        <v>1851</v>
      </c>
      <c r="K2926" s="11" t="s">
        <v>1852</v>
      </c>
      <c r="L2926" s="11" t="s">
        <v>1853</v>
      </c>
      <c r="M2926" s="11" t="s">
        <v>1854</v>
      </c>
      <c r="N2926" s="12"/>
      <c r="O2926" s="11" t="s">
        <v>1854</v>
      </c>
      <c r="P2926" s="56"/>
    </row>
    <row r="2927" spans="1:16" ht="15.75" customHeight="1" x14ac:dyDescent="0.2">
      <c r="A2927" s="48">
        <v>7320</v>
      </c>
      <c r="B2927" s="11" t="s">
        <v>1857</v>
      </c>
      <c r="C2927" s="11" t="s">
        <v>1849</v>
      </c>
      <c r="D2927" s="6" t="s">
        <v>2594</v>
      </c>
      <c r="E2927" s="11" t="s">
        <v>6642</v>
      </c>
      <c r="F2927" s="12" t="s">
        <v>6643</v>
      </c>
      <c r="G2927" s="12" t="s">
        <v>6642</v>
      </c>
      <c r="H2927" s="58" t="s">
        <v>6661</v>
      </c>
      <c r="I2927" s="12" t="s">
        <v>6961</v>
      </c>
      <c r="J2927" s="11" t="s">
        <v>1851</v>
      </c>
      <c r="K2927" s="11" t="s">
        <v>1852</v>
      </c>
      <c r="L2927" s="11" t="s">
        <v>1853</v>
      </c>
      <c r="M2927" s="11" t="s">
        <v>1854</v>
      </c>
      <c r="N2927" s="12"/>
      <c r="O2927" s="11" t="s">
        <v>1854</v>
      </c>
      <c r="P2927" s="56"/>
    </row>
    <row r="2928" spans="1:16" ht="15.75" customHeight="1" x14ac:dyDescent="0.2">
      <c r="A2928" s="48">
        <v>7321</v>
      </c>
      <c r="B2928" s="11" t="s">
        <v>1857</v>
      </c>
      <c r="C2928" s="11" t="s">
        <v>1849</v>
      </c>
      <c r="D2928" s="6" t="s">
        <v>2594</v>
      </c>
      <c r="E2928" s="11" t="s">
        <v>6642</v>
      </c>
      <c r="F2928" s="12" t="s">
        <v>6643</v>
      </c>
      <c r="G2928" s="12" t="s">
        <v>6642</v>
      </c>
      <c r="H2928" s="58" t="s">
        <v>6646</v>
      </c>
      <c r="I2928" s="12" t="s">
        <v>6962</v>
      </c>
      <c r="J2928" s="11" t="s">
        <v>1851</v>
      </c>
      <c r="K2928" s="11" t="s">
        <v>1852</v>
      </c>
      <c r="L2928" s="11" t="s">
        <v>1853</v>
      </c>
      <c r="M2928" s="11" t="s">
        <v>1854</v>
      </c>
      <c r="N2928" s="12"/>
      <c r="O2928" s="11" t="s">
        <v>1854</v>
      </c>
      <c r="P2928" s="56"/>
    </row>
    <row r="2929" spans="1:16" ht="15.75" customHeight="1" x14ac:dyDescent="0.2">
      <c r="A2929" s="48">
        <v>7322</v>
      </c>
      <c r="B2929" s="11" t="s">
        <v>1857</v>
      </c>
      <c r="C2929" s="11" t="s">
        <v>1849</v>
      </c>
      <c r="D2929" s="6" t="s">
        <v>2594</v>
      </c>
      <c r="E2929" s="11" t="s">
        <v>6642</v>
      </c>
      <c r="F2929" s="12" t="s">
        <v>6643</v>
      </c>
      <c r="G2929" s="12" t="s">
        <v>6642</v>
      </c>
      <c r="H2929" s="58" t="s">
        <v>6646</v>
      </c>
      <c r="I2929" s="12" t="s">
        <v>6963</v>
      </c>
      <c r="J2929" s="11" t="s">
        <v>1851</v>
      </c>
      <c r="K2929" s="11" t="s">
        <v>1852</v>
      </c>
      <c r="L2929" s="11" t="s">
        <v>1853</v>
      </c>
      <c r="M2929" s="11" t="s">
        <v>1854</v>
      </c>
      <c r="N2929" s="12"/>
      <c r="O2929" s="11" t="s">
        <v>2334</v>
      </c>
      <c r="P2929" s="56"/>
    </row>
    <row r="2930" spans="1:16" ht="15.75" customHeight="1" x14ac:dyDescent="0.2">
      <c r="A2930" s="48">
        <v>7326</v>
      </c>
      <c r="B2930" s="11" t="s">
        <v>1857</v>
      </c>
      <c r="C2930" s="11" t="s">
        <v>1849</v>
      </c>
      <c r="D2930" s="6" t="s">
        <v>2594</v>
      </c>
      <c r="E2930" s="11" t="s">
        <v>6642</v>
      </c>
      <c r="F2930" s="12" t="s">
        <v>6643</v>
      </c>
      <c r="G2930" s="12" t="s">
        <v>6642</v>
      </c>
      <c r="H2930" s="58" t="s">
        <v>6648</v>
      </c>
      <c r="I2930" s="12" t="s">
        <v>6964</v>
      </c>
      <c r="J2930" s="11" t="s">
        <v>1851</v>
      </c>
      <c r="K2930" s="11" t="s">
        <v>1852</v>
      </c>
      <c r="L2930" s="11" t="s">
        <v>1853</v>
      </c>
      <c r="M2930" s="11" t="s">
        <v>1854</v>
      </c>
      <c r="N2930" s="12"/>
      <c r="O2930" s="11" t="s">
        <v>1854</v>
      </c>
      <c r="P2930" s="56"/>
    </row>
    <row r="2931" spans="1:16" ht="15.75" customHeight="1" x14ac:dyDescent="0.2">
      <c r="A2931" s="48">
        <v>6964</v>
      </c>
      <c r="B2931" s="11" t="s">
        <v>1848</v>
      </c>
      <c r="C2931" s="11" t="s">
        <v>1876</v>
      </c>
      <c r="D2931" s="6" t="s">
        <v>1850</v>
      </c>
      <c r="E2931" s="11" t="s">
        <v>6642</v>
      </c>
      <c r="F2931" s="12" t="s">
        <v>6643</v>
      </c>
      <c r="G2931" s="12" t="s">
        <v>6642</v>
      </c>
      <c r="H2931" s="12" t="s">
        <v>6708</v>
      </c>
      <c r="I2931" s="12" t="s">
        <v>6965</v>
      </c>
      <c r="J2931" s="11" t="s">
        <v>1851</v>
      </c>
      <c r="K2931" s="11" t="s">
        <v>1852</v>
      </c>
      <c r="L2931" s="11" t="s">
        <v>1853</v>
      </c>
      <c r="M2931" s="11" t="s">
        <v>1854</v>
      </c>
      <c r="N2931" s="12"/>
      <c r="O2931" s="11" t="s">
        <v>1855</v>
      </c>
      <c r="P2931" s="56"/>
    </row>
    <row r="2932" spans="1:16" ht="15.75" customHeight="1" x14ac:dyDescent="0.2">
      <c r="A2932" s="48">
        <v>7009</v>
      </c>
      <c r="B2932" s="11" t="s">
        <v>1848</v>
      </c>
      <c r="C2932" s="11" t="s">
        <v>1876</v>
      </c>
      <c r="D2932" s="6" t="s">
        <v>1850</v>
      </c>
      <c r="E2932" s="11" t="s">
        <v>6642</v>
      </c>
      <c r="F2932" s="12" t="s">
        <v>6643</v>
      </c>
      <c r="G2932" s="12" t="s">
        <v>6642</v>
      </c>
      <c r="H2932" s="12" t="s">
        <v>6815</v>
      </c>
      <c r="I2932" s="12" t="s">
        <v>6966</v>
      </c>
      <c r="J2932" s="11" t="s">
        <v>1851</v>
      </c>
      <c r="K2932" s="11" t="s">
        <v>1852</v>
      </c>
      <c r="L2932" s="11" t="s">
        <v>1853</v>
      </c>
      <c r="M2932" s="11" t="s">
        <v>1854</v>
      </c>
      <c r="N2932" s="12"/>
      <c r="O2932" s="11" t="s">
        <v>1855</v>
      </c>
      <c r="P2932" s="56"/>
    </row>
    <row r="2933" spans="1:16" ht="15.75" customHeight="1" x14ac:dyDescent="0.2">
      <c r="A2933" s="48">
        <v>7037</v>
      </c>
      <c r="B2933" s="11" t="s">
        <v>1848</v>
      </c>
      <c r="C2933" s="11" t="s">
        <v>1876</v>
      </c>
      <c r="D2933" s="6" t="s">
        <v>1850</v>
      </c>
      <c r="E2933" s="11" t="s">
        <v>6642</v>
      </c>
      <c r="F2933" s="12" t="s">
        <v>6643</v>
      </c>
      <c r="G2933" s="12" t="s">
        <v>6642</v>
      </c>
      <c r="H2933" s="12" t="s">
        <v>2768</v>
      </c>
      <c r="I2933" s="12" t="s">
        <v>6967</v>
      </c>
      <c r="J2933" s="11" t="s">
        <v>1851</v>
      </c>
      <c r="K2933" s="11" t="s">
        <v>1852</v>
      </c>
      <c r="L2933" s="11" t="s">
        <v>1853</v>
      </c>
      <c r="M2933" s="11" t="s">
        <v>1854</v>
      </c>
      <c r="N2933" s="12"/>
      <c r="O2933" s="11" t="s">
        <v>1855</v>
      </c>
      <c r="P2933" s="56"/>
    </row>
    <row r="2934" spans="1:16" ht="15.75" customHeight="1" x14ac:dyDescent="0.2">
      <c r="A2934" s="48">
        <v>7042</v>
      </c>
      <c r="B2934" s="11" t="s">
        <v>1848</v>
      </c>
      <c r="C2934" s="11" t="s">
        <v>1876</v>
      </c>
      <c r="D2934" s="6" t="s">
        <v>1850</v>
      </c>
      <c r="E2934" s="11" t="s">
        <v>6642</v>
      </c>
      <c r="F2934" s="12" t="s">
        <v>6643</v>
      </c>
      <c r="G2934" s="12" t="s">
        <v>6642</v>
      </c>
      <c r="H2934" s="12" t="s">
        <v>3542</v>
      </c>
      <c r="I2934" s="12" t="s">
        <v>6968</v>
      </c>
      <c r="J2934" s="11" t="s">
        <v>1851</v>
      </c>
      <c r="K2934" s="11" t="s">
        <v>1852</v>
      </c>
      <c r="L2934" s="11" t="s">
        <v>1853</v>
      </c>
      <c r="M2934" s="11" t="s">
        <v>6969</v>
      </c>
      <c r="N2934" s="12"/>
      <c r="O2934" s="11" t="s">
        <v>1855</v>
      </c>
      <c r="P2934" s="56"/>
    </row>
    <row r="2935" spans="1:16" ht="15.75" customHeight="1" x14ac:dyDescent="0.2">
      <c r="A2935" s="48">
        <v>7043</v>
      </c>
      <c r="B2935" s="11" t="s">
        <v>1848</v>
      </c>
      <c r="C2935" s="11" t="s">
        <v>1876</v>
      </c>
      <c r="D2935" s="6" t="s">
        <v>1850</v>
      </c>
      <c r="E2935" s="11" t="s">
        <v>6642</v>
      </c>
      <c r="F2935" s="12" t="s">
        <v>6643</v>
      </c>
      <c r="G2935" s="12" t="s">
        <v>6642</v>
      </c>
      <c r="H2935" s="12" t="s">
        <v>3542</v>
      </c>
      <c r="I2935" s="12" t="s">
        <v>6970</v>
      </c>
      <c r="J2935" s="11" t="s">
        <v>1851</v>
      </c>
      <c r="K2935" s="11" t="s">
        <v>1852</v>
      </c>
      <c r="L2935" s="11" t="s">
        <v>1853</v>
      </c>
      <c r="M2935" s="11" t="s">
        <v>1854</v>
      </c>
      <c r="N2935" s="12"/>
      <c r="O2935" s="11" t="s">
        <v>1855</v>
      </c>
      <c r="P2935" s="56"/>
    </row>
    <row r="2936" spans="1:16" ht="15.75" customHeight="1" x14ac:dyDescent="0.2">
      <c r="A2936" s="48">
        <v>7045</v>
      </c>
      <c r="B2936" s="11" t="s">
        <v>1848</v>
      </c>
      <c r="C2936" s="11" t="s">
        <v>1876</v>
      </c>
      <c r="D2936" s="6" t="s">
        <v>1850</v>
      </c>
      <c r="E2936" s="11" t="s">
        <v>6642</v>
      </c>
      <c r="F2936" s="12" t="s">
        <v>6643</v>
      </c>
      <c r="G2936" s="12" t="s">
        <v>6642</v>
      </c>
      <c r="H2936" s="12" t="s">
        <v>6687</v>
      </c>
      <c r="I2936" s="12" t="s">
        <v>6971</v>
      </c>
      <c r="J2936" s="11" t="s">
        <v>1851</v>
      </c>
      <c r="K2936" s="11" t="s">
        <v>1852</v>
      </c>
      <c r="L2936" s="11" t="s">
        <v>1853</v>
      </c>
      <c r="M2936" s="11" t="s">
        <v>1854</v>
      </c>
      <c r="N2936" s="12"/>
      <c r="O2936" s="11" t="s">
        <v>1855</v>
      </c>
      <c r="P2936" s="56"/>
    </row>
    <row r="2937" spans="1:16" ht="15.75" customHeight="1" x14ac:dyDescent="0.2">
      <c r="A2937" s="48">
        <v>7271</v>
      </c>
      <c r="B2937" s="11" t="s">
        <v>1848</v>
      </c>
      <c r="C2937" s="11" t="s">
        <v>1876</v>
      </c>
      <c r="D2937" s="6" t="s">
        <v>1850</v>
      </c>
      <c r="E2937" s="11" t="s">
        <v>6642</v>
      </c>
      <c r="F2937" s="12" t="s">
        <v>6643</v>
      </c>
      <c r="G2937" s="12" t="s">
        <v>6642</v>
      </c>
      <c r="H2937" s="12" t="s">
        <v>6658</v>
      </c>
      <c r="I2937" s="12" t="s">
        <v>6972</v>
      </c>
      <c r="J2937" s="11" t="s">
        <v>1851</v>
      </c>
      <c r="K2937" s="11" t="s">
        <v>1852</v>
      </c>
      <c r="L2937" s="11" t="s">
        <v>1853</v>
      </c>
      <c r="M2937" s="11" t="s">
        <v>1854</v>
      </c>
      <c r="N2937" s="12"/>
      <c r="O2937" s="11" t="s">
        <v>1855</v>
      </c>
      <c r="P2937" s="56"/>
    </row>
    <row r="2938" spans="1:16" ht="15.75" customHeight="1" x14ac:dyDescent="0.2">
      <c r="A2938" s="48">
        <v>7273</v>
      </c>
      <c r="B2938" s="11" t="s">
        <v>1848</v>
      </c>
      <c r="C2938" s="11" t="s">
        <v>1876</v>
      </c>
      <c r="D2938" s="6" t="s">
        <v>1850</v>
      </c>
      <c r="E2938" s="11" t="s">
        <v>6642</v>
      </c>
      <c r="F2938" s="12" t="s">
        <v>6643</v>
      </c>
      <c r="G2938" s="12" t="s">
        <v>6642</v>
      </c>
      <c r="H2938" s="12" t="s">
        <v>6687</v>
      </c>
      <c r="I2938" s="12" t="s">
        <v>6973</v>
      </c>
      <c r="J2938" s="11" t="s">
        <v>1851</v>
      </c>
      <c r="K2938" s="11" t="s">
        <v>1852</v>
      </c>
      <c r="L2938" s="11" t="s">
        <v>1853</v>
      </c>
      <c r="M2938" s="11" t="s">
        <v>1854</v>
      </c>
      <c r="N2938" s="12"/>
      <c r="O2938" s="11" t="s">
        <v>1855</v>
      </c>
      <c r="P2938" s="56"/>
    </row>
    <row r="2939" spans="1:16" ht="15.75" customHeight="1" x14ac:dyDescent="0.2">
      <c r="A2939" s="48">
        <v>7274</v>
      </c>
      <c r="B2939" s="11" t="s">
        <v>1848</v>
      </c>
      <c r="C2939" s="11" t="s">
        <v>1876</v>
      </c>
      <c r="D2939" s="6" t="s">
        <v>1850</v>
      </c>
      <c r="E2939" s="11" t="s">
        <v>6642</v>
      </c>
      <c r="F2939" s="12" t="s">
        <v>6643</v>
      </c>
      <c r="G2939" s="12" t="s">
        <v>6642</v>
      </c>
      <c r="H2939" s="12" t="s">
        <v>3542</v>
      </c>
      <c r="I2939" s="12" t="s">
        <v>6974</v>
      </c>
      <c r="J2939" s="11" t="s">
        <v>1851</v>
      </c>
      <c r="K2939" s="11" t="s">
        <v>1852</v>
      </c>
      <c r="L2939" s="11" t="s">
        <v>1853</v>
      </c>
      <c r="M2939" s="11" t="s">
        <v>1854</v>
      </c>
      <c r="N2939" s="12"/>
      <c r="O2939" s="11" t="s">
        <v>1855</v>
      </c>
      <c r="P2939" s="56"/>
    </row>
    <row r="2940" spans="1:16" ht="15.75" customHeight="1" x14ac:dyDescent="0.2">
      <c r="A2940" s="48">
        <v>15813</v>
      </c>
      <c r="B2940" s="11" t="s">
        <v>1848</v>
      </c>
      <c r="C2940" s="11" t="s">
        <v>1876</v>
      </c>
      <c r="D2940" s="6" t="s">
        <v>1850</v>
      </c>
      <c r="E2940" s="11" t="s">
        <v>6642</v>
      </c>
      <c r="F2940" s="12" t="s">
        <v>6643</v>
      </c>
      <c r="G2940" s="12" t="s">
        <v>6642</v>
      </c>
      <c r="H2940" s="12" t="s">
        <v>6658</v>
      </c>
      <c r="I2940" s="12" t="s">
        <v>6975</v>
      </c>
      <c r="J2940" s="11" t="s">
        <v>1851</v>
      </c>
      <c r="K2940" s="11" t="s">
        <v>1852</v>
      </c>
      <c r="L2940" s="11" t="s">
        <v>1853</v>
      </c>
      <c r="M2940" s="11" t="s">
        <v>1854</v>
      </c>
      <c r="N2940" s="12"/>
      <c r="O2940" s="11" t="s">
        <v>1855</v>
      </c>
      <c r="P2940" s="56"/>
    </row>
    <row r="2941" spans="1:16" ht="15.75" customHeight="1" x14ac:dyDescent="0.2">
      <c r="A2941" s="48">
        <v>15774</v>
      </c>
      <c r="B2941" s="11" t="s">
        <v>1848</v>
      </c>
      <c r="C2941" s="11" t="s">
        <v>1876</v>
      </c>
      <c r="D2941" s="6" t="s">
        <v>1850</v>
      </c>
      <c r="E2941" s="11" t="s">
        <v>6642</v>
      </c>
      <c r="F2941" s="12" t="s">
        <v>6643</v>
      </c>
      <c r="G2941" s="12" t="s">
        <v>6642</v>
      </c>
      <c r="H2941" s="12" t="s">
        <v>6708</v>
      </c>
      <c r="I2941" s="12" t="s">
        <v>6976</v>
      </c>
      <c r="J2941" s="11" t="s">
        <v>1851</v>
      </c>
      <c r="K2941" s="11" t="s">
        <v>1852</v>
      </c>
      <c r="L2941" s="11" t="s">
        <v>1853</v>
      </c>
      <c r="M2941" s="11" t="s">
        <v>1854</v>
      </c>
      <c r="N2941" s="12"/>
      <c r="O2941" s="11" t="s">
        <v>1855</v>
      </c>
      <c r="P2941" s="56"/>
    </row>
    <row r="2942" spans="1:16" ht="15.75" customHeight="1" x14ac:dyDescent="0.2">
      <c r="A2942" s="48">
        <v>7384</v>
      </c>
      <c r="B2942" s="11" t="s">
        <v>1848</v>
      </c>
      <c r="C2942" s="11" t="s">
        <v>1876</v>
      </c>
      <c r="D2942" s="6" t="s">
        <v>1850</v>
      </c>
      <c r="E2942" s="11" t="s">
        <v>6642</v>
      </c>
      <c r="F2942" s="12" t="s">
        <v>6643</v>
      </c>
      <c r="G2942" s="12" t="s">
        <v>6642</v>
      </c>
      <c r="H2942" s="12" t="s">
        <v>6658</v>
      </c>
      <c r="I2942" s="12" t="s">
        <v>6977</v>
      </c>
      <c r="J2942" s="11" t="s">
        <v>1851</v>
      </c>
      <c r="K2942" s="11" t="s">
        <v>1852</v>
      </c>
      <c r="L2942" s="11" t="s">
        <v>1853</v>
      </c>
      <c r="M2942" s="11" t="s">
        <v>1854</v>
      </c>
      <c r="N2942" s="12"/>
      <c r="O2942" s="11" t="s">
        <v>1855</v>
      </c>
      <c r="P2942" s="56"/>
    </row>
    <row r="2943" spans="1:16" ht="15.75" customHeight="1" x14ac:dyDescent="0.2">
      <c r="A2943" s="48">
        <v>7447</v>
      </c>
      <c r="B2943" s="11" t="s">
        <v>1848</v>
      </c>
      <c r="C2943" s="11" t="s">
        <v>1876</v>
      </c>
      <c r="D2943" s="6" t="s">
        <v>1850</v>
      </c>
      <c r="E2943" s="11" t="s">
        <v>6642</v>
      </c>
      <c r="F2943" s="12" t="s">
        <v>6643</v>
      </c>
      <c r="G2943" s="12" t="s">
        <v>6642</v>
      </c>
      <c r="H2943" s="12" t="s">
        <v>3542</v>
      </c>
      <c r="I2943" s="12" t="s">
        <v>6978</v>
      </c>
      <c r="J2943" s="11" t="s">
        <v>1851</v>
      </c>
      <c r="K2943" s="11" t="s">
        <v>1852</v>
      </c>
      <c r="L2943" s="11" t="s">
        <v>1853</v>
      </c>
      <c r="M2943" s="11" t="s">
        <v>1854</v>
      </c>
      <c r="N2943" s="12"/>
      <c r="O2943" s="11" t="s">
        <v>1855</v>
      </c>
      <c r="P2943" s="56"/>
    </row>
    <row r="2944" spans="1:16" ht="15.75" customHeight="1" x14ac:dyDescent="0.2">
      <c r="A2944" s="48">
        <v>7446</v>
      </c>
      <c r="B2944" s="11" t="s">
        <v>1848</v>
      </c>
      <c r="C2944" s="11" t="s">
        <v>1876</v>
      </c>
      <c r="D2944" s="6" t="s">
        <v>1850</v>
      </c>
      <c r="E2944" s="11" t="s">
        <v>6642</v>
      </c>
      <c r="F2944" s="12" t="s">
        <v>6643</v>
      </c>
      <c r="G2944" s="12" t="s">
        <v>6642</v>
      </c>
      <c r="H2944" s="12" t="s">
        <v>6689</v>
      </c>
      <c r="I2944" s="12" t="s">
        <v>6979</v>
      </c>
      <c r="J2944" s="11" t="s">
        <v>1851</v>
      </c>
      <c r="K2944" s="11" t="s">
        <v>1852</v>
      </c>
      <c r="L2944" s="11" t="s">
        <v>1853</v>
      </c>
      <c r="M2944" s="11" t="s">
        <v>1854</v>
      </c>
      <c r="N2944" s="12"/>
      <c r="O2944" s="11" t="s">
        <v>1855</v>
      </c>
      <c r="P2944" s="56"/>
    </row>
    <row r="2945" spans="1:16" ht="15.75" customHeight="1" x14ac:dyDescent="0.2">
      <c r="A2945" s="48">
        <v>7350</v>
      </c>
      <c r="B2945" s="11" t="s">
        <v>1848</v>
      </c>
      <c r="C2945" s="11" t="s">
        <v>1876</v>
      </c>
      <c r="D2945" s="6" t="s">
        <v>1850</v>
      </c>
      <c r="E2945" s="11" t="s">
        <v>6642</v>
      </c>
      <c r="F2945" s="12" t="s">
        <v>6643</v>
      </c>
      <c r="G2945" s="12" t="s">
        <v>6642</v>
      </c>
      <c r="H2945" s="12" t="s">
        <v>2768</v>
      </c>
      <c r="I2945" s="12" t="s">
        <v>6980</v>
      </c>
      <c r="J2945" s="11" t="s">
        <v>1851</v>
      </c>
      <c r="K2945" s="11" t="s">
        <v>1852</v>
      </c>
      <c r="L2945" s="11" t="s">
        <v>1853</v>
      </c>
      <c r="M2945" s="11" t="s">
        <v>1854</v>
      </c>
      <c r="N2945" s="12"/>
      <c r="O2945" s="11" t="s">
        <v>1855</v>
      </c>
      <c r="P2945" s="56"/>
    </row>
    <row r="2946" spans="1:16" ht="15.75" customHeight="1" x14ac:dyDescent="0.2">
      <c r="A2946" s="48">
        <v>7405</v>
      </c>
      <c r="B2946" s="11" t="s">
        <v>1848</v>
      </c>
      <c r="C2946" s="11" t="s">
        <v>1876</v>
      </c>
      <c r="D2946" s="6" t="s">
        <v>1850</v>
      </c>
      <c r="E2946" s="11" t="s">
        <v>6642</v>
      </c>
      <c r="F2946" s="12" t="s">
        <v>6643</v>
      </c>
      <c r="G2946" s="12" t="s">
        <v>6642</v>
      </c>
      <c r="H2946" s="12" t="s">
        <v>6687</v>
      </c>
      <c r="I2946" s="12" t="s">
        <v>6981</v>
      </c>
      <c r="J2946" s="11" t="s">
        <v>1851</v>
      </c>
      <c r="K2946" s="11" t="s">
        <v>1852</v>
      </c>
      <c r="L2946" s="11" t="s">
        <v>1853</v>
      </c>
      <c r="M2946" s="11" t="s">
        <v>1854</v>
      </c>
      <c r="N2946" s="12"/>
      <c r="O2946" s="11" t="s">
        <v>1855</v>
      </c>
      <c r="P2946" s="56"/>
    </row>
    <row r="2947" spans="1:16" ht="15.75" customHeight="1" x14ac:dyDescent="0.2">
      <c r="A2947" s="48">
        <v>7393</v>
      </c>
      <c r="B2947" s="11" t="s">
        <v>1848</v>
      </c>
      <c r="C2947" s="11" t="s">
        <v>1876</v>
      </c>
      <c r="D2947" s="6" t="s">
        <v>1850</v>
      </c>
      <c r="E2947" s="11" t="s">
        <v>6642</v>
      </c>
      <c r="F2947" s="12" t="s">
        <v>6643</v>
      </c>
      <c r="G2947" s="12" t="s">
        <v>6642</v>
      </c>
      <c r="H2947" s="12" t="s">
        <v>6661</v>
      </c>
      <c r="I2947" s="12" t="s">
        <v>6982</v>
      </c>
      <c r="J2947" s="11" t="s">
        <v>1851</v>
      </c>
      <c r="K2947" s="11" t="s">
        <v>1852</v>
      </c>
      <c r="L2947" s="11" t="s">
        <v>1853</v>
      </c>
      <c r="M2947" s="11" t="s">
        <v>1854</v>
      </c>
      <c r="N2947" s="12"/>
      <c r="O2947" s="11" t="s">
        <v>1855</v>
      </c>
      <c r="P2947" s="56"/>
    </row>
    <row r="2948" spans="1:16" ht="15.75" customHeight="1" x14ac:dyDescent="0.2">
      <c r="A2948" s="48">
        <v>7010</v>
      </c>
      <c r="B2948" s="11" t="s">
        <v>1848</v>
      </c>
      <c r="C2948" s="11" t="s">
        <v>1876</v>
      </c>
      <c r="D2948" s="6" t="s">
        <v>1850</v>
      </c>
      <c r="E2948" s="11" t="s">
        <v>6642</v>
      </c>
      <c r="F2948" s="12" t="s">
        <v>6643</v>
      </c>
      <c r="G2948" s="12" t="s">
        <v>6642</v>
      </c>
      <c r="H2948" s="12" t="s">
        <v>6661</v>
      </c>
      <c r="I2948" s="12" t="s">
        <v>6983</v>
      </c>
      <c r="J2948" s="11" t="s">
        <v>1851</v>
      </c>
      <c r="K2948" s="11" t="s">
        <v>1852</v>
      </c>
      <c r="L2948" s="11" t="s">
        <v>1853</v>
      </c>
      <c r="M2948" s="11" t="s">
        <v>1854</v>
      </c>
      <c r="N2948" s="12"/>
      <c r="O2948" s="11" t="s">
        <v>1855</v>
      </c>
      <c r="P2948" s="56"/>
    </row>
    <row r="2949" spans="1:16" ht="15.75" customHeight="1" x14ac:dyDescent="0.2">
      <c r="A2949" s="48">
        <v>7361</v>
      </c>
      <c r="B2949" s="11" t="s">
        <v>1848</v>
      </c>
      <c r="C2949" s="11" t="s">
        <v>1876</v>
      </c>
      <c r="D2949" s="6" t="s">
        <v>1850</v>
      </c>
      <c r="E2949" s="11" t="s">
        <v>6642</v>
      </c>
      <c r="F2949" s="12" t="s">
        <v>6643</v>
      </c>
      <c r="G2949" s="12" t="s">
        <v>6642</v>
      </c>
      <c r="H2949" s="12" t="s">
        <v>6658</v>
      </c>
      <c r="I2949" s="12" t="s">
        <v>6984</v>
      </c>
      <c r="J2949" s="11" t="s">
        <v>1851</v>
      </c>
      <c r="K2949" s="11" t="s">
        <v>1852</v>
      </c>
      <c r="L2949" s="11" t="s">
        <v>1853</v>
      </c>
      <c r="M2949" s="11" t="s">
        <v>1854</v>
      </c>
      <c r="N2949" s="12"/>
      <c r="O2949" s="11" t="s">
        <v>1855</v>
      </c>
      <c r="P2949" s="56"/>
    </row>
    <row r="2950" spans="1:16" ht="15.75" customHeight="1" x14ac:dyDescent="0.2">
      <c r="A2950" s="48">
        <v>7268</v>
      </c>
      <c r="B2950" s="11" t="s">
        <v>1848</v>
      </c>
      <c r="C2950" s="11" t="s">
        <v>1876</v>
      </c>
      <c r="D2950" s="6" t="s">
        <v>1850</v>
      </c>
      <c r="E2950" s="11" t="s">
        <v>6642</v>
      </c>
      <c r="F2950" s="12" t="s">
        <v>6643</v>
      </c>
      <c r="G2950" s="12" t="s">
        <v>6642</v>
      </c>
      <c r="H2950" s="12" t="s">
        <v>6644</v>
      </c>
      <c r="I2950" s="12" t="s">
        <v>6985</v>
      </c>
      <c r="J2950" s="11" t="s">
        <v>1851</v>
      </c>
      <c r="K2950" s="11" t="s">
        <v>1852</v>
      </c>
      <c r="L2950" s="11" t="s">
        <v>1853</v>
      </c>
      <c r="M2950" s="11" t="s">
        <v>1854</v>
      </c>
      <c r="N2950" s="12"/>
      <c r="O2950" s="11" t="s">
        <v>1855</v>
      </c>
      <c r="P2950" s="56"/>
    </row>
    <row r="2951" spans="1:16" ht="15.75" customHeight="1" x14ac:dyDescent="0.2">
      <c r="A2951" s="48">
        <v>7354</v>
      </c>
      <c r="B2951" s="11" t="s">
        <v>1848</v>
      </c>
      <c r="C2951" s="11" t="s">
        <v>1876</v>
      </c>
      <c r="D2951" s="6" t="s">
        <v>1850</v>
      </c>
      <c r="E2951" s="11" t="s">
        <v>6642</v>
      </c>
      <c r="F2951" s="12" t="s">
        <v>6643</v>
      </c>
      <c r="G2951" s="12" t="s">
        <v>6642</v>
      </c>
      <c r="H2951" s="12" t="s">
        <v>2626</v>
      </c>
      <c r="I2951" s="12" t="s">
        <v>6986</v>
      </c>
      <c r="J2951" s="11" t="s">
        <v>1851</v>
      </c>
      <c r="K2951" s="11" t="s">
        <v>1852</v>
      </c>
      <c r="L2951" s="11" t="s">
        <v>1853</v>
      </c>
      <c r="M2951" s="11" t="s">
        <v>1854</v>
      </c>
      <c r="N2951" s="12"/>
      <c r="O2951" s="11" t="s">
        <v>1855</v>
      </c>
      <c r="P2951" s="56"/>
    </row>
    <row r="2952" spans="1:16" ht="15.75" customHeight="1" x14ac:dyDescent="0.2">
      <c r="A2952" s="48">
        <v>7040</v>
      </c>
      <c r="B2952" s="11" t="s">
        <v>1848</v>
      </c>
      <c r="C2952" s="11" t="s">
        <v>1876</v>
      </c>
      <c r="D2952" s="6" t="s">
        <v>1850</v>
      </c>
      <c r="E2952" s="11" t="s">
        <v>6642</v>
      </c>
      <c r="F2952" s="12" t="s">
        <v>6643</v>
      </c>
      <c r="G2952" s="12" t="s">
        <v>6642</v>
      </c>
      <c r="H2952" s="12" t="s">
        <v>3542</v>
      </c>
      <c r="I2952" s="12" t="s">
        <v>6987</v>
      </c>
      <c r="J2952" s="11" t="s">
        <v>1851</v>
      </c>
      <c r="K2952" s="11" t="s">
        <v>1852</v>
      </c>
      <c r="L2952" s="11" t="s">
        <v>1853</v>
      </c>
      <c r="M2952" s="11" t="s">
        <v>1854</v>
      </c>
      <c r="N2952" s="12"/>
      <c r="O2952" s="11" t="s">
        <v>1855</v>
      </c>
      <c r="P2952" s="56"/>
    </row>
    <row r="2953" spans="1:16" ht="15.75" customHeight="1" x14ac:dyDescent="0.2">
      <c r="A2953" s="48">
        <v>15785</v>
      </c>
      <c r="B2953" s="11" t="s">
        <v>1848</v>
      </c>
      <c r="C2953" s="11" t="s">
        <v>1876</v>
      </c>
      <c r="D2953" s="6" t="s">
        <v>1850</v>
      </c>
      <c r="E2953" s="11" t="s">
        <v>6642</v>
      </c>
      <c r="F2953" s="12" t="s">
        <v>6643</v>
      </c>
      <c r="G2953" s="12" t="s">
        <v>6642</v>
      </c>
      <c r="H2953" s="12" t="s">
        <v>6655</v>
      </c>
      <c r="I2953" s="12" t="s">
        <v>6988</v>
      </c>
      <c r="J2953" s="11" t="s">
        <v>1851</v>
      </c>
      <c r="K2953" s="11" t="s">
        <v>1852</v>
      </c>
      <c r="L2953" s="11" t="s">
        <v>1853</v>
      </c>
      <c r="M2953" s="11" t="s">
        <v>1854</v>
      </c>
      <c r="N2953" s="12"/>
      <c r="O2953" s="11" t="s">
        <v>1855</v>
      </c>
      <c r="P2953" s="56"/>
    </row>
    <row r="2954" spans="1:16" ht="15.75" customHeight="1" x14ac:dyDescent="0.2">
      <c r="A2954" s="48">
        <v>15776</v>
      </c>
      <c r="B2954" s="11" t="s">
        <v>1848</v>
      </c>
      <c r="C2954" s="11" t="s">
        <v>1876</v>
      </c>
      <c r="D2954" s="6" t="s">
        <v>1850</v>
      </c>
      <c r="E2954" s="11" t="s">
        <v>6642</v>
      </c>
      <c r="F2954" s="12" t="s">
        <v>6643</v>
      </c>
      <c r="G2954" s="12" t="s">
        <v>6642</v>
      </c>
      <c r="H2954" s="12" t="s">
        <v>6708</v>
      </c>
      <c r="I2954" s="12" t="s">
        <v>6989</v>
      </c>
      <c r="J2954" s="11" t="s">
        <v>1851</v>
      </c>
      <c r="K2954" s="11" t="s">
        <v>1852</v>
      </c>
      <c r="L2954" s="11" t="s">
        <v>1853</v>
      </c>
      <c r="M2954" s="11" t="s">
        <v>1854</v>
      </c>
      <c r="N2954" s="12"/>
      <c r="O2954" s="11" t="s">
        <v>1855</v>
      </c>
      <c r="P2954" s="56"/>
    </row>
    <row r="2955" spans="1:16" ht="15.75" customHeight="1" x14ac:dyDescent="0.2">
      <c r="A2955" s="48">
        <v>7449</v>
      </c>
      <c r="B2955" s="11" t="s">
        <v>1848</v>
      </c>
      <c r="C2955" s="11" t="s">
        <v>1876</v>
      </c>
      <c r="D2955" s="6" t="s">
        <v>1850</v>
      </c>
      <c r="E2955" s="11" t="s">
        <v>6642</v>
      </c>
      <c r="F2955" s="12" t="s">
        <v>6643</v>
      </c>
      <c r="G2955" s="12" t="s">
        <v>6642</v>
      </c>
      <c r="H2955" s="12" t="s">
        <v>6687</v>
      </c>
      <c r="I2955" s="12" t="s">
        <v>6990</v>
      </c>
      <c r="J2955" s="11" t="s">
        <v>1851</v>
      </c>
      <c r="K2955" s="11" t="s">
        <v>1852</v>
      </c>
      <c r="L2955" s="11" t="s">
        <v>1853</v>
      </c>
      <c r="M2955" s="11" t="s">
        <v>1854</v>
      </c>
      <c r="N2955" s="12"/>
      <c r="O2955" s="11" t="s">
        <v>1855</v>
      </c>
      <c r="P2955" s="56"/>
    </row>
    <row r="2956" spans="1:16" ht="15.75" customHeight="1" x14ac:dyDescent="0.2">
      <c r="A2956" s="48">
        <v>7398</v>
      </c>
      <c r="B2956" s="11" t="s">
        <v>1848</v>
      </c>
      <c r="C2956" s="11" t="s">
        <v>1876</v>
      </c>
      <c r="D2956" s="6" t="s">
        <v>1850</v>
      </c>
      <c r="E2956" s="11" t="s">
        <v>6642</v>
      </c>
      <c r="F2956" s="12" t="s">
        <v>6643</v>
      </c>
      <c r="G2956" s="12" t="s">
        <v>6642</v>
      </c>
      <c r="H2956" s="12" t="s">
        <v>6661</v>
      </c>
      <c r="I2956" s="12" t="s">
        <v>6991</v>
      </c>
      <c r="J2956" s="11" t="s">
        <v>1851</v>
      </c>
      <c r="K2956" s="11" t="s">
        <v>1852</v>
      </c>
      <c r="L2956" s="11" t="s">
        <v>1853</v>
      </c>
      <c r="M2956" s="11" t="s">
        <v>1854</v>
      </c>
      <c r="N2956" s="12"/>
      <c r="O2956" s="11" t="s">
        <v>1855</v>
      </c>
      <c r="P2956" s="56"/>
    </row>
    <row r="2957" spans="1:16" ht="15.75" customHeight="1" x14ac:dyDescent="0.2">
      <c r="A2957" s="48">
        <v>15782</v>
      </c>
      <c r="B2957" s="11" t="s">
        <v>1848</v>
      </c>
      <c r="C2957" s="11" t="s">
        <v>1876</v>
      </c>
      <c r="D2957" s="6" t="s">
        <v>1850</v>
      </c>
      <c r="E2957" s="11" t="s">
        <v>6642</v>
      </c>
      <c r="F2957" s="12" t="s">
        <v>6643</v>
      </c>
      <c r="G2957" s="12" t="s">
        <v>6642</v>
      </c>
      <c r="H2957" s="12" t="s">
        <v>6655</v>
      </c>
      <c r="I2957" s="12" t="s">
        <v>6992</v>
      </c>
      <c r="J2957" s="11" t="s">
        <v>1851</v>
      </c>
      <c r="K2957" s="11" t="s">
        <v>1852</v>
      </c>
      <c r="L2957" s="11" t="s">
        <v>1853</v>
      </c>
      <c r="M2957" s="11" t="s">
        <v>1854</v>
      </c>
      <c r="N2957" s="12"/>
      <c r="O2957" s="11" t="s">
        <v>1855</v>
      </c>
      <c r="P2957" s="56"/>
    </row>
    <row r="2958" spans="1:16" ht="15.75" customHeight="1" x14ac:dyDescent="0.2">
      <c r="A2958" s="48">
        <v>6983</v>
      </c>
      <c r="B2958" s="11" t="s">
        <v>1848</v>
      </c>
      <c r="C2958" s="11" t="s">
        <v>1876</v>
      </c>
      <c r="D2958" s="6" t="s">
        <v>1850</v>
      </c>
      <c r="E2958" s="11" t="s">
        <v>6642</v>
      </c>
      <c r="F2958" s="12" t="s">
        <v>6643</v>
      </c>
      <c r="G2958" s="12" t="s">
        <v>6642</v>
      </c>
      <c r="H2958" s="58" t="s">
        <v>6646</v>
      </c>
      <c r="I2958" s="12" t="s">
        <v>6993</v>
      </c>
      <c r="J2958" s="11" t="s">
        <v>1851</v>
      </c>
      <c r="K2958" s="11" t="s">
        <v>1852</v>
      </c>
      <c r="L2958" s="11" t="s">
        <v>1853</v>
      </c>
      <c r="M2958" s="11" t="s">
        <v>1854</v>
      </c>
      <c r="N2958" s="12"/>
      <c r="O2958" s="11" t="s">
        <v>1855</v>
      </c>
      <c r="P2958" s="56"/>
    </row>
    <row r="2959" spans="1:16" ht="15.75" customHeight="1" x14ac:dyDescent="0.2">
      <c r="A2959" s="48">
        <v>6995</v>
      </c>
      <c r="B2959" s="11" t="s">
        <v>1848</v>
      </c>
      <c r="C2959" s="11" t="s">
        <v>1876</v>
      </c>
      <c r="D2959" s="6" t="s">
        <v>1850</v>
      </c>
      <c r="E2959" s="11" t="s">
        <v>6642</v>
      </c>
      <c r="F2959" s="12" t="s">
        <v>6643</v>
      </c>
      <c r="G2959" s="12" t="s">
        <v>6642</v>
      </c>
      <c r="H2959" s="12" t="s">
        <v>6658</v>
      </c>
      <c r="I2959" s="12" t="s">
        <v>6994</v>
      </c>
      <c r="J2959" s="11" t="s">
        <v>1851</v>
      </c>
      <c r="K2959" s="11" t="s">
        <v>1852</v>
      </c>
      <c r="L2959" s="11" t="s">
        <v>1853</v>
      </c>
      <c r="M2959" s="11" t="s">
        <v>6995</v>
      </c>
      <c r="N2959" s="12"/>
      <c r="O2959" s="11" t="s">
        <v>1860</v>
      </c>
      <c r="P2959" s="56"/>
    </row>
    <row r="2960" spans="1:16" ht="15.75" customHeight="1" x14ac:dyDescent="0.2">
      <c r="A2960" s="48">
        <v>7047</v>
      </c>
      <c r="B2960" s="11" t="s">
        <v>1848</v>
      </c>
      <c r="C2960" s="11" t="s">
        <v>1876</v>
      </c>
      <c r="D2960" s="6" t="s">
        <v>1850</v>
      </c>
      <c r="E2960" s="11" t="s">
        <v>6642</v>
      </c>
      <c r="F2960" s="12" t="s">
        <v>6643</v>
      </c>
      <c r="G2960" s="12" t="s">
        <v>6642</v>
      </c>
      <c r="H2960" s="58" t="s">
        <v>6687</v>
      </c>
      <c r="I2960" s="12" t="s">
        <v>6996</v>
      </c>
      <c r="J2960" s="11" t="s">
        <v>1851</v>
      </c>
      <c r="K2960" s="11" t="s">
        <v>1852</v>
      </c>
      <c r="L2960" s="11" t="s">
        <v>1853</v>
      </c>
      <c r="M2960" s="11" t="s">
        <v>1854</v>
      </c>
      <c r="N2960" s="12"/>
      <c r="O2960" s="11" t="s">
        <v>1855</v>
      </c>
      <c r="P2960" s="56"/>
    </row>
    <row r="2961" spans="1:16" ht="15.75" customHeight="1" x14ac:dyDescent="0.2">
      <c r="A2961" s="48">
        <v>7061</v>
      </c>
      <c r="B2961" s="11" t="s">
        <v>1848</v>
      </c>
      <c r="C2961" s="11" t="s">
        <v>1876</v>
      </c>
      <c r="D2961" s="6" t="s">
        <v>1850</v>
      </c>
      <c r="E2961" s="11" t="s">
        <v>6642</v>
      </c>
      <c r="F2961" s="12" t="s">
        <v>6643</v>
      </c>
      <c r="G2961" s="12" t="s">
        <v>6642</v>
      </c>
      <c r="H2961" s="12" t="s">
        <v>6658</v>
      </c>
      <c r="I2961" s="12" t="s">
        <v>6997</v>
      </c>
      <c r="J2961" s="11" t="s">
        <v>1851</v>
      </c>
      <c r="K2961" s="11" t="s">
        <v>1852</v>
      </c>
      <c r="L2961" s="11" t="s">
        <v>1853</v>
      </c>
      <c r="M2961" s="11" t="s">
        <v>1854</v>
      </c>
      <c r="N2961" s="12"/>
      <c r="O2961" s="11" t="s">
        <v>1855</v>
      </c>
      <c r="P2961" s="56"/>
    </row>
    <row r="2962" spans="1:16" ht="15.75" customHeight="1" x14ac:dyDescent="0.2">
      <c r="A2962" s="48">
        <v>7066</v>
      </c>
      <c r="B2962" s="11" t="s">
        <v>1848</v>
      </c>
      <c r="C2962" s="11" t="s">
        <v>1876</v>
      </c>
      <c r="D2962" s="6" t="s">
        <v>1850</v>
      </c>
      <c r="E2962" s="11" t="s">
        <v>6642</v>
      </c>
      <c r="F2962" s="12" t="s">
        <v>6643</v>
      </c>
      <c r="G2962" s="12" t="s">
        <v>6642</v>
      </c>
      <c r="H2962" s="12" t="s">
        <v>6657</v>
      </c>
      <c r="I2962" s="12" t="s">
        <v>6998</v>
      </c>
      <c r="J2962" s="11" t="s">
        <v>1851</v>
      </c>
      <c r="K2962" s="11" t="s">
        <v>1852</v>
      </c>
      <c r="L2962" s="11" t="s">
        <v>1853</v>
      </c>
      <c r="M2962" s="11" t="s">
        <v>1854</v>
      </c>
      <c r="N2962" s="12"/>
      <c r="O2962" s="11" t="s">
        <v>1855</v>
      </c>
      <c r="P2962" s="56"/>
    </row>
    <row r="2963" spans="1:16" ht="15.75" customHeight="1" x14ac:dyDescent="0.2">
      <c r="A2963" s="48">
        <v>7117</v>
      </c>
      <c r="B2963" s="11" t="s">
        <v>1848</v>
      </c>
      <c r="C2963" s="11" t="s">
        <v>1876</v>
      </c>
      <c r="D2963" s="6" t="s">
        <v>1850</v>
      </c>
      <c r="E2963" s="11" t="s">
        <v>6642</v>
      </c>
      <c r="F2963" s="12" t="s">
        <v>6643</v>
      </c>
      <c r="G2963" s="12" t="s">
        <v>6642</v>
      </c>
      <c r="H2963" s="58" t="s">
        <v>6648</v>
      </c>
      <c r="I2963" s="12" t="s">
        <v>6999</v>
      </c>
      <c r="J2963" s="11" t="s">
        <v>1851</v>
      </c>
      <c r="K2963" s="11" t="s">
        <v>1852</v>
      </c>
      <c r="L2963" s="11" t="s">
        <v>1853</v>
      </c>
      <c r="M2963" s="11" t="s">
        <v>1854</v>
      </c>
      <c r="N2963" s="12"/>
      <c r="O2963" s="11" t="s">
        <v>1855</v>
      </c>
      <c r="P2963" s="56"/>
    </row>
    <row r="2964" spans="1:16" ht="15.75" customHeight="1" x14ac:dyDescent="0.2">
      <c r="A2964" s="48">
        <v>15816</v>
      </c>
      <c r="B2964" s="11" t="s">
        <v>1848</v>
      </c>
      <c r="C2964" s="11" t="s">
        <v>1876</v>
      </c>
      <c r="D2964" s="6" t="s">
        <v>1850</v>
      </c>
      <c r="E2964" s="11" t="s">
        <v>6642</v>
      </c>
      <c r="F2964" s="12" t="s">
        <v>6643</v>
      </c>
      <c r="G2964" s="12" t="s">
        <v>6642</v>
      </c>
      <c r="H2964" s="58" t="s">
        <v>6648</v>
      </c>
      <c r="I2964" s="12" t="s">
        <v>7000</v>
      </c>
      <c r="J2964" s="11" t="s">
        <v>1851</v>
      </c>
      <c r="K2964" s="11" t="s">
        <v>1852</v>
      </c>
      <c r="L2964" s="11" t="s">
        <v>1853</v>
      </c>
      <c r="M2964" s="11" t="s">
        <v>1854</v>
      </c>
      <c r="N2964" s="12"/>
      <c r="O2964" s="11" t="s">
        <v>1855</v>
      </c>
      <c r="P2964" s="56"/>
    </row>
    <row r="2965" spans="1:16" ht="15.75" customHeight="1" x14ac:dyDescent="0.2">
      <c r="A2965" s="48">
        <v>7442</v>
      </c>
      <c r="B2965" s="11" t="s">
        <v>1848</v>
      </c>
      <c r="C2965" s="11" t="s">
        <v>1876</v>
      </c>
      <c r="D2965" s="6" t="s">
        <v>1850</v>
      </c>
      <c r="E2965" s="11" t="s">
        <v>6642</v>
      </c>
      <c r="F2965" s="12" t="s">
        <v>6643</v>
      </c>
      <c r="G2965" s="12" t="s">
        <v>6642</v>
      </c>
      <c r="H2965" s="12" t="s">
        <v>6708</v>
      </c>
      <c r="I2965" s="12" t="s">
        <v>7001</v>
      </c>
      <c r="J2965" s="11" t="s">
        <v>1851</v>
      </c>
      <c r="K2965" s="11" t="s">
        <v>1852</v>
      </c>
      <c r="L2965" s="11" t="s">
        <v>1853</v>
      </c>
      <c r="M2965" s="11" t="s">
        <v>7002</v>
      </c>
      <c r="N2965" s="12" t="s">
        <v>7003</v>
      </c>
      <c r="O2965" s="11" t="s">
        <v>1860</v>
      </c>
      <c r="P2965" s="56"/>
    </row>
    <row r="2966" spans="1:16" ht="15.75" customHeight="1" x14ac:dyDescent="0.2">
      <c r="A2966" s="48">
        <v>7358</v>
      </c>
      <c r="B2966" s="11" t="s">
        <v>1848</v>
      </c>
      <c r="C2966" s="11" t="s">
        <v>1876</v>
      </c>
      <c r="D2966" s="6" t="s">
        <v>1850</v>
      </c>
      <c r="E2966" s="11" t="s">
        <v>6642</v>
      </c>
      <c r="F2966" s="12" t="s">
        <v>6643</v>
      </c>
      <c r="G2966" s="12" t="s">
        <v>6642</v>
      </c>
      <c r="H2966" s="58" t="s">
        <v>6648</v>
      </c>
      <c r="I2966" s="12" t="s">
        <v>7004</v>
      </c>
      <c r="J2966" s="11" t="s">
        <v>1851</v>
      </c>
      <c r="K2966" s="11" t="s">
        <v>1852</v>
      </c>
      <c r="L2966" s="11" t="s">
        <v>1853</v>
      </c>
      <c r="M2966" s="11" t="s">
        <v>1854</v>
      </c>
      <c r="N2966" s="12"/>
      <c r="O2966" s="11" t="s">
        <v>1855</v>
      </c>
      <c r="P2966" s="56"/>
    </row>
    <row r="2967" spans="1:16" ht="15.75" customHeight="1" x14ac:dyDescent="0.2">
      <c r="A2967" s="48">
        <v>7397</v>
      </c>
      <c r="B2967" s="11" t="s">
        <v>1848</v>
      </c>
      <c r="C2967" s="11" t="s">
        <v>1876</v>
      </c>
      <c r="D2967" s="6" t="s">
        <v>1850</v>
      </c>
      <c r="E2967" s="11" t="s">
        <v>6642</v>
      </c>
      <c r="F2967" s="12" t="s">
        <v>6643</v>
      </c>
      <c r="G2967" s="12" t="s">
        <v>6642</v>
      </c>
      <c r="H2967" s="12" t="s">
        <v>6661</v>
      </c>
      <c r="I2967" s="12" t="s">
        <v>7005</v>
      </c>
      <c r="J2967" s="11" t="s">
        <v>1851</v>
      </c>
      <c r="K2967" s="11" t="s">
        <v>1852</v>
      </c>
      <c r="L2967" s="11" t="s">
        <v>1853</v>
      </c>
      <c r="M2967" s="11" t="s">
        <v>1854</v>
      </c>
      <c r="N2967" s="12"/>
      <c r="O2967" s="11" t="s">
        <v>1855</v>
      </c>
      <c r="P2967" s="56"/>
    </row>
    <row r="2968" spans="1:16" ht="15.75" customHeight="1" x14ac:dyDescent="0.2">
      <c r="A2968" s="48">
        <v>15312</v>
      </c>
      <c r="B2968" s="11" t="s">
        <v>1848</v>
      </c>
      <c r="C2968" s="11" t="s">
        <v>1876</v>
      </c>
      <c r="D2968" s="6" t="s">
        <v>1850</v>
      </c>
      <c r="E2968" s="11" t="s">
        <v>6642</v>
      </c>
      <c r="F2968" s="12" t="s">
        <v>6643</v>
      </c>
      <c r="G2968" s="12" t="s">
        <v>6642</v>
      </c>
      <c r="H2968" s="12" t="s">
        <v>6655</v>
      </c>
      <c r="I2968" s="12" t="s">
        <v>7006</v>
      </c>
      <c r="J2968" s="11" t="s">
        <v>1851</v>
      </c>
      <c r="K2968" s="11" t="s">
        <v>1852</v>
      </c>
      <c r="L2968" s="11" t="s">
        <v>1853</v>
      </c>
      <c r="M2968" s="11" t="s">
        <v>1854</v>
      </c>
      <c r="N2968" s="12"/>
      <c r="O2968" s="11" t="s">
        <v>1855</v>
      </c>
      <c r="P2968" s="56"/>
    </row>
    <row r="2969" spans="1:16" ht="15.75" customHeight="1" x14ac:dyDescent="0.2">
      <c r="A2969" s="48">
        <v>15313</v>
      </c>
      <c r="B2969" s="11" t="s">
        <v>1848</v>
      </c>
      <c r="C2969" s="11" t="s">
        <v>1876</v>
      </c>
      <c r="D2969" s="6" t="s">
        <v>1850</v>
      </c>
      <c r="E2969" s="11" t="s">
        <v>6642</v>
      </c>
      <c r="F2969" s="12" t="s">
        <v>6643</v>
      </c>
      <c r="G2969" s="12" t="s">
        <v>6642</v>
      </c>
      <c r="H2969" s="12" t="s">
        <v>2626</v>
      </c>
      <c r="I2969" s="12" t="s">
        <v>7007</v>
      </c>
      <c r="J2969" s="11" t="s">
        <v>1851</v>
      </c>
      <c r="K2969" s="11" t="s">
        <v>1852</v>
      </c>
      <c r="L2969" s="11" t="s">
        <v>1853</v>
      </c>
      <c r="M2969" s="11" t="s">
        <v>1854</v>
      </c>
      <c r="N2969" s="12"/>
      <c r="O2969" s="11" t="s">
        <v>1855</v>
      </c>
      <c r="P2969" s="56"/>
    </row>
    <row r="2970" spans="1:16" ht="15.75" customHeight="1" x14ac:dyDescent="0.2">
      <c r="A2970" s="49">
        <v>7423</v>
      </c>
      <c r="B2970" s="11" t="s">
        <v>1848</v>
      </c>
      <c r="C2970" s="11" t="s">
        <v>1876</v>
      </c>
      <c r="D2970" s="6" t="s">
        <v>1850</v>
      </c>
      <c r="E2970" s="11" t="s">
        <v>6642</v>
      </c>
      <c r="F2970" s="12" t="s">
        <v>6643</v>
      </c>
      <c r="G2970" s="12" t="s">
        <v>6642</v>
      </c>
      <c r="H2970" s="12" t="s">
        <v>6708</v>
      </c>
      <c r="I2970" s="12" t="s">
        <v>7008</v>
      </c>
      <c r="J2970" s="11" t="s">
        <v>1851</v>
      </c>
      <c r="K2970" s="11" t="s">
        <v>1852</v>
      </c>
      <c r="L2970" s="11" t="s">
        <v>1853</v>
      </c>
      <c r="M2970" s="11" t="s">
        <v>1854</v>
      </c>
      <c r="N2970" s="12"/>
      <c r="O2970" s="11" t="s">
        <v>1855</v>
      </c>
      <c r="P2970" s="56"/>
    </row>
    <row r="2971" spans="1:16" ht="15.75" customHeight="1" x14ac:dyDescent="0.2">
      <c r="A2971" s="48">
        <v>15315</v>
      </c>
      <c r="B2971" s="11" t="s">
        <v>1848</v>
      </c>
      <c r="C2971" s="11" t="s">
        <v>1876</v>
      </c>
      <c r="D2971" s="6" t="s">
        <v>1850</v>
      </c>
      <c r="E2971" s="11" t="s">
        <v>6642</v>
      </c>
      <c r="F2971" s="12" t="s">
        <v>6643</v>
      </c>
      <c r="G2971" s="12" t="s">
        <v>6642</v>
      </c>
      <c r="H2971" s="12" t="s">
        <v>6708</v>
      </c>
      <c r="I2971" s="12" t="s">
        <v>7009</v>
      </c>
      <c r="J2971" s="11" t="s">
        <v>1851</v>
      </c>
      <c r="K2971" s="11" t="s">
        <v>1852</v>
      </c>
      <c r="L2971" s="11" t="s">
        <v>1853</v>
      </c>
      <c r="M2971" s="11" t="s">
        <v>1854</v>
      </c>
      <c r="N2971" s="12"/>
      <c r="O2971" s="11" t="s">
        <v>1855</v>
      </c>
      <c r="P2971" s="56"/>
    </row>
    <row r="2972" spans="1:16" ht="15.75" customHeight="1" x14ac:dyDescent="0.2">
      <c r="A2972" s="49">
        <v>7420</v>
      </c>
      <c r="B2972" s="11" t="s">
        <v>1848</v>
      </c>
      <c r="C2972" s="11" t="s">
        <v>1876</v>
      </c>
      <c r="D2972" s="6" t="s">
        <v>1850</v>
      </c>
      <c r="E2972" s="11" t="s">
        <v>6642</v>
      </c>
      <c r="F2972" s="12" t="s">
        <v>6643</v>
      </c>
      <c r="G2972" s="12" t="s">
        <v>6642</v>
      </c>
      <c r="H2972" s="12" t="s">
        <v>6655</v>
      </c>
      <c r="I2972" s="9" t="s">
        <v>7010</v>
      </c>
      <c r="J2972" s="11" t="s">
        <v>1851</v>
      </c>
      <c r="K2972" s="11" t="s">
        <v>1852</v>
      </c>
      <c r="L2972" s="11" t="s">
        <v>1853</v>
      </c>
      <c r="M2972" s="11" t="s">
        <v>1854</v>
      </c>
      <c r="N2972" s="12"/>
      <c r="O2972" s="11" t="s">
        <v>1855</v>
      </c>
      <c r="P2972" s="56"/>
    </row>
    <row r="2973" spans="1:16" ht="15.75" customHeight="1" x14ac:dyDescent="0.2">
      <c r="A2973" s="48">
        <v>15317</v>
      </c>
      <c r="B2973" s="11" t="s">
        <v>1848</v>
      </c>
      <c r="C2973" s="11" t="s">
        <v>1876</v>
      </c>
      <c r="D2973" s="6" t="s">
        <v>1850</v>
      </c>
      <c r="E2973" s="11" t="s">
        <v>6642</v>
      </c>
      <c r="F2973" s="12" t="s">
        <v>6643</v>
      </c>
      <c r="G2973" s="12" t="s">
        <v>6642</v>
      </c>
      <c r="H2973" s="12" t="s">
        <v>6655</v>
      </c>
      <c r="I2973" s="12" t="s">
        <v>7011</v>
      </c>
      <c r="J2973" s="11" t="s">
        <v>1851</v>
      </c>
      <c r="K2973" s="11" t="s">
        <v>1852</v>
      </c>
      <c r="L2973" s="11" t="s">
        <v>1853</v>
      </c>
      <c r="M2973" s="11" t="s">
        <v>1854</v>
      </c>
      <c r="N2973" s="12"/>
      <c r="O2973" s="11" t="s">
        <v>1855</v>
      </c>
      <c r="P2973" s="56"/>
    </row>
    <row r="2974" spans="1:16" ht="15.75" customHeight="1" x14ac:dyDescent="0.2">
      <c r="A2974" s="49">
        <v>7421</v>
      </c>
      <c r="B2974" s="11" t="s">
        <v>1848</v>
      </c>
      <c r="C2974" s="11" t="s">
        <v>1876</v>
      </c>
      <c r="D2974" s="6" t="s">
        <v>1850</v>
      </c>
      <c r="E2974" s="11" t="s">
        <v>6642</v>
      </c>
      <c r="F2974" s="12" t="s">
        <v>6643</v>
      </c>
      <c r="G2974" s="12" t="s">
        <v>6642</v>
      </c>
      <c r="H2974" s="12" t="s">
        <v>2626</v>
      </c>
      <c r="I2974" s="12" t="s">
        <v>7012</v>
      </c>
      <c r="J2974" s="11" t="s">
        <v>1851</v>
      </c>
      <c r="K2974" s="11" t="s">
        <v>1852</v>
      </c>
      <c r="L2974" s="11" t="s">
        <v>1853</v>
      </c>
      <c r="M2974" s="11" t="s">
        <v>1854</v>
      </c>
      <c r="N2974" s="12"/>
      <c r="O2974" s="11" t="s">
        <v>1855</v>
      </c>
      <c r="P2974" s="56"/>
    </row>
    <row r="2975" spans="1:16" ht="15.75" customHeight="1" x14ac:dyDescent="0.2">
      <c r="A2975" s="49">
        <v>7426</v>
      </c>
      <c r="B2975" s="11" t="s">
        <v>1848</v>
      </c>
      <c r="C2975" s="11" t="s">
        <v>1876</v>
      </c>
      <c r="D2975" s="6" t="s">
        <v>1850</v>
      </c>
      <c r="E2975" s="11" t="s">
        <v>6642</v>
      </c>
      <c r="F2975" s="12" t="s">
        <v>6643</v>
      </c>
      <c r="G2975" s="12" t="s">
        <v>6642</v>
      </c>
      <c r="H2975" s="12" t="s">
        <v>2626</v>
      </c>
      <c r="I2975" s="12" t="s">
        <v>7013</v>
      </c>
      <c r="J2975" s="11" t="s">
        <v>1851</v>
      </c>
      <c r="K2975" s="11" t="s">
        <v>1852</v>
      </c>
      <c r="L2975" s="11" t="s">
        <v>1853</v>
      </c>
      <c r="M2975" s="11" t="s">
        <v>1854</v>
      </c>
      <c r="N2975" s="12"/>
      <c r="O2975" s="11" t="s">
        <v>1855</v>
      </c>
      <c r="P2975" s="56"/>
    </row>
    <row r="2976" spans="1:16" ht="15.75" customHeight="1" x14ac:dyDescent="0.2">
      <c r="A2976" s="48">
        <v>15321</v>
      </c>
      <c r="B2976" s="11" t="s">
        <v>1848</v>
      </c>
      <c r="C2976" s="11" t="s">
        <v>1876</v>
      </c>
      <c r="D2976" s="6" t="s">
        <v>1850</v>
      </c>
      <c r="E2976" s="11" t="s">
        <v>6642</v>
      </c>
      <c r="F2976" s="12" t="s">
        <v>6643</v>
      </c>
      <c r="G2976" s="12" t="s">
        <v>6642</v>
      </c>
      <c r="H2976" s="12" t="s">
        <v>3542</v>
      </c>
      <c r="I2976" s="12" t="s">
        <v>7014</v>
      </c>
      <c r="J2976" s="11" t="s">
        <v>1851</v>
      </c>
      <c r="K2976" s="11" t="s">
        <v>1852</v>
      </c>
      <c r="L2976" s="11" t="s">
        <v>1853</v>
      </c>
      <c r="M2976" s="11" t="s">
        <v>1854</v>
      </c>
      <c r="N2976" s="12"/>
      <c r="O2976" s="11" t="s">
        <v>1855</v>
      </c>
      <c r="P2976" s="56"/>
    </row>
    <row r="2977" spans="1:16" ht="15.75" customHeight="1" x14ac:dyDescent="0.2">
      <c r="A2977" s="49">
        <v>7367</v>
      </c>
      <c r="B2977" s="11" t="s">
        <v>1848</v>
      </c>
      <c r="C2977" s="11" t="s">
        <v>1876</v>
      </c>
      <c r="D2977" s="6" t="s">
        <v>1850</v>
      </c>
      <c r="E2977" s="11" t="s">
        <v>6642</v>
      </c>
      <c r="F2977" s="12" t="s">
        <v>6643</v>
      </c>
      <c r="G2977" s="12" t="s">
        <v>6642</v>
      </c>
      <c r="H2977" s="58" t="s">
        <v>6648</v>
      </c>
      <c r="I2977" s="12" t="s">
        <v>7015</v>
      </c>
      <c r="J2977" s="11" t="s">
        <v>1851</v>
      </c>
      <c r="K2977" s="11" t="s">
        <v>1852</v>
      </c>
      <c r="L2977" s="11" t="s">
        <v>1853</v>
      </c>
      <c r="M2977" s="11" t="s">
        <v>1854</v>
      </c>
      <c r="N2977" s="12"/>
      <c r="O2977" s="11" t="s">
        <v>1855</v>
      </c>
      <c r="P2977" s="56"/>
    </row>
    <row r="2978" spans="1:16" ht="15.75" customHeight="1" x14ac:dyDescent="0.2">
      <c r="A2978" s="49">
        <v>7427</v>
      </c>
      <c r="B2978" s="11" t="s">
        <v>1848</v>
      </c>
      <c r="C2978" s="11" t="s">
        <v>1876</v>
      </c>
      <c r="D2978" s="6" t="s">
        <v>1850</v>
      </c>
      <c r="E2978" s="11" t="s">
        <v>6642</v>
      </c>
      <c r="F2978" s="12" t="s">
        <v>6643</v>
      </c>
      <c r="G2978" s="12" t="s">
        <v>6642</v>
      </c>
      <c r="H2978" s="58" t="s">
        <v>6648</v>
      </c>
      <c r="I2978" s="12" t="s">
        <v>7016</v>
      </c>
      <c r="J2978" s="11" t="s">
        <v>1851</v>
      </c>
      <c r="K2978" s="11" t="s">
        <v>1852</v>
      </c>
      <c r="L2978" s="11" t="s">
        <v>1853</v>
      </c>
      <c r="M2978" s="11" t="s">
        <v>1854</v>
      </c>
      <c r="N2978" s="12"/>
      <c r="O2978" s="11" t="s">
        <v>1855</v>
      </c>
      <c r="P2978" s="56"/>
    </row>
    <row r="2979" spans="1:16" ht="15.75" customHeight="1" x14ac:dyDescent="0.2">
      <c r="A2979" s="49">
        <v>7433</v>
      </c>
      <c r="B2979" s="11" t="s">
        <v>1848</v>
      </c>
      <c r="C2979" s="11" t="s">
        <v>1876</v>
      </c>
      <c r="D2979" s="6" t="s">
        <v>1850</v>
      </c>
      <c r="E2979" s="11" t="s">
        <v>6642</v>
      </c>
      <c r="F2979" s="12" t="s">
        <v>6643</v>
      </c>
      <c r="G2979" s="12" t="s">
        <v>6642</v>
      </c>
      <c r="H2979" s="12" t="s">
        <v>6687</v>
      </c>
      <c r="I2979" s="12" t="s">
        <v>7017</v>
      </c>
      <c r="J2979" s="11" t="s">
        <v>1851</v>
      </c>
      <c r="K2979" s="11" t="s">
        <v>1852</v>
      </c>
      <c r="L2979" s="11" t="s">
        <v>1853</v>
      </c>
      <c r="M2979" s="11" t="s">
        <v>1854</v>
      </c>
      <c r="N2979" s="12"/>
      <c r="O2979" s="11" t="s">
        <v>1855</v>
      </c>
      <c r="P2979" s="56"/>
    </row>
    <row r="2980" spans="1:16" ht="15.75" customHeight="1" x14ac:dyDescent="0.2">
      <c r="A2980" s="49">
        <v>7429</v>
      </c>
      <c r="B2980" s="11" t="s">
        <v>1848</v>
      </c>
      <c r="C2980" s="11" t="s">
        <v>1876</v>
      </c>
      <c r="D2980" s="6" t="s">
        <v>1850</v>
      </c>
      <c r="E2980" s="11" t="s">
        <v>6642</v>
      </c>
      <c r="F2980" s="12" t="s">
        <v>6643</v>
      </c>
      <c r="G2980" s="12" t="s">
        <v>6642</v>
      </c>
      <c r="H2980" s="12" t="s">
        <v>6708</v>
      </c>
      <c r="I2980" s="12" t="s">
        <v>7018</v>
      </c>
      <c r="J2980" s="11" t="s">
        <v>1851</v>
      </c>
      <c r="K2980" s="11" t="s">
        <v>1852</v>
      </c>
      <c r="L2980" s="11" t="s">
        <v>1853</v>
      </c>
      <c r="M2980" s="11" t="s">
        <v>1854</v>
      </c>
      <c r="N2980" s="12"/>
      <c r="O2980" s="11" t="s">
        <v>1855</v>
      </c>
      <c r="P2980" s="56"/>
    </row>
    <row r="2981" spans="1:16" ht="15.75" customHeight="1" x14ac:dyDescent="0.2">
      <c r="A2981" s="48">
        <v>15326</v>
      </c>
      <c r="B2981" s="11" t="s">
        <v>1848</v>
      </c>
      <c r="C2981" s="11" t="s">
        <v>1876</v>
      </c>
      <c r="D2981" s="6" t="s">
        <v>1850</v>
      </c>
      <c r="E2981" s="11" t="s">
        <v>6642</v>
      </c>
      <c r="F2981" s="12" t="s">
        <v>6643</v>
      </c>
      <c r="G2981" s="12" t="s">
        <v>6642</v>
      </c>
      <c r="H2981" s="12" t="s">
        <v>6708</v>
      </c>
      <c r="I2981" s="12" t="s">
        <v>7019</v>
      </c>
      <c r="J2981" s="11" t="s">
        <v>1851</v>
      </c>
      <c r="K2981" s="11" t="s">
        <v>1852</v>
      </c>
      <c r="L2981" s="11" t="s">
        <v>1853</v>
      </c>
      <c r="M2981" s="11" t="s">
        <v>1854</v>
      </c>
      <c r="N2981" s="12"/>
      <c r="O2981" s="11" t="s">
        <v>1855</v>
      </c>
      <c r="P2981" s="56"/>
    </row>
    <row r="2982" spans="1:16" ht="15.75" customHeight="1" x14ac:dyDescent="0.2">
      <c r="A2982" s="49">
        <v>7437</v>
      </c>
      <c r="B2982" s="11" t="s">
        <v>1848</v>
      </c>
      <c r="C2982" s="11" t="s">
        <v>1876</v>
      </c>
      <c r="D2982" s="6" t="s">
        <v>1850</v>
      </c>
      <c r="E2982" s="11" t="s">
        <v>6642</v>
      </c>
      <c r="F2982" s="12" t="s">
        <v>6643</v>
      </c>
      <c r="G2982" s="12" t="s">
        <v>6642</v>
      </c>
      <c r="H2982" s="12" t="s">
        <v>2626</v>
      </c>
      <c r="I2982" s="12" t="s">
        <v>7020</v>
      </c>
      <c r="J2982" s="11" t="s">
        <v>1851</v>
      </c>
      <c r="K2982" s="11" t="s">
        <v>1852</v>
      </c>
      <c r="L2982" s="11" t="s">
        <v>1853</v>
      </c>
      <c r="M2982" s="11" t="s">
        <v>1854</v>
      </c>
      <c r="N2982" s="12"/>
      <c r="O2982" s="11" t="s">
        <v>1855</v>
      </c>
      <c r="P2982" s="56"/>
    </row>
    <row r="2983" spans="1:16" ht="15.75" customHeight="1" x14ac:dyDescent="0.2">
      <c r="A2983" s="49">
        <v>7435</v>
      </c>
      <c r="B2983" s="11" t="s">
        <v>1848</v>
      </c>
      <c r="C2983" s="11" t="s">
        <v>1876</v>
      </c>
      <c r="D2983" s="6" t="s">
        <v>1850</v>
      </c>
      <c r="E2983" s="11" t="s">
        <v>6642</v>
      </c>
      <c r="F2983" s="12" t="s">
        <v>6643</v>
      </c>
      <c r="G2983" s="12" t="s">
        <v>6642</v>
      </c>
      <c r="H2983" s="12" t="s">
        <v>6655</v>
      </c>
      <c r="I2983" s="12" t="s">
        <v>7021</v>
      </c>
      <c r="J2983" s="11" t="s">
        <v>1851</v>
      </c>
      <c r="K2983" s="11" t="s">
        <v>1852</v>
      </c>
      <c r="L2983" s="11" t="s">
        <v>1853</v>
      </c>
      <c r="M2983" s="11" t="s">
        <v>1854</v>
      </c>
      <c r="N2983" s="12"/>
      <c r="O2983" s="11" t="s">
        <v>1855</v>
      </c>
      <c r="P2983" s="56"/>
    </row>
    <row r="2984" spans="1:16" ht="15.75" customHeight="1" x14ac:dyDescent="0.2">
      <c r="A2984" s="49">
        <v>7431</v>
      </c>
      <c r="B2984" s="11" t="s">
        <v>1848</v>
      </c>
      <c r="C2984" s="11" t="s">
        <v>1876</v>
      </c>
      <c r="D2984" s="6" t="s">
        <v>1850</v>
      </c>
      <c r="E2984" s="11" t="s">
        <v>6642</v>
      </c>
      <c r="F2984" s="12" t="s">
        <v>6643</v>
      </c>
      <c r="G2984" s="12" t="s">
        <v>6642</v>
      </c>
      <c r="H2984" s="12" t="s">
        <v>6708</v>
      </c>
      <c r="I2984" s="12" t="s">
        <v>7022</v>
      </c>
      <c r="J2984" s="11" t="s">
        <v>1851</v>
      </c>
      <c r="K2984" s="11" t="s">
        <v>1852</v>
      </c>
      <c r="L2984" s="11" t="s">
        <v>1853</v>
      </c>
      <c r="M2984" s="11" t="s">
        <v>1854</v>
      </c>
      <c r="N2984" s="12"/>
      <c r="O2984" s="11" t="s">
        <v>1855</v>
      </c>
      <c r="P2984" s="56"/>
    </row>
    <row r="2985" spans="1:16" ht="15.75" customHeight="1" x14ac:dyDescent="0.2">
      <c r="A2985" s="49">
        <v>7425</v>
      </c>
      <c r="B2985" s="11" t="s">
        <v>1848</v>
      </c>
      <c r="C2985" s="11" t="s">
        <v>1876</v>
      </c>
      <c r="D2985" s="6" t="s">
        <v>1850</v>
      </c>
      <c r="E2985" s="11" t="s">
        <v>6642</v>
      </c>
      <c r="F2985" s="12" t="s">
        <v>6643</v>
      </c>
      <c r="G2985" s="12" t="s">
        <v>6642</v>
      </c>
      <c r="H2985" s="12" t="s">
        <v>6708</v>
      </c>
      <c r="I2985" s="12" t="s">
        <v>7023</v>
      </c>
      <c r="J2985" s="11" t="s">
        <v>1851</v>
      </c>
      <c r="K2985" s="11" t="s">
        <v>1852</v>
      </c>
      <c r="L2985" s="11" t="s">
        <v>1853</v>
      </c>
      <c r="M2985" s="11" t="s">
        <v>1854</v>
      </c>
      <c r="N2985" s="12"/>
      <c r="O2985" s="11" t="s">
        <v>1855</v>
      </c>
      <c r="P2985" s="56"/>
    </row>
    <row r="2986" spans="1:16" ht="15.75" customHeight="1" x14ac:dyDescent="0.2">
      <c r="A2986" s="49">
        <v>7419</v>
      </c>
      <c r="B2986" s="11" t="s">
        <v>1848</v>
      </c>
      <c r="C2986" s="11" t="s">
        <v>1876</v>
      </c>
      <c r="D2986" s="6" t="s">
        <v>1850</v>
      </c>
      <c r="E2986" s="11" t="s">
        <v>6642</v>
      </c>
      <c r="F2986" s="12" t="s">
        <v>6643</v>
      </c>
      <c r="G2986" s="12" t="s">
        <v>6642</v>
      </c>
      <c r="H2986" s="12" t="s">
        <v>6655</v>
      </c>
      <c r="I2986" s="12" t="s">
        <v>7024</v>
      </c>
      <c r="J2986" s="11" t="s">
        <v>1851</v>
      </c>
      <c r="K2986" s="11" t="s">
        <v>1852</v>
      </c>
      <c r="L2986" s="11" t="s">
        <v>1853</v>
      </c>
      <c r="M2986" s="11" t="s">
        <v>1854</v>
      </c>
      <c r="N2986" s="12"/>
      <c r="O2986" s="11" t="s">
        <v>1855</v>
      </c>
      <c r="P2986" s="56"/>
    </row>
    <row r="2987" spans="1:16" ht="15.75" customHeight="1" x14ac:dyDescent="0.2">
      <c r="A2987" s="49">
        <v>7362</v>
      </c>
      <c r="B2987" s="11" t="s">
        <v>1848</v>
      </c>
      <c r="C2987" s="11" t="s">
        <v>1876</v>
      </c>
      <c r="D2987" s="6" t="s">
        <v>1850</v>
      </c>
      <c r="E2987" s="11" t="s">
        <v>6642</v>
      </c>
      <c r="F2987" s="12" t="s">
        <v>6643</v>
      </c>
      <c r="G2987" s="12" t="s">
        <v>6642</v>
      </c>
      <c r="H2987" s="12" t="s">
        <v>6708</v>
      </c>
      <c r="I2987" s="12" t="s">
        <v>7025</v>
      </c>
      <c r="J2987" s="11" t="s">
        <v>1851</v>
      </c>
      <c r="K2987" s="11" t="s">
        <v>1852</v>
      </c>
      <c r="L2987" s="11" t="s">
        <v>1853</v>
      </c>
      <c r="M2987" s="11" t="s">
        <v>1854</v>
      </c>
      <c r="N2987" s="12"/>
      <c r="O2987" s="11" t="s">
        <v>1855</v>
      </c>
      <c r="P2987" s="56"/>
    </row>
    <row r="2988" spans="1:16" ht="15.75" customHeight="1" x14ac:dyDescent="0.2">
      <c r="A2988" s="49">
        <v>7428</v>
      </c>
      <c r="B2988" s="11" t="s">
        <v>1848</v>
      </c>
      <c r="C2988" s="11" t="s">
        <v>1876</v>
      </c>
      <c r="D2988" s="6" t="s">
        <v>1850</v>
      </c>
      <c r="E2988" s="11" t="s">
        <v>6642</v>
      </c>
      <c r="F2988" s="12" t="s">
        <v>6643</v>
      </c>
      <c r="G2988" s="12" t="s">
        <v>6642</v>
      </c>
      <c r="H2988" s="12" t="s">
        <v>6708</v>
      </c>
      <c r="I2988" s="12" t="s">
        <v>7026</v>
      </c>
      <c r="J2988" s="11" t="s">
        <v>1851</v>
      </c>
      <c r="K2988" s="11" t="s">
        <v>1852</v>
      </c>
      <c r="L2988" s="11" t="s">
        <v>1853</v>
      </c>
      <c r="M2988" s="11" t="s">
        <v>1854</v>
      </c>
      <c r="N2988" s="12"/>
      <c r="O2988" s="11" t="s">
        <v>1855</v>
      </c>
      <c r="P2988" s="56"/>
    </row>
    <row r="2989" spans="1:16" ht="15.75" customHeight="1" x14ac:dyDescent="0.2">
      <c r="A2989" s="48">
        <v>15715</v>
      </c>
      <c r="B2989" s="11" t="s">
        <v>1848</v>
      </c>
      <c r="C2989" s="11" t="s">
        <v>1876</v>
      </c>
      <c r="D2989" s="6" t="s">
        <v>1850</v>
      </c>
      <c r="E2989" s="11" t="s">
        <v>6642</v>
      </c>
      <c r="F2989" s="12" t="s">
        <v>6643</v>
      </c>
      <c r="G2989" s="12" t="s">
        <v>6642</v>
      </c>
      <c r="H2989" s="12" t="s">
        <v>6704</v>
      </c>
      <c r="I2989" s="12" t="s">
        <v>7027</v>
      </c>
      <c r="J2989" s="11" t="s">
        <v>1851</v>
      </c>
      <c r="K2989" s="11" t="s">
        <v>1852</v>
      </c>
      <c r="L2989" s="11" t="s">
        <v>1853</v>
      </c>
      <c r="M2989" s="11" t="s">
        <v>1854</v>
      </c>
      <c r="N2989" s="12"/>
      <c r="O2989" s="11" t="s">
        <v>1855</v>
      </c>
      <c r="P2989" s="56"/>
    </row>
    <row r="2990" spans="1:16" ht="15.75" customHeight="1" x14ac:dyDescent="0.2">
      <c r="A2990" s="48">
        <v>15997</v>
      </c>
      <c r="B2990" s="11" t="s">
        <v>1848</v>
      </c>
      <c r="C2990" s="11" t="s">
        <v>1876</v>
      </c>
      <c r="D2990" s="6" t="s">
        <v>1850</v>
      </c>
      <c r="E2990" s="11" t="s">
        <v>6642</v>
      </c>
      <c r="F2990" s="12" t="s">
        <v>6643</v>
      </c>
      <c r="G2990" s="12" t="s">
        <v>6642</v>
      </c>
      <c r="H2990" s="12" t="s">
        <v>6658</v>
      </c>
      <c r="I2990" s="12" t="s">
        <v>7028</v>
      </c>
      <c r="J2990" s="11" t="s">
        <v>1851</v>
      </c>
      <c r="K2990" s="11" t="s">
        <v>1852</v>
      </c>
      <c r="L2990" s="11" t="s">
        <v>1853</v>
      </c>
      <c r="M2990" s="11" t="s">
        <v>1854</v>
      </c>
      <c r="N2990" s="12"/>
      <c r="O2990" s="11" t="s">
        <v>1855</v>
      </c>
      <c r="P2990" s="56"/>
    </row>
    <row r="2991" spans="1:16" ht="15.75" customHeight="1" x14ac:dyDescent="0.2">
      <c r="A2991" s="48">
        <v>15998</v>
      </c>
      <c r="B2991" s="11" t="s">
        <v>1848</v>
      </c>
      <c r="C2991" s="11" t="s">
        <v>1876</v>
      </c>
      <c r="D2991" s="6" t="s">
        <v>1850</v>
      </c>
      <c r="E2991" s="11" t="s">
        <v>6642</v>
      </c>
      <c r="F2991" s="12" t="s">
        <v>6643</v>
      </c>
      <c r="G2991" s="12" t="s">
        <v>6642</v>
      </c>
      <c r="H2991" s="12" t="s">
        <v>2768</v>
      </c>
      <c r="I2991" s="12" t="s">
        <v>7029</v>
      </c>
      <c r="J2991" s="11" t="s">
        <v>1851</v>
      </c>
      <c r="K2991" s="11" t="s">
        <v>1852</v>
      </c>
      <c r="L2991" s="11" t="s">
        <v>1853</v>
      </c>
      <c r="M2991" s="11" t="s">
        <v>1854</v>
      </c>
      <c r="N2991" s="12"/>
      <c r="O2991" s="11" t="s">
        <v>1855</v>
      </c>
      <c r="P2991" s="56"/>
    </row>
    <row r="2992" spans="1:16" ht="15.75" customHeight="1" x14ac:dyDescent="0.2">
      <c r="A2992" s="48">
        <v>15989</v>
      </c>
      <c r="B2992" s="11" t="s">
        <v>1848</v>
      </c>
      <c r="C2992" s="11" t="s">
        <v>1876</v>
      </c>
      <c r="D2992" s="6" t="s">
        <v>1850</v>
      </c>
      <c r="E2992" s="11" t="s">
        <v>6642</v>
      </c>
      <c r="F2992" s="12" t="s">
        <v>6643</v>
      </c>
      <c r="G2992" s="12" t="s">
        <v>6642</v>
      </c>
      <c r="H2992" s="12" t="s">
        <v>3542</v>
      </c>
      <c r="I2992" s="12" t="s">
        <v>7030</v>
      </c>
      <c r="J2992" s="11" t="s">
        <v>1851</v>
      </c>
      <c r="K2992" s="11" t="s">
        <v>1852</v>
      </c>
      <c r="L2992" s="11" t="s">
        <v>1853</v>
      </c>
      <c r="M2992" s="11" t="s">
        <v>1854</v>
      </c>
      <c r="N2992" s="12"/>
      <c r="O2992" s="11" t="s">
        <v>1855</v>
      </c>
      <c r="P2992" s="56"/>
    </row>
    <row r="2993" spans="1:16" ht="15.75" customHeight="1" x14ac:dyDescent="0.2">
      <c r="A2993" s="48">
        <v>15990</v>
      </c>
      <c r="B2993" s="11" t="s">
        <v>1848</v>
      </c>
      <c r="C2993" s="11" t="s">
        <v>1876</v>
      </c>
      <c r="D2993" s="6" t="s">
        <v>1850</v>
      </c>
      <c r="E2993" s="11" t="s">
        <v>6642</v>
      </c>
      <c r="F2993" s="12" t="s">
        <v>6643</v>
      </c>
      <c r="G2993" s="12" t="s">
        <v>6642</v>
      </c>
      <c r="H2993" s="12" t="s">
        <v>6658</v>
      </c>
      <c r="I2993" s="12" t="s">
        <v>7031</v>
      </c>
      <c r="J2993" s="11" t="s">
        <v>1851</v>
      </c>
      <c r="K2993" s="11" t="s">
        <v>1852</v>
      </c>
      <c r="L2993" s="11" t="s">
        <v>1853</v>
      </c>
      <c r="M2993" s="11" t="s">
        <v>1854</v>
      </c>
      <c r="N2993" s="12"/>
      <c r="O2993" s="11" t="s">
        <v>1855</v>
      </c>
      <c r="P2993" s="56"/>
    </row>
    <row r="2994" spans="1:16" ht="15.75" customHeight="1" x14ac:dyDescent="0.2">
      <c r="A2994" s="48">
        <v>15991</v>
      </c>
      <c r="B2994" s="11" t="s">
        <v>1848</v>
      </c>
      <c r="C2994" s="11" t="s">
        <v>1876</v>
      </c>
      <c r="D2994" s="6" t="s">
        <v>1850</v>
      </c>
      <c r="E2994" s="11" t="s">
        <v>6642</v>
      </c>
      <c r="F2994" s="12" t="s">
        <v>6643</v>
      </c>
      <c r="G2994" s="12" t="s">
        <v>6642</v>
      </c>
      <c r="H2994" s="12" t="s">
        <v>6658</v>
      </c>
      <c r="I2994" s="12" t="s">
        <v>7032</v>
      </c>
      <c r="J2994" s="11" t="s">
        <v>1851</v>
      </c>
      <c r="K2994" s="11" t="s">
        <v>1852</v>
      </c>
      <c r="L2994" s="11" t="s">
        <v>1853</v>
      </c>
      <c r="M2994" s="11" t="s">
        <v>1854</v>
      </c>
      <c r="N2994" s="12"/>
      <c r="O2994" s="11" t="s">
        <v>1855</v>
      </c>
      <c r="P2994" s="56"/>
    </row>
    <row r="2995" spans="1:16" ht="15.75" customHeight="1" x14ac:dyDescent="0.2">
      <c r="A2995" s="48">
        <v>15992</v>
      </c>
      <c r="B2995" s="11" t="s">
        <v>1848</v>
      </c>
      <c r="C2995" s="11" t="s">
        <v>1876</v>
      </c>
      <c r="D2995" s="6" t="s">
        <v>1850</v>
      </c>
      <c r="E2995" s="11" t="s">
        <v>6642</v>
      </c>
      <c r="F2995" s="12" t="s">
        <v>6643</v>
      </c>
      <c r="G2995" s="12" t="s">
        <v>6642</v>
      </c>
      <c r="H2995" s="12" t="s">
        <v>3542</v>
      </c>
      <c r="I2995" s="12" t="s">
        <v>7033</v>
      </c>
      <c r="J2995" s="11" t="s">
        <v>1851</v>
      </c>
      <c r="K2995" s="11" t="s">
        <v>1852</v>
      </c>
      <c r="L2995" s="11" t="s">
        <v>1853</v>
      </c>
      <c r="M2995" s="11" t="s">
        <v>1854</v>
      </c>
      <c r="N2995" s="12"/>
      <c r="O2995" s="11" t="s">
        <v>1855</v>
      </c>
      <c r="P2995" s="56"/>
    </row>
    <row r="2996" spans="1:16" ht="15.75" customHeight="1" x14ac:dyDescent="0.2">
      <c r="A2996" s="48">
        <v>15994</v>
      </c>
      <c r="B2996" s="11" t="s">
        <v>1848</v>
      </c>
      <c r="C2996" s="11" t="s">
        <v>1876</v>
      </c>
      <c r="D2996" s="6" t="s">
        <v>1850</v>
      </c>
      <c r="E2996" s="11" t="s">
        <v>6642</v>
      </c>
      <c r="F2996" s="12" t="s">
        <v>6643</v>
      </c>
      <c r="G2996" s="12" t="s">
        <v>6642</v>
      </c>
      <c r="H2996" s="12" t="s">
        <v>6658</v>
      </c>
      <c r="I2996" s="12" t="s">
        <v>7034</v>
      </c>
      <c r="J2996" s="11" t="s">
        <v>1851</v>
      </c>
      <c r="K2996" s="11" t="s">
        <v>1852</v>
      </c>
      <c r="L2996" s="11" t="s">
        <v>1853</v>
      </c>
      <c r="M2996" s="11" t="s">
        <v>1854</v>
      </c>
      <c r="N2996" s="12"/>
      <c r="O2996" s="11" t="s">
        <v>1855</v>
      </c>
      <c r="P2996" s="56"/>
    </row>
    <row r="2997" spans="1:16" ht="15.75" customHeight="1" x14ac:dyDescent="0.2">
      <c r="A2997" s="48">
        <v>15984</v>
      </c>
      <c r="B2997" s="11" t="s">
        <v>1848</v>
      </c>
      <c r="C2997" s="11" t="s">
        <v>1876</v>
      </c>
      <c r="D2997" s="6" t="s">
        <v>1850</v>
      </c>
      <c r="E2997" s="11" t="s">
        <v>6642</v>
      </c>
      <c r="F2997" s="12" t="s">
        <v>6643</v>
      </c>
      <c r="G2997" s="12" t="s">
        <v>6642</v>
      </c>
      <c r="H2997" s="12" t="s">
        <v>6708</v>
      </c>
      <c r="I2997" s="12" t="s">
        <v>7035</v>
      </c>
      <c r="J2997" s="11" t="s">
        <v>1851</v>
      </c>
      <c r="K2997" s="11" t="s">
        <v>1852</v>
      </c>
      <c r="L2997" s="11" t="s">
        <v>1853</v>
      </c>
      <c r="M2997" s="11" t="s">
        <v>1854</v>
      </c>
      <c r="N2997" s="12"/>
      <c r="O2997" s="11" t="s">
        <v>1855</v>
      </c>
      <c r="P2997" s="56"/>
    </row>
    <row r="2998" spans="1:16" ht="15.75" customHeight="1" x14ac:dyDescent="0.2">
      <c r="A2998" s="49">
        <v>7422</v>
      </c>
      <c r="B2998" s="11" t="s">
        <v>1848</v>
      </c>
      <c r="C2998" s="11" t="s">
        <v>1876</v>
      </c>
      <c r="D2998" s="6" t="s">
        <v>1850</v>
      </c>
      <c r="E2998" s="11" t="s">
        <v>6642</v>
      </c>
      <c r="F2998" s="12" t="s">
        <v>6643</v>
      </c>
      <c r="G2998" s="12" t="s">
        <v>6642</v>
      </c>
      <c r="H2998" s="12" t="s">
        <v>2626</v>
      </c>
      <c r="I2998" s="12" t="s">
        <v>7036</v>
      </c>
      <c r="J2998" s="11" t="s">
        <v>1851</v>
      </c>
      <c r="K2998" s="11" t="s">
        <v>1852</v>
      </c>
      <c r="L2998" s="11" t="s">
        <v>1853</v>
      </c>
      <c r="M2998" s="11" t="s">
        <v>1854</v>
      </c>
      <c r="N2998" s="12"/>
      <c r="O2998" s="11" t="s">
        <v>1855</v>
      </c>
      <c r="P2998" s="56"/>
    </row>
    <row r="2999" spans="1:16" ht="15.75" customHeight="1" x14ac:dyDescent="0.2">
      <c r="A2999" s="48">
        <v>16057</v>
      </c>
      <c r="B2999" s="11" t="s">
        <v>1848</v>
      </c>
      <c r="C2999" s="11" t="s">
        <v>1876</v>
      </c>
      <c r="D2999" s="6" t="s">
        <v>1850</v>
      </c>
      <c r="E2999" s="11" t="s">
        <v>6642</v>
      </c>
      <c r="F2999" s="12" t="s">
        <v>6643</v>
      </c>
      <c r="G2999" s="12" t="s">
        <v>6642</v>
      </c>
      <c r="H2999" s="12" t="s">
        <v>6655</v>
      </c>
      <c r="I2999" s="12" t="s">
        <v>7037</v>
      </c>
      <c r="J2999" s="11" t="s">
        <v>1851</v>
      </c>
      <c r="K2999" s="11" t="s">
        <v>1852</v>
      </c>
      <c r="L2999" s="11" t="s">
        <v>1853</v>
      </c>
      <c r="M2999" s="11" t="s">
        <v>1854</v>
      </c>
      <c r="N2999" s="12"/>
      <c r="O2999" s="11" t="s">
        <v>1855</v>
      </c>
      <c r="P2999" s="56"/>
    </row>
    <row r="3000" spans="1:16" ht="15.75" customHeight="1" x14ac:dyDescent="0.2">
      <c r="A3000" s="49">
        <v>7432</v>
      </c>
      <c r="B3000" s="11" t="s">
        <v>1848</v>
      </c>
      <c r="C3000" s="11" t="s">
        <v>1876</v>
      </c>
      <c r="D3000" s="6" t="s">
        <v>1850</v>
      </c>
      <c r="E3000" s="11" t="s">
        <v>6642</v>
      </c>
      <c r="F3000" s="12" t="s">
        <v>6643</v>
      </c>
      <c r="G3000" s="12" t="s">
        <v>6642</v>
      </c>
      <c r="H3000" s="12" t="s">
        <v>6648</v>
      </c>
      <c r="I3000" s="12" t="s">
        <v>7038</v>
      </c>
      <c r="J3000" s="11" t="s">
        <v>1851</v>
      </c>
      <c r="K3000" s="11" t="s">
        <v>1852</v>
      </c>
      <c r="L3000" s="11" t="s">
        <v>1853</v>
      </c>
      <c r="M3000" s="11" t="s">
        <v>1854</v>
      </c>
      <c r="N3000" s="12"/>
      <c r="O3000" s="11" t="s">
        <v>1855</v>
      </c>
      <c r="P3000" s="56"/>
    </row>
    <row r="3001" spans="1:16" ht="15.75" customHeight="1" x14ac:dyDescent="0.2">
      <c r="A3001" s="48">
        <v>3705</v>
      </c>
      <c r="B3001" s="11" t="s">
        <v>1857</v>
      </c>
      <c r="C3001" s="11" t="s">
        <v>1876</v>
      </c>
      <c r="D3001" s="6" t="s">
        <v>1850</v>
      </c>
      <c r="E3001" s="11" t="s">
        <v>6642</v>
      </c>
      <c r="F3001" s="12" t="s">
        <v>6643</v>
      </c>
      <c r="G3001" s="12" t="s">
        <v>6642</v>
      </c>
      <c r="H3001" s="12" t="s">
        <v>6658</v>
      </c>
      <c r="I3001" s="12" t="s">
        <v>7039</v>
      </c>
      <c r="J3001" s="11" t="s">
        <v>1851</v>
      </c>
      <c r="K3001" s="11" t="s">
        <v>1852</v>
      </c>
      <c r="L3001" s="11" t="s">
        <v>1853</v>
      </c>
      <c r="M3001" s="11" t="s">
        <v>1854</v>
      </c>
      <c r="N3001" s="12"/>
      <c r="O3001" s="11" t="s">
        <v>1858</v>
      </c>
      <c r="P3001" s="56" t="s">
        <v>1865</v>
      </c>
    </row>
    <row r="3002" spans="1:16" ht="15.75" customHeight="1" x14ac:dyDescent="0.2">
      <c r="A3002" s="48">
        <v>3760</v>
      </c>
      <c r="B3002" s="11" t="s">
        <v>1857</v>
      </c>
      <c r="C3002" s="11" t="s">
        <v>1876</v>
      </c>
      <c r="D3002" s="6" t="s">
        <v>1850</v>
      </c>
      <c r="E3002" s="11" t="s">
        <v>6642</v>
      </c>
      <c r="F3002" s="12" t="s">
        <v>6643</v>
      </c>
      <c r="G3002" s="12" t="s">
        <v>6642</v>
      </c>
      <c r="H3002" s="12" t="s">
        <v>3542</v>
      </c>
      <c r="I3002" s="12" t="s">
        <v>7040</v>
      </c>
      <c r="J3002" s="11" t="s">
        <v>1851</v>
      </c>
      <c r="K3002" s="11" t="s">
        <v>1852</v>
      </c>
      <c r="L3002" s="11" t="s">
        <v>1853</v>
      </c>
      <c r="M3002" s="11" t="s">
        <v>1854</v>
      </c>
      <c r="N3002" s="12"/>
      <c r="O3002" s="11" t="s">
        <v>2378</v>
      </c>
      <c r="P3002" s="56" t="s">
        <v>1865</v>
      </c>
    </row>
    <row r="3003" spans="1:16" ht="15.75" customHeight="1" x14ac:dyDescent="0.2">
      <c r="A3003" s="48">
        <v>5672</v>
      </c>
      <c r="B3003" s="11" t="s">
        <v>1857</v>
      </c>
      <c r="C3003" s="11" t="s">
        <v>1876</v>
      </c>
      <c r="D3003" s="6" t="s">
        <v>1850</v>
      </c>
      <c r="E3003" s="11" t="s">
        <v>6642</v>
      </c>
      <c r="F3003" s="12" t="s">
        <v>6643</v>
      </c>
      <c r="G3003" s="12" t="s">
        <v>6642</v>
      </c>
      <c r="H3003" s="12" t="s">
        <v>6815</v>
      </c>
      <c r="I3003" s="12" t="s">
        <v>7041</v>
      </c>
      <c r="J3003" s="11" t="s">
        <v>1851</v>
      </c>
      <c r="K3003" s="11" t="s">
        <v>1852</v>
      </c>
      <c r="L3003" s="11" t="s">
        <v>1853</v>
      </c>
      <c r="M3003" s="11" t="s">
        <v>1854</v>
      </c>
      <c r="N3003" s="12"/>
      <c r="O3003" s="11" t="s">
        <v>1867</v>
      </c>
      <c r="P3003" s="56" t="s">
        <v>3343</v>
      </c>
    </row>
    <row r="3004" spans="1:16" ht="15.75" customHeight="1" x14ac:dyDescent="0.2">
      <c r="A3004" s="48">
        <v>5835</v>
      </c>
      <c r="B3004" s="11" t="s">
        <v>1857</v>
      </c>
      <c r="C3004" s="11" t="s">
        <v>1876</v>
      </c>
      <c r="D3004" s="6" t="s">
        <v>1850</v>
      </c>
      <c r="E3004" s="11" t="s">
        <v>6642</v>
      </c>
      <c r="F3004" s="12" t="s">
        <v>6643</v>
      </c>
      <c r="G3004" s="12" t="s">
        <v>6642</v>
      </c>
      <c r="H3004" s="58" t="s">
        <v>6664</v>
      </c>
      <c r="I3004" s="12" t="s">
        <v>7042</v>
      </c>
      <c r="J3004" s="11" t="s">
        <v>1851</v>
      </c>
      <c r="K3004" s="11" t="s">
        <v>1852</v>
      </c>
      <c r="L3004" s="11" t="s">
        <v>1853</v>
      </c>
      <c r="M3004" s="11" t="s">
        <v>1854</v>
      </c>
      <c r="N3004" s="12"/>
      <c r="O3004" s="11" t="s">
        <v>2307</v>
      </c>
      <c r="P3004" s="56" t="s">
        <v>7043</v>
      </c>
    </row>
    <row r="3005" spans="1:16" ht="15.75" customHeight="1" x14ac:dyDescent="0.2">
      <c r="A3005" s="48">
        <v>5898</v>
      </c>
      <c r="B3005" s="11" t="s">
        <v>1857</v>
      </c>
      <c r="C3005" s="11" t="s">
        <v>1876</v>
      </c>
      <c r="D3005" s="6" t="s">
        <v>1850</v>
      </c>
      <c r="E3005" s="11" t="s">
        <v>6642</v>
      </c>
      <c r="F3005" s="12" t="s">
        <v>6643</v>
      </c>
      <c r="G3005" s="12" t="s">
        <v>6642</v>
      </c>
      <c r="H3005" s="58" t="s">
        <v>6689</v>
      </c>
      <c r="I3005" s="12" t="s">
        <v>2476</v>
      </c>
      <c r="J3005" s="11" t="s">
        <v>1851</v>
      </c>
      <c r="K3005" s="11" t="s">
        <v>1852</v>
      </c>
      <c r="L3005" s="11" t="s">
        <v>1853</v>
      </c>
      <c r="M3005" s="11" t="s">
        <v>1854</v>
      </c>
      <c r="N3005" s="12"/>
      <c r="O3005" s="11" t="s">
        <v>1858</v>
      </c>
      <c r="P3005" s="56"/>
    </row>
    <row r="3006" spans="1:16" ht="15.75" customHeight="1" x14ac:dyDescent="0.2">
      <c r="A3006" s="48">
        <v>5899</v>
      </c>
      <c r="B3006" s="11" t="s">
        <v>1857</v>
      </c>
      <c r="C3006" s="11" t="s">
        <v>1876</v>
      </c>
      <c r="D3006" s="6" t="s">
        <v>1850</v>
      </c>
      <c r="E3006" s="11" t="s">
        <v>6642</v>
      </c>
      <c r="F3006" s="12" t="s">
        <v>6643</v>
      </c>
      <c r="G3006" s="12" t="s">
        <v>6642</v>
      </c>
      <c r="H3006" s="58" t="s">
        <v>6689</v>
      </c>
      <c r="I3006" s="12" t="s">
        <v>7044</v>
      </c>
      <c r="J3006" s="11" t="s">
        <v>1851</v>
      </c>
      <c r="K3006" s="11" t="s">
        <v>1852</v>
      </c>
      <c r="L3006" s="11" t="s">
        <v>1853</v>
      </c>
      <c r="M3006" s="11" t="s">
        <v>1854</v>
      </c>
      <c r="N3006" s="12"/>
      <c r="O3006" s="11" t="s">
        <v>1867</v>
      </c>
      <c r="P3006" s="56" t="s">
        <v>2819</v>
      </c>
    </row>
    <row r="3007" spans="1:16" ht="15.75" customHeight="1" x14ac:dyDescent="0.2">
      <c r="A3007" s="48">
        <v>5901</v>
      </c>
      <c r="B3007" s="11" t="s">
        <v>1857</v>
      </c>
      <c r="C3007" s="11" t="s">
        <v>1876</v>
      </c>
      <c r="D3007" s="6" t="s">
        <v>1850</v>
      </c>
      <c r="E3007" s="11" t="s">
        <v>6642</v>
      </c>
      <c r="F3007" s="12" t="s">
        <v>6643</v>
      </c>
      <c r="G3007" s="12" t="s">
        <v>6642</v>
      </c>
      <c r="H3007" s="58" t="s">
        <v>6689</v>
      </c>
      <c r="I3007" s="12" t="s">
        <v>7045</v>
      </c>
      <c r="J3007" s="11" t="s">
        <v>1851</v>
      </c>
      <c r="K3007" s="11" t="s">
        <v>1852</v>
      </c>
      <c r="L3007" s="11" t="s">
        <v>1853</v>
      </c>
      <c r="M3007" s="11" t="s">
        <v>1854</v>
      </c>
      <c r="N3007" s="12"/>
      <c r="O3007" s="11" t="s">
        <v>2334</v>
      </c>
      <c r="P3007" s="56" t="s">
        <v>1863</v>
      </c>
    </row>
    <row r="3008" spans="1:16" ht="15.75" customHeight="1" x14ac:dyDescent="0.2">
      <c r="A3008" s="48">
        <v>5903</v>
      </c>
      <c r="B3008" s="11" t="s">
        <v>1857</v>
      </c>
      <c r="C3008" s="11" t="s">
        <v>1876</v>
      </c>
      <c r="D3008" s="6" t="s">
        <v>1850</v>
      </c>
      <c r="E3008" s="11" t="s">
        <v>6642</v>
      </c>
      <c r="F3008" s="12" t="s">
        <v>6643</v>
      </c>
      <c r="G3008" s="12" t="s">
        <v>6642</v>
      </c>
      <c r="H3008" s="12" t="s">
        <v>6704</v>
      </c>
      <c r="I3008" s="12" t="s">
        <v>7046</v>
      </c>
      <c r="J3008" s="11" t="s">
        <v>1851</v>
      </c>
      <c r="K3008" s="11" t="s">
        <v>1852</v>
      </c>
      <c r="L3008" s="11" t="s">
        <v>1853</v>
      </c>
      <c r="M3008" s="11" t="s">
        <v>1854</v>
      </c>
      <c r="N3008" s="12"/>
      <c r="O3008" s="11" t="s">
        <v>1858</v>
      </c>
      <c r="P3008" s="56"/>
    </row>
    <row r="3009" spans="1:16" ht="15.75" customHeight="1" x14ac:dyDescent="0.2">
      <c r="A3009" s="48">
        <v>5905</v>
      </c>
      <c r="B3009" s="11" t="s">
        <v>1857</v>
      </c>
      <c r="C3009" s="11" t="s">
        <v>1876</v>
      </c>
      <c r="D3009" s="6" t="s">
        <v>1850</v>
      </c>
      <c r="E3009" s="11" t="s">
        <v>6642</v>
      </c>
      <c r="F3009" s="12" t="s">
        <v>6643</v>
      </c>
      <c r="G3009" s="12" t="s">
        <v>6642</v>
      </c>
      <c r="H3009" s="12" t="s">
        <v>6704</v>
      </c>
      <c r="I3009" s="12" t="s">
        <v>7047</v>
      </c>
      <c r="J3009" s="11" t="s">
        <v>1851</v>
      </c>
      <c r="K3009" s="11" t="s">
        <v>1852</v>
      </c>
      <c r="L3009" s="11" t="s">
        <v>1853</v>
      </c>
      <c r="M3009" s="11" t="s">
        <v>1854</v>
      </c>
      <c r="N3009" s="12"/>
      <c r="O3009" s="11" t="s">
        <v>1858</v>
      </c>
      <c r="P3009" s="56"/>
    </row>
    <row r="3010" spans="1:16" ht="15.75" customHeight="1" x14ac:dyDescent="0.2">
      <c r="A3010" s="48">
        <v>5907</v>
      </c>
      <c r="B3010" s="11" t="s">
        <v>1857</v>
      </c>
      <c r="C3010" s="11" t="s">
        <v>1876</v>
      </c>
      <c r="D3010" s="6" t="s">
        <v>1850</v>
      </c>
      <c r="E3010" s="11" t="s">
        <v>6642</v>
      </c>
      <c r="F3010" s="12" t="s">
        <v>6643</v>
      </c>
      <c r="G3010" s="12" t="s">
        <v>6642</v>
      </c>
      <c r="H3010" s="12" t="s">
        <v>3542</v>
      </c>
      <c r="I3010" s="12" t="s">
        <v>7048</v>
      </c>
      <c r="J3010" s="11" t="s">
        <v>1851</v>
      </c>
      <c r="K3010" s="11" t="s">
        <v>1852</v>
      </c>
      <c r="L3010" s="11" t="s">
        <v>1853</v>
      </c>
      <c r="M3010" s="11" t="s">
        <v>1854</v>
      </c>
      <c r="N3010" s="12"/>
      <c r="O3010" s="11" t="s">
        <v>2307</v>
      </c>
      <c r="P3010" s="56" t="s">
        <v>7049</v>
      </c>
    </row>
    <row r="3011" spans="1:16" ht="15.75" customHeight="1" x14ac:dyDescent="0.2">
      <c r="A3011" s="48">
        <v>5908</v>
      </c>
      <c r="B3011" s="11" t="s">
        <v>1857</v>
      </c>
      <c r="C3011" s="11" t="s">
        <v>1876</v>
      </c>
      <c r="D3011" s="6" t="s">
        <v>1850</v>
      </c>
      <c r="E3011" s="11" t="s">
        <v>6642</v>
      </c>
      <c r="F3011" s="12" t="s">
        <v>6643</v>
      </c>
      <c r="G3011" s="12" t="s">
        <v>6642</v>
      </c>
      <c r="H3011" s="12" t="s">
        <v>6815</v>
      </c>
      <c r="I3011" s="12" t="s">
        <v>7050</v>
      </c>
      <c r="J3011" s="11" t="s">
        <v>1851</v>
      </c>
      <c r="K3011" s="11" t="s">
        <v>1852</v>
      </c>
      <c r="L3011" s="11" t="s">
        <v>1853</v>
      </c>
      <c r="M3011" s="11" t="s">
        <v>1854</v>
      </c>
      <c r="N3011" s="12"/>
      <c r="O3011" s="11" t="s">
        <v>1860</v>
      </c>
      <c r="P3011" s="56"/>
    </row>
    <row r="3012" spans="1:16" ht="15.75" customHeight="1" x14ac:dyDescent="0.2">
      <c r="A3012" s="48">
        <v>5909</v>
      </c>
      <c r="B3012" s="11" t="s">
        <v>1857</v>
      </c>
      <c r="C3012" s="11" t="s">
        <v>1876</v>
      </c>
      <c r="D3012" s="6" t="s">
        <v>1850</v>
      </c>
      <c r="E3012" s="11" t="s">
        <v>6642</v>
      </c>
      <c r="F3012" s="12" t="s">
        <v>6643</v>
      </c>
      <c r="G3012" s="12" t="s">
        <v>6642</v>
      </c>
      <c r="H3012" s="12" t="s">
        <v>3542</v>
      </c>
      <c r="I3012" s="12" t="s">
        <v>7051</v>
      </c>
      <c r="J3012" s="11" t="s">
        <v>1851</v>
      </c>
      <c r="K3012" s="11" t="s">
        <v>1852</v>
      </c>
      <c r="L3012" s="11" t="s">
        <v>1853</v>
      </c>
      <c r="M3012" s="11" t="s">
        <v>1854</v>
      </c>
      <c r="N3012" s="12"/>
      <c r="O3012" s="11" t="s">
        <v>1867</v>
      </c>
      <c r="P3012" s="56" t="s">
        <v>3487</v>
      </c>
    </row>
    <row r="3013" spans="1:16" ht="15.75" customHeight="1" x14ac:dyDescent="0.2">
      <c r="A3013" s="48">
        <v>5911</v>
      </c>
      <c r="B3013" s="11" t="s">
        <v>1857</v>
      </c>
      <c r="C3013" s="11" t="s">
        <v>1876</v>
      </c>
      <c r="D3013" s="6" t="s">
        <v>1850</v>
      </c>
      <c r="E3013" s="11" t="s">
        <v>6642</v>
      </c>
      <c r="F3013" s="12" t="s">
        <v>6643</v>
      </c>
      <c r="G3013" s="12" t="s">
        <v>6642</v>
      </c>
      <c r="H3013" s="12" t="s">
        <v>3542</v>
      </c>
      <c r="I3013" s="12" t="s">
        <v>7052</v>
      </c>
      <c r="J3013" s="11" t="s">
        <v>1851</v>
      </c>
      <c r="K3013" s="11" t="s">
        <v>1852</v>
      </c>
      <c r="L3013" s="11" t="s">
        <v>1853</v>
      </c>
      <c r="M3013" s="11" t="s">
        <v>1854</v>
      </c>
      <c r="N3013" s="12"/>
      <c r="O3013" s="11" t="s">
        <v>1858</v>
      </c>
      <c r="P3013" s="56"/>
    </row>
    <row r="3014" spans="1:16" ht="15.75" customHeight="1" x14ac:dyDescent="0.2">
      <c r="A3014" s="48">
        <v>5912</v>
      </c>
      <c r="B3014" s="11" t="s">
        <v>1857</v>
      </c>
      <c r="C3014" s="11" t="s">
        <v>1876</v>
      </c>
      <c r="D3014" s="6" t="s">
        <v>1850</v>
      </c>
      <c r="E3014" s="11" t="s">
        <v>6642</v>
      </c>
      <c r="F3014" s="12" t="s">
        <v>6643</v>
      </c>
      <c r="G3014" s="12" t="s">
        <v>6642</v>
      </c>
      <c r="H3014" s="12" t="s">
        <v>3542</v>
      </c>
      <c r="I3014" s="12" t="s">
        <v>7053</v>
      </c>
      <c r="J3014" s="11" t="s">
        <v>1851</v>
      </c>
      <c r="K3014" s="11" t="s">
        <v>1852</v>
      </c>
      <c r="L3014" s="11" t="s">
        <v>1853</v>
      </c>
      <c r="M3014" s="11" t="s">
        <v>1854</v>
      </c>
      <c r="N3014" s="12"/>
      <c r="O3014" s="11" t="s">
        <v>1867</v>
      </c>
      <c r="P3014" s="56"/>
    </row>
    <row r="3015" spans="1:16" ht="15.75" customHeight="1" x14ac:dyDescent="0.2">
      <c r="A3015" s="48">
        <v>5913</v>
      </c>
      <c r="B3015" s="11" t="s">
        <v>1857</v>
      </c>
      <c r="C3015" s="11" t="s">
        <v>1876</v>
      </c>
      <c r="D3015" s="6" t="s">
        <v>1850</v>
      </c>
      <c r="E3015" s="11" t="s">
        <v>6642</v>
      </c>
      <c r="F3015" s="12" t="s">
        <v>6643</v>
      </c>
      <c r="G3015" s="12" t="s">
        <v>6642</v>
      </c>
      <c r="H3015" s="12" t="s">
        <v>3542</v>
      </c>
      <c r="I3015" s="12" t="s">
        <v>7054</v>
      </c>
      <c r="J3015" s="11" t="s">
        <v>1851</v>
      </c>
      <c r="K3015" s="11" t="s">
        <v>1852</v>
      </c>
      <c r="L3015" s="11" t="s">
        <v>1853</v>
      </c>
      <c r="M3015" s="11" t="s">
        <v>1854</v>
      </c>
      <c r="N3015" s="12"/>
      <c r="O3015" s="11" t="s">
        <v>2307</v>
      </c>
      <c r="P3015" s="56" t="s">
        <v>2819</v>
      </c>
    </row>
    <row r="3016" spans="1:16" ht="15.75" customHeight="1" x14ac:dyDescent="0.2">
      <c r="A3016" s="48">
        <v>5914</v>
      </c>
      <c r="B3016" s="11" t="s">
        <v>1857</v>
      </c>
      <c r="C3016" s="11" t="s">
        <v>1876</v>
      </c>
      <c r="D3016" s="6" t="s">
        <v>1850</v>
      </c>
      <c r="E3016" s="11" t="s">
        <v>6642</v>
      </c>
      <c r="F3016" s="12" t="s">
        <v>6643</v>
      </c>
      <c r="G3016" s="12" t="s">
        <v>6642</v>
      </c>
      <c r="H3016" s="12" t="s">
        <v>3542</v>
      </c>
      <c r="I3016" s="12" t="s">
        <v>7055</v>
      </c>
      <c r="J3016" s="11" t="s">
        <v>1851</v>
      </c>
      <c r="K3016" s="11" t="s">
        <v>1852</v>
      </c>
      <c r="L3016" s="11" t="s">
        <v>1853</v>
      </c>
      <c r="M3016" s="11" t="s">
        <v>7056</v>
      </c>
      <c r="N3016" s="12"/>
      <c r="O3016" s="11" t="s">
        <v>1867</v>
      </c>
      <c r="P3016" s="56"/>
    </row>
    <row r="3017" spans="1:16" ht="15.75" customHeight="1" x14ac:dyDescent="0.2">
      <c r="A3017" s="48">
        <v>5915</v>
      </c>
      <c r="B3017" s="11" t="s">
        <v>1857</v>
      </c>
      <c r="C3017" s="11" t="s">
        <v>1876</v>
      </c>
      <c r="D3017" s="6" t="s">
        <v>1850</v>
      </c>
      <c r="E3017" s="11" t="s">
        <v>6642</v>
      </c>
      <c r="F3017" s="12" t="s">
        <v>6643</v>
      </c>
      <c r="G3017" s="12" t="s">
        <v>6642</v>
      </c>
      <c r="H3017" s="12" t="s">
        <v>3542</v>
      </c>
      <c r="I3017" s="12" t="s">
        <v>3444</v>
      </c>
      <c r="J3017" s="11" t="s">
        <v>1851</v>
      </c>
      <c r="K3017" s="11" t="s">
        <v>1852</v>
      </c>
      <c r="L3017" s="11" t="s">
        <v>1853</v>
      </c>
      <c r="M3017" s="11" t="s">
        <v>1854</v>
      </c>
      <c r="N3017" s="12"/>
      <c r="O3017" s="11" t="s">
        <v>1867</v>
      </c>
      <c r="P3017" s="56" t="s">
        <v>1865</v>
      </c>
    </row>
    <row r="3018" spans="1:16" ht="15.75" customHeight="1" x14ac:dyDescent="0.2">
      <c r="A3018" s="48">
        <v>5916</v>
      </c>
      <c r="B3018" s="11" t="s">
        <v>1857</v>
      </c>
      <c r="C3018" s="11" t="s">
        <v>1876</v>
      </c>
      <c r="D3018" s="6" t="s">
        <v>1850</v>
      </c>
      <c r="E3018" s="11" t="s">
        <v>6642</v>
      </c>
      <c r="F3018" s="12" t="s">
        <v>6643</v>
      </c>
      <c r="G3018" s="12" t="s">
        <v>6642</v>
      </c>
      <c r="H3018" s="12" t="s">
        <v>3542</v>
      </c>
      <c r="I3018" s="12" t="s">
        <v>7057</v>
      </c>
      <c r="J3018" s="11" t="s">
        <v>1851</v>
      </c>
      <c r="K3018" s="11" t="s">
        <v>1852</v>
      </c>
      <c r="L3018" s="11" t="s">
        <v>1853</v>
      </c>
      <c r="M3018" s="11" t="s">
        <v>1854</v>
      </c>
      <c r="N3018" s="12"/>
      <c r="O3018" s="11" t="s">
        <v>1867</v>
      </c>
      <c r="P3018" s="56" t="s">
        <v>2819</v>
      </c>
    </row>
    <row r="3019" spans="1:16" ht="15.75" customHeight="1" x14ac:dyDescent="0.2">
      <c r="A3019" s="48">
        <v>5918</v>
      </c>
      <c r="B3019" s="11" t="s">
        <v>1857</v>
      </c>
      <c r="C3019" s="11" t="s">
        <v>1876</v>
      </c>
      <c r="D3019" s="6" t="s">
        <v>1850</v>
      </c>
      <c r="E3019" s="11" t="s">
        <v>6642</v>
      </c>
      <c r="F3019" s="12" t="s">
        <v>6643</v>
      </c>
      <c r="G3019" s="12" t="s">
        <v>6642</v>
      </c>
      <c r="H3019" s="12" t="s">
        <v>3542</v>
      </c>
      <c r="I3019" s="12" t="s">
        <v>7058</v>
      </c>
      <c r="J3019" s="11" t="s">
        <v>1851</v>
      </c>
      <c r="K3019" s="11" t="s">
        <v>1852</v>
      </c>
      <c r="L3019" s="11" t="s">
        <v>1853</v>
      </c>
      <c r="M3019" s="11" t="s">
        <v>1854</v>
      </c>
      <c r="N3019" s="12"/>
      <c r="O3019" s="11" t="s">
        <v>1858</v>
      </c>
      <c r="P3019" s="56"/>
    </row>
    <row r="3020" spans="1:16" ht="15.75" customHeight="1" x14ac:dyDescent="0.2">
      <c r="A3020" s="48">
        <v>5919</v>
      </c>
      <c r="B3020" s="11" t="s">
        <v>1857</v>
      </c>
      <c r="C3020" s="11" t="s">
        <v>1876</v>
      </c>
      <c r="D3020" s="6" t="s">
        <v>1850</v>
      </c>
      <c r="E3020" s="11" t="s">
        <v>6642</v>
      </c>
      <c r="F3020" s="12" t="s">
        <v>6643</v>
      </c>
      <c r="G3020" s="12" t="s">
        <v>6642</v>
      </c>
      <c r="H3020" s="12" t="s">
        <v>6815</v>
      </c>
      <c r="I3020" s="12" t="s">
        <v>7059</v>
      </c>
      <c r="J3020" s="11" t="s">
        <v>1851</v>
      </c>
      <c r="K3020" s="11" t="s">
        <v>1852</v>
      </c>
      <c r="L3020" s="11" t="s">
        <v>1853</v>
      </c>
      <c r="M3020" s="11" t="s">
        <v>1854</v>
      </c>
      <c r="N3020" s="12"/>
      <c r="O3020" s="11" t="s">
        <v>1867</v>
      </c>
      <c r="P3020" s="56" t="s">
        <v>1865</v>
      </c>
    </row>
    <row r="3021" spans="1:16" ht="15.75" customHeight="1" x14ac:dyDescent="0.2">
      <c r="A3021" s="48">
        <v>5920</v>
      </c>
      <c r="B3021" s="11" t="s">
        <v>1857</v>
      </c>
      <c r="C3021" s="11" t="s">
        <v>1876</v>
      </c>
      <c r="D3021" s="6" t="s">
        <v>1850</v>
      </c>
      <c r="E3021" s="11" t="s">
        <v>6642</v>
      </c>
      <c r="F3021" s="12" t="s">
        <v>6643</v>
      </c>
      <c r="G3021" s="12" t="s">
        <v>6642</v>
      </c>
      <c r="H3021" s="12" t="s">
        <v>2626</v>
      </c>
      <c r="I3021" s="12" t="s">
        <v>7060</v>
      </c>
      <c r="J3021" s="11" t="s">
        <v>1851</v>
      </c>
      <c r="K3021" s="11" t="s">
        <v>1852</v>
      </c>
      <c r="L3021" s="11" t="s">
        <v>1853</v>
      </c>
      <c r="M3021" s="11" t="s">
        <v>1854</v>
      </c>
      <c r="N3021" s="12"/>
      <c r="O3021" s="11" t="s">
        <v>1860</v>
      </c>
      <c r="P3021" s="56"/>
    </row>
    <row r="3022" spans="1:16" ht="15.75" customHeight="1" x14ac:dyDescent="0.2">
      <c r="A3022" s="48">
        <v>5921</v>
      </c>
      <c r="B3022" s="11" t="s">
        <v>1857</v>
      </c>
      <c r="C3022" s="11" t="s">
        <v>1876</v>
      </c>
      <c r="D3022" s="6" t="s">
        <v>1850</v>
      </c>
      <c r="E3022" s="11" t="s">
        <v>6642</v>
      </c>
      <c r="F3022" s="12" t="s">
        <v>6643</v>
      </c>
      <c r="G3022" s="12" t="s">
        <v>6642</v>
      </c>
      <c r="H3022" s="12" t="s">
        <v>2626</v>
      </c>
      <c r="I3022" s="12" t="s">
        <v>7061</v>
      </c>
      <c r="J3022" s="11" t="s">
        <v>1851</v>
      </c>
      <c r="K3022" s="11" t="s">
        <v>1852</v>
      </c>
      <c r="L3022" s="11" t="s">
        <v>1853</v>
      </c>
      <c r="M3022" s="11" t="s">
        <v>1854</v>
      </c>
      <c r="N3022" s="12"/>
      <c r="O3022" s="11" t="s">
        <v>1860</v>
      </c>
      <c r="P3022" s="56"/>
    </row>
    <row r="3023" spans="1:16" ht="15.75" customHeight="1" x14ac:dyDescent="0.2">
      <c r="A3023" s="48">
        <v>5922</v>
      </c>
      <c r="B3023" s="11" t="s">
        <v>1857</v>
      </c>
      <c r="C3023" s="11" t="s">
        <v>1876</v>
      </c>
      <c r="D3023" s="6" t="s">
        <v>1850</v>
      </c>
      <c r="E3023" s="11" t="s">
        <v>6642</v>
      </c>
      <c r="F3023" s="12" t="s">
        <v>6643</v>
      </c>
      <c r="G3023" s="12" t="s">
        <v>6642</v>
      </c>
      <c r="H3023" s="12" t="s">
        <v>2626</v>
      </c>
      <c r="I3023" s="12" t="s">
        <v>7062</v>
      </c>
      <c r="J3023" s="11" t="s">
        <v>1851</v>
      </c>
      <c r="K3023" s="11" t="s">
        <v>1852</v>
      </c>
      <c r="L3023" s="11" t="s">
        <v>1853</v>
      </c>
      <c r="M3023" s="11" t="s">
        <v>7063</v>
      </c>
      <c r="N3023" s="12" t="s">
        <v>7064</v>
      </c>
      <c r="O3023" s="11" t="s">
        <v>2307</v>
      </c>
      <c r="P3023" s="56" t="s">
        <v>3343</v>
      </c>
    </row>
    <row r="3024" spans="1:16" ht="15.75" customHeight="1" x14ac:dyDescent="0.2">
      <c r="A3024" s="48">
        <v>5924</v>
      </c>
      <c r="B3024" s="11" t="s">
        <v>1857</v>
      </c>
      <c r="C3024" s="11" t="s">
        <v>1876</v>
      </c>
      <c r="D3024" s="6" t="s">
        <v>1850</v>
      </c>
      <c r="E3024" s="11" t="s">
        <v>6642</v>
      </c>
      <c r="F3024" s="12" t="s">
        <v>6643</v>
      </c>
      <c r="G3024" s="12" t="s">
        <v>6642</v>
      </c>
      <c r="H3024" s="12" t="s">
        <v>2626</v>
      </c>
      <c r="I3024" s="12" t="s">
        <v>7065</v>
      </c>
      <c r="J3024" s="11" t="s">
        <v>1851</v>
      </c>
      <c r="K3024" s="11" t="s">
        <v>1852</v>
      </c>
      <c r="L3024" s="11" t="s">
        <v>1853</v>
      </c>
      <c r="M3024" s="11" t="s">
        <v>1854</v>
      </c>
      <c r="N3024" s="12"/>
      <c r="O3024" s="11" t="s">
        <v>1860</v>
      </c>
      <c r="P3024" s="56"/>
    </row>
    <row r="3025" spans="1:16" ht="15.75" customHeight="1" x14ac:dyDescent="0.2">
      <c r="A3025" s="48">
        <v>5926</v>
      </c>
      <c r="B3025" s="11" t="s">
        <v>1857</v>
      </c>
      <c r="C3025" s="11" t="s">
        <v>1876</v>
      </c>
      <c r="D3025" s="6" t="s">
        <v>1850</v>
      </c>
      <c r="E3025" s="11" t="s">
        <v>6642</v>
      </c>
      <c r="F3025" s="12" t="s">
        <v>6643</v>
      </c>
      <c r="G3025" s="12" t="s">
        <v>6642</v>
      </c>
      <c r="H3025" s="58" t="s">
        <v>6646</v>
      </c>
      <c r="I3025" s="12" t="s">
        <v>7066</v>
      </c>
      <c r="J3025" s="11" t="s">
        <v>1851</v>
      </c>
      <c r="K3025" s="11" t="s">
        <v>1852</v>
      </c>
      <c r="L3025" s="11" t="s">
        <v>1853</v>
      </c>
      <c r="M3025" s="11" t="s">
        <v>1854</v>
      </c>
      <c r="N3025" s="12"/>
      <c r="O3025" s="11" t="s">
        <v>1867</v>
      </c>
      <c r="P3025" s="56" t="s">
        <v>1865</v>
      </c>
    </row>
    <row r="3026" spans="1:16" ht="15.75" customHeight="1" x14ac:dyDescent="0.2">
      <c r="A3026" s="48">
        <v>5928</v>
      </c>
      <c r="B3026" s="11" t="s">
        <v>1857</v>
      </c>
      <c r="C3026" s="11" t="s">
        <v>1876</v>
      </c>
      <c r="D3026" s="6" t="s">
        <v>1850</v>
      </c>
      <c r="E3026" s="11" t="s">
        <v>6642</v>
      </c>
      <c r="F3026" s="12" t="s">
        <v>6643</v>
      </c>
      <c r="G3026" s="12" t="s">
        <v>6642</v>
      </c>
      <c r="H3026" s="58" t="s">
        <v>6646</v>
      </c>
      <c r="I3026" s="12" t="s">
        <v>7067</v>
      </c>
      <c r="J3026" s="11" t="s">
        <v>1851</v>
      </c>
      <c r="K3026" s="11" t="s">
        <v>1852</v>
      </c>
      <c r="L3026" s="11" t="s">
        <v>1853</v>
      </c>
      <c r="M3026" s="11" t="s">
        <v>1854</v>
      </c>
      <c r="N3026" s="12"/>
      <c r="O3026" s="11" t="s">
        <v>1867</v>
      </c>
      <c r="P3026" s="56" t="s">
        <v>1865</v>
      </c>
    </row>
    <row r="3027" spans="1:16" ht="15.75" customHeight="1" x14ac:dyDescent="0.2">
      <c r="A3027" s="48">
        <v>5929</v>
      </c>
      <c r="B3027" s="11" t="s">
        <v>1857</v>
      </c>
      <c r="C3027" s="11" t="s">
        <v>1876</v>
      </c>
      <c r="D3027" s="6" t="s">
        <v>1850</v>
      </c>
      <c r="E3027" s="11" t="s">
        <v>6642</v>
      </c>
      <c r="F3027" s="12" t="s">
        <v>6643</v>
      </c>
      <c r="G3027" s="12" t="s">
        <v>6642</v>
      </c>
      <c r="H3027" s="58" t="s">
        <v>6646</v>
      </c>
      <c r="I3027" s="12" t="s">
        <v>7068</v>
      </c>
      <c r="J3027" s="11" t="s">
        <v>1851</v>
      </c>
      <c r="K3027" s="11" t="s">
        <v>1852</v>
      </c>
      <c r="L3027" s="11" t="s">
        <v>1853</v>
      </c>
      <c r="M3027" s="11" t="s">
        <v>1854</v>
      </c>
      <c r="N3027" s="12"/>
      <c r="O3027" s="11" t="s">
        <v>2307</v>
      </c>
      <c r="P3027" s="56" t="s">
        <v>3343</v>
      </c>
    </row>
    <row r="3028" spans="1:16" ht="15.75" customHeight="1" x14ac:dyDescent="0.2">
      <c r="A3028" s="48">
        <v>5931</v>
      </c>
      <c r="B3028" s="11" t="s">
        <v>1857</v>
      </c>
      <c r="C3028" s="11" t="s">
        <v>1876</v>
      </c>
      <c r="D3028" s="6" t="s">
        <v>1850</v>
      </c>
      <c r="E3028" s="11" t="s">
        <v>6642</v>
      </c>
      <c r="F3028" s="12" t="s">
        <v>6643</v>
      </c>
      <c r="G3028" s="12" t="s">
        <v>6642</v>
      </c>
      <c r="H3028" s="58" t="s">
        <v>6646</v>
      </c>
      <c r="I3028" s="12" t="s">
        <v>7069</v>
      </c>
      <c r="J3028" s="11" t="s">
        <v>1851</v>
      </c>
      <c r="K3028" s="11" t="s">
        <v>1852</v>
      </c>
      <c r="L3028" s="11" t="s">
        <v>1853</v>
      </c>
      <c r="M3028" s="11" t="s">
        <v>1854</v>
      </c>
      <c r="N3028" s="12"/>
      <c r="O3028" s="11" t="s">
        <v>1867</v>
      </c>
      <c r="P3028" s="56" t="s">
        <v>2184</v>
      </c>
    </row>
    <row r="3029" spans="1:16" ht="15.75" customHeight="1" x14ac:dyDescent="0.2">
      <c r="A3029" s="48">
        <v>5932</v>
      </c>
      <c r="B3029" s="11" t="s">
        <v>1857</v>
      </c>
      <c r="C3029" s="11" t="s">
        <v>1876</v>
      </c>
      <c r="D3029" s="6" t="s">
        <v>1850</v>
      </c>
      <c r="E3029" s="11" t="s">
        <v>6642</v>
      </c>
      <c r="F3029" s="12" t="s">
        <v>6643</v>
      </c>
      <c r="G3029" s="12" t="s">
        <v>6642</v>
      </c>
      <c r="H3029" s="58" t="s">
        <v>6646</v>
      </c>
      <c r="I3029" s="12" t="s">
        <v>7070</v>
      </c>
      <c r="J3029" s="11" t="s">
        <v>1851</v>
      </c>
      <c r="K3029" s="11" t="s">
        <v>1852</v>
      </c>
      <c r="L3029" s="11" t="s">
        <v>1853</v>
      </c>
      <c r="M3029" s="11" t="s">
        <v>1854</v>
      </c>
      <c r="N3029" s="12"/>
      <c r="O3029" s="11" t="s">
        <v>1867</v>
      </c>
      <c r="P3029" s="56" t="s">
        <v>2819</v>
      </c>
    </row>
    <row r="3030" spans="1:16" ht="15.75" customHeight="1" x14ac:dyDescent="0.2">
      <c r="A3030" s="48">
        <v>5934</v>
      </c>
      <c r="B3030" s="11" t="s">
        <v>1857</v>
      </c>
      <c r="C3030" s="11" t="s">
        <v>1876</v>
      </c>
      <c r="D3030" s="6" t="s">
        <v>1850</v>
      </c>
      <c r="E3030" s="11" t="s">
        <v>6642</v>
      </c>
      <c r="F3030" s="12" t="s">
        <v>6643</v>
      </c>
      <c r="G3030" s="12" t="s">
        <v>6642</v>
      </c>
      <c r="H3030" s="58" t="s">
        <v>6646</v>
      </c>
      <c r="I3030" s="12" t="s">
        <v>7071</v>
      </c>
      <c r="J3030" s="11" t="s">
        <v>1851</v>
      </c>
      <c r="K3030" s="11" t="s">
        <v>1852</v>
      </c>
      <c r="L3030" s="11" t="s">
        <v>1853</v>
      </c>
      <c r="M3030" s="11" t="s">
        <v>1854</v>
      </c>
      <c r="N3030" s="12"/>
      <c r="O3030" s="11" t="s">
        <v>1867</v>
      </c>
      <c r="P3030" s="56" t="s">
        <v>1865</v>
      </c>
    </row>
    <row r="3031" spans="1:16" ht="15.75" customHeight="1" x14ac:dyDescent="0.2">
      <c r="A3031" s="48">
        <v>5935</v>
      </c>
      <c r="B3031" s="11" t="s">
        <v>1857</v>
      </c>
      <c r="C3031" s="11" t="s">
        <v>1876</v>
      </c>
      <c r="D3031" s="6" t="s">
        <v>1850</v>
      </c>
      <c r="E3031" s="11" t="s">
        <v>6642</v>
      </c>
      <c r="F3031" s="12" t="s">
        <v>6643</v>
      </c>
      <c r="G3031" s="12" t="s">
        <v>6642</v>
      </c>
      <c r="H3031" s="12" t="s">
        <v>6661</v>
      </c>
      <c r="I3031" s="12" t="s">
        <v>7072</v>
      </c>
      <c r="J3031" s="11" t="s">
        <v>1851</v>
      </c>
      <c r="K3031" s="11" t="s">
        <v>1852</v>
      </c>
      <c r="L3031" s="11" t="s">
        <v>1853</v>
      </c>
      <c r="M3031" s="11" t="s">
        <v>1854</v>
      </c>
      <c r="N3031" s="12"/>
      <c r="O3031" s="11" t="s">
        <v>1867</v>
      </c>
      <c r="P3031" s="56" t="s">
        <v>1865</v>
      </c>
    </row>
    <row r="3032" spans="1:16" ht="15.75" customHeight="1" x14ac:dyDescent="0.2">
      <c r="A3032" s="48">
        <v>5967</v>
      </c>
      <c r="B3032" s="11" t="s">
        <v>1857</v>
      </c>
      <c r="C3032" s="11" t="s">
        <v>1876</v>
      </c>
      <c r="D3032" s="6" t="s">
        <v>1850</v>
      </c>
      <c r="E3032" s="11" t="s">
        <v>6642</v>
      </c>
      <c r="F3032" s="12" t="s">
        <v>6643</v>
      </c>
      <c r="G3032" s="12" t="s">
        <v>6642</v>
      </c>
      <c r="H3032" s="12" t="s">
        <v>6655</v>
      </c>
      <c r="I3032" s="12" t="s">
        <v>7073</v>
      </c>
      <c r="J3032" s="11" t="s">
        <v>1851</v>
      </c>
      <c r="K3032" s="11" t="s">
        <v>1852</v>
      </c>
      <c r="L3032" s="11" t="s">
        <v>1853</v>
      </c>
      <c r="M3032" s="11" t="s">
        <v>1854</v>
      </c>
      <c r="N3032" s="12"/>
      <c r="O3032" s="11" t="s">
        <v>1860</v>
      </c>
      <c r="P3032" s="56"/>
    </row>
    <row r="3033" spans="1:16" ht="15.75" customHeight="1" x14ac:dyDescent="0.2">
      <c r="A3033" s="48">
        <v>5969</v>
      </c>
      <c r="B3033" s="11" t="s">
        <v>1857</v>
      </c>
      <c r="C3033" s="11" t="s">
        <v>1876</v>
      </c>
      <c r="D3033" s="6" t="s">
        <v>1850</v>
      </c>
      <c r="E3033" s="11" t="s">
        <v>6642</v>
      </c>
      <c r="F3033" s="12" t="s">
        <v>6643</v>
      </c>
      <c r="G3033" s="12" t="s">
        <v>6642</v>
      </c>
      <c r="H3033" s="58" t="s">
        <v>6648</v>
      </c>
      <c r="I3033" s="12" t="s">
        <v>7074</v>
      </c>
      <c r="J3033" s="11" t="s">
        <v>1851</v>
      </c>
      <c r="K3033" s="11" t="s">
        <v>1852</v>
      </c>
      <c r="L3033" s="11" t="s">
        <v>1853</v>
      </c>
      <c r="M3033" s="11" t="s">
        <v>7075</v>
      </c>
      <c r="N3033" s="12" t="s">
        <v>7076</v>
      </c>
      <c r="O3033" s="11" t="s">
        <v>1867</v>
      </c>
      <c r="P3033" s="56" t="s">
        <v>3343</v>
      </c>
    </row>
    <row r="3034" spans="1:16" ht="15.75" customHeight="1" x14ac:dyDescent="0.2">
      <c r="A3034" s="48">
        <v>5970</v>
      </c>
      <c r="B3034" s="11" t="s">
        <v>1857</v>
      </c>
      <c r="C3034" s="11" t="s">
        <v>1876</v>
      </c>
      <c r="D3034" s="6" t="s">
        <v>1850</v>
      </c>
      <c r="E3034" s="11" t="s">
        <v>6642</v>
      </c>
      <c r="F3034" s="12" t="s">
        <v>6643</v>
      </c>
      <c r="G3034" s="12" t="s">
        <v>6642</v>
      </c>
      <c r="H3034" s="58" t="s">
        <v>6648</v>
      </c>
      <c r="I3034" s="12" t="s">
        <v>7077</v>
      </c>
      <c r="J3034" s="11" t="s">
        <v>1851</v>
      </c>
      <c r="K3034" s="11" t="s">
        <v>1852</v>
      </c>
      <c r="L3034" s="11" t="s">
        <v>1853</v>
      </c>
      <c r="M3034" s="11" t="s">
        <v>1854</v>
      </c>
      <c r="N3034" s="12"/>
      <c r="O3034" s="11" t="s">
        <v>1867</v>
      </c>
      <c r="P3034" s="56" t="s">
        <v>5520</v>
      </c>
    </row>
    <row r="3035" spans="1:16" ht="15.75" customHeight="1" x14ac:dyDescent="0.2">
      <c r="A3035" s="48">
        <v>5971</v>
      </c>
      <c r="B3035" s="11" t="s">
        <v>1857</v>
      </c>
      <c r="C3035" s="11" t="s">
        <v>1876</v>
      </c>
      <c r="D3035" s="6" t="s">
        <v>1850</v>
      </c>
      <c r="E3035" s="11" t="s">
        <v>6642</v>
      </c>
      <c r="F3035" s="12" t="s">
        <v>6643</v>
      </c>
      <c r="G3035" s="12" t="s">
        <v>6642</v>
      </c>
      <c r="H3035" s="58" t="s">
        <v>6648</v>
      </c>
      <c r="I3035" s="12" t="s">
        <v>7078</v>
      </c>
      <c r="J3035" s="11" t="s">
        <v>1851</v>
      </c>
      <c r="K3035" s="11" t="s">
        <v>1852</v>
      </c>
      <c r="L3035" s="11" t="s">
        <v>1853</v>
      </c>
      <c r="M3035" s="11" t="s">
        <v>1854</v>
      </c>
      <c r="N3035" s="12"/>
      <c r="O3035" s="11" t="s">
        <v>2307</v>
      </c>
      <c r="P3035" s="56" t="s">
        <v>3343</v>
      </c>
    </row>
    <row r="3036" spans="1:16" ht="15.75" customHeight="1" x14ac:dyDescent="0.2">
      <c r="A3036" s="48">
        <v>5972</v>
      </c>
      <c r="B3036" s="11" t="s">
        <v>1857</v>
      </c>
      <c r="C3036" s="11" t="s">
        <v>1876</v>
      </c>
      <c r="D3036" s="6" t="s">
        <v>1850</v>
      </c>
      <c r="E3036" s="11" t="s">
        <v>6642</v>
      </c>
      <c r="F3036" s="12" t="s">
        <v>6643</v>
      </c>
      <c r="G3036" s="12" t="s">
        <v>6642</v>
      </c>
      <c r="H3036" s="58" t="s">
        <v>6648</v>
      </c>
      <c r="I3036" s="12" t="s">
        <v>7079</v>
      </c>
      <c r="J3036" s="11" t="s">
        <v>1851</v>
      </c>
      <c r="K3036" s="11" t="s">
        <v>1852</v>
      </c>
      <c r="L3036" s="11" t="s">
        <v>1853</v>
      </c>
      <c r="M3036" s="11" t="s">
        <v>1854</v>
      </c>
      <c r="N3036" s="12"/>
      <c r="O3036" s="11" t="s">
        <v>2307</v>
      </c>
      <c r="P3036" s="56" t="s">
        <v>2916</v>
      </c>
    </row>
    <row r="3037" spans="1:16" ht="15.75" customHeight="1" x14ac:dyDescent="0.2">
      <c r="A3037" s="48">
        <v>6194</v>
      </c>
      <c r="B3037" s="11" t="s">
        <v>1857</v>
      </c>
      <c r="C3037" s="11" t="s">
        <v>1876</v>
      </c>
      <c r="D3037" s="6" t="s">
        <v>1850</v>
      </c>
      <c r="E3037" s="11" t="s">
        <v>6642</v>
      </c>
      <c r="F3037" s="12" t="s">
        <v>6643</v>
      </c>
      <c r="G3037" s="12" t="s">
        <v>6642</v>
      </c>
      <c r="H3037" s="12" t="s">
        <v>6671</v>
      </c>
      <c r="I3037" s="12" t="s">
        <v>7080</v>
      </c>
      <c r="J3037" s="11" t="s">
        <v>1851</v>
      </c>
      <c r="K3037" s="11" t="s">
        <v>1852</v>
      </c>
      <c r="L3037" s="11" t="s">
        <v>1853</v>
      </c>
      <c r="M3037" s="11" t="s">
        <v>1854</v>
      </c>
      <c r="N3037" s="12"/>
      <c r="O3037" s="11" t="s">
        <v>1860</v>
      </c>
      <c r="P3037" s="56"/>
    </row>
    <row r="3038" spans="1:16" ht="15.75" customHeight="1" x14ac:dyDescent="0.2">
      <c r="A3038" s="48">
        <v>6196</v>
      </c>
      <c r="B3038" s="11" t="s">
        <v>1857</v>
      </c>
      <c r="C3038" s="11" t="s">
        <v>1876</v>
      </c>
      <c r="D3038" s="6" t="s">
        <v>1850</v>
      </c>
      <c r="E3038" s="11" t="s">
        <v>6642</v>
      </c>
      <c r="F3038" s="12" t="s">
        <v>6643</v>
      </c>
      <c r="G3038" s="12" t="s">
        <v>6642</v>
      </c>
      <c r="H3038" s="58" t="s">
        <v>6646</v>
      </c>
      <c r="I3038" s="12" t="s">
        <v>7081</v>
      </c>
      <c r="J3038" s="11" t="s">
        <v>1851</v>
      </c>
      <c r="K3038" s="11" t="s">
        <v>1852</v>
      </c>
      <c r="L3038" s="11" t="s">
        <v>1853</v>
      </c>
      <c r="M3038" s="11" t="s">
        <v>1854</v>
      </c>
      <c r="N3038" s="12"/>
      <c r="O3038" s="11" t="s">
        <v>1867</v>
      </c>
      <c r="P3038" s="56" t="s">
        <v>5520</v>
      </c>
    </row>
    <row r="3039" spans="1:16" ht="15.75" customHeight="1" x14ac:dyDescent="0.2">
      <c r="A3039" s="48">
        <v>6197</v>
      </c>
      <c r="B3039" s="11" t="s">
        <v>1857</v>
      </c>
      <c r="C3039" s="11" t="s">
        <v>1876</v>
      </c>
      <c r="D3039" s="6" t="s">
        <v>1850</v>
      </c>
      <c r="E3039" s="11" t="s">
        <v>6642</v>
      </c>
      <c r="F3039" s="12" t="s">
        <v>6643</v>
      </c>
      <c r="G3039" s="12" t="s">
        <v>6642</v>
      </c>
      <c r="H3039" s="62" t="s">
        <v>6666</v>
      </c>
      <c r="I3039" s="12" t="s">
        <v>7082</v>
      </c>
      <c r="J3039" s="11" t="s">
        <v>1851</v>
      </c>
      <c r="K3039" s="11" t="s">
        <v>1852</v>
      </c>
      <c r="L3039" s="11" t="s">
        <v>1853</v>
      </c>
      <c r="M3039" s="11" t="s">
        <v>1854</v>
      </c>
      <c r="N3039" s="12"/>
      <c r="O3039" s="11" t="s">
        <v>2307</v>
      </c>
      <c r="P3039" s="56" t="s">
        <v>2614</v>
      </c>
    </row>
    <row r="3040" spans="1:16" ht="15.75" customHeight="1" x14ac:dyDescent="0.2">
      <c r="A3040" s="48">
        <v>6198</v>
      </c>
      <c r="B3040" s="11" t="s">
        <v>1857</v>
      </c>
      <c r="C3040" s="11" t="s">
        <v>1876</v>
      </c>
      <c r="D3040" s="6" t="s">
        <v>1850</v>
      </c>
      <c r="E3040" s="11" t="s">
        <v>6642</v>
      </c>
      <c r="F3040" s="12" t="s">
        <v>6643</v>
      </c>
      <c r="G3040" s="12" t="s">
        <v>6642</v>
      </c>
      <c r="H3040" s="62" t="s">
        <v>6666</v>
      </c>
      <c r="I3040" s="12" t="s">
        <v>7083</v>
      </c>
      <c r="J3040" s="11" t="s">
        <v>1851</v>
      </c>
      <c r="K3040" s="11" t="s">
        <v>1852</v>
      </c>
      <c r="L3040" s="11" t="s">
        <v>1853</v>
      </c>
      <c r="M3040" s="11" t="s">
        <v>1854</v>
      </c>
      <c r="N3040" s="12"/>
      <c r="O3040" s="11" t="s">
        <v>2307</v>
      </c>
      <c r="P3040" s="56" t="s">
        <v>7084</v>
      </c>
    </row>
    <row r="3041" spans="1:16" ht="15.75" customHeight="1" x14ac:dyDescent="0.2">
      <c r="A3041" s="48">
        <v>6202</v>
      </c>
      <c r="B3041" s="11" t="s">
        <v>1857</v>
      </c>
      <c r="C3041" s="11" t="s">
        <v>1876</v>
      </c>
      <c r="D3041" s="6" t="s">
        <v>1850</v>
      </c>
      <c r="E3041" s="11" t="s">
        <v>6642</v>
      </c>
      <c r="F3041" s="12" t="s">
        <v>6643</v>
      </c>
      <c r="G3041" s="12" t="s">
        <v>6642</v>
      </c>
      <c r="H3041" s="12" t="s">
        <v>6661</v>
      </c>
      <c r="I3041" s="12" t="s">
        <v>7085</v>
      </c>
      <c r="J3041" s="11" t="s">
        <v>1851</v>
      </c>
      <c r="K3041" s="11" t="s">
        <v>1852</v>
      </c>
      <c r="L3041" s="11" t="s">
        <v>1853</v>
      </c>
      <c r="M3041" s="11" t="s">
        <v>1854</v>
      </c>
      <c r="N3041" s="12"/>
      <c r="O3041" s="11" t="s">
        <v>1867</v>
      </c>
      <c r="P3041" s="56" t="s">
        <v>3343</v>
      </c>
    </row>
    <row r="3042" spans="1:16" ht="15.75" customHeight="1" x14ac:dyDescent="0.2">
      <c r="A3042" s="48">
        <v>6203</v>
      </c>
      <c r="B3042" s="11" t="s">
        <v>1857</v>
      </c>
      <c r="C3042" s="11" t="s">
        <v>1876</v>
      </c>
      <c r="D3042" s="6" t="s">
        <v>1850</v>
      </c>
      <c r="E3042" s="11" t="s">
        <v>6642</v>
      </c>
      <c r="F3042" s="12" t="s">
        <v>6643</v>
      </c>
      <c r="G3042" s="12" t="s">
        <v>6642</v>
      </c>
      <c r="H3042" s="12" t="s">
        <v>6661</v>
      </c>
      <c r="I3042" s="12" t="s">
        <v>7086</v>
      </c>
      <c r="J3042" s="11" t="s">
        <v>1851</v>
      </c>
      <c r="K3042" s="11" t="s">
        <v>1852</v>
      </c>
      <c r="L3042" s="11" t="s">
        <v>1853</v>
      </c>
      <c r="M3042" s="11" t="s">
        <v>1854</v>
      </c>
      <c r="N3042" s="12"/>
      <c r="O3042" s="11" t="s">
        <v>1867</v>
      </c>
      <c r="P3042" s="56" t="s">
        <v>1865</v>
      </c>
    </row>
    <row r="3043" spans="1:16" ht="15.75" customHeight="1" x14ac:dyDescent="0.2">
      <c r="A3043" s="48">
        <v>6204</v>
      </c>
      <c r="B3043" s="11" t="s">
        <v>1857</v>
      </c>
      <c r="C3043" s="11" t="s">
        <v>1876</v>
      </c>
      <c r="D3043" s="6" t="s">
        <v>1850</v>
      </c>
      <c r="E3043" s="11" t="s">
        <v>6642</v>
      </c>
      <c r="F3043" s="12" t="s">
        <v>6643</v>
      </c>
      <c r="G3043" s="12" t="s">
        <v>6642</v>
      </c>
      <c r="H3043" s="12" t="s">
        <v>6661</v>
      </c>
      <c r="I3043" s="12" t="s">
        <v>7087</v>
      </c>
      <c r="J3043" s="11" t="s">
        <v>1851</v>
      </c>
      <c r="K3043" s="11" t="s">
        <v>1852</v>
      </c>
      <c r="L3043" s="11" t="s">
        <v>1853</v>
      </c>
      <c r="M3043" s="11" t="s">
        <v>1854</v>
      </c>
      <c r="N3043" s="12"/>
      <c r="O3043" s="11" t="s">
        <v>2307</v>
      </c>
      <c r="P3043" s="56" t="s">
        <v>2819</v>
      </c>
    </row>
    <row r="3044" spans="1:16" ht="15.75" customHeight="1" x14ac:dyDescent="0.2">
      <c r="A3044" s="48">
        <v>6205</v>
      </c>
      <c r="B3044" s="11" t="s">
        <v>1857</v>
      </c>
      <c r="C3044" s="11" t="s">
        <v>1876</v>
      </c>
      <c r="D3044" s="6" t="s">
        <v>1850</v>
      </c>
      <c r="E3044" s="11" t="s">
        <v>6642</v>
      </c>
      <c r="F3044" s="12" t="s">
        <v>6643</v>
      </c>
      <c r="G3044" s="12" t="s">
        <v>6642</v>
      </c>
      <c r="H3044" s="12" t="s">
        <v>6689</v>
      </c>
      <c r="I3044" s="12" t="s">
        <v>7088</v>
      </c>
      <c r="J3044" s="11" t="s">
        <v>1851</v>
      </c>
      <c r="K3044" s="11" t="s">
        <v>1852</v>
      </c>
      <c r="L3044" s="11" t="s">
        <v>1853</v>
      </c>
      <c r="M3044" s="11" t="s">
        <v>1854</v>
      </c>
      <c r="N3044" s="12"/>
      <c r="O3044" s="11" t="s">
        <v>1867</v>
      </c>
      <c r="P3044" s="56" t="s">
        <v>1865</v>
      </c>
    </row>
    <row r="3045" spans="1:16" ht="15.75" customHeight="1" x14ac:dyDescent="0.2">
      <c r="A3045" s="48">
        <v>6206</v>
      </c>
      <c r="B3045" s="11" t="s">
        <v>1857</v>
      </c>
      <c r="C3045" s="11" t="s">
        <v>1876</v>
      </c>
      <c r="D3045" s="6" t="s">
        <v>1850</v>
      </c>
      <c r="E3045" s="11" t="s">
        <v>6642</v>
      </c>
      <c r="F3045" s="12" t="s">
        <v>6643</v>
      </c>
      <c r="G3045" s="12" t="s">
        <v>6642</v>
      </c>
      <c r="H3045" s="12" t="s">
        <v>6661</v>
      </c>
      <c r="I3045" s="12" t="s">
        <v>7089</v>
      </c>
      <c r="J3045" s="11" t="s">
        <v>1851</v>
      </c>
      <c r="K3045" s="11" t="s">
        <v>1852</v>
      </c>
      <c r="L3045" s="11" t="s">
        <v>1853</v>
      </c>
      <c r="M3045" s="11" t="s">
        <v>1854</v>
      </c>
      <c r="N3045" s="12"/>
      <c r="O3045" s="11" t="s">
        <v>1858</v>
      </c>
      <c r="P3045" s="56"/>
    </row>
    <row r="3046" spans="1:16" ht="15.75" customHeight="1" x14ac:dyDescent="0.2">
      <c r="A3046" s="48">
        <v>6207</v>
      </c>
      <c r="B3046" s="11" t="s">
        <v>1857</v>
      </c>
      <c r="C3046" s="11" t="s">
        <v>1876</v>
      </c>
      <c r="D3046" s="6" t="s">
        <v>1850</v>
      </c>
      <c r="E3046" s="11" t="s">
        <v>6642</v>
      </c>
      <c r="F3046" s="12" t="s">
        <v>6643</v>
      </c>
      <c r="G3046" s="12" t="s">
        <v>6642</v>
      </c>
      <c r="H3046" s="12" t="s">
        <v>6661</v>
      </c>
      <c r="I3046" s="12" t="s">
        <v>7090</v>
      </c>
      <c r="J3046" s="11" t="s">
        <v>1851</v>
      </c>
      <c r="K3046" s="11" t="s">
        <v>1852</v>
      </c>
      <c r="L3046" s="11" t="s">
        <v>1853</v>
      </c>
      <c r="M3046" s="11" t="s">
        <v>1854</v>
      </c>
      <c r="N3046" s="12"/>
      <c r="O3046" s="11" t="s">
        <v>1867</v>
      </c>
      <c r="P3046" s="56" t="s">
        <v>1865</v>
      </c>
    </row>
    <row r="3047" spans="1:16" ht="15.75" customHeight="1" x14ac:dyDescent="0.2">
      <c r="A3047" s="48">
        <v>6208</v>
      </c>
      <c r="B3047" s="11" t="s">
        <v>1857</v>
      </c>
      <c r="C3047" s="11" t="s">
        <v>1876</v>
      </c>
      <c r="D3047" s="6" t="s">
        <v>1850</v>
      </c>
      <c r="E3047" s="11" t="s">
        <v>6642</v>
      </c>
      <c r="F3047" s="12" t="s">
        <v>6643</v>
      </c>
      <c r="G3047" s="12" t="s">
        <v>6642</v>
      </c>
      <c r="H3047" s="12" t="s">
        <v>6661</v>
      </c>
      <c r="I3047" s="12" t="s">
        <v>7091</v>
      </c>
      <c r="J3047" s="11" t="s">
        <v>1851</v>
      </c>
      <c r="K3047" s="11" t="s">
        <v>1852</v>
      </c>
      <c r="L3047" s="11" t="s">
        <v>1853</v>
      </c>
      <c r="M3047" s="11" t="s">
        <v>7092</v>
      </c>
      <c r="N3047" s="12"/>
      <c r="O3047" s="11" t="s">
        <v>1867</v>
      </c>
      <c r="P3047" s="56" t="s">
        <v>7093</v>
      </c>
    </row>
    <row r="3048" spans="1:16" ht="15.75" customHeight="1" x14ac:dyDescent="0.2">
      <c r="A3048" s="48">
        <v>6210</v>
      </c>
      <c r="B3048" s="11" t="s">
        <v>1857</v>
      </c>
      <c r="C3048" s="11" t="s">
        <v>1876</v>
      </c>
      <c r="D3048" s="6" t="s">
        <v>1850</v>
      </c>
      <c r="E3048" s="11" t="s">
        <v>6642</v>
      </c>
      <c r="F3048" s="12" t="s">
        <v>6643</v>
      </c>
      <c r="G3048" s="12" t="s">
        <v>6642</v>
      </c>
      <c r="H3048" s="12" t="s">
        <v>6661</v>
      </c>
      <c r="I3048" s="12" t="s">
        <v>7094</v>
      </c>
      <c r="J3048" s="11" t="s">
        <v>1851</v>
      </c>
      <c r="K3048" s="11" t="s">
        <v>1852</v>
      </c>
      <c r="L3048" s="11" t="s">
        <v>1853</v>
      </c>
      <c r="M3048" s="11" t="s">
        <v>1854</v>
      </c>
      <c r="N3048" s="12"/>
      <c r="O3048" s="11" t="s">
        <v>2412</v>
      </c>
      <c r="P3048" s="56" t="s">
        <v>7049</v>
      </c>
    </row>
    <row r="3049" spans="1:16" ht="15.75" customHeight="1" x14ac:dyDescent="0.2">
      <c r="A3049" s="48">
        <v>6211</v>
      </c>
      <c r="B3049" s="11" t="s">
        <v>1857</v>
      </c>
      <c r="C3049" s="11" t="s">
        <v>1876</v>
      </c>
      <c r="D3049" s="6" t="s">
        <v>1850</v>
      </c>
      <c r="E3049" s="11" t="s">
        <v>6642</v>
      </c>
      <c r="F3049" s="12" t="s">
        <v>6643</v>
      </c>
      <c r="G3049" s="12" t="s">
        <v>6642</v>
      </c>
      <c r="H3049" s="12" t="s">
        <v>6661</v>
      </c>
      <c r="I3049" s="12" t="s">
        <v>7095</v>
      </c>
      <c r="J3049" s="11" t="s">
        <v>1851</v>
      </c>
      <c r="K3049" s="11" t="s">
        <v>1852</v>
      </c>
      <c r="L3049" s="11" t="s">
        <v>1853</v>
      </c>
      <c r="M3049" s="11" t="s">
        <v>1854</v>
      </c>
      <c r="N3049" s="12"/>
      <c r="O3049" s="11" t="s">
        <v>1867</v>
      </c>
      <c r="P3049" s="56" t="s">
        <v>7084</v>
      </c>
    </row>
    <row r="3050" spans="1:16" ht="15.75" customHeight="1" x14ac:dyDescent="0.2">
      <c r="A3050" s="48">
        <v>6212</v>
      </c>
      <c r="B3050" s="11" t="s">
        <v>1857</v>
      </c>
      <c r="C3050" s="11" t="s">
        <v>1876</v>
      </c>
      <c r="D3050" s="6" t="s">
        <v>1850</v>
      </c>
      <c r="E3050" s="11" t="s">
        <v>6642</v>
      </c>
      <c r="F3050" s="12" t="s">
        <v>6643</v>
      </c>
      <c r="G3050" s="12" t="s">
        <v>6642</v>
      </c>
      <c r="H3050" s="58" t="s">
        <v>2768</v>
      </c>
      <c r="I3050" s="12" t="s">
        <v>7096</v>
      </c>
      <c r="J3050" s="11" t="s">
        <v>1851</v>
      </c>
      <c r="K3050" s="11" t="s">
        <v>1852</v>
      </c>
      <c r="L3050" s="11" t="s">
        <v>1853</v>
      </c>
      <c r="M3050" s="11" t="s">
        <v>1854</v>
      </c>
      <c r="N3050" s="12"/>
      <c r="O3050" s="11" t="s">
        <v>1867</v>
      </c>
      <c r="P3050" s="56" t="s">
        <v>7097</v>
      </c>
    </row>
    <row r="3051" spans="1:16" ht="15.75" customHeight="1" x14ac:dyDescent="0.2">
      <c r="A3051" s="48">
        <v>6213</v>
      </c>
      <c r="B3051" s="11" t="s">
        <v>1857</v>
      </c>
      <c r="C3051" s="11" t="s">
        <v>1876</v>
      </c>
      <c r="D3051" s="6" t="s">
        <v>1850</v>
      </c>
      <c r="E3051" s="11" t="s">
        <v>6642</v>
      </c>
      <c r="F3051" s="12" t="s">
        <v>6643</v>
      </c>
      <c r="G3051" s="12" t="s">
        <v>6642</v>
      </c>
      <c r="H3051" s="12" t="s">
        <v>2768</v>
      </c>
      <c r="I3051" s="12" t="s">
        <v>7098</v>
      </c>
      <c r="J3051" s="11" t="s">
        <v>1851</v>
      </c>
      <c r="K3051" s="11" t="s">
        <v>1852</v>
      </c>
      <c r="L3051" s="11" t="s">
        <v>1853</v>
      </c>
      <c r="M3051" s="11" t="s">
        <v>1854</v>
      </c>
      <c r="N3051" s="12"/>
      <c r="O3051" s="11" t="s">
        <v>1867</v>
      </c>
      <c r="P3051" s="56" t="s">
        <v>1865</v>
      </c>
    </row>
    <row r="3052" spans="1:16" ht="15.75" customHeight="1" x14ac:dyDescent="0.2">
      <c r="A3052" s="48">
        <v>6215</v>
      </c>
      <c r="B3052" s="11" t="s">
        <v>1857</v>
      </c>
      <c r="C3052" s="11" t="s">
        <v>1876</v>
      </c>
      <c r="D3052" s="6" t="s">
        <v>1850</v>
      </c>
      <c r="E3052" s="11" t="s">
        <v>6642</v>
      </c>
      <c r="F3052" s="12" t="s">
        <v>6643</v>
      </c>
      <c r="G3052" s="12" t="s">
        <v>6642</v>
      </c>
      <c r="H3052" s="12" t="s">
        <v>2768</v>
      </c>
      <c r="I3052" s="12" t="s">
        <v>7099</v>
      </c>
      <c r="J3052" s="11" t="s">
        <v>1851</v>
      </c>
      <c r="K3052" s="11" t="s">
        <v>1852</v>
      </c>
      <c r="L3052" s="11" t="s">
        <v>1853</v>
      </c>
      <c r="M3052" s="11" t="s">
        <v>1854</v>
      </c>
      <c r="N3052" s="12"/>
      <c r="O3052" s="11" t="s">
        <v>1860</v>
      </c>
      <c r="P3052" s="56"/>
    </row>
    <row r="3053" spans="1:16" ht="15.75" customHeight="1" x14ac:dyDescent="0.2">
      <c r="A3053" s="48">
        <v>6216</v>
      </c>
      <c r="B3053" s="11" t="s">
        <v>1857</v>
      </c>
      <c r="C3053" s="11" t="s">
        <v>1876</v>
      </c>
      <c r="D3053" s="6" t="s">
        <v>1850</v>
      </c>
      <c r="E3053" s="11" t="s">
        <v>6642</v>
      </c>
      <c r="F3053" s="12" t="s">
        <v>6643</v>
      </c>
      <c r="G3053" s="12" t="s">
        <v>6642</v>
      </c>
      <c r="H3053" s="12" t="s">
        <v>2768</v>
      </c>
      <c r="I3053" s="12" t="s">
        <v>7100</v>
      </c>
      <c r="J3053" s="11" t="s">
        <v>1851</v>
      </c>
      <c r="K3053" s="11" t="s">
        <v>1852</v>
      </c>
      <c r="L3053" s="11" t="s">
        <v>1853</v>
      </c>
      <c r="M3053" s="11" t="s">
        <v>1854</v>
      </c>
      <c r="N3053" s="12"/>
      <c r="O3053" s="11" t="s">
        <v>2408</v>
      </c>
      <c r="P3053" s="56" t="s">
        <v>5520</v>
      </c>
    </row>
    <row r="3054" spans="1:16" ht="15.75" customHeight="1" x14ac:dyDescent="0.2">
      <c r="A3054" s="48">
        <v>6218</v>
      </c>
      <c r="B3054" s="11" t="s">
        <v>1857</v>
      </c>
      <c r="C3054" s="11" t="s">
        <v>1876</v>
      </c>
      <c r="D3054" s="6" t="s">
        <v>1850</v>
      </c>
      <c r="E3054" s="11" t="s">
        <v>6642</v>
      </c>
      <c r="F3054" s="12" t="s">
        <v>6643</v>
      </c>
      <c r="G3054" s="12" t="s">
        <v>6642</v>
      </c>
      <c r="H3054" s="12" t="s">
        <v>2768</v>
      </c>
      <c r="I3054" s="12" t="s">
        <v>7101</v>
      </c>
      <c r="J3054" s="11" t="s">
        <v>1851</v>
      </c>
      <c r="K3054" s="11" t="s">
        <v>1852</v>
      </c>
      <c r="L3054" s="11" t="s">
        <v>1853</v>
      </c>
      <c r="M3054" s="11" t="s">
        <v>1854</v>
      </c>
      <c r="N3054" s="12"/>
      <c r="O3054" s="11" t="s">
        <v>1867</v>
      </c>
      <c r="P3054" s="56" t="s">
        <v>2184</v>
      </c>
    </row>
    <row r="3055" spans="1:16" ht="15.75" customHeight="1" x14ac:dyDescent="0.2">
      <c r="A3055" s="48">
        <v>6219</v>
      </c>
      <c r="B3055" s="11" t="s">
        <v>1857</v>
      </c>
      <c r="C3055" s="11" t="s">
        <v>1876</v>
      </c>
      <c r="D3055" s="6" t="s">
        <v>1850</v>
      </c>
      <c r="E3055" s="11" t="s">
        <v>6642</v>
      </c>
      <c r="F3055" s="12" t="s">
        <v>6643</v>
      </c>
      <c r="G3055" s="12" t="s">
        <v>6642</v>
      </c>
      <c r="H3055" s="12" t="s">
        <v>2768</v>
      </c>
      <c r="I3055" s="12" t="s">
        <v>7102</v>
      </c>
      <c r="J3055" s="11" t="s">
        <v>1851</v>
      </c>
      <c r="K3055" s="11" t="s">
        <v>1852</v>
      </c>
      <c r="L3055" s="11" t="s">
        <v>1853</v>
      </c>
      <c r="M3055" s="11" t="s">
        <v>1854</v>
      </c>
      <c r="N3055" s="12"/>
      <c r="O3055" s="11" t="s">
        <v>2307</v>
      </c>
      <c r="P3055" s="56" t="s">
        <v>7103</v>
      </c>
    </row>
    <row r="3056" spans="1:16" ht="15.75" customHeight="1" x14ac:dyDescent="0.2">
      <c r="A3056" s="48">
        <v>6220</v>
      </c>
      <c r="B3056" s="11" t="s">
        <v>1857</v>
      </c>
      <c r="C3056" s="11" t="s">
        <v>1876</v>
      </c>
      <c r="D3056" s="6" t="s">
        <v>1850</v>
      </c>
      <c r="E3056" s="11" t="s">
        <v>6642</v>
      </c>
      <c r="F3056" s="12" t="s">
        <v>6643</v>
      </c>
      <c r="G3056" s="12" t="s">
        <v>6642</v>
      </c>
      <c r="H3056" s="12" t="s">
        <v>2768</v>
      </c>
      <c r="I3056" s="12" t="s">
        <v>1915</v>
      </c>
      <c r="J3056" s="11" t="s">
        <v>1851</v>
      </c>
      <c r="K3056" s="11" t="s">
        <v>1852</v>
      </c>
      <c r="L3056" s="11" t="s">
        <v>1853</v>
      </c>
      <c r="M3056" s="11" t="s">
        <v>1854</v>
      </c>
      <c r="N3056" s="12"/>
      <c r="O3056" s="11" t="s">
        <v>2307</v>
      </c>
      <c r="P3056" s="56" t="s">
        <v>2184</v>
      </c>
    </row>
    <row r="3057" spans="1:16" ht="15.75" customHeight="1" x14ac:dyDescent="0.2">
      <c r="A3057" s="49">
        <v>7532</v>
      </c>
      <c r="B3057" s="11" t="s">
        <v>1857</v>
      </c>
      <c r="C3057" s="11" t="s">
        <v>1876</v>
      </c>
      <c r="D3057" s="6" t="s">
        <v>1850</v>
      </c>
      <c r="E3057" s="11" t="s">
        <v>6642</v>
      </c>
      <c r="F3057" s="12" t="s">
        <v>6643</v>
      </c>
      <c r="G3057" s="12" t="s">
        <v>6642</v>
      </c>
      <c r="H3057" s="12" t="s">
        <v>6657</v>
      </c>
      <c r="I3057" s="12" t="s">
        <v>7104</v>
      </c>
      <c r="J3057" s="11" t="s">
        <v>1851</v>
      </c>
      <c r="K3057" s="11" t="s">
        <v>1852</v>
      </c>
      <c r="L3057" s="11" t="s">
        <v>1853</v>
      </c>
      <c r="M3057" s="11" t="s">
        <v>1854</v>
      </c>
      <c r="N3057" s="12"/>
      <c r="O3057" s="11" t="s">
        <v>1864</v>
      </c>
      <c r="P3057" s="56" t="s">
        <v>7105</v>
      </c>
    </row>
    <row r="3058" spans="1:16" ht="15.75" customHeight="1" x14ac:dyDescent="0.2">
      <c r="A3058" s="48">
        <v>6221</v>
      </c>
      <c r="B3058" s="11" t="s">
        <v>1857</v>
      </c>
      <c r="C3058" s="11" t="s">
        <v>1876</v>
      </c>
      <c r="D3058" s="6" t="s">
        <v>1850</v>
      </c>
      <c r="E3058" s="11" t="s">
        <v>6642</v>
      </c>
      <c r="F3058" s="12" t="s">
        <v>6643</v>
      </c>
      <c r="G3058" s="12" t="s">
        <v>6642</v>
      </c>
      <c r="H3058" s="12" t="s">
        <v>2768</v>
      </c>
      <c r="I3058" s="12" t="s">
        <v>7106</v>
      </c>
      <c r="J3058" s="11" t="s">
        <v>1851</v>
      </c>
      <c r="K3058" s="11" t="s">
        <v>1852</v>
      </c>
      <c r="L3058" s="11" t="s">
        <v>1853</v>
      </c>
      <c r="M3058" s="11" t="s">
        <v>7107</v>
      </c>
      <c r="N3058" s="12"/>
      <c r="O3058" s="11" t="s">
        <v>2334</v>
      </c>
      <c r="P3058" s="56" t="s">
        <v>7108</v>
      </c>
    </row>
    <row r="3059" spans="1:16" ht="15.75" customHeight="1" x14ac:dyDescent="0.2">
      <c r="A3059" s="48">
        <v>6222</v>
      </c>
      <c r="B3059" s="11" t="s">
        <v>1857</v>
      </c>
      <c r="C3059" s="11" t="s">
        <v>1876</v>
      </c>
      <c r="D3059" s="6" t="s">
        <v>1850</v>
      </c>
      <c r="E3059" s="11" t="s">
        <v>6642</v>
      </c>
      <c r="F3059" s="12" t="s">
        <v>6643</v>
      </c>
      <c r="G3059" s="12" t="s">
        <v>6642</v>
      </c>
      <c r="H3059" s="12" t="s">
        <v>2768</v>
      </c>
      <c r="I3059" s="12" t="s">
        <v>7109</v>
      </c>
      <c r="J3059" s="11" t="s">
        <v>1851</v>
      </c>
      <c r="K3059" s="11" t="s">
        <v>1852</v>
      </c>
      <c r="L3059" s="11" t="s">
        <v>1853</v>
      </c>
      <c r="M3059" s="11" t="s">
        <v>1854</v>
      </c>
      <c r="N3059" s="12"/>
      <c r="O3059" s="11" t="s">
        <v>1860</v>
      </c>
      <c r="P3059" s="56" t="s">
        <v>7110</v>
      </c>
    </row>
    <row r="3060" spans="1:16" ht="15.75" customHeight="1" x14ac:dyDescent="0.2">
      <c r="A3060" s="48">
        <v>6223</v>
      </c>
      <c r="B3060" s="11" t="s">
        <v>1857</v>
      </c>
      <c r="C3060" s="11" t="s">
        <v>1876</v>
      </c>
      <c r="D3060" s="6" t="s">
        <v>1850</v>
      </c>
      <c r="E3060" s="11" t="s">
        <v>6642</v>
      </c>
      <c r="F3060" s="12" t="s">
        <v>6643</v>
      </c>
      <c r="G3060" s="12" t="s">
        <v>6642</v>
      </c>
      <c r="H3060" s="12" t="s">
        <v>6661</v>
      </c>
      <c r="I3060" s="12" t="s">
        <v>7111</v>
      </c>
      <c r="J3060" s="11" t="s">
        <v>1851</v>
      </c>
      <c r="K3060" s="11" t="s">
        <v>1852</v>
      </c>
      <c r="L3060" s="11" t="s">
        <v>1853</v>
      </c>
      <c r="M3060" s="11" t="s">
        <v>1854</v>
      </c>
      <c r="N3060" s="12"/>
      <c r="O3060" s="11" t="s">
        <v>2307</v>
      </c>
      <c r="P3060" s="56" t="s">
        <v>2184</v>
      </c>
    </row>
    <row r="3061" spans="1:16" ht="15.75" customHeight="1" x14ac:dyDescent="0.2">
      <c r="A3061" s="48">
        <v>6226</v>
      </c>
      <c r="B3061" s="11" t="s">
        <v>1857</v>
      </c>
      <c r="C3061" s="11" t="s">
        <v>1876</v>
      </c>
      <c r="D3061" s="6" t="s">
        <v>1850</v>
      </c>
      <c r="E3061" s="11" t="s">
        <v>6642</v>
      </c>
      <c r="F3061" s="12" t="s">
        <v>6643</v>
      </c>
      <c r="G3061" s="12" t="s">
        <v>6642</v>
      </c>
      <c r="H3061" s="12" t="s">
        <v>6657</v>
      </c>
      <c r="I3061" s="12" t="s">
        <v>7112</v>
      </c>
      <c r="J3061" s="11" t="s">
        <v>1851</v>
      </c>
      <c r="K3061" s="11" t="s">
        <v>1852</v>
      </c>
      <c r="L3061" s="11" t="s">
        <v>1853</v>
      </c>
      <c r="M3061" s="11" t="s">
        <v>1854</v>
      </c>
      <c r="N3061" s="12"/>
      <c r="O3061" s="11" t="s">
        <v>2022</v>
      </c>
      <c r="P3061" s="56" t="s">
        <v>1863</v>
      </c>
    </row>
    <row r="3062" spans="1:16" ht="15.75" customHeight="1" x14ac:dyDescent="0.2">
      <c r="A3062" s="48">
        <v>6230</v>
      </c>
      <c r="B3062" s="11" t="s">
        <v>1857</v>
      </c>
      <c r="C3062" s="11" t="s">
        <v>1876</v>
      </c>
      <c r="D3062" s="6" t="s">
        <v>1850</v>
      </c>
      <c r="E3062" s="11" t="s">
        <v>6642</v>
      </c>
      <c r="F3062" s="12" t="s">
        <v>6643</v>
      </c>
      <c r="G3062" s="12" t="s">
        <v>6642</v>
      </c>
      <c r="H3062" s="12" t="s">
        <v>6657</v>
      </c>
      <c r="I3062" s="12" t="s">
        <v>7113</v>
      </c>
      <c r="J3062" s="11" t="s">
        <v>1851</v>
      </c>
      <c r="K3062" s="11" t="s">
        <v>1852</v>
      </c>
      <c r="L3062" s="11" t="s">
        <v>1853</v>
      </c>
      <c r="M3062" s="11" t="s">
        <v>1854</v>
      </c>
      <c r="N3062" s="12"/>
      <c r="O3062" s="11" t="s">
        <v>1860</v>
      </c>
      <c r="P3062" s="56"/>
    </row>
    <row r="3063" spans="1:16" ht="15.75" customHeight="1" x14ac:dyDescent="0.2">
      <c r="A3063" s="48">
        <v>6232</v>
      </c>
      <c r="B3063" s="11" t="s">
        <v>1857</v>
      </c>
      <c r="C3063" s="11" t="s">
        <v>1876</v>
      </c>
      <c r="D3063" s="6" t="s">
        <v>1850</v>
      </c>
      <c r="E3063" s="11" t="s">
        <v>6642</v>
      </c>
      <c r="F3063" s="12" t="s">
        <v>6643</v>
      </c>
      <c r="G3063" s="12" t="s">
        <v>6642</v>
      </c>
      <c r="H3063" s="12" t="s">
        <v>6657</v>
      </c>
      <c r="I3063" s="12" t="s">
        <v>3463</v>
      </c>
      <c r="J3063" s="11" t="s">
        <v>1851</v>
      </c>
      <c r="K3063" s="11" t="s">
        <v>1852</v>
      </c>
      <c r="L3063" s="11" t="s">
        <v>1853</v>
      </c>
      <c r="M3063" s="11" t="s">
        <v>1854</v>
      </c>
      <c r="N3063" s="12"/>
      <c r="O3063" s="11" t="s">
        <v>2307</v>
      </c>
      <c r="P3063" s="56" t="s">
        <v>7114</v>
      </c>
    </row>
    <row r="3064" spans="1:16" ht="15.75" customHeight="1" x14ac:dyDescent="0.2">
      <c r="A3064" s="48">
        <v>6233</v>
      </c>
      <c r="B3064" s="11" t="s">
        <v>1857</v>
      </c>
      <c r="C3064" s="11" t="s">
        <v>1876</v>
      </c>
      <c r="D3064" s="6" t="s">
        <v>1850</v>
      </c>
      <c r="E3064" s="11" t="s">
        <v>6642</v>
      </c>
      <c r="F3064" s="12" t="s">
        <v>6643</v>
      </c>
      <c r="G3064" s="12" t="s">
        <v>6642</v>
      </c>
      <c r="H3064" s="12" t="s">
        <v>6657</v>
      </c>
      <c r="I3064" s="12" t="s">
        <v>7115</v>
      </c>
      <c r="J3064" s="11" t="s">
        <v>1851</v>
      </c>
      <c r="K3064" s="11" t="s">
        <v>1852</v>
      </c>
      <c r="L3064" s="11" t="s">
        <v>1853</v>
      </c>
      <c r="M3064" s="11" t="s">
        <v>1854</v>
      </c>
      <c r="N3064" s="12"/>
      <c r="O3064" s="11" t="s">
        <v>1860</v>
      </c>
      <c r="P3064" s="56" t="s">
        <v>4244</v>
      </c>
    </row>
    <row r="3065" spans="1:16" ht="15.75" customHeight="1" x14ac:dyDescent="0.2">
      <c r="A3065" s="48">
        <v>6236</v>
      </c>
      <c r="B3065" s="11" t="s">
        <v>1857</v>
      </c>
      <c r="C3065" s="11" t="s">
        <v>1876</v>
      </c>
      <c r="D3065" s="6" t="s">
        <v>1850</v>
      </c>
      <c r="E3065" s="11" t="s">
        <v>6642</v>
      </c>
      <c r="F3065" s="12" t="s">
        <v>6643</v>
      </c>
      <c r="G3065" s="12" t="s">
        <v>6642</v>
      </c>
      <c r="H3065" s="12" t="s">
        <v>6657</v>
      </c>
      <c r="I3065" s="12" t="s">
        <v>7116</v>
      </c>
      <c r="J3065" s="11" t="s">
        <v>1851</v>
      </c>
      <c r="K3065" s="11" t="s">
        <v>1852</v>
      </c>
      <c r="L3065" s="11" t="s">
        <v>1853</v>
      </c>
      <c r="M3065" s="11" t="s">
        <v>1854</v>
      </c>
      <c r="N3065" s="12"/>
      <c r="O3065" s="11" t="s">
        <v>1860</v>
      </c>
      <c r="P3065" s="56"/>
    </row>
    <row r="3066" spans="1:16" ht="15.75" customHeight="1" x14ac:dyDescent="0.2">
      <c r="A3066" s="48">
        <v>6238</v>
      </c>
      <c r="B3066" s="11" t="s">
        <v>1857</v>
      </c>
      <c r="C3066" s="11" t="s">
        <v>1876</v>
      </c>
      <c r="D3066" s="6" t="s">
        <v>1850</v>
      </c>
      <c r="E3066" s="11" t="s">
        <v>6642</v>
      </c>
      <c r="F3066" s="12" t="s">
        <v>6643</v>
      </c>
      <c r="G3066" s="12" t="s">
        <v>6642</v>
      </c>
      <c r="H3066" s="12" t="s">
        <v>6658</v>
      </c>
      <c r="I3066" s="12" t="s">
        <v>7117</v>
      </c>
      <c r="J3066" s="11" t="s">
        <v>1851</v>
      </c>
      <c r="K3066" s="11" t="s">
        <v>1852</v>
      </c>
      <c r="L3066" s="11" t="s">
        <v>1853</v>
      </c>
      <c r="M3066" s="11" t="s">
        <v>1854</v>
      </c>
      <c r="N3066" s="12"/>
      <c r="O3066" s="11" t="s">
        <v>2334</v>
      </c>
      <c r="P3066" s="56" t="s">
        <v>2184</v>
      </c>
    </row>
    <row r="3067" spans="1:16" ht="15.75" customHeight="1" x14ac:dyDescent="0.2">
      <c r="A3067" s="48">
        <v>6239</v>
      </c>
      <c r="B3067" s="11" t="s">
        <v>1857</v>
      </c>
      <c r="C3067" s="11" t="s">
        <v>1876</v>
      </c>
      <c r="D3067" s="6" t="s">
        <v>1850</v>
      </c>
      <c r="E3067" s="11" t="s">
        <v>6642</v>
      </c>
      <c r="F3067" s="12" t="s">
        <v>6643</v>
      </c>
      <c r="G3067" s="12" t="s">
        <v>6642</v>
      </c>
      <c r="H3067" s="12" t="s">
        <v>6658</v>
      </c>
      <c r="I3067" s="12" t="s">
        <v>7118</v>
      </c>
      <c r="J3067" s="11" t="s">
        <v>1851</v>
      </c>
      <c r="K3067" s="11" t="s">
        <v>1852</v>
      </c>
      <c r="L3067" s="11" t="s">
        <v>1853</v>
      </c>
      <c r="M3067" s="11" t="s">
        <v>1854</v>
      </c>
      <c r="N3067" s="12"/>
      <c r="O3067" s="11" t="s">
        <v>2307</v>
      </c>
      <c r="P3067" s="56" t="s">
        <v>7119</v>
      </c>
    </row>
    <row r="3068" spans="1:16" ht="15.75" customHeight="1" x14ac:dyDescent="0.2">
      <c r="A3068" s="48">
        <v>6240</v>
      </c>
      <c r="B3068" s="11" t="s">
        <v>1857</v>
      </c>
      <c r="C3068" s="11" t="s">
        <v>1876</v>
      </c>
      <c r="D3068" s="6" t="s">
        <v>1850</v>
      </c>
      <c r="E3068" s="11" t="s">
        <v>6642</v>
      </c>
      <c r="F3068" s="12" t="s">
        <v>6643</v>
      </c>
      <c r="G3068" s="12" t="s">
        <v>6642</v>
      </c>
      <c r="H3068" s="12" t="s">
        <v>6658</v>
      </c>
      <c r="I3068" s="12" t="s">
        <v>7120</v>
      </c>
      <c r="J3068" s="11" t="s">
        <v>1851</v>
      </c>
      <c r="K3068" s="11" t="s">
        <v>1852</v>
      </c>
      <c r="L3068" s="11" t="s">
        <v>1853</v>
      </c>
      <c r="M3068" s="11" t="s">
        <v>7121</v>
      </c>
      <c r="N3068" s="12" t="s">
        <v>7122</v>
      </c>
      <c r="O3068" s="11" t="s">
        <v>1867</v>
      </c>
      <c r="P3068" s="56" t="s">
        <v>7093</v>
      </c>
    </row>
    <row r="3069" spans="1:16" ht="15.75" customHeight="1" x14ac:dyDescent="0.2">
      <c r="A3069" s="48">
        <v>6242</v>
      </c>
      <c r="B3069" s="11" t="s">
        <v>1857</v>
      </c>
      <c r="C3069" s="11" t="s">
        <v>1876</v>
      </c>
      <c r="D3069" s="6" t="s">
        <v>1850</v>
      </c>
      <c r="E3069" s="11" t="s">
        <v>6642</v>
      </c>
      <c r="F3069" s="12" t="s">
        <v>6643</v>
      </c>
      <c r="G3069" s="12" t="s">
        <v>6642</v>
      </c>
      <c r="H3069" s="12" t="s">
        <v>6658</v>
      </c>
      <c r="I3069" s="12" t="s">
        <v>7123</v>
      </c>
      <c r="J3069" s="11" t="s">
        <v>1851</v>
      </c>
      <c r="K3069" s="11" t="s">
        <v>1852</v>
      </c>
      <c r="L3069" s="11" t="s">
        <v>1853</v>
      </c>
      <c r="M3069" s="11" t="s">
        <v>1854</v>
      </c>
      <c r="N3069" s="12"/>
      <c r="O3069" s="11" t="s">
        <v>7124</v>
      </c>
      <c r="P3069" s="56" t="s">
        <v>7125</v>
      </c>
    </row>
    <row r="3070" spans="1:16" ht="15.75" customHeight="1" x14ac:dyDescent="0.2">
      <c r="A3070" s="48">
        <v>6243</v>
      </c>
      <c r="B3070" s="11" t="s">
        <v>1857</v>
      </c>
      <c r="C3070" s="11" t="s">
        <v>1876</v>
      </c>
      <c r="D3070" s="6" t="s">
        <v>1850</v>
      </c>
      <c r="E3070" s="11" t="s">
        <v>6642</v>
      </c>
      <c r="F3070" s="12" t="s">
        <v>6643</v>
      </c>
      <c r="G3070" s="12" t="s">
        <v>6642</v>
      </c>
      <c r="H3070" s="12" t="s">
        <v>6658</v>
      </c>
      <c r="I3070" s="12" t="s">
        <v>7126</v>
      </c>
      <c r="J3070" s="11" t="s">
        <v>1851</v>
      </c>
      <c r="K3070" s="11" t="s">
        <v>1852</v>
      </c>
      <c r="L3070" s="11" t="s">
        <v>1853</v>
      </c>
      <c r="M3070" s="11" t="s">
        <v>1854</v>
      </c>
      <c r="N3070" s="12"/>
      <c r="O3070" s="11" t="s">
        <v>2307</v>
      </c>
      <c r="P3070" s="56" t="s">
        <v>2184</v>
      </c>
    </row>
    <row r="3071" spans="1:16" ht="15.75" customHeight="1" x14ac:dyDescent="0.2">
      <c r="A3071" s="48">
        <v>6244</v>
      </c>
      <c r="B3071" s="11" t="s">
        <v>1857</v>
      </c>
      <c r="C3071" s="11" t="s">
        <v>1876</v>
      </c>
      <c r="D3071" s="6" t="s">
        <v>1850</v>
      </c>
      <c r="E3071" s="11" t="s">
        <v>6642</v>
      </c>
      <c r="F3071" s="12" t="s">
        <v>6643</v>
      </c>
      <c r="G3071" s="12" t="s">
        <v>6642</v>
      </c>
      <c r="H3071" s="12" t="s">
        <v>6658</v>
      </c>
      <c r="I3071" s="12" t="s">
        <v>7127</v>
      </c>
      <c r="J3071" s="11" t="s">
        <v>1851</v>
      </c>
      <c r="K3071" s="11" t="s">
        <v>1852</v>
      </c>
      <c r="L3071" s="11" t="s">
        <v>1853</v>
      </c>
      <c r="M3071" s="11" t="s">
        <v>7128</v>
      </c>
      <c r="N3071" s="12"/>
      <c r="O3071" s="11" t="s">
        <v>1867</v>
      </c>
      <c r="P3071" s="56" t="s">
        <v>1865</v>
      </c>
    </row>
    <row r="3072" spans="1:16" ht="15.75" customHeight="1" x14ac:dyDescent="0.2">
      <c r="A3072" s="48">
        <v>6245</v>
      </c>
      <c r="B3072" s="11" t="s">
        <v>1857</v>
      </c>
      <c r="C3072" s="11" t="s">
        <v>1876</v>
      </c>
      <c r="D3072" s="6" t="s">
        <v>1850</v>
      </c>
      <c r="E3072" s="11" t="s">
        <v>6642</v>
      </c>
      <c r="F3072" s="12" t="s">
        <v>6643</v>
      </c>
      <c r="G3072" s="12" t="s">
        <v>6642</v>
      </c>
      <c r="H3072" s="12" t="s">
        <v>6658</v>
      </c>
      <c r="I3072" s="12" t="s">
        <v>7129</v>
      </c>
      <c r="J3072" s="11" t="s">
        <v>1851</v>
      </c>
      <c r="K3072" s="11" t="s">
        <v>1852</v>
      </c>
      <c r="L3072" s="11" t="s">
        <v>1853</v>
      </c>
      <c r="M3072" s="11" t="s">
        <v>1854</v>
      </c>
      <c r="N3072" s="12"/>
      <c r="O3072" s="11" t="s">
        <v>1867</v>
      </c>
      <c r="P3072" s="56" t="s">
        <v>1865</v>
      </c>
    </row>
    <row r="3073" spans="1:16" ht="15.75" customHeight="1" x14ac:dyDescent="0.2">
      <c r="A3073" s="48">
        <v>6247</v>
      </c>
      <c r="B3073" s="11" t="s">
        <v>1857</v>
      </c>
      <c r="C3073" s="11" t="s">
        <v>1876</v>
      </c>
      <c r="D3073" s="6" t="s">
        <v>1850</v>
      </c>
      <c r="E3073" s="11" t="s">
        <v>6642</v>
      </c>
      <c r="F3073" s="12" t="s">
        <v>6643</v>
      </c>
      <c r="G3073" s="12" t="s">
        <v>6642</v>
      </c>
      <c r="H3073" s="58" t="s">
        <v>6689</v>
      </c>
      <c r="I3073" s="12" t="s">
        <v>7130</v>
      </c>
      <c r="J3073" s="11" t="s">
        <v>1851</v>
      </c>
      <c r="K3073" s="11" t="s">
        <v>1852</v>
      </c>
      <c r="L3073" s="11" t="s">
        <v>1853</v>
      </c>
      <c r="M3073" s="11" t="s">
        <v>1854</v>
      </c>
      <c r="N3073" s="12"/>
      <c r="O3073" s="11" t="s">
        <v>2307</v>
      </c>
      <c r="P3073" s="56" t="s">
        <v>2229</v>
      </c>
    </row>
    <row r="3074" spans="1:16" ht="15.75" customHeight="1" x14ac:dyDescent="0.2">
      <c r="A3074" s="48">
        <v>6248</v>
      </c>
      <c r="B3074" s="11" t="s">
        <v>1857</v>
      </c>
      <c r="C3074" s="11" t="s">
        <v>1876</v>
      </c>
      <c r="D3074" s="6" t="s">
        <v>1850</v>
      </c>
      <c r="E3074" s="11" t="s">
        <v>6642</v>
      </c>
      <c r="F3074" s="12" t="s">
        <v>6643</v>
      </c>
      <c r="G3074" s="12" t="s">
        <v>6642</v>
      </c>
      <c r="H3074" s="58" t="s">
        <v>6689</v>
      </c>
      <c r="I3074" s="12" t="s">
        <v>7131</v>
      </c>
      <c r="J3074" s="11" t="s">
        <v>1851</v>
      </c>
      <c r="K3074" s="11" t="s">
        <v>1852</v>
      </c>
      <c r="L3074" s="11" t="s">
        <v>1853</v>
      </c>
      <c r="M3074" s="11" t="s">
        <v>1854</v>
      </c>
      <c r="N3074" s="12"/>
      <c r="O3074" s="11" t="s">
        <v>1867</v>
      </c>
      <c r="P3074" s="56" t="s">
        <v>1863</v>
      </c>
    </row>
    <row r="3075" spans="1:16" ht="15.75" customHeight="1" x14ac:dyDescent="0.2">
      <c r="A3075" s="48">
        <v>6249</v>
      </c>
      <c r="B3075" s="11" t="s">
        <v>1857</v>
      </c>
      <c r="C3075" s="11" t="s">
        <v>1876</v>
      </c>
      <c r="D3075" s="6" t="s">
        <v>1850</v>
      </c>
      <c r="E3075" s="11" t="s">
        <v>6642</v>
      </c>
      <c r="F3075" s="12" t="s">
        <v>6643</v>
      </c>
      <c r="G3075" s="12" t="s">
        <v>6642</v>
      </c>
      <c r="H3075" s="58" t="s">
        <v>6689</v>
      </c>
      <c r="I3075" s="12" t="s">
        <v>7132</v>
      </c>
      <c r="J3075" s="11" t="s">
        <v>1851</v>
      </c>
      <c r="K3075" s="11" t="s">
        <v>1852</v>
      </c>
      <c r="L3075" s="11" t="s">
        <v>1853</v>
      </c>
      <c r="M3075" s="11" t="s">
        <v>1854</v>
      </c>
      <c r="N3075" s="12"/>
      <c r="O3075" s="11" t="s">
        <v>2598</v>
      </c>
      <c r="P3075" s="56" t="s">
        <v>1865</v>
      </c>
    </row>
    <row r="3076" spans="1:16" ht="15.75" customHeight="1" x14ac:dyDescent="0.2">
      <c r="A3076" s="48">
        <v>6265</v>
      </c>
      <c r="B3076" s="11" t="s">
        <v>1857</v>
      </c>
      <c r="C3076" s="11" t="s">
        <v>1876</v>
      </c>
      <c r="D3076" s="6" t="s">
        <v>1850</v>
      </c>
      <c r="E3076" s="11" t="s">
        <v>6642</v>
      </c>
      <c r="F3076" s="12" t="s">
        <v>6643</v>
      </c>
      <c r="G3076" s="12" t="s">
        <v>6642</v>
      </c>
      <c r="H3076" s="58" t="s">
        <v>6687</v>
      </c>
      <c r="I3076" s="12" t="s">
        <v>7133</v>
      </c>
      <c r="J3076" s="11" t="s">
        <v>1851</v>
      </c>
      <c r="K3076" s="11" t="s">
        <v>1852</v>
      </c>
      <c r="L3076" s="11" t="s">
        <v>1853</v>
      </c>
      <c r="M3076" s="11" t="s">
        <v>1854</v>
      </c>
      <c r="N3076" s="12"/>
      <c r="O3076" s="11" t="s">
        <v>2307</v>
      </c>
      <c r="P3076" s="56" t="s">
        <v>2184</v>
      </c>
    </row>
    <row r="3077" spans="1:16" ht="15.75" customHeight="1" x14ac:dyDescent="0.2">
      <c r="A3077" s="48">
        <v>6266</v>
      </c>
      <c r="B3077" s="11" t="s">
        <v>1857</v>
      </c>
      <c r="C3077" s="11" t="s">
        <v>1876</v>
      </c>
      <c r="D3077" s="6" t="s">
        <v>1850</v>
      </c>
      <c r="E3077" s="11" t="s">
        <v>6642</v>
      </c>
      <c r="F3077" s="12" t="s">
        <v>6643</v>
      </c>
      <c r="G3077" s="12" t="s">
        <v>6642</v>
      </c>
      <c r="H3077" s="58" t="s">
        <v>6687</v>
      </c>
      <c r="I3077" s="12" t="s">
        <v>7134</v>
      </c>
      <c r="J3077" s="11" t="s">
        <v>1851</v>
      </c>
      <c r="K3077" s="11" t="s">
        <v>1852</v>
      </c>
      <c r="L3077" s="11" t="s">
        <v>1853</v>
      </c>
      <c r="M3077" s="11" t="s">
        <v>1854</v>
      </c>
      <c r="N3077" s="12"/>
      <c r="O3077" s="11" t="s">
        <v>1860</v>
      </c>
      <c r="P3077" s="56"/>
    </row>
    <row r="3078" spans="1:16" ht="15.75" customHeight="1" x14ac:dyDescent="0.2">
      <c r="A3078" s="48">
        <v>6267</v>
      </c>
      <c r="B3078" s="11" t="s">
        <v>1857</v>
      </c>
      <c r="C3078" s="11" t="s">
        <v>1876</v>
      </c>
      <c r="D3078" s="6" t="s">
        <v>1850</v>
      </c>
      <c r="E3078" s="11" t="s">
        <v>6642</v>
      </c>
      <c r="F3078" s="12" t="s">
        <v>6643</v>
      </c>
      <c r="G3078" s="12" t="s">
        <v>6642</v>
      </c>
      <c r="H3078" s="58" t="s">
        <v>6687</v>
      </c>
      <c r="I3078" s="12" t="s">
        <v>7135</v>
      </c>
      <c r="J3078" s="11" t="s">
        <v>1851</v>
      </c>
      <c r="K3078" s="11" t="s">
        <v>1852</v>
      </c>
      <c r="L3078" s="11" t="s">
        <v>1853</v>
      </c>
      <c r="M3078" s="11" t="s">
        <v>1854</v>
      </c>
      <c r="N3078" s="12"/>
      <c r="O3078" s="11" t="s">
        <v>2307</v>
      </c>
      <c r="P3078" s="56" t="s">
        <v>2184</v>
      </c>
    </row>
    <row r="3079" spans="1:16" ht="15.75" customHeight="1" x14ac:dyDescent="0.2">
      <c r="A3079" s="48">
        <v>6268</v>
      </c>
      <c r="B3079" s="11" t="s">
        <v>1857</v>
      </c>
      <c r="C3079" s="11" t="s">
        <v>1876</v>
      </c>
      <c r="D3079" s="6" t="s">
        <v>1850</v>
      </c>
      <c r="E3079" s="11" t="s">
        <v>6642</v>
      </c>
      <c r="F3079" s="12" t="s">
        <v>6643</v>
      </c>
      <c r="G3079" s="12" t="s">
        <v>6642</v>
      </c>
      <c r="H3079" s="12" t="s">
        <v>6708</v>
      </c>
      <c r="I3079" s="12" t="s">
        <v>7136</v>
      </c>
      <c r="J3079" s="11" t="s">
        <v>1851</v>
      </c>
      <c r="K3079" s="11" t="s">
        <v>1852</v>
      </c>
      <c r="L3079" s="11" t="s">
        <v>1853</v>
      </c>
      <c r="M3079" s="11" t="s">
        <v>1854</v>
      </c>
      <c r="N3079" s="12"/>
      <c r="O3079" s="11" t="s">
        <v>2307</v>
      </c>
      <c r="P3079" s="56" t="s">
        <v>2184</v>
      </c>
    </row>
    <row r="3080" spans="1:16" ht="15.75" customHeight="1" x14ac:dyDescent="0.2">
      <c r="A3080" s="48">
        <v>6269</v>
      </c>
      <c r="B3080" s="11" t="s">
        <v>1857</v>
      </c>
      <c r="C3080" s="11" t="s">
        <v>1876</v>
      </c>
      <c r="D3080" s="6" t="s">
        <v>1850</v>
      </c>
      <c r="E3080" s="11" t="s">
        <v>6642</v>
      </c>
      <c r="F3080" s="12" t="s">
        <v>6643</v>
      </c>
      <c r="G3080" s="12" t="s">
        <v>6642</v>
      </c>
      <c r="H3080" s="12" t="s">
        <v>6708</v>
      </c>
      <c r="I3080" s="12" t="s">
        <v>7137</v>
      </c>
      <c r="J3080" s="11" t="s">
        <v>1851</v>
      </c>
      <c r="K3080" s="11" t="s">
        <v>1852</v>
      </c>
      <c r="L3080" s="11" t="s">
        <v>1853</v>
      </c>
      <c r="M3080" s="11" t="s">
        <v>7138</v>
      </c>
      <c r="N3080" s="12"/>
      <c r="O3080" s="11" t="s">
        <v>1859</v>
      </c>
      <c r="P3080" s="56"/>
    </row>
    <row r="3081" spans="1:16" ht="15.75" customHeight="1" x14ac:dyDescent="0.2">
      <c r="A3081" s="48">
        <v>6270</v>
      </c>
      <c r="B3081" s="11" t="s">
        <v>1857</v>
      </c>
      <c r="C3081" s="11" t="s">
        <v>1876</v>
      </c>
      <c r="D3081" s="6" t="s">
        <v>1850</v>
      </c>
      <c r="E3081" s="11" t="s">
        <v>6642</v>
      </c>
      <c r="F3081" s="12" t="s">
        <v>6643</v>
      </c>
      <c r="G3081" s="12" t="s">
        <v>6642</v>
      </c>
      <c r="H3081" s="12" t="s">
        <v>6708</v>
      </c>
      <c r="I3081" s="12" t="s">
        <v>7139</v>
      </c>
      <c r="J3081" s="11" t="s">
        <v>1851</v>
      </c>
      <c r="K3081" s="11" t="s">
        <v>1852</v>
      </c>
      <c r="L3081" s="11" t="s">
        <v>1853</v>
      </c>
      <c r="M3081" s="11" t="s">
        <v>7140</v>
      </c>
      <c r="N3081" s="12" t="s">
        <v>7141</v>
      </c>
      <c r="O3081" s="11" t="s">
        <v>2307</v>
      </c>
      <c r="P3081" s="56" t="s">
        <v>7142</v>
      </c>
    </row>
    <row r="3082" spans="1:16" ht="15.75" customHeight="1" x14ac:dyDescent="0.2">
      <c r="A3082" s="48">
        <v>6338</v>
      </c>
      <c r="B3082" s="11" t="s">
        <v>1857</v>
      </c>
      <c r="C3082" s="11" t="s">
        <v>1876</v>
      </c>
      <c r="D3082" s="6" t="s">
        <v>1850</v>
      </c>
      <c r="E3082" s="11" t="s">
        <v>6642</v>
      </c>
      <c r="F3082" s="12" t="s">
        <v>6643</v>
      </c>
      <c r="G3082" s="12" t="s">
        <v>6642</v>
      </c>
      <c r="H3082" s="58" t="s">
        <v>6689</v>
      </c>
      <c r="I3082" s="12" t="s">
        <v>7143</v>
      </c>
      <c r="J3082" s="11" t="s">
        <v>1851</v>
      </c>
      <c r="K3082" s="11" t="s">
        <v>1852</v>
      </c>
      <c r="L3082" s="11" t="s">
        <v>1853</v>
      </c>
      <c r="M3082" s="11" t="s">
        <v>1854</v>
      </c>
      <c r="N3082" s="12"/>
      <c r="O3082" s="11" t="s">
        <v>1867</v>
      </c>
      <c r="P3082" s="56" t="s">
        <v>2819</v>
      </c>
    </row>
    <row r="3083" spans="1:16" ht="15.75" customHeight="1" x14ac:dyDescent="0.2">
      <c r="A3083" s="48">
        <v>6953</v>
      </c>
      <c r="B3083" s="11" t="s">
        <v>1857</v>
      </c>
      <c r="C3083" s="11" t="s">
        <v>1876</v>
      </c>
      <c r="D3083" s="6" t="s">
        <v>1850</v>
      </c>
      <c r="E3083" s="11" t="s">
        <v>6642</v>
      </c>
      <c r="F3083" s="12" t="s">
        <v>6643</v>
      </c>
      <c r="G3083" s="12" t="s">
        <v>6642</v>
      </c>
      <c r="H3083" s="12" t="s">
        <v>6708</v>
      </c>
      <c r="I3083" s="12" t="s">
        <v>7144</v>
      </c>
      <c r="J3083" s="11" t="s">
        <v>1851</v>
      </c>
      <c r="K3083" s="11" t="s">
        <v>1852</v>
      </c>
      <c r="L3083" s="11" t="s">
        <v>1853</v>
      </c>
      <c r="M3083" s="11" t="s">
        <v>7145</v>
      </c>
      <c r="N3083" s="12"/>
      <c r="O3083" s="11" t="s">
        <v>1858</v>
      </c>
      <c r="P3083" s="56"/>
    </row>
    <row r="3084" spans="1:16" ht="15.75" customHeight="1" x14ac:dyDescent="0.2">
      <c r="A3084" s="48">
        <v>6956</v>
      </c>
      <c r="B3084" s="11" t="s">
        <v>1857</v>
      </c>
      <c r="C3084" s="11" t="s">
        <v>1876</v>
      </c>
      <c r="D3084" s="6" t="s">
        <v>1850</v>
      </c>
      <c r="E3084" s="11" t="s">
        <v>6642</v>
      </c>
      <c r="F3084" s="12" t="s">
        <v>6643</v>
      </c>
      <c r="G3084" s="12" t="s">
        <v>6642</v>
      </c>
      <c r="H3084" s="12" t="s">
        <v>6708</v>
      </c>
      <c r="I3084" s="12" t="s">
        <v>7146</v>
      </c>
      <c r="J3084" s="11" t="s">
        <v>1851</v>
      </c>
      <c r="K3084" s="11" t="s">
        <v>1852</v>
      </c>
      <c r="L3084" s="11" t="s">
        <v>1853</v>
      </c>
      <c r="M3084" s="11" t="s">
        <v>1854</v>
      </c>
      <c r="N3084" s="12"/>
      <c r="O3084" s="11" t="s">
        <v>1859</v>
      </c>
      <c r="P3084" s="56"/>
    </row>
    <row r="3085" spans="1:16" ht="15.75" customHeight="1" x14ac:dyDescent="0.2">
      <c r="A3085" s="48">
        <v>6957</v>
      </c>
      <c r="B3085" s="11" t="s">
        <v>1857</v>
      </c>
      <c r="C3085" s="11" t="s">
        <v>1876</v>
      </c>
      <c r="D3085" s="6" t="s">
        <v>1850</v>
      </c>
      <c r="E3085" s="11" t="s">
        <v>6642</v>
      </c>
      <c r="F3085" s="12" t="s">
        <v>6643</v>
      </c>
      <c r="G3085" s="12" t="s">
        <v>6642</v>
      </c>
      <c r="H3085" s="12" t="s">
        <v>6708</v>
      </c>
      <c r="I3085" s="12" t="s">
        <v>7147</v>
      </c>
      <c r="J3085" s="11" t="s">
        <v>1851</v>
      </c>
      <c r="K3085" s="11" t="s">
        <v>1852</v>
      </c>
      <c r="L3085" s="11" t="s">
        <v>1853</v>
      </c>
      <c r="M3085" s="11" t="s">
        <v>1854</v>
      </c>
      <c r="N3085" s="12"/>
      <c r="O3085" s="11" t="s">
        <v>1858</v>
      </c>
      <c r="P3085" s="56"/>
    </row>
    <row r="3086" spans="1:16" ht="15.75" customHeight="1" x14ac:dyDescent="0.2">
      <c r="A3086" s="48">
        <v>6958</v>
      </c>
      <c r="B3086" s="11" t="s">
        <v>1857</v>
      </c>
      <c r="C3086" s="11" t="s">
        <v>1876</v>
      </c>
      <c r="D3086" s="6" t="s">
        <v>1850</v>
      </c>
      <c r="E3086" s="11" t="s">
        <v>6642</v>
      </c>
      <c r="F3086" s="12" t="s">
        <v>6643</v>
      </c>
      <c r="G3086" s="12" t="s">
        <v>6642</v>
      </c>
      <c r="H3086" s="12" t="s">
        <v>6708</v>
      </c>
      <c r="I3086" s="12" t="s">
        <v>7148</v>
      </c>
      <c r="J3086" s="11" t="s">
        <v>1851</v>
      </c>
      <c r="K3086" s="11" t="s">
        <v>1852</v>
      </c>
      <c r="L3086" s="11" t="s">
        <v>1853</v>
      </c>
      <c r="M3086" s="11" t="s">
        <v>1854</v>
      </c>
      <c r="N3086" s="12"/>
      <c r="O3086" s="11" t="s">
        <v>1867</v>
      </c>
      <c r="P3086" s="56" t="s">
        <v>2184</v>
      </c>
    </row>
    <row r="3087" spans="1:16" ht="15.75" customHeight="1" x14ac:dyDescent="0.2">
      <c r="A3087" s="48">
        <v>6962</v>
      </c>
      <c r="B3087" s="11" t="s">
        <v>1857</v>
      </c>
      <c r="C3087" s="11" t="s">
        <v>1876</v>
      </c>
      <c r="D3087" s="6" t="s">
        <v>1850</v>
      </c>
      <c r="E3087" s="11" t="s">
        <v>6642</v>
      </c>
      <c r="F3087" s="12" t="s">
        <v>6643</v>
      </c>
      <c r="G3087" s="12" t="s">
        <v>6642</v>
      </c>
      <c r="H3087" s="12" t="s">
        <v>6708</v>
      </c>
      <c r="I3087" s="12" t="s">
        <v>7149</v>
      </c>
      <c r="J3087" s="11" t="s">
        <v>1851</v>
      </c>
      <c r="K3087" s="11" t="s">
        <v>1852</v>
      </c>
      <c r="L3087" s="11" t="s">
        <v>1853</v>
      </c>
      <c r="M3087" s="11" t="s">
        <v>7150</v>
      </c>
      <c r="N3087" s="12"/>
      <c r="O3087" s="11" t="s">
        <v>1858</v>
      </c>
      <c r="P3087" s="56"/>
    </row>
    <row r="3088" spans="1:16" ht="15.75" customHeight="1" x14ac:dyDescent="0.2">
      <c r="A3088" s="48">
        <v>6963</v>
      </c>
      <c r="B3088" s="11" t="s">
        <v>1857</v>
      </c>
      <c r="C3088" s="11" t="s">
        <v>1876</v>
      </c>
      <c r="D3088" s="6" t="s">
        <v>1850</v>
      </c>
      <c r="E3088" s="11" t="s">
        <v>6642</v>
      </c>
      <c r="F3088" s="12" t="s">
        <v>6643</v>
      </c>
      <c r="G3088" s="12" t="s">
        <v>6642</v>
      </c>
      <c r="H3088" s="12" t="s">
        <v>6708</v>
      </c>
      <c r="I3088" s="12" t="s">
        <v>7151</v>
      </c>
      <c r="J3088" s="11" t="s">
        <v>1851</v>
      </c>
      <c r="K3088" s="11" t="s">
        <v>1852</v>
      </c>
      <c r="L3088" s="11" t="s">
        <v>1853</v>
      </c>
      <c r="M3088" s="11" t="s">
        <v>7152</v>
      </c>
      <c r="N3088" s="12" t="s">
        <v>7153</v>
      </c>
      <c r="O3088" s="11" t="s">
        <v>1860</v>
      </c>
      <c r="P3088" s="56" t="s">
        <v>7154</v>
      </c>
    </row>
    <row r="3089" spans="1:16" ht="15.75" customHeight="1" x14ac:dyDescent="0.2">
      <c r="A3089" s="48">
        <v>6965</v>
      </c>
      <c r="B3089" s="11" t="s">
        <v>1857</v>
      </c>
      <c r="C3089" s="11" t="s">
        <v>1876</v>
      </c>
      <c r="D3089" s="6" t="s">
        <v>1850</v>
      </c>
      <c r="E3089" s="11" t="s">
        <v>6642</v>
      </c>
      <c r="F3089" s="12" t="s">
        <v>6643</v>
      </c>
      <c r="G3089" s="12" t="s">
        <v>6642</v>
      </c>
      <c r="H3089" s="12" t="s">
        <v>6708</v>
      </c>
      <c r="I3089" s="12" t="s">
        <v>7155</v>
      </c>
      <c r="J3089" s="11" t="s">
        <v>1851</v>
      </c>
      <c r="K3089" s="11" t="s">
        <v>1852</v>
      </c>
      <c r="L3089" s="11" t="s">
        <v>1853</v>
      </c>
      <c r="M3089" s="11" t="s">
        <v>1854</v>
      </c>
      <c r="N3089" s="12"/>
      <c r="O3089" s="11" t="s">
        <v>2307</v>
      </c>
      <c r="P3089" s="56" t="s">
        <v>7156</v>
      </c>
    </row>
    <row r="3090" spans="1:16" ht="15.75" customHeight="1" x14ac:dyDescent="0.2">
      <c r="A3090" s="48">
        <v>6966</v>
      </c>
      <c r="B3090" s="11" t="s">
        <v>1857</v>
      </c>
      <c r="C3090" s="11" t="s">
        <v>1876</v>
      </c>
      <c r="D3090" s="6" t="s">
        <v>1850</v>
      </c>
      <c r="E3090" s="11" t="s">
        <v>6642</v>
      </c>
      <c r="F3090" s="12" t="s">
        <v>6643</v>
      </c>
      <c r="G3090" s="12" t="s">
        <v>6642</v>
      </c>
      <c r="H3090" s="12" t="s">
        <v>6655</v>
      </c>
      <c r="I3090" s="12" t="s">
        <v>7157</v>
      </c>
      <c r="J3090" s="11" t="s">
        <v>1851</v>
      </c>
      <c r="K3090" s="11" t="s">
        <v>1852</v>
      </c>
      <c r="L3090" s="11" t="s">
        <v>1853</v>
      </c>
      <c r="M3090" s="11" t="s">
        <v>1854</v>
      </c>
      <c r="N3090" s="12"/>
      <c r="O3090" s="11" t="s">
        <v>1867</v>
      </c>
      <c r="P3090" s="56" t="s">
        <v>1865</v>
      </c>
    </row>
    <row r="3091" spans="1:16" ht="15.75" customHeight="1" x14ac:dyDescent="0.2">
      <c r="A3091" s="48">
        <v>6967</v>
      </c>
      <c r="B3091" s="11" t="s">
        <v>1857</v>
      </c>
      <c r="C3091" s="11" t="s">
        <v>1876</v>
      </c>
      <c r="D3091" s="6" t="s">
        <v>1850</v>
      </c>
      <c r="E3091" s="11" t="s">
        <v>6642</v>
      </c>
      <c r="F3091" s="12" t="s">
        <v>6643</v>
      </c>
      <c r="G3091" s="12" t="s">
        <v>6642</v>
      </c>
      <c r="H3091" s="12" t="s">
        <v>6708</v>
      </c>
      <c r="I3091" s="12" t="s">
        <v>7158</v>
      </c>
      <c r="J3091" s="11" t="s">
        <v>1851</v>
      </c>
      <c r="K3091" s="11" t="s">
        <v>1852</v>
      </c>
      <c r="L3091" s="11" t="s">
        <v>1853</v>
      </c>
      <c r="M3091" s="11" t="s">
        <v>1854</v>
      </c>
      <c r="N3091" s="12"/>
      <c r="O3091" s="11" t="s">
        <v>1858</v>
      </c>
      <c r="P3091" s="56"/>
    </row>
    <row r="3092" spans="1:16" ht="15.75" customHeight="1" x14ac:dyDescent="0.2">
      <c r="A3092" s="48">
        <v>6968</v>
      </c>
      <c r="B3092" s="11" t="s">
        <v>1857</v>
      </c>
      <c r="C3092" s="11" t="s">
        <v>1876</v>
      </c>
      <c r="D3092" s="6" t="s">
        <v>1850</v>
      </c>
      <c r="E3092" s="11" t="s">
        <v>6642</v>
      </c>
      <c r="F3092" s="12" t="s">
        <v>6643</v>
      </c>
      <c r="G3092" s="12" t="s">
        <v>6642</v>
      </c>
      <c r="H3092" s="12" t="s">
        <v>6708</v>
      </c>
      <c r="I3092" s="12" t="s">
        <v>7159</v>
      </c>
      <c r="J3092" s="11" t="s">
        <v>1851</v>
      </c>
      <c r="K3092" s="11" t="s">
        <v>1852</v>
      </c>
      <c r="L3092" s="11" t="s">
        <v>1853</v>
      </c>
      <c r="M3092" s="11" t="s">
        <v>1854</v>
      </c>
      <c r="N3092" s="12"/>
      <c r="O3092" s="11" t="s">
        <v>1860</v>
      </c>
      <c r="P3092" s="56"/>
    </row>
    <row r="3093" spans="1:16" ht="15.75" customHeight="1" x14ac:dyDescent="0.2">
      <c r="A3093" s="48">
        <v>6971</v>
      </c>
      <c r="B3093" s="11" t="s">
        <v>1857</v>
      </c>
      <c r="C3093" s="11" t="s">
        <v>1876</v>
      </c>
      <c r="D3093" s="6" t="s">
        <v>1850</v>
      </c>
      <c r="E3093" s="11" t="s">
        <v>6642</v>
      </c>
      <c r="F3093" s="12" t="s">
        <v>6643</v>
      </c>
      <c r="G3093" s="12" t="s">
        <v>6642</v>
      </c>
      <c r="H3093" s="12" t="s">
        <v>6708</v>
      </c>
      <c r="I3093" s="12" t="s">
        <v>7160</v>
      </c>
      <c r="J3093" s="11" t="s">
        <v>1851</v>
      </c>
      <c r="K3093" s="11" t="s">
        <v>1852</v>
      </c>
      <c r="L3093" s="11" t="s">
        <v>1853</v>
      </c>
      <c r="M3093" s="11" t="s">
        <v>7161</v>
      </c>
      <c r="N3093" s="12"/>
      <c r="O3093" s="11" t="s">
        <v>1860</v>
      </c>
      <c r="P3093" s="56"/>
    </row>
    <row r="3094" spans="1:16" ht="15.75" customHeight="1" x14ac:dyDescent="0.2">
      <c r="A3094" s="48">
        <v>6972</v>
      </c>
      <c r="B3094" s="11" t="s">
        <v>1857</v>
      </c>
      <c r="C3094" s="11" t="s">
        <v>1876</v>
      </c>
      <c r="D3094" s="6" t="s">
        <v>1850</v>
      </c>
      <c r="E3094" s="11" t="s">
        <v>6642</v>
      </c>
      <c r="F3094" s="12" t="s">
        <v>6643</v>
      </c>
      <c r="G3094" s="12" t="s">
        <v>6642</v>
      </c>
      <c r="H3094" s="12" t="s">
        <v>6708</v>
      </c>
      <c r="I3094" s="12" t="s">
        <v>4715</v>
      </c>
      <c r="J3094" s="11" t="s">
        <v>1851</v>
      </c>
      <c r="K3094" s="11" t="s">
        <v>1852</v>
      </c>
      <c r="L3094" s="11" t="s">
        <v>1853</v>
      </c>
      <c r="M3094" s="11" t="s">
        <v>1854</v>
      </c>
      <c r="N3094" s="12"/>
      <c r="O3094" s="11" t="s">
        <v>1860</v>
      </c>
      <c r="P3094" s="56"/>
    </row>
    <row r="3095" spans="1:16" ht="15.75" customHeight="1" x14ac:dyDescent="0.2">
      <c r="A3095" s="48">
        <v>6973</v>
      </c>
      <c r="B3095" s="11" t="s">
        <v>1857</v>
      </c>
      <c r="C3095" s="11" t="s">
        <v>1876</v>
      </c>
      <c r="D3095" s="6" t="s">
        <v>1850</v>
      </c>
      <c r="E3095" s="11" t="s">
        <v>6642</v>
      </c>
      <c r="F3095" s="12" t="s">
        <v>6643</v>
      </c>
      <c r="G3095" s="12" t="s">
        <v>6642</v>
      </c>
      <c r="H3095" s="12" t="s">
        <v>6648</v>
      </c>
      <c r="I3095" s="12" t="s">
        <v>7162</v>
      </c>
      <c r="J3095" s="11" t="s">
        <v>1851</v>
      </c>
      <c r="K3095" s="11" t="s">
        <v>1852</v>
      </c>
      <c r="L3095" s="11" t="s">
        <v>1853</v>
      </c>
      <c r="M3095" s="11" t="s">
        <v>7163</v>
      </c>
      <c r="N3095" s="12"/>
      <c r="O3095" s="11" t="s">
        <v>1858</v>
      </c>
      <c r="P3095" s="56"/>
    </row>
    <row r="3096" spans="1:16" ht="15.75" customHeight="1" x14ac:dyDescent="0.2">
      <c r="A3096" s="48">
        <v>6979</v>
      </c>
      <c r="B3096" s="11" t="s">
        <v>1857</v>
      </c>
      <c r="C3096" s="11" t="s">
        <v>1876</v>
      </c>
      <c r="D3096" s="6" t="s">
        <v>1850</v>
      </c>
      <c r="E3096" s="11" t="s">
        <v>6642</v>
      </c>
      <c r="F3096" s="12" t="s">
        <v>6643</v>
      </c>
      <c r="G3096" s="12" t="s">
        <v>6642</v>
      </c>
      <c r="H3096" s="58" t="s">
        <v>6646</v>
      </c>
      <c r="I3096" s="12" t="s">
        <v>7164</v>
      </c>
      <c r="J3096" s="11" t="s">
        <v>1851</v>
      </c>
      <c r="K3096" s="11" t="s">
        <v>1852</v>
      </c>
      <c r="L3096" s="11" t="s">
        <v>1853</v>
      </c>
      <c r="M3096" s="11" t="s">
        <v>1854</v>
      </c>
      <c r="N3096" s="12"/>
      <c r="O3096" s="11" t="s">
        <v>1860</v>
      </c>
      <c r="P3096" s="56"/>
    </row>
    <row r="3097" spans="1:16" ht="15.75" customHeight="1" x14ac:dyDescent="0.2">
      <c r="A3097" s="48">
        <v>6986</v>
      </c>
      <c r="B3097" s="11" t="s">
        <v>1857</v>
      </c>
      <c r="C3097" s="11" t="s">
        <v>1876</v>
      </c>
      <c r="D3097" s="6" t="s">
        <v>1850</v>
      </c>
      <c r="E3097" s="11" t="s">
        <v>6642</v>
      </c>
      <c r="F3097" s="12" t="s">
        <v>6643</v>
      </c>
      <c r="G3097" s="12" t="s">
        <v>6642</v>
      </c>
      <c r="H3097" s="12" t="s">
        <v>2768</v>
      </c>
      <c r="I3097" s="12" t="s">
        <v>7165</v>
      </c>
      <c r="J3097" s="11" t="s">
        <v>1851</v>
      </c>
      <c r="K3097" s="11" t="s">
        <v>1852</v>
      </c>
      <c r="L3097" s="11" t="s">
        <v>1853</v>
      </c>
      <c r="M3097" s="11" t="s">
        <v>1854</v>
      </c>
      <c r="N3097" s="12"/>
      <c r="O3097" s="11" t="s">
        <v>1864</v>
      </c>
      <c r="P3097" s="56" t="s">
        <v>7166</v>
      </c>
    </row>
    <row r="3098" spans="1:16" ht="15.75" customHeight="1" x14ac:dyDescent="0.2">
      <c r="A3098" s="48">
        <v>6988</v>
      </c>
      <c r="B3098" s="11" t="s">
        <v>1857</v>
      </c>
      <c r="C3098" s="11" t="s">
        <v>1876</v>
      </c>
      <c r="D3098" s="6" t="s">
        <v>1850</v>
      </c>
      <c r="E3098" s="11" t="s">
        <v>6642</v>
      </c>
      <c r="F3098" s="12" t="s">
        <v>6643</v>
      </c>
      <c r="G3098" s="12" t="s">
        <v>6642</v>
      </c>
      <c r="H3098" s="12" t="s">
        <v>2768</v>
      </c>
      <c r="I3098" s="12" t="s">
        <v>7167</v>
      </c>
      <c r="J3098" s="11" t="s">
        <v>1851</v>
      </c>
      <c r="K3098" s="11" t="s">
        <v>1852</v>
      </c>
      <c r="L3098" s="11" t="s">
        <v>1853</v>
      </c>
      <c r="M3098" s="11" t="s">
        <v>1854</v>
      </c>
      <c r="N3098" s="12"/>
      <c r="O3098" s="11" t="s">
        <v>2755</v>
      </c>
      <c r="P3098" s="56"/>
    </row>
    <row r="3099" spans="1:16" ht="15.75" customHeight="1" x14ac:dyDescent="0.2">
      <c r="A3099" s="48">
        <v>6991</v>
      </c>
      <c r="B3099" s="11" t="s">
        <v>1857</v>
      </c>
      <c r="C3099" s="11" t="s">
        <v>1876</v>
      </c>
      <c r="D3099" s="6" t="s">
        <v>1850</v>
      </c>
      <c r="E3099" s="11" t="s">
        <v>6642</v>
      </c>
      <c r="F3099" s="12" t="s">
        <v>6643</v>
      </c>
      <c r="G3099" s="12" t="s">
        <v>6642</v>
      </c>
      <c r="H3099" s="12" t="s">
        <v>2768</v>
      </c>
      <c r="I3099" s="12" t="s">
        <v>7168</v>
      </c>
      <c r="J3099" s="11" t="s">
        <v>1851</v>
      </c>
      <c r="K3099" s="11" t="s">
        <v>1852</v>
      </c>
      <c r="L3099" s="11" t="s">
        <v>1853</v>
      </c>
      <c r="M3099" s="11" t="s">
        <v>1854</v>
      </c>
      <c r="N3099" s="12"/>
      <c r="O3099" s="11" t="s">
        <v>6135</v>
      </c>
      <c r="P3099" s="56" t="s">
        <v>3343</v>
      </c>
    </row>
    <row r="3100" spans="1:16" ht="15.75" customHeight="1" x14ac:dyDescent="0.2">
      <c r="A3100" s="48">
        <v>6996</v>
      </c>
      <c r="B3100" s="11" t="s">
        <v>1857</v>
      </c>
      <c r="C3100" s="11" t="s">
        <v>1876</v>
      </c>
      <c r="D3100" s="6" t="s">
        <v>1850</v>
      </c>
      <c r="E3100" s="11" t="s">
        <v>6642</v>
      </c>
      <c r="F3100" s="12" t="s">
        <v>6643</v>
      </c>
      <c r="G3100" s="12" t="s">
        <v>6642</v>
      </c>
      <c r="H3100" s="12" t="s">
        <v>2768</v>
      </c>
      <c r="I3100" s="12" t="s">
        <v>7169</v>
      </c>
      <c r="J3100" s="11" t="s">
        <v>1851</v>
      </c>
      <c r="K3100" s="11" t="s">
        <v>1852</v>
      </c>
      <c r="L3100" s="11" t="s">
        <v>1853</v>
      </c>
      <c r="M3100" s="11" t="s">
        <v>7170</v>
      </c>
      <c r="N3100" s="12"/>
      <c r="O3100" s="11" t="s">
        <v>2334</v>
      </c>
      <c r="P3100" s="56" t="s">
        <v>7171</v>
      </c>
    </row>
    <row r="3101" spans="1:16" ht="15.75" customHeight="1" x14ac:dyDescent="0.2">
      <c r="A3101" s="48">
        <v>7004</v>
      </c>
      <c r="B3101" s="11" t="s">
        <v>1857</v>
      </c>
      <c r="C3101" s="11" t="s">
        <v>1876</v>
      </c>
      <c r="D3101" s="6" t="s">
        <v>1850</v>
      </c>
      <c r="E3101" s="11" t="s">
        <v>6642</v>
      </c>
      <c r="F3101" s="12" t="s">
        <v>6643</v>
      </c>
      <c r="G3101" s="12" t="s">
        <v>6642</v>
      </c>
      <c r="H3101" s="12" t="s">
        <v>2768</v>
      </c>
      <c r="I3101" s="12" t="s">
        <v>7172</v>
      </c>
      <c r="J3101" s="11" t="s">
        <v>1851</v>
      </c>
      <c r="K3101" s="11" t="s">
        <v>1852</v>
      </c>
      <c r="L3101" s="11" t="s">
        <v>1853</v>
      </c>
      <c r="M3101" s="11" t="s">
        <v>1854</v>
      </c>
      <c r="N3101" s="12"/>
      <c r="O3101" s="11" t="s">
        <v>2772</v>
      </c>
      <c r="P3101" s="56" t="s">
        <v>7173</v>
      </c>
    </row>
    <row r="3102" spans="1:16" ht="15.75" customHeight="1" x14ac:dyDescent="0.2">
      <c r="A3102" s="48">
        <v>7007</v>
      </c>
      <c r="B3102" s="11" t="s">
        <v>1857</v>
      </c>
      <c r="C3102" s="11" t="s">
        <v>1876</v>
      </c>
      <c r="D3102" s="6" t="s">
        <v>1850</v>
      </c>
      <c r="E3102" s="11" t="s">
        <v>6642</v>
      </c>
      <c r="F3102" s="12" t="s">
        <v>6643</v>
      </c>
      <c r="G3102" s="12" t="s">
        <v>6642</v>
      </c>
      <c r="H3102" s="12" t="s">
        <v>6657</v>
      </c>
      <c r="I3102" s="12" t="s">
        <v>7174</v>
      </c>
      <c r="J3102" s="11" t="s">
        <v>1851</v>
      </c>
      <c r="K3102" s="11" t="s">
        <v>1852</v>
      </c>
      <c r="L3102" s="11" t="s">
        <v>1853</v>
      </c>
      <c r="M3102" s="11" t="s">
        <v>1854</v>
      </c>
      <c r="N3102" s="12"/>
      <c r="O3102" s="11" t="s">
        <v>1858</v>
      </c>
      <c r="P3102" s="56"/>
    </row>
    <row r="3103" spans="1:16" ht="15.75" customHeight="1" x14ac:dyDescent="0.2">
      <c r="A3103" s="48">
        <v>7011</v>
      </c>
      <c r="B3103" s="11" t="s">
        <v>1857</v>
      </c>
      <c r="C3103" s="11" t="s">
        <v>1876</v>
      </c>
      <c r="D3103" s="6" t="s">
        <v>1850</v>
      </c>
      <c r="E3103" s="11" t="s">
        <v>6642</v>
      </c>
      <c r="F3103" s="12" t="s">
        <v>6643</v>
      </c>
      <c r="G3103" s="12" t="s">
        <v>6642</v>
      </c>
      <c r="H3103" s="62" t="s">
        <v>6666</v>
      </c>
      <c r="I3103" s="12" t="s">
        <v>7175</v>
      </c>
      <c r="J3103" s="11" t="s">
        <v>1851</v>
      </c>
      <c r="K3103" s="11" t="s">
        <v>1852</v>
      </c>
      <c r="L3103" s="11" t="s">
        <v>1853</v>
      </c>
      <c r="M3103" s="11" t="s">
        <v>1854</v>
      </c>
      <c r="N3103" s="12"/>
      <c r="O3103" s="11" t="s">
        <v>1860</v>
      </c>
      <c r="P3103" s="56"/>
    </row>
    <row r="3104" spans="1:16" ht="15.75" customHeight="1" x14ac:dyDescent="0.2">
      <c r="A3104" s="48">
        <v>7019</v>
      </c>
      <c r="B3104" s="11" t="s">
        <v>1857</v>
      </c>
      <c r="C3104" s="11" t="s">
        <v>1876</v>
      </c>
      <c r="D3104" s="6" t="s">
        <v>1850</v>
      </c>
      <c r="E3104" s="11" t="s">
        <v>6642</v>
      </c>
      <c r="F3104" s="12" t="s">
        <v>6643</v>
      </c>
      <c r="G3104" s="12" t="s">
        <v>6642</v>
      </c>
      <c r="H3104" s="12" t="s">
        <v>3542</v>
      </c>
      <c r="I3104" s="12" t="s">
        <v>7176</v>
      </c>
      <c r="J3104" s="11" t="s">
        <v>1851</v>
      </c>
      <c r="K3104" s="11" t="s">
        <v>1852</v>
      </c>
      <c r="L3104" s="11" t="s">
        <v>1853</v>
      </c>
      <c r="M3104" s="11" t="s">
        <v>1854</v>
      </c>
      <c r="N3104" s="12"/>
      <c r="O3104" s="11" t="s">
        <v>2022</v>
      </c>
      <c r="P3104" s="56" t="s">
        <v>1863</v>
      </c>
    </row>
    <row r="3105" spans="1:16" ht="15.75" customHeight="1" x14ac:dyDescent="0.2">
      <c r="A3105" s="48">
        <v>7020</v>
      </c>
      <c r="B3105" s="11" t="s">
        <v>1857</v>
      </c>
      <c r="C3105" s="11" t="s">
        <v>1876</v>
      </c>
      <c r="D3105" s="6" t="s">
        <v>1850</v>
      </c>
      <c r="E3105" s="11" t="s">
        <v>6642</v>
      </c>
      <c r="F3105" s="12" t="s">
        <v>6643</v>
      </c>
      <c r="G3105" s="12" t="s">
        <v>6642</v>
      </c>
      <c r="H3105" s="12" t="s">
        <v>3542</v>
      </c>
      <c r="I3105" s="12" t="s">
        <v>7177</v>
      </c>
      <c r="J3105" s="11" t="s">
        <v>1851</v>
      </c>
      <c r="K3105" s="11" t="s">
        <v>1852</v>
      </c>
      <c r="L3105" s="11" t="s">
        <v>1853</v>
      </c>
      <c r="M3105" s="11" t="s">
        <v>1854</v>
      </c>
      <c r="N3105" s="12"/>
      <c r="O3105" s="11" t="s">
        <v>1858</v>
      </c>
      <c r="P3105" s="56"/>
    </row>
    <row r="3106" spans="1:16" ht="15.75" customHeight="1" x14ac:dyDescent="0.2">
      <c r="A3106" s="48">
        <v>7022</v>
      </c>
      <c r="B3106" s="11" t="s">
        <v>1857</v>
      </c>
      <c r="C3106" s="11" t="s">
        <v>1876</v>
      </c>
      <c r="D3106" s="6" t="s">
        <v>1850</v>
      </c>
      <c r="E3106" s="11" t="s">
        <v>6642</v>
      </c>
      <c r="F3106" s="12" t="s">
        <v>6643</v>
      </c>
      <c r="G3106" s="12" t="s">
        <v>6642</v>
      </c>
      <c r="H3106" s="12" t="s">
        <v>3542</v>
      </c>
      <c r="I3106" s="12" t="s">
        <v>7178</v>
      </c>
      <c r="J3106" s="11" t="s">
        <v>1851</v>
      </c>
      <c r="K3106" s="11" t="s">
        <v>1852</v>
      </c>
      <c r="L3106" s="11" t="s">
        <v>1853</v>
      </c>
      <c r="M3106" s="11" t="s">
        <v>1854</v>
      </c>
      <c r="N3106" s="12"/>
      <c r="O3106" s="11" t="s">
        <v>1858</v>
      </c>
      <c r="P3106" s="56"/>
    </row>
    <row r="3107" spans="1:16" ht="15.75" customHeight="1" x14ac:dyDescent="0.2">
      <c r="A3107" s="48">
        <v>7025</v>
      </c>
      <c r="B3107" s="11" t="s">
        <v>1857</v>
      </c>
      <c r="C3107" s="11" t="s">
        <v>1876</v>
      </c>
      <c r="D3107" s="6" t="s">
        <v>1850</v>
      </c>
      <c r="E3107" s="11" t="s">
        <v>6642</v>
      </c>
      <c r="F3107" s="12" t="s">
        <v>6643</v>
      </c>
      <c r="G3107" s="12" t="s">
        <v>6642</v>
      </c>
      <c r="H3107" s="12" t="s">
        <v>3542</v>
      </c>
      <c r="I3107" s="12" t="s">
        <v>7179</v>
      </c>
      <c r="J3107" s="11" t="s">
        <v>1851</v>
      </c>
      <c r="K3107" s="11" t="s">
        <v>1852</v>
      </c>
      <c r="L3107" s="11" t="s">
        <v>1853</v>
      </c>
      <c r="M3107" s="11" t="s">
        <v>1854</v>
      </c>
      <c r="N3107" s="12"/>
      <c r="O3107" s="11" t="s">
        <v>1858</v>
      </c>
      <c r="P3107" s="56"/>
    </row>
    <row r="3108" spans="1:16" ht="15.75" customHeight="1" x14ac:dyDescent="0.2">
      <c r="A3108" s="48">
        <v>7028</v>
      </c>
      <c r="B3108" s="11" t="s">
        <v>1857</v>
      </c>
      <c r="C3108" s="11" t="s">
        <v>1876</v>
      </c>
      <c r="D3108" s="6" t="s">
        <v>1850</v>
      </c>
      <c r="E3108" s="11" t="s">
        <v>6642</v>
      </c>
      <c r="F3108" s="12" t="s">
        <v>6643</v>
      </c>
      <c r="G3108" s="12" t="s">
        <v>6642</v>
      </c>
      <c r="H3108" s="12" t="s">
        <v>6815</v>
      </c>
      <c r="I3108" s="12" t="s">
        <v>7180</v>
      </c>
      <c r="J3108" s="11" t="s">
        <v>1851</v>
      </c>
      <c r="K3108" s="11" t="s">
        <v>1852</v>
      </c>
      <c r="L3108" s="11" t="s">
        <v>1853</v>
      </c>
      <c r="M3108" s="11" t="s">
        <v>1854</v>
      </c>
      <c r="N3108" s="12"/>
      <c r="O3108" s="11" t="s">
        <v>1860</v>
      </c>
      <c r="P3108" s="56"/>
    </row>
    <row r="3109" spans="1:16" ht="15.75" customHeight="1" x14ac:dyDescent="0.2">
      <c r="A3109" s="48">
        <v>7030</v>
      </c>
      <c r="B3109" s="11" t="s">
        <v>1857</v>
      </c>
      <c r="C3109" s="11" t="s">
        <v>1876</v>
      </c>
      <c r="D3109" s="6" t="s">
        <v>1850</v>
      </c>
      <c r="E3109" s="11" t="s">
        <v>6642</v>
      </c>
      <c r="F3109" s="12" t="s">
        <v>6643</v>
      </c>
      <c r="G3109" s="12" t="s">
        <v>6642</v>
      </c>
      <c r="H3109" s="12" t="s">
        <v>6815</v>
      </c>
      <c r="I3109" s="12" t="s">
        <v>7181</v>
      </c>
      <c r="J3109" s="11" t="s">
        <v>1851</v>
      </c>
      <c r="K3109" s="11" t="s">
        <v>1852</v>
      </c>
      <c r="L3109" s="11" t="s">
        <v>1853</v>
      </c>
      <c r="M3109" s="11" t="s">
        <v>1854</v>
      </c>
      <c r="N3109" s="12"/>
      <c r="O3109" s="11" t="s">
        <v>1858</v>
      </c>
      <c r="P3109" s="56"/>
    </row>
    <row r="3110" spans="1:16" ht="15.75" customHeight="1" x14ac:dyDescent="0.2">
      <c r="A3110" s="48">
        <v>7034</v>
      </c>
      <c r="B3110" s="11" t="s">
        <v>1857</v>
      </c>
      <c r="C3110" s="11" t="s">
        <v>1876</v>
      </c>
      <c r="D3110" s="6" t="s">
        <v>1850</v>
      </c>
      <c r="E3110" s="11" t="s">
        <v>6642</v>
      </c>
      <c r="F3110" s="12" t="s">
        <v>6643</v>
      </c>
      <c r="G3110" s="12" t="s">
        <v>6642</v>
      </c>
      <c r="H3110" s="12" t="s">
        <v>3542</v>
      </c>
      <c r="I3110" s="12" t="s">
        <v>7182</v>
      </c>
      <c r="J3110" s="11" t="s">
        <v>1851</v>
      </c>
      <c r="K3110" s="11" t="s">
        <v>1852</v>
      </c>
      <c r="L3110" s="11" t="s">
        <v>1853</v>
      </c>
      <c r="M3110" s="11" t="s">
        <v>1854</v>
      </c>
      <c r="N3110" s="12"/>
      <c r="O3110" s="11" t="s">
        <v>1860</v>
      </c>
      <c r="P3110" s="56"/>
    </row>
    <row r="3111" spans="1:16" ht="15.75" customHeight="1" x14ac:dyDescent="0.2">
      <c r="A3111" s="48">
        <v>7035</v>
      </c>
      <c r="B3111" s="11" t="s">
        <v>1857</v>
      </c>
      <c r="C3111" s="11" t="s">
        <v>1876</v>
      </c>
      <c r="D3111" s="6" t="s">
        <v>1850</v>
      </c>
      <c r="E3111" s="11" t="s">
        <v>6642</v>
      </c>
      <c r="F3111" s="12" t="s">
        <v>6643</v>
      </c>
      <c r="G3111" s="12" t="s">
        <v>6642</v>
      </c>
      <c r="H3111" s="12" t="s">
        <v>3542</v>
      </c>
      <c r="I3111" s="12" t="s">
        <v>7183</v>
      </c>
      <c r="J3111" s="11" t="s">
        <v>1851</v>
      </c>
      <c r="K3111" s="11" t="s">
        <v>1852</v>
      </c>
      <c r="L3111" s="11" t="s">
        <v>1853</v>
      </c>
      <c r="M3111" s="11" t="s">
        <v>1854</v>
      </c>
      <c r="N3111" s="12"/>
      <c r="O3111" s="11" t="s">
        <v>1867</v>
      </c>
      <c r="P3111" s="56" t="s">
        <v>1865</v>
      </c>
    </row>
    <row r="3112" spans="1:16" ht="15.75" customHeight="1" x14ac:dyDescent="0.2">
      <c r="A3112" s="48">
        <v>7041</v>
      </c>
      <c r="B3112" s="11" t="s">
        <v>1857</v>
      </c>
      <c r="C3112" s="11" t="s">
        <v>1876</v>
      </c>
      <c r="D3112" s="6" t="s">
        <v>1850</v>
      </c>
      <c r="E3112" s="11" t="s">
        <v>6642</v>
      </c>
      <c r="F3112" s="12" t="s">
        <v>6643</v>
      </c>
      <c r="G3112" s="12" t="s">
        <v>6642</v>
      </c>
      <c r="H3112" s="12" t="s">
        <v>3542</v>
      </c>
      <c r="I3112" s="12" t="s">
        <v>7184</v>
      </c>
      <c r="J3112" s="11" t="s">
        <v>1851</v>
      </c>
      <c r="K3112" s="11" t="s">
        <v>1852</v>
      </c>
      <c r="L3112" s="11" t="s">
        <v>1853</v>
      </c>
      <c r="M3112" s="11" t="s">
        <v>1854</v>
      </c>
      <c r="N3112" s="12"/>
      <c r="O3112" s="11" t="s">
        <v>1867</v>
      </c>
      <c r="P3112" s="56" t="s">
        <v>4665</v>
      </c>
    </row>
    <row r="3113" spans="1:16" ht="15.75" customHeight="1" x14ac:dyDescent="0.2">
      <c r="A3113" s="48">
        <v>7524</v>
      </c>
      <c r="B3113" s="11" t="s">
        <v>1857</v>
      </c>
      <c r="C3113" s="11" t="s">
        <v>1876</v>
      </c>
      <c r="D3113" s="6" t="s">
        <v>1850</v>
      </c>
      <c r="E3113" s="11" t="s">
        <v>6642</v>
      </c>
      <c r="F3113" s="12" t="s">
        <v>6643</v>
      </c>
      <c r="G3113" s="12" t="s">
        <v>6642</v>
      </c>
      <c r="H3113" s="12" t="s">
        <v>6687</v>
      </c>
      <c r="I3113" s="12" t="s">
        <v>7148</v>
      </c>
      <c r="J3113" s="11" t="s">
        <v>1851</v>
      </c>
      <c r="K3113" s="11" t="s">
        <v>1852</v>
      </c>
      <c r="L3113" s="11" t="s">
        <v>1853</v>
      </c>
      <c r="M3113" s="11" t="s">
        <v>1854</v>
      </c>
      <c r="N3113" s="12"/>
      <c r="O3113" s="11" t="s">
        <v>1860</v>
      </c>
      <c r="P3113" s="56"/>
    </row>
    <row r="3114" spans="1:16" ht="15.75" customHeight="1" x14ac:dyDescent="0.2">
      <c r="A3114" s="48">
        <v>7049</v>
      </c>
      <c r="B3114" s="11" t="s">
        <v>1857</v>
      </c>
      <c r="C3114" s="11" t="s">
        <v>1876</v>
      </c>
      <c r="D3114" s="6" t="s">
        <v>1850</v>
      </c>
      <c r="E3114" s="11" t="s">
        <v>6642</v>
      </c>
      <c r="F3114" s="12" t="s">
        <v>6643</v>
      </c>
      <c r="G3114" s="12" t="s">
        <v>6642</v>
      </c>
      <c r="H3114" s="58" t="s">
        <v>6687</v>
      </c>
      <c r="I3114" s="12" t="s">
        <v>7185</v>
      </c>
      <c r="J3114" s="11" t="s">
        <v>1851</v>
      </c>
      <c r="K3114" s="11" t="s">
        <v>1852</v>
      </c>
      <c r="L3114" s="11" t="s">
        <v>1853</v>
      </c>
      <c r="M3114" s="11" t="s">
        <v>1854</v>
      </c>
      <c r="N3114" s="12"/>
      <c r="O3114" s="11" t="s">
        <v>1860</v>
      </c>
      <c r="P3114" s="56"/>
    </row>
    <row r="3115" spans="1:16" ht="15.75" customHeight="1" x14ac:dyDescent="0.2">
      <c r="A3115" s="48">
        <v>7051</v>
      </c>
      <c r="B3115" s="11" t="s">
        <v>1857</v>
      </c>
      <c r="C3115" s="11" t="s">
        <v>1876</v>
      </c>
      <c r="D3115" s="6" t="s">
        <v>1850</v>
      </c>
      <c r="E3115" s="11" t="s">
        <v>6642</v>
      </c>
      <c r="F3115" s="12" t="s">
        <v>6643</v>
      </c>
      <c r="G3115" s="12" t="s">
        <v>6642</v>
      </c>
      <c r="H3115" s="58" t="s">
        <v>6687</v>
      </c>
      <c r="I3115" s="12" t="s">
        <v>7186</v>
      </c>
      <c r="J3115" s="11" t="s">
        <v>1851</v>
      </c>
      <c r="K3115" s="11" t="s">
        <v>1852</v>
      </c>
      <c r="L3115" s="11" t="s">
        <v>1853</v>
      </c>
      <c r="M3115" s="11" t="s">
        <v>1854</v>
      </c>
      <c r="N3115" s="12"/>
      <c r="O3115" s="11" t="s">
        <v>1860</v>
      </c>
      <c r="P3115" s="56"/>
    </row>
    <row r="3116" spans="1:16" ht="15.75" customHeight="1" x14ac:dyDescent="0.2">
      <c r="A3116" s="48">
        <v>7056</v>
      </c>
      <c r="B3116" s="11" t="s">
        <v>1857</v>
      </c>
      <c r="C3116" s="11" t="s">
        <v>1876</v>
      </c>
      <c r="D3116" s="6" t="s">
        <v>1850</v>
      </c>
      <c r="E3116" s="11" t="s">
        <v>6642</v>
      </c>
      <c r="F3116" s="12" t="s">
        <v>6643</v>
      </c>
      <c r="G3116" s="12" t="s">
        <v>6642</v>
      </c>
      <c r="H3116" s="58" t="s">
        <v>6687</v>
      </c>
      <c r="I3116" s="12" t="s">
        <v>7187</v>
      </c>
      <c r="J3116" s="11" t="s">
        <v>1851</v>
      </c>
      <c r="K3116" s="11" t="s">
        <v>1852</v>
      </c>
      <c r="L3116" s="11" t="s">
        <v>1853</v>
      </c>
      <c r="M3116" s="11" t="s">
        <v>1854</v>
      </c>
      <c r="N3116" s="12"/>
      <c r="O3116" s="11" t="s">
        <v>1858</v>
      </c>
      <c r="P3116" s="56"/>
    </row>
    <row r="3117" spans="1:16" ht="15.75" customHeight="1" x14ac:dyDescent="0.2">
      <c r="A3117" s="48">
        <v>7057</v>
      </c>
      <c r="B3117" s="11" t="s">
        <v>1857</v>
      </c>
      <c r="C3117" s="11" t="s">
        <v>1876</v>
      </c>
      <c r="D3117" s="6" t="s">
        <v>1850</v>
      </c>
      <c r="E3117" s="11" t="s">
        <v>6642</v>
      </c>
      <c r="F3117" s="12" t="s">
        <v>6643</v>
      </c>
      <c r="G3117" s="12" t="s">
        <v>6642</v>
      </c>
      <c r="H3117" s="58" t="s">
        <v>6687</v>
      </c>
      <c r="I3117" s="12" t="s">
        <v>7188</v>
      </c>
      <c r="J3117" s="11" t="s">
        <v>1851</v>
      </c>
      <c r="K3117" s="11" t="s">
        <v>1852</v>
      </c>
      <c r="L3117" s="11" t="s">
        <v>1853</v>
      </c>
      <c r="M3117" s="11" t="s">
        <v>1854</v>
      </c>
      <c r="N3117" s="12"/>
      <c r="O3117" s="11" t="s">
        <v>1858</v>
      </c>
      <c r="P3117" s="56"/>
    </row>
    <row r="3118" spans="1:16" ht="15.75" customHeight="1" x14ac:dyDescent="0.2">
      <c r="A3118" s="48">
        <v>7059</v>
      </c>
      <c r="B3118" s="11" t="s">
        <v>1857</v>
      </c>
      <c r="C3118" s="11" t="s">
        <v>1876</v>
      </c>
      <c r="D3118" s="6" t="s">
        <v>1850</v>
      </c>
      <c r="E3118" s="11" t="s">
        <v>6642</v>
      </c>
      <c r="F3118" s="12" t="s">
        <v>6643</v>
      </c>
      <c r="G3118" s="12" t="s">
        <v>6642</v>
      </c>
      <c r="H3118" s="12" t="s">
        <v>6658</v>
      </c>
      <c r="I3118" s="12" t="s">
        <v>7189</v>
      </c>
      <c r="J3118" s="11" t="s">
        <v>1851</v>
      </c>
      <c r="K3118" s="11" t="s">
        <v>1852</v>
      </c>
      <c r="L3118" s="11" t="s">
        <v>1853</v>
      </c>
      <c r="M3118" s="11" t="s">
        <v>1854</v>
      </c>
      <c r="N3118" s="12"/>
      <c r="O3118" s="11" t="s">
        <v>1867</v>
      </c>
      <c r="P3118" s="56" t="s">
        <v>2819</v>
      </c>
    </row>
    <row r="3119" spans="1:16" ht="15.75" customHeight="1" x14ac:dyDescent="0.2">
      <c r="A3119" s="48">
        <v>3633</v>
      </c>
      <c r="B3119" s="11" t="s">
        <v>1857</v>
      </c>
      <c r="C3119" s="11" t="s">
        <v>1876</v>
      </c>
      <c r="D3119" s="6" t="s">
        <v>1850</v>
      </c>
      <c r="E3119" s="11" t="s">
        <v>6642</v>
      </c>
      <c r="F3119" s="12" t="s">
        <v>6643</v>
      </c>
      <c r="G3119" s="12" t="s">
        <v>6642</v>
      </c>
      <c r="H3119" s="12" t="s">
        <v>6658</v>
      </c>
      <c r="I3119" s="12" t="s">
        <v>7190</v>
      </c>
      <c r="J3119" s="11" t="s">
        <v>1851</v>
      </c>
      <c r="K3119" s="11" t="s">
        <v>1852</v>
      </c>
      <c r="L3119" s="11" t="s">
        <v>1853</v>
      </c>
      <c r="M3119" s="11" t="s">
        <v>1854</v>
      </c>
      <c r="N3119" s="12"/>
      <c r="O3119" s="11" t="s">
        <v>2307</v>
      </c>
      <c r="P3119" s="56" t="s">
        <v>7191</v>
      </c>
    </row>
    <row r="3120" spans="1:16" ht="15.75" customHeight="1" x14ac:dyDescent="0.2">
      <c r="A3120" s="48">
        <v>7065</v>
      </c>
      <c r="B3120" s="11" t="s">
        <v>1857</v>
      </c>
      <c r="C3120" s="11" t="s">
        <v>1876</v>
      </c>
      <c r="D3120" s="6" t="s">
        <v>1850</v>
      </c>
      <c r="E3120" s="11" t="s">
        <v>6642</v>
      </c>
      <c r="F3120" s="12" t="s">
        <v>6643</v>
      </c>
      <c r="G3120" s="12" t="s">
        <v>6642</v>
      </c>
      <c r="H3120" s="12" t="s">
        <v>6704</v>
      </c>
      <c r="I3120" s="12" t="s">
        <v>7192</v>
      </c>
      <c r="J3120" s="11" t="s">
        <v>1851</v>
      </c>
      <c r="K3120" s="11" t="s">
        <v>1852</v>
      </c>
      <c r="L3120" s="11" t="s">
        <v>1853</v>
      </c>
      <c r="M3120" s="11" t="s">
        <v>7193</v>
      </c>
      <c r="N3120" s="12"/>
      <c r="O3120" s="11" t="s">
        <v>1867</v>
      </c>
      <c r="P3120" s="56"/>
    </row>
    <row r="3121" spans="1:16" ht="15.75" customHeight="1" x14ac:dyDescent="0.2">
      <c r="A3121" s="48">
        <v>7070</v>
      </c>
      <c r="B3121" s="11" t="s">
        <v>1857</v>
      </c>
      <c r="C3121" s="11" t="s">
        <v>1876</v>
      </c>
      <c r="D3121" s="6" t="s">
        <v>1850</v>
      </c>
      <c r="E3121" s="11" t="s">
        <v>6642</v>
      </c>
      <c r="F3121" s="12" t="s">
        <v>6643</v>
      </c>
      <c r="G3121" s="12" t="s">
        <v>6642</v>
      </c>
      <c r="H3121" s="12" t="s">
        <v>2626</v>
      </c>
      <c r="I3121" s="12" t="s">
        <v>7194</v>
      </c>
      <c r="J3121" s="11" t="s">
        <v>1851</v>
      </c>
      <c r="K3121" s="11" t="s">
        <v>1852</v>
      </c>
      <c r="L3121" s="11" t="s">
        <v>1853</v>
      </c>
      <c r="M3121" s="11" t="s">
        <v>1854</v>
      </c>
      <c r="N3121" s="12"/>
      <c r="O3121" s="11" t="s">
        <v>1866</v>
      </c>
      <c r="P3121" s="56" t="s">
        <v>7195</v>
      </c>
    </row>
    <row r="3122" spans="1:16" ht="15.75" customHeight="1" x14ac:dyDescent="0.2">
      <c r="A3122" s="48">
        <v>7071</v>
      </c>
      <c r="B3122" s="11" t="s">
        <v>1857</v>
      </c>
      <c r="C3122" s="11" t="s">
        <v>1876</v>
      </c>
      <c r="D3122" s="6" t="s">
        <v>1850</v>
      </c>
      <c r="E3122" s="11" t="s">
        <v>6642</v>
      </c>
      <c r="F3122" s="12" t="s">
        <v>6643</v>
      </c>
      <c r="G3122" s="12" t="s">
        <v>6642</v>
      </c>
      <c r="H3122" s="12" t="s">
        <v>2626</v>
      </c>
      <c r="I3122" s="12" t="s">
        <v>7196</v>
      </c>
      <c r="J3122" s="11" t="s">
        <v>1851</v>
      </c>
      <c r="K3122" s="11" t="s">
        <v>1852</v>
      </c>
      <c r="L3122" s="11" t="s">
        <v>1853</v>
      </c>
      <c r="M3122" s="11" t="s">
        <v>7197</v>
      </c>
      <c r="N3122" s="12"/>
      <c r="O3122" s="11" t="s">
        <v>1858</v>
      </c>
      <c r="P3122" s="56"/>
    </row>
    <row r="3123" spans="1:16" ht="15.75" customHeight="1" x14ac:dyDescent="0.2">
      <c r="A3123" s="48">
        <v>7073</v>
      </c>
      <c r="B3123" s="11" t="s">
        <v>1857</v>
      </c>
      <c r="C3123" s="11" t="s">
        <v>1876</v>
      </c>
      <c r="D3123" s="6" t="s">
        <v>1850</v>
      </c>
      <c r="E3123" s="11" t="s">
        <v>6642</v>
      </c>
      <c r="F3123" s="12" t="s">
        <v>6643</v>
      </c>
      <c r="G3123" s="12" t="s">
        <v>6642</v>
      </c>
      <c r="H3123" s="12" t="s">
        <v>6655</v>
      </c>
      <c r="I3123" s="12" t="s">
        <v>7198</v>
      </c>
      <c r="J3123" s="11" t="s">
        <v>1851</v>
      </c>
      <c r="K3123" s="11" t="s">
        <v>1852</v>
      </c>
      <c r="L3123" s="11" t="s">
        <v>1853</v>
      </c>
      <c r="M3123" s="11" t="s">
        <v>7199</v>
      </c>
      <c r="N3123" s="12"/>
      <c r="O3123" s="11" t="s">
        <v>1858</v>
      </c>
      <c r="P3123" s="56"/>
    </row>
    <row r="3124" spans="1:16" ht="15.75" customHeight="1" x14ac:dyDescent="0.2">
      <c r="A3124" s="48">
        <v>7074</v>
      </c>
      <c r="B3124" s="11" t="s">
        <v>1857</v>
      </c>
      <c r="C3124" s="11" t="s">
        <v>1876</v>
      </c>
      <c r="D3124" s="6" t="s">
        <v>1850</v>
      </c>
      <c r="E3124" s="11" t="s">
        <v>6642</v>
      </c>
      <c r="F3124" s="12" t="s">
        <v>6643</v>
      </c>
      <c r="G3124" s="12" t="s">
        <v>6642</v>
      </c>
      <c r="H3124" s="12" t="s">
        <v>6655</v>
      </c>
      <c r="I3124" s="12" t="s">
        <v>7200</v>
      </c>
      <c r="J3124" s="11" t="s">
        <v>1851</v>
      </c>
      <c r="K3124" s="11" t="s">
        <v>1852</v>
      </c>
      <c r="L3124" s="11" t="s">
        <v>1853</v>
      </c>
      <c r="M3124" s="11" t="s">
        <v>1854</v>
      </c>
      <c r="N3124" s="12"/>
      <c r="O3124" s="11" t="s">
        <v>1858</v>
      </c>
      <c r="P3124" s="56"/>
    </row>
    <row r="3125" spans="1:16" ht="15.75" customHeight="1" x14ac:dyDescent="0.2">
      <c r="A3125" s="48">
        <v>7077</v>
      </c>
      <c r="B3125" s="11" t="s">
        <v>1857</v>
      </c>
      <c r="C3125" s="11" t="s">
        <v>1876</v>
      </c>
      <c r="D3125" s="6" t="s">
        <v>1850</v>
      </c>
      <c r="E3125" s="11" t="s">
        <v>6642</v>
      </c>
      <c r="F3125" s="12" t="s">
        <v>6643</v>
      </c>
      <c r="G3125" s="12" t="s">
        <v>6642</v>
      </c>
      <c r="H3125" s="12" t="s">
        <v>6655</v>
      </c>
      <c r="I3125" s="12" t="s">
        <v>7201</v>
      </c>
      <c r="J3125" s="11" t="s">
        <v>1851</v>
      </c>
      <c r="K3125" s="11" t="s">
        <v>1852</v>
      </c>
      <c r="L3125" s="11" t="s">
        <v>1853</v>
      </c>
      <c r="M3125" s="11" t="s">
        <v>7202</v>
      </c>
      <c r="N3125" s="12"/>
      <c r="O3125" s="11" t="s">
        <v>1860</v>
      </c>
      <c r="P3125" s="56"/>
    </row>
    <row r="3126" spans="1:16" ht="15.75" customHeight="1" x14ac:dyDescent="0.2">
      <c r="A3126" s="48">
        <v>7078</v>
      </c>
      <c r="B3126" s="11" t="s">
        <v>1857</v>
      </c>
      <c r="C3126" s="11" t="s">
        <v>1876</v>
      </c>
      <c r="D3126" s="6" t="s">
        <v>1850</v>
      </c>
      <c r="E3126" s="11" t="s">
        <v>6642</v>
      </c>
      <c r="F3126" s="12" t="s">
        <v>6643</v>
      </c>
      <c r="G3126" s="12" t="s">
        <v>6642</v>
      </c>
      <c r="H3126" s="12" t="s">
        <v>6655</v>
      </c>
      <c r="I3126" s="12" t="s">
        <v>7203</v>
      </c>
      <c r="J3126" s="11" t="s">
        <v>1851</v>
      </c>
      <c r="K3126" s="11" t="s">
        <v>1852</v>
      </c>
      <c r="L3126" s="11" t="s">
        <v>1853</v>
      </c>
      <c r="M3126" s="11" t="s">
        <v>1854</v>
      </c>
      <c r="N3126" s="12"/>
      <c r="O3126" s="11" t="s">
        <v>1858</v>
      </c>
      <c r="P3126" s="56"/>
    </row>
    <row r="3127" spans="1:16" ht="15.75" customHeight="1" x14ac:dyDescent="0.2">
      <c r="A3127" s="48">
        <v>7086</v>
      </c>
      <c r="B3127" s="11" t="s">
        <v>1857</v>
      </c>
      <c r="C3127" s="11" t="s">
        <v>1876</v>
      </c>
      <c r="D3127" s="6" t="s">
        <v>1850</v>
      </c>
      <c r="E3127" s="11" t="s">
        <v>6642</v>
      </c>
      <c r="F3127" s="12" t="s">
        <v>6643</v>
      </c>
      <c r="G3127" s="12" t="s">
        <v>6642</v>
      </c>
      <c r="H3127" s="12" t="s">
        <v>6655</v>
      </c>
      <c r="I3127" s="12" t="s">
        <v>7204</v>
      </c>
      <c r="J3127" s="11" t="s">
        <v>1851</v>
      </c>
      <c r="K3127" s="11" t="s">
        <v>1852</v>
      </c>
      <c r="L3127" s="11" t="s">
        <v>1853</v>
      </c>
      <c r="M3127" s="11" t="s">
        <v>7205</v>
      </c>
      <c r="N3127" s="12"/>
      <c r="O3127" s="11" t="s">
        <v>1860</v>
      </c>
      <c r="P3127" s="56"/>
    </row>
    <row r="3128" spans="1:16" ht="15.75" customHeight="1" x14ac:dyDescent="0.2">
      <c r="A3128" s="48">
        <v>7087</v>
      </c>
      <c r="B3128" s="11" t="s">
        <v>1857</v>
      </c>
      <c r="C3128" s="11" t="s">
        <v>1876</v>
      </c>
      <c r="D3128" s="6" t="s">
        <v>1850</v>
      </c>
      <c r="E3128" s="11" t="s">
        <v>6642</v>
      </c>
      <c r="F3128" s="12" t="s">
        <v>6643</v>
      </c>
      <c r="G3128" s="12" t="s">
        <v>6642</v>
      </c>
      <c r="H3128" s="12" t="s">
        <v>6655</v>
      </c>
      <c r="I3128" s="12" t="s">
        <v>7206</v>
      </c>
      <c r="J3128" s="11" t="s">
        <v>1851</v>
      </c>
      <c r="K3128" s="11" t="s">
        <v>1852</v>
      </c>
      <c r="L3128" s="11" t="s">
        <v>1853</v>
      </c>
      <c r="M3128" s="11" t="s">
        <v>1854</v>
      </c>
      <c r="N3128" s="12"/>
      <c r="O3128" s="11" t="s">
        <v>2307</v>
      </c>
      <c r="P3128" s="56" t="s">
        <v>3343</v>
      </c>
    </row>
    <row r="3129" spans="1:16" ht="15.75" customHeight="1" x14ac:dyDescent="0.2">
      <c r="A3129" s="48">
        <v>7088</v>
      </c>
      <c r="B3129" s="11" t="s">
        <v>1857</v>
      </c>
      <c r="C3129" s="11" t="s">
        <v>1876</v>
      </c>
      <c r="D3129" s="6" t="s">
        <v>1850</v>
      </c>
      <c r="E3129" s="11" t="s">
        <v>6642</v>
      </c>
      <c r="F3129" s="12" t="s">
        <v>6643</v>
      </c>
      <c r="G3129" s="12" t="s">
        <v>6642</v>
      </c>
      <c r="H3129" s="12" t="s">
        <v>6689</v>
      </c>
      <c r="I3129" s="12" t="s">
        <v>7207</v>
      </c>
      <c r="J3129" s="11" t="s">
        <v>1851</v>
      </c>
      <c r="K3129" s="11" t="s">
        <v>1852</v>
      </c>
      <c r="L3129" s="11" t="s">
        <v>1853</v>
      </c>
      <c r="M3129" s="11" t="s">
        <v>1854</v>
      </c>
      <c r="N3129" s="12"/>
      <c r="O3129" s="11" t="s">
        <v>1858</v>
      </c>
      <c r="P3129" s="56"/>
    </row>
    <row r="3130" spans="1:16" ht="15.75" customHeight="1" x14ac:dyDescent="0.2">
      <c r="A3130" s="48">
        <v>7092</v>
      </c>
      <c r="B3130" s="11" t="s">
        <v>1857</v>
      </c>
      <c r="C3130" s="11" t="s">
        <v>1876</v>
      </c>
      <c r="D3130" s="6" t="s">
        <v>1850</v>
      </c>
      <c r="E3130" s="11" t="s">
        <v>6642</v>
      </c>
      <c r="F3130" s="12" t="s">
        <v>6643</v>
      </c>
      <c r="G3130" s="12" t="s">
        <v>6642</v>
      </c>
      <c r="H3130" s="58" t="s">
        <v>6689</v>
      </c>
      <c r="I3130" s="12" t="s">
        <v>7208</v>
      </c>
      <c r="J3130" s="11" t="s">
        <v>1851</v>
      </c>
      <c r="K3130" s="11" t="s">
        <v>1852</v>
      </c>
      <c r="L3130" s="11" t="s">
        <v>1853</v>
      </c>
      <c r="M3130" s="11" t="s">
        <v>1854</v>
      </c>
      <c r="N3130" s="12"/>
      <c r="O3130" s="11" t="s">
        <v>1858</v>
      </c>
      <c r="P3130" s="56"/>
    </row>
    <row r="3131" spans="1:16" ht="15.75" customHeight="1" x14ac:dyDescent="0.2">
      <c r="A3131" s="48">
        <v>7096</v>
      </c>
      <c r="B3131" s="11" t="s">
        <v>1857</v>
      </c>
      <c r="C3131" s="11" t="s">
        <v>1876</v>
      </c>
      <c r="D3131" s="6" t="s">
        <v>1850</v>
      </c>
      <c r="E3131" s="11" t="s">
        <v>6642</v>
      </c>
      <c r="F3131" s="12" t="s">
        <v>6643</v>
      </c>
      <c r="G3131" s="12" t="s">
        <v>6642</v>
      </c>
      <c r="H3131" s="58" t="s">
        <v>6689</v>
      </c>
      <c r="I3131" s="12" t="s">
        <v>7209</v>
      </c>
      <c r="J3131" s="11" t="s">
        <v>1851</v>
      </c>
      <c r="K3131" s="11" t="s">
        <v>1852</v>
      </c>
      <c r="L3131" s="11" t="s">
        <v>1853</v>
      </c>
      <c r="M3131" s="11" t="s">
        <v>1854</v>
      </c>
      <c r="N3131" s="12"/>
      <c r="O3131" s="11" t="s">
        <v>1867</v>
      </c>
      <c r="P3131" s="56" t="s">
        <v>7210</v>
      </c>
    </row>
    <row r="3132" spans="1:16" ht="15.75" customHeight="1" x14ac:dyDescent="0.2">
      <c r="A3132" s="48">
        <v>7099</v>
      </c>
      <c r="B3132" s="11" t="s">
        <v>1857</v>
      </c>
      <c r="C3132" s="11" t="s">
        <v>1876</v>
      </c>
      <c r="D3132" s="6" t="s">
        <v>1850</v>
      </c>
      <c r="E3132" s="11" t="s">
        <v>6642</v>
      </c>
      <c r="F3132" s="12" t="s">
        <v>6643</v>
      </c>
      <c r="G3132" s="12" t="s">
        <v>6642</v>
      </c>
      <c r="H3132" s="12" t="s">
        <v>2626</v>
      </c>
      <c r="I3132" s="12" t="s">
        <v>7211</v>
      </c>
      <c r="J3132" s="11" t="s">
        <v>1851</v>
      </c>
      <c r="K3132" s="11" t="s">
        <v>1852</v>
      </c>
      <c r="L3132" s="11" t="s">
        <v>1853</v>
      </c>
      <c r="M3132" s="11" t="s">
        <v>7212</v>
      </c>
      <c r="N3132" s="12"/>
      <c r="O3132" s="11" t="s">
        <v>1858</v>
      </c>
      <c r="P3132" s="56"/>
    </row>
    <row r="3133" spans="1:16" ht="15.75" customHeight="1" x14ac:dyDescent="0.2">
      <c r="A3133" s="48">
        <v>7101</v>
      </c>
      <c r="B3133" s="11" t="s">
        <v>1857</v>
      </c>
      <c r="C3133" s="11" t="s">
        <v>1876</v>
      </c>
      <c r="D3133" s="6" t="s">
        <v>1850</v>
      </c>
      <c r="E3133" s="11" t="s">
        <v>6642</v>
      </c>
      <c r="F3133" s="12" t="s">
        <v>6643</v>
      </c>
      <c r="G3133" s="12" t="s">
        <v>6642</v>
      </c>
      <c r="H3133" s="12" t="s">
        <v>2626</v>
      </c>
      <c r="I3133" s="12" t="s">
        <v>7213</v>
      </c>
      <c r="J3133" s="11" t="s">
        <v>1851</v>
      </c>
      <c r="K3133" s="11" t="s">
        <v>1852</v>
      </c>
      <c r="L3133" s="11" t="s">
        <v>1853</v>
      </c>
      <c r="M3133" s="11" t="s">
        <v>7214</v>
      </c>
      <c r="N3133" s="12"/>
      <c r="O3133" s="11" t="s">
        <v>1860</v>
      </c>
      <c r="P3133" s="56"/>
    </row>
    <row r="3134" spans="1:16" ht="15.75" customHeight="1" x14ac:dyDescent="0.2">
      <c r="A3134" s="48">
        <v>7103</v>
      </c>
      <c r="B3134" s="11" t="s">
        <v>1857</v>
      </c>
      <c r="C3134" s="11" t="s">
        <v>1876</v>
      </c>
      <c r="D3134" s="6" t="s">
        <v>1850</v>
      </c>
      <c r="E3134" s="11" t="s">
        <v>6642</v>
      </c>
      <c r="F3134" s="12" t="s">
        <v>6643</v>
      </c>
      <c r="G3134" s="12" t="s">
        <v>6642</v>
      </c>
      <c r="H3134" s="12" t="s">
        <v>2626</v>
      </c>
      <c r="I3134" s="12" t="s">
        <v>7215</v>
      </c>
      <c r="J3134" s="11" t="s">
        <v>1851</v>
      </c>
      <c r="K3134" s="11" t="s">
        <v>1852</v>
      </c>
      <c r="L3134" s="11" t="s">
        <v>1853</v>
      </c>
      <c r="M3134" s="11" t="s">
        <v>7216</v>
      </c>
      <c r="N3134" s="12"/>
      <c r="O3134" s="11" t="s">
        <v>1858</v>
      </c>
      <c r="P3134" s="56"/>
    </row>
    <row r="3135" spans="1:16" ht="15.75" customHeight="1" x14ac:dyDescent="0.2">
      <c r="A3135" s="48">
        <v>7105</v>
      </c>
      <c r="B3135" s="11" t="s">
        <v>1857</v>
      </c>
      <c r="C3135" s="11" t="s">
        <v>1876</v>
      </c>
      <c r="D3135" s="6" t="s">
        <v>1850</v>
      </c>
      <c r="E3135" s="11" t="s">
        <v>6642</v>
      </c>
      <c r="F3135" s="12" t="s">
        <v>6643</v>
      </c>
      <c r="G3135" s="12" t="s">
        <v>6642</v>
      </c>
      <c r="H3135" s="58" t="s">
        <v>6648</v>
      </c>
      <c r="I3135" s="12" t="s">
        <v>7217</v>
      </c>
      <c r="J3135" s="11" t="s">
        <v>1851</v>
      </c>
      <c r="K3135" s="11" t="s">
        <v>1852</v>
      </c>
      <c r="L3135" s="11" t="s">
        <v>1853</v>
      </c>
      <c r="M3135" s="11" t="s">
        <v>1854</v>
      </c>
      <c r="N3135" s="12"/>
      <c r="O3135" s="11" t="s">
        <v>1860</v>
      </c>
      <c r="P3135" s="56"/>
    </row>
    <row r="3136" spans="1:16" ht="15.75" customHeight="1" x14ac:dyDescent="0.2">
      <c r="A3136" s="48">
        <v>7106</v>
      </c>
      <c r="B3136" s="11" t="s">
        <v>1857</v>
      </c>
      <c r="C3136" s="11" t="s">
        <v>1876</v>
      </c>
      <c r="D3136" s="6" t="s">
        <v>1850</v>
      </c>
      <c r="E3136" s="11" t="s">
        <v>6642</v>
      </c>
      <c r="F3136" s="12" t="s">
        <v>6643</v>
      </c>
      <c r="G3136" s="12" t="s">
        <v>6642</v>
      </c>
      <c r="H3136" s="58" t="s">
        <v>6648</v>
      </c>
      <c r="I3136" s="12" t="s">
        <v>7218</v>
      </c>
      <c r="J3136" s="11" t="s">
        <v>1851</v>
      </c>
      <c r="K3136" s="11" t="s">
        <v>1852</v>
      </c>
      <c r="L3136" s="11" t="s">
        <v>1853</v>
      </c>
      <c r="M3136" s="11" t="s">
        <v>1854</v>
      </c>
      <c r="N3136" s="12"/>
      <c r="O3136" s="11" t="s">
        <v>2334</v>
      </c>
      <c r="P3136" s="56" t="s">
        <v>1863</v>
      </c>
    </row>
    <row r="3137" spans="1:16" ht="15.75" customHeight="1" x14ac:dyDescent="0.2">
      <c r="A3137" s="48">
        <v>7107</v>
      </c>
      <c r="B3137" s="11" t="s">
        <v>1857</v>
      </c>
      <c r="C3137" s="11" t="s">
        <v>1876</v>
      </c>
      <c r="D3137" s="6" t="s">
        <v>1850</v>
      </c>
      <c r="E3137" s="11" t="s">
        <v>6642</v>
      </c>
      <c r="F3137" s="12" t="s">
        <v>6643</v>
      </c>
      <c r="G3137" s="12" t="s">
        <v>6642</v>
      </c>
      <c r="H3137" s="58" t="s">
        <v>6648</v>
      </c>
      <c r="I3137" s="12" t="s">
        <v>7219</v>
      </c>
      <c r="J3137" s="11" t="s">
        <v>1851</v>
      </c>
      <c r="K3137" s="11" t="s">
        <v>1852</v>
      </c>
      <c r="L3137" s="11" t="s">
        <v>1853</v>
      </c>
      <c r="M3137" s="11" t="s">
        <v>1854</v>
      </c>
      <c r="N3137" s="12"/>
      <c r="O3137" s="11" t="s">
        <v>1858</v>
      </c>
      <c r="P3137" s="56"/>
    </row>
    <row r="3138" spans="1:16" ht="15.75" customHeight="1" x14ac:dyDescent="0.2">
      <c r="A3138" s="48">
        <v>7113</v>
      </c>
      <c r="B3138" s="11" t="s">
        <v>1857</v>
      </c>
      <c r="C3138" s="11" t="s">
        <v>1876</v>
      </c>
      <c r="D3138" s="6" t="s">
        <v>1850</v>
      </c>
      <c r="E3138" s="11" t="s">
        <v>6642</v>
      </c>
      <c r="F3138" s="12" t="s">
        <v>6643</v>
      </c>
      <c r="G3138" s="12" t="s">
        <v>6642</v>
      </c>
      <c r="H3138" s="58" t="s">
        <v>6648</v>
      </c>
      <c r="I3138" s="12" t="s">
        <v>7220</v>
      </c>
      <c r="J3138" s="11" t="s">
        <v>1851</v>
      </c>
      <c r="K3138" s="11" t="s">
        <v>1852</v>
      </c>
      <c r="L3138" s="11" t="s">
        <v>1853</v>
      </c>
      <c r="M3138" s="11" t="s">
        <v>7221</v>
      </c>
      <c r="N3138" s="12"/>
      <c r="O3138" s="11" t="s">
        <v>1867</v>
      </c>
      <c r="P3138" s="56"/>
    </row>
    <row r="3139" spans="1:16" ht="15.75" customHeight="1" x14ac:dyDescent="0.2">
      <c r="A3139" s="48">
        <v>7114</v>
      </c>
      <c r="B3139" s="11" t="s">
        <v>1857</v>
      </c>
      <c r="C3139" s="11" t="s">
        <v>1876</v>
      </c>
      <c r="D3139" s="6" t="s">
        <v>1850</v>
      </c>
      <c r="E3139" s="11" t="s">
        <v>6642</v>
      </c>
      <c r="F3139" s="12" t="s">
        <v>6643</v>
      </c>
      <c r="G3139" s="12" t="s">
        <v>6642</v>
      </c>
      <c r="H3139" s="58" t="s">
        <v>6648</v>
      </c>
      <c r="I3139" s="12" t="s">
        <v>7222</v>
      </c>
      <c r="J3139" s="11" t="s">
        <v>1851</v>
      </c>
      <c r="K3139" s="11" t="s">
        <v>1852</v>
      </c>
      <c r="L3139" s="11" t="s">
        <v>1853</v>
      </c>
      <c r="M3139" s="11" t="s">
        <v>1854</v>
      </c>
      <c r="N3139" s="12"/>
      <c r="O3139" s="11" t="s">
        <v>1858</v>
      </c>
      <c r="P3139" s="56"/>
    </row>
    <row r="3140" spans="1:16" ht="15.75" customHeight="1" x14ac:dyDescent="0.2">
      <c r="A3140" s="48">
        <v>7116</v>
      </c>
      <c r="B3140" s="11" t="s">
        <v>1857</v>
      </c>
      <c r="C3140" s="11" t="s">
        <v>1876</v>
      </c>
      <c r="D3140" s="6" t="s">
        <v>1850</v>
      </c>
      <c r="E3140" s="11" t="s">
        <v>6642</v>
      </c>
      <c r="F3140" s="12" t="s">
        <v>6643</v>
      </c>
      <c r="G3140" s="12" t="s">
        <v>6642</v>
      </c>
      <c r="H3140" s="58" t="s">
        <v>6648</v>
      </c>
      <c r="I3140" s="12" t="s">
        <v>7223</v>
      </c>
      <c r="J3140" s="11" t="s">
        <v>1851</v>
      </c>
      <c r="K3140" s="11" t="s">
        <v>1852</v>
      </c>
      <c r="L3140" s="11" t="s">
        <v>1853</v>
      </c>
      <c r="M3140" s="11" t="s">
        <v>7224</v>
      </c>
      <c r="N3140" s="12"/>
      <c r="O3140" s="11" t="s">
        <v>1858</v>
      </c>
      <c r="P3140" s="56"/>
    </row>
    <row r="3141" spans="1:16" ht="15.75" customHeight="1" x14ac:dyDescent="0.2">
      <c r="A3141" s="48">
        <v>7118</v>
      </c>
      <c r="B3141" s="11" t="s">
        <v>1857</v>
      </c>
      <c r="C3141" s="11" t="s">
        <v>1876</v>
      </c>
      <c r="D3141" s="6" t="s">
        <v>1850</v>
      </c>
      <c r="E3141" s="11" t="s">
        <v>6642</v>
      </c>
      <c r="F3141" s="12" t="s">
        <v>6643</v>
      </c>
      <c r="G3141" s="12" t="s">
        <v>6642</v>
      </c>
      <c r="H3141" s="58" t="s">
        <v>6648</v>
      </c>
      <c r="I3141" s="12" t="s">
        <v>7225</v>
      </c>
      <c r="J3141" s="11" t="s">
        <v>1851</v>
      </c>
      <c r="K3141" s="11" t="s">
        <v>1852</v>
      </c>
      <c r="L3141" s="11" t="s">
        <v>1853</v>
      </c>
      <c r="M3141" s="11" t="s">
        <v>7226</v>
      </c>
      <c r="N3141" s="12"/>
      <c r="O3141" s="11" t="s">
        <v>2307</v>
      </c>
      <c r="P3141" s="56" t="s">
        <v>7227</v>
      </c>
    </row>
    <row r="3142" spans="1:16" ht="15.75" customHeight="1" x14ac:dyDescent="0.2">
      <c r="A3142" s="48">
        <v>7119</v>
      </c>
      <c r="B3142" s="11" t="s">
        <v>1857</v>
      </c>
      <c r="C3142" s="11" t="s">
        <v>1876</v>
      </c>
      <c r="D3142" s="6" t="s">
        <v>1850</v>
      </c>
      <c r="E3142" s="11" t="s">
        <v>6642</v>
      </c>
      <c r="F3142" s="12" t="s">
        <v>6643</v>
      </c>
      <c r="G3142" s="12" t="s">
        <v>6642</v>
      </c>
      <c r="H3142" s="58" t="s">
        <v>6648</v>
      </c>
      <c r="I3142" s="12" t="s">
        <v>7228</v>
      </c>
      <c r="J3142" s="11" t="s">
        <v>1851</v>
      </c>
      <c r="K3142" s="11" t="s">
        <v>1852</v>
      </c>
      <c r="L3142" s="11" t="s">
        <v>1853</v>
      </c>
      <c r="M3142" s="11" t="s">
        <v>1854</v>
      </c>
      <c r="N3142" s="12"/>
      <c r="O3142" s="11" t="s">
        <v>1867</v>
      </c>
      <c r="P3142" s="56" t="s">
        <v>4665</v>
      </c>
    </row>
    <row r="3143" spans="1:16" ht="15.75" customHeight="1" x14ac:dyDescent="0.2">
      <c r="A3143" s="48">
        <v>7120</v>
      </c>
      <c r="B3143" s="11" t="s">
        <v>1857</v>
      </c>
      <c r="C3143" s="11" t="s">
        <v>1876</v>
      </c>
      <c r="D3143" s="6" t="s">
        <v>1850</v>
      </c>
      <c r="E3143" s="11" t="s">
        <v>6642</v>
      </c>
      <c r="F3143" s="12" t="s">
        <v>6643</v>
      </c>
      <c r="G3143" s="12" t="s">
        <v>6642</v>
      </c>
      <c r="H3143" s="58" t="s">
        <v>6648</v>
      </c>
      <c r="I3143" s="12" t="s">
        <v>7229</v>
      </c>
      <c r="J3143" s="11" t="s">
        <v>1851</v>
      </c>
      <c r="K3143" s="11" t="s">
        <v>1852</v>
      </c>
      <c r="L3143" s="11" t="s">
        <v>1853</v>
      </c>
      <c r="M3143" s="11" t="s">
        <v>7230</v>
      </c>
      <c r="N3143" s="12" t="s">
        <v>7231</v>
      </c>
      <c r="O3143" s="11" t="s">
        <v>1867</v>
      </c>
      <c r="P3143" s="56" t="s">
        <v>1865</v>
      </c>
    </row>
    <row r="3144" spans="1:16" ht="15.75" customHeight="1" x14ac:dyDescent="0.2">
      <c r="A3144" s="48">
        <v>7124</v>
      </c>
      <c r="B3144" s="11" t="s">
        <v>1857</v>
      </c>
      <c r="C3144" s="11" t="s">
        <v>1876</v>
      </c>
      <c r="D3144" s="6" t="s">
        <v>1850</v>
      </c>
      <c r="E3144" s="11" t="s">
        <v>6642</v>
      </c>
      <c r="F3144" s="12" t="s">
        <v>6643</v>
      </c>
      <c r="G3144" s="12" t="s">
        <v>6642</v>
      </c>
      <c r="H3144" s="12" t="s">
        <v>6815</v>
      </c>
      <c r="I3144" s="12" t="s">
        <v>7232</v>
      </c>
      <c r="J3144" s="11" t="s">
        <v>1851</v>
      </c>
      <c r="K3144" s="11" t="s">
        <v>1852</v>
      </c>
      <c r="L3144" s="11" t="s">
        <v>1853</v>
      </c>
      <c r="M3144" s="11" t="s">
        <v>1854</v>
      </c>
      <c r="N3144" s="12"/>
      <c r="O3144" s="11" t="s">
        <v>1858</v>
      </c>
      <c r="P3144" s="56"/>
    </row>
    <row r="3145" spans="1:16" ht="15.75" customHeight="1" x14ac:dyDescent="0.2">
      <c r="A3145" s="48">
        <v>7127</v>
      </c>
      <c r="B3145" s="11" t="s">
        <v>1857</v>
      </c>
      <c r="C3145" s="11" t="s">
        <v>1876</v>
      </c>
      <c r="D3145" s="6" t="s">
        <v>1850</v>
      </c>
      <c r="E3145" s="11" t="s">
        <v>6642</v>
      </c>
      <c r="F3145" s="12" t="s">
        <v>6643</v>
      </c>
      <c r="G3145" s="12" t="s">
        <v>6642</v>
      </c>
      <c r="H3145" s="12" t="s">
        <v>6655</v>
      </c>
      <c r="I3145" s="12" t="s">
        <v>7233</v>
      </c>
      <c r="J3145" s="11" t="s">
        <v>1856</v>
      </c>
      <c r="K3145" s="11" t="s">
        <v>1852</v>
      </c>
      <c r="L3145" s="11" t="s">
        <v>1853</v>
      </c>
      <c r="M3145" s="11" t="s">
        <v>1854</v>
      </c>
      <c r="N3145" s="12"/>
      <c r="O3145" s="11" t="s">
        <v>2307</v>
      </c>
      <c r="P3145" s="56" t="s">
        <v>3343</v>
      </c>
    </row>
    <row r="3146" spans="1:16" ht="15.75" customHeight="1" x14ac:dyDescent="0.2">
      <c r="A3146" s="48">
        <v>7263</v>
      </c>
      <c r="B3146" s="11" t="s">
        <v>1857</v>
      </c>
      <c r="C3146" s="11" t="s">
        <v>1876</v>
      </c>
      <c r="D3146" s="6" t="s">
        <v>1850</v>
      </c>
      <c r="E3146" s="11" t="s">
        <v>6642</v>
      </c>
      <c r="F3146" s="12" t="s">
        <v>6643</v>
      </c>
      <c r="G3146" s="12" t="s">
        <v>6642</v>
      </c>
      <c r="H3146" s="12" t="s">
        <v>6658</v>
      </c>
      <c r="I3146" s="12" t="s">
        <v>7234</v>
      </c>
      <c r="J3146" s="11" t="s">
        <v>1851</v>
      </c>
      <c r="K3146" s="11" t="s">
        <v>1852</v>
      </c>
      <c r="L3146" s="11" t="s">
        <v>1853</v>
      </c>
      <c r="M3146" s="11" t="s">
        <v>1854</v>
      </c>
      <c r="N3146" s="12"/>
      <c r="O3146" s="11" t="s">
        <v>1867</v>
      </c>
      <c r="P3146" s="56"/>
    </row>
    <row r="3147" spans="1:16" ht="15.75" customHeight="1" x14ac:dyDescent="0.2">
      <c r="A3147" s="48">
        <v>7264</v>
      </c>
      <c r="B3147" s="11" t="s">
        <v>1857</v>
      </c>
      <c r="C3147" s="11" t="s">
        <v>1876</v>
      </c>
      <c r="D3147" s="6" t="s">
        <v>1850</v>
      </c>
      <c r="E3147" s="11" t="s">
        <v>6642</v>
      </c>
      <c r="F3147" s="12" t="s">
        <v>6643</v>
      </c>
      <c r="G3147" s="12" t="s">
        <v>6642</v>
      </c>
      <c r="H3147" s="12" t="s">
        <v>6658</v>
      </c>
      <c r="I3147" s="12" t="s">
        <v>7235</v>
      </c>
      <c r="J3147" s="11" t="s">
        <v>1851</v>
      </c>
      <c r="K3147" s="11" t="s">
        <v>1852</v>
      </c>
      <c r="L3147" s="11" t="s">
        <v>1853</v>
      </c>
      <c r="M3147" s="11" t="s">
        <v>7236</v>
      </c>
      <c r="N3147" s="12"/>
      <c r="O3147" s="11" t="s">
        <v>1867</v>
      </c>
      <c r="P3147" s="56" t="s">
        <v>1865</v>
      </c>
    </row>
    <row r="3148" spans="1:16" ht="15.75" customHeight="1" x14ac:dyDescent="0.2">
      <c r="A3148" s="48">
        <v>7265</v>
      </c>
      <c r="B3148" s="11" t="s">
        <v>1857</v>
      </c>
      <c r="C3148" s="11" t="s">
        <v>1876</v>
      </c>
      <c r="D3148" s="6" t="s">
        <v>1850</v>
      </c>
      <c r="E3148" s="11" t="s">
        <v>6642</v>
      </c>
      <c r="F3148" s="12" t="s">
        <v>6643</v>
      </c>
      <c r="G3148" s="12" t="s">
        <v>6642</v>
      </c>
      <c r="H3148" s="12" t="s">
        <v>2768</v>
      </c>
      <c r="I3148" s="12" t="s">
        <v>7237</v>
      </c>
      <c r="J3148" s="11" t="s">
        <v>1851</v>
      </c>
      <c r="K3148" s="11" t="s">
        <v>1852</v>
      </c>
      <c r="L3148" s="11" t="s">
        <v>1853</v>
      </c>
      <c r="M3148" s="11" t="s">
        <v>1854</v>
      </c>
      <c r="N3148" s="12"/>
      <c r="O3148" s="11" t="s">
        <v>2587</v>
      </c>
      <c r="P3148" s="56" t="s">
        <v>1865</v>
      </c>
    </row>
    <row r="3149" spans="1:16" ht="15.75" customHeight="1" x14ac:dyDescent="0.2">
      <c r="A3149" s="48">
        <v>7266</v>
      </c>
      <c r="B3149" s="11" t="s">
        <v>1857</v>
      </c>
      <c r="C3149" s="11" t="s">
        <v>1876</v>
      </c>
      <c r="D3149" s="6" t="s">
        <v>1850</v>
      </c>
      <c r="E3149" s="11" t="s">
        <v>6642</v>
      </c>
      <c r="F3149" s="12" t="s">
        <v>6643</v>
      </c>
      <c r="G3149" s="12" t="s">
        <v>6642</v>
      </c>
      <c r="H3149" s="12" t="s">
        <v>6661</v>
      </c>
      <c r="I3149" s="12" t="s">
        <v>7238</v>
      </c>
      <c r="J3149" s="11" t="s">
        <v>1851</v>
      </c>
      <c r="K3149" s="11" t="s">
        <v>1852</v>
      </c>
      <c r="L3149" s="11" t="s">
        <v>1853</v>
      </c>
      <c r="M3149" s="11" t="s">
        <v>1854</v>
      </c>
      <c r="N3149" s="12"/>
      <c r="O3149" s="11" t="s">
        <v>1867</v>
      </c>
      <c r="P3149" s="56" t="s">
        <v>1865</v>
      </c>
    </row>
    <row r="3150" spans="1:16" ht="15.75" customHeight="1" x14ac:dyDescent="0.2">
      <c r="A3150" s="48">
        <v>6227</v>
      </c>
      <c r="B3150" s="11" t="s">
        <v>1857</v>
      </c>
      <c r="C3150" s="11" t="s">
        <v>1876</v>
      </c>
      <c r="D3150" s="6" t="s">
        <v>1850</v>
      </c>
      <c r="E3150" s="11" t="s">
        <v>6642</v>
      </c>
      <c r="F3150" s="12" t="s">
        <v>6643</v>
      </c>
      <c r="G3150" s="12" t="s">
        <v>6642</v>
      </c>
      <c r="H3150" s="12" t="s">
        <v>5550</v>
      </c>
      <c r="I3150" s="12" t="s">
        <v>7239</v>
      </c>
      <c r="J3150" s="11" t="s">
        <v>1851</v>
      </c>
      <c r="K3150" s="11" t="s">
        <v>1852</v>
      </c>
      <c r="L3150" s="11" t="s">
        <v>1853</v>
      </c>
      <c r="M3150" s="11" t="s">
        <v>1854</v>
      </c>
      <c r="N3150" s="12"/>
      <c r="O3150" s="11" t="s">
        <v>1867</v>
      </c>
      <c r="P3150" s="56" t="s">
        <v>1865</v>
      </c>
    </row>
    <row r="3151" spans="1:16" ht="15.75" customHeight="1" x14ac:dyDescent="0.2">
      <c r="A3151" s="48">
        <v>7372</v>
      </c>
      <c r="B3151" s="11" t="s">
        <v>1857</v>
      </c>
      <c r="C3151" s="11" t="s">
        <v>1876</v>
      </c>
      <c r="D3151" s="6" t="s">
        <v>1850</v>
      </c>
      <c r="E3151" s="11" t="s">
        <v>6642</v>
      </c>
      <c r="F3151" s="12" t="s">
        <v>6643</v>
      </c>
      <c r="G3151" s="12" t="s">
        <v>6642</v>
      </c>
      <c r="H3151" s="12" t="s">
        <v>6653</v>
      </c>
      <c r="I3151" s="12" t="s">
        <v>7240</v>
      </c>
      <c r="J3151" s="11" t="s">
        <v>1851</v>
      </c>
      <c r="K3151" s="11" t="s">
        <v>1852</v>
      </c>
      <c r="L3151" s="11" t="s">
        <v>1853</v>
      </c>
      <c r="M3151" s="11" t="s">
        <v>1854</v>
      </c>
      <c r="N3151" s="12"/>
      <c r="O3151" s="11" t="s">
        <v>1858</v>
      </c>
      <c r="P3151" s="56"/>
    </row>
    <row r="3152" spans="1:16" ht="15.75" customHeight="1" x14ac:dyDescent="0.2">
      <c r="A3152" s="48">
        <v>7353</v>
      </c>
      <c r="B3152" s="11" t="s">
        <v>1857</v>
      </c>
      <c r="C3152" s="11" t="s">
        <v>1876</v>
      </c>
      <c r="D3152" s="6" t="s">
        <v>1850</v>
      </c>
      <c r="E3152" s="11" t="s">
        <v>6642</v>
      </c>
      <c r="F3152" s="12" t="s">
        <v>6643</v>
      </c>
      <c r="G3152" s="12" t="s">
        <v>6642</v>
      </c>
      <c r="H3152" s="58" t="s">
        <v>6648</v>
      </c>
      <c r="I3152" s="12" t="s">
        <v>7241</v>
      </c>
      <c r="J3152" s="11" t="s">
        <v>1851</v>
      </c>
      <c r="K3152" s="11" t="s">
        <v>1852</v>
      </c>
      <c r="L3152" s="11" t="s">
        <v>1853</v>
      </c>
      <c r="M3152" s="11" t="s">
        <v>1854</v>
      </c>
      <c r="N3152" s="12"/>
      <c r="O3152" s="11" t="s">
        <v>2755</v>
      </c>
      <c r="P3152" s="56"/>
    </row>
    <row r="3153" spans="1:16" ht="15.75" customHeight="1" x14ac:dyDescent="0.2">
      <c r="A3153" s="48">
        <v>15327</v>
      </c>
      <c r="B3153" s="11" t="s">
        <v>1857</v>
      </c>
      <c r="C3153" s="11" t="s">
        <v>1876</v>
      </c>
      <c r="D3153" s="6" t="s">
        <v>1850</v>
      </c>
      <c r="E3153" s="11" t="s">
        <v>6642</v>
      </c>
      <c r="F3153" s="12" t="s">
        <v>6643</v>
      </c>
      <c r="G3153" s="12" t="s">
        <v>6642</v>
      </c>
      <c r="H3153" s="12" t="s">
        <v>6655</v>
      </c>
      <c r="I3153" s="12" t="s">
        <v>7242</v>
      </c>
      <c r="J3153" s="11" t="s">
        <v>1851</v>
      </c>
      <c r="K3153" s="11" t="s">
        <v>1852</v>
      </c>
      <c r="L3153" s="11" t="s">
        <v>1853</v>
      </c>
      <c r="M3153" s="11" t="s">
        <v>1854</v>
      </c>
      <c r="N3153" s="12"/>
      <c r="O3153" s="11" t="s">
        <v>1858</v>
      </c>
      <c r="P3153" s="56"/>
    </row>
    <row r="3154" spans="1:16" ht="15.75" customHeight="1" x14ac:dyDescent="0.2">
      <c r="A3154" s="48">
        <v>7445</v>
      </c>
      <c r="B3154" s="11" t="s">
        <v>1857</v>
      </c>
      <c r="C3154" s="11" t="s">
        <v>1876</v>
      </c>
      <c r="D3154" s="6" t="s">
        <v>1850</v>
      </c>
      <c r="E3154" s="11" t="s">
        <v>6642</v>
      </c>
      <c r="F3154" s="12" t="s">
        <v>6643</v>
      </c>
      <c r="G3154" s="12" t="s">
        <v>6642</v>
      </c>
      <c r="H3154" s="12" t="s">
        <v>6655</v>
      </c>
      <c r="I3154" s="12" t="s">
        <v>7243</v>
      </c>
      <c r="J3154" s="11" t="s">
        <v>1851</v>
      </c>
      <c r="K3154" s="11" t="s">
        <v>1852</v>
      </c>
      <c r="L3154" s="11" t="s">
        <v>1853</v>
      </c>
      <c r="M3154" s="11" t="s">
        <v>1854</v>
      </c>
      <c r="N3154" s="12"/>
      <c r="O3154" s="11" t="s">
        <v>1860</v>
      </c>
      <c r="P3154" s="56"/>
    </row>
    <row r="3155" spans="1:16" ht="15.75" customHeight="1" x14ac:dyDescent="0.2">
      <c r="A3155" s="48">
        <v>7380</v>
      </c>
      <c r="B3155" s="11" t="s">
        <v>1857</v>
      </c>
      <c r="C3155" s="11" t="s">
        <v>1876</v>
      </c>
      <c r="D3155" s="6" t="s">
        <v>1850</v>
      </c>
      <c r="E3155" s="11" t="s">
        <v>6642</v>
      </c>
      <c r="F3155" s="12" t="s">
        <v>6643</v>
      </c>
      <c r="G3155" s="12" t="s">
        <v>6642</v>
      </c>
      <c r="H3155" s="12" t="s">
        <v>6655</v>
      </c>
      <c r="I3155" s="12" t="s">
        <v>7244</v>
      </c>
      <c r="J3155" s="11" t="s">
        <v>1856</v>
      </c>
      <c r="K3155" s="11" t="s">
        <v>1852</v>
      </c>
      <c r="L3155" s="11" t="s">
        <v>1853</v>
      </c>
      <c r="M3155" s="11" t="s">
        <v>1854</v>
      </c>
      <c r="N3155" s="12"/>
      <c r="O3155" s="11" t="s">
        <v>1858</v>
      </c>
      <c r="P3155" s="56"/>
    </row>
    <row r="3156" spans="1:16" ht="15.75" customHeight="1" x14ac:dyDescent="0.2">
      <c r="A3156" s="48">
        <v>7360</v>
      </c>
      <c r="B3156" s="11" t="s">
        <v>1857</v>
      </c>
      <c r="C3156" s="11" t="s">
        <v>1876</v>
      </c>
      <c r="D3156" s="6" t="s">
        <v>1850</v>
      </c>
      <c r="E3156" s="11" t="s">
        <v>6642</v>
      </c>
      <c r="F3156" s="12" t="s">
        <v>6643</v>
      </c>
      <c r="G3156" s="12" t="s">
        <v>6642</v>
      </c>
      <c r="H3156" s="12" t="s">
        <v>2626</v>
      </c>
      <c r="I3156" s="12" t="s">
        <v>7245</v>
      </c>
      <c r="J3156" s="11" t="s">
        <v>1851</v>
      </c>
      <c r="K3156" s="11" t="s">
        <v>1852</v>
      </c>
      <c r="L3156" s="11" t="s">
        <v>1853</v>
      </c>
      <c r="M3156" s="11" t="s">
        <v>1854</v>
      </c>
      <c r="N3156" s="12"/>
      <c r="O3156" s="11" t="s">
        <v>1858</v>
      </c>
      <c r="P3156" s="56"/>
    </row>
    <row r="3157" spans="1:16" ht="15.75" customHeight="1" x14ac:dyDescent="0.2">
      <c r="A3157" s="48">
        <v>7357</v>
      </c>
      <c r="B3157" s="11" t="s">
        <v>1857</v>
      </c>
      <c r="C3157" s="11" t="s">
        <v>1876</v>
      </c>
      <c r="D3157" s="6" t="s">
        <v>1850</v>
      </c>
      <c r="E3157" s="11" t="s">
        <v>6642</v>
      </c>
      <c r="F3157" s="12" t="s">
        <v>6643</v>
      </c>
      <c r="G3157" s="12" t="s">
        <v>6642</v>
      </c>
      <c r="H3157" s="58" t="s">
        <v>6648</v>
      </c>
      <c r="I3157" s="12" t="s">
        <v>7246</v>
      </c>
      <c r="J3157" s="11" t="s">
        <v>1851</v>
      </c>
      <c r="K3157" s="11" t="s">
        <v>1852</v>
      </c>
      <c r="L3157" s="11" t="s">
        <v>1853</v>
      </c>
      <c r="M3157" s="11" t="s">
        <v>1854</v>
      </c>
      <c r="N3157" s="12"/>
      <c r="O3157" s="11" t="s">
        <v>1858</v>
      </c>
      <c r="P3157" s="56"/>
    </row>
    <row r="3158" spans="1:16" ht="15.75" customHeight="1" x14ac:dyDescent="0.2">
      <c r="A3158" s="48">
        <v>7394</v>
      </c>
      <c r="B3158" s="11" t="s">
        <v>1857</v>
      </c>
      <c r="C3158" s="11" t="s">
        <v>1876</v>
      </c>
      <c r="D3158" s="6" t="s">
        <v>1850</v>
      </c>
      <c r="E3158" s="11" t="s">
        <v>6642</v>
      </c>
      <c r="F3158" s="12" t="s">
        <v>6643</v>
      </c>
      <c r="G3158" s="12" t="s">
        <v>6642</v>
      </c>
      <c r="H3158" s="12" t="s">
        <v>6706</v>
      </c>
      <c r="I3158" s="12" t="s">
        <v>7247</v>
      </c>
      <c r="J3158" s="11" t="s">
        <v>1856</v>
      </c>
      <c r="K3158" s="11" t="s">
        <v>1852</v>
      </c>
      <c r="L3158" s="11" t="s">
        <v>1853</v>
      </c>
      <c r="M3158" s="11" t="s">
        <v>7248</v>
      </c>
      <c r="N3158" s="12"/>
      <c r="O3158" s="11" t="s">
        <v>1858</v>
      </c>
      <c r="P3158" s="56"/>
    </row>
    <row r="3159" spans="1:16" ht="15.75" customHeight="1" x14ac:dyDescent="0.2">
      <c r="A3159" s="48">
        <v>7373</v>
      </c>
      <c r="B3159" s="11" t="s">
        <v>1857</v>
      </c>
      <c r="C3159" s="11" t="s">
        <v>1876</v>
      </c>
      <c r="D3159" s="6" t="s">
        <v>1850</v>
      </c>
      <c r="E3159" s="11" t="s">
        <v>6642</v>
      </c>
      <c r="F3159" s="12" t="s">
        <v>6643</v>
      </c>
      <c r="G3159" s="12" t="s">
        <v>6642</v>
      </c>
      <c r="H3159" s="12" t="s">
        <v>6655</v>
      </c>
      <c r="I3159" s="12" t="s">
        <v>7249</v>
      </c>
      <c r="J3159" s="11" t="s">
        <v>1851</v>
      </c>
      <c r="K3159" s="11" t="s">
        <v>1852</v>
      </c>
      <c r="L3159" s="11" t="s">
        <v>1853</v>
      </c>
      <c r="M3159" s="11" t="s">
        <v>1854</v>
      </c>
      <c r="N3159" s="12"/>
      <c r="O3159" s="11" t="s">
        <v>1858</v>
      </c>
      <c r="P3159" s="56"/>
    </row>
    <row r="3160" spans="1:16" ht="15.75" customHeight="1" x14ac:dyDescent="0.2">
      <c r="A3160" s="48">
        <v>15799</v>
      </c>
      <c r="B3160" s="11" t="s">
        <v>1857</v>
      </c>
      <c r="C3160" s="11" t="s">
        <v>1876</v>
      </c>
      <c r="D3160" s="6" t="s">
        <v>1850</v>
      </c>
      <c r="E3160" s="11" t="s">
        <v>6642</v>
      </c>
      <c r="F3160" s="12" t="s">
        <v>6643</v>
      </c>
      <c r="G3160" s="12" t="s">
        <v>6642</v>
      </c>
      <c r="H3160" s="12" t="s">
        <v>6708</v>
      </c>
      <c r="I3160" s="12" t="s">
        <v>7250</v>
      </c>
      <c r="J3160" s="11" t="s">
        <v>1851</v>
      </c>
      <c r="K3160" s="11" t="s">
        <v>1852</v>
      </c>
      <c r="L3160" s="11" t="s">
        <v>1853</v>
      </c>
      <c r="M3160" s="11" t="s">
        <v>1854</v>
      </c>
      <c r="N3160" s="12"/>
      <c r="O3160" s="11" t="s">
        <v>1858</v>
      </c>
      <c r="P3160" s="56"/>
    </row>
    <row r="3161" spans="1:16" ht="15.75" customHeight="1" x14ac:dyDescent="0.2">
      <c r="A3161" s="48">
        <v>7377</v>
      </c>
      <c r="B3161" s="11" t="s">
        <v>1857</v>
      </c>
      <c r="C3161" s="11" t="s">
        <v>1876</v>
      </c>
      <c r="D3161" s="6" t="s">
        <v>1850</v>
      </c>
      <c r="E3161" s="11" t="s">
        <v>6642</v>
      </c>
      <c r="F3161" s="12" t="s">
        <v>6643</v>
      </c>
      <c r="G3161" s="12" t="s">
        <v>6642</v>
      </c>
      <c r="H3161" s="12" t="s">
        <v>6708</v>
      </c>
      <c r="I3161" s="12" t="s">
        <v>7251</v>
      </c>
      <c r="J3161" s="11" t="s">
        <v>1851</v>
      </c>
      <c r="K3161" s="11" t="s">
        <v>1852</v>
      </c>
      <c r="L3161" s="11" t="s">
        <v>1853</v>
      </c>
      <c r="M3161" s="11" t="s">
        <v>7252</v>
      </c>
      <c r="N3161" s="12"/>
      <c r="O3161" s="11" t="s">
        <v>1860</v>
      </c>
      <c r="P3161" s="56"/>
    </row>
    <row r="3162" spans="1:16" ht="15.75" customHeight="1" x14ac:dyDescent="0.2">
      <c r="A3162" s="48">
        <v>7389</v>
      </c>
      <c r="B3162" s="11" t="s">
        <v>1857</v>
      </c>
      <c r="C3162" s="11" t="s">
        <v>1876</v>
      </c>
      <c r="D3162" s="6" t="s">
        <v>1850</v>
      </c>
      <c r="E3162" s="11" t="s">
        <v>6642</v>
      </c>
      <c r="F3162" s="12" t="s">
        <v>6643</v>
      </c>
      <c r="G3162" s="12" t="s">
        <v>6642</v>
      </c>
      <c r="H3162" s="12" t="s">
        <v>6655</v>
      </c>
      <c r="I3162" s="12" t="s">
        <v>7253</v>
      </c>
      <c r="J3162" s="11" t="s">
        <v>1851</v>
      </c>
      <c r="K3162" s="11" t="s">
        <v>1852</v>
      </c>
      <c r="L3162" s="11" t="s">
        <v>1853</v>
      </c>
      <c r="M3162" s="11" t="s">
        <v>7254</v>
      </c>
      <c r="N3162" s="12"/>
      <c r="O3162" s="11" t="s">
        <v>1860</v>
      </c>
      <c r="P3162" s="56"/>
    </row>
    <row r="3163" spans="1:16" ht="15.75" customHeight="1" x14ac:dyDescent="0.2">
      <c r="A3163" s="49">
        <v>7381</v>
      </c>
      <c r="B3163" s="11" t="s">
        <v>1857</v>
      </c>
      <c r="C3163" s="11" t="s">
        <v>1876</v>
      </c>
      <c r="D3163" s="6" t="s">
        <v>1850</v>
      </c>
      <c r="E3163" s="11" t="s">
        <v>6642</v>
      </c>
      <c r="F3163" s="12" t="s">
        <v>6643</v>
      </c>
      <c r="G3163" s="12" t="s">
        <v>6642</v>
      </c>
      <c r="H3163" s="12" t="s">
        <v>3542</v>
      </c>
      <c r="I3163" s="12" t="s">
        <v>7255</v>
      </c>
      <c r="J3163" s="11" t="s">
        <v>1851</v>
      </c>
      <c r="K3163" s="11" t="s">
        <v>1852</v>
      </c>
      <c r="L3163" s="11" t="s">
        <v>1853</v>
      </c>
      <c r="M3163" s="11" t="s">
        <v>1854</v>
      </c>
      <c r="N3163" s="12"/>
      <c r="O3163" s="11" t="s">
        <v>1860</v>
      </c>
      <c r="P3163" s="56"/>
    </row>
    <row r="3164" spans="1:16" ht="15.75" customHeight="1" x14ac:dyDescent="0.2">
      <c r="A3164" s="48">
        <v>7348</v>
      </c>
      <c r="B3164" s="11" t="s">
        <v>1857</v>
      </c>
      <c r="C3164" s="11" t="s">
        <v>1876</v>
      </c>
      <c r="D3164" s="6" t="s">
        <v>1850</v>
      </c>
      <c r="E3164" s="11" t="s">
        <v>6642</v>
      </c>
      <c r="F3164" s="12" t="s">
        <v>6643</v>
      </c>
      <c r="G3164" s="12" t="s">
        <v>6642</v>
      </c>
      <c r="H3164" s="12" t="s">
        <v>6671</v>
      </c>
      <c r="I3164" s="12" t="s">
        <v>7256</v>
      </c>
      <c r="J3164" s="11" t="s">
        <v>1851</v>
      </c>
      <c r="K3164" s="11" t="s">
        <v>1852</v>
      </c>
      <c r="L3164" s="11" t="s">
        <v>1853</v>
      </c>
      <c r="M3164" s="11" t="s">
        <v>1854</v>
      </c>
      <c r="N3164" s="12"/>
      <c r="O3164" s="11" t="s">
        <v>1858</v>
      </c>
      <c r="P3164" s="56"/>
    </row>
    <row r="3165" spans="1:16" ht="15.75" customHeight="1" x14ac:dyDescent="0.2">
      <c r="A3165" s="48">
        <v>7364</v>
      </c>
      <c r="B3165" s="11" t="s">
        <v>1857</v>
      </c>
      <c r="C3165" s="11" t="s">
        <v>1876</v>
      </c>
      <c r="D3165" s="6" t="s">
        <v>1850</v>
      </c>
      <c r="E3165" s="11" t="s">
        <v>6642</v>
      </c>
      <c r="F3165" s="12" t="s">
        <v>6643</v>
      </c>
      <c r="G3165" s="12" t="s">
        <v>6642</v>
      </c>
      <c r="H3165" s="12" t="s">
        <v>6658</v>
      </c>
      <c r="I3165" s="12" t="s">
        <v>7257</v>
      </c>
      <c r="J3165" s="11" t="s">
        <v>1851</v>
      </c>
      <c r="K3165" s="11" t="s">
        <v>1852</v>
      </c>
      <c r="L3165" s="11" t="s">
        <v>1853</v>
      </c>
      <c r="M3165" s="11" t="s">
        <v>7258</v>
      </c>
      <c r="N3165" s="12"/>
      <c r="O3165" s="11" t="s">
        <v>1860</v>
      </c>
      <c r="P3165" s="56"/>
    </row>
    <row r="3166" spans="1:16" ht="15.75" customHeight="1" x14ac:dyDescent="0.2">
      <c r="A3166" s="48">
        <v>7383</v>
      </c>
      <c r="B3166" s="11" t="s">
        <v>1857</v>
      </c>
      <c r="C3166" s="11" t="s">
        <v>1876</v>
      </c>
      <c r="D3166" s="6" t="s">
        <v>1850</v>
      </c>
      <c r="E3166" s="11" t="s">
        <v>6642</v>
      </c>
      <c r="F3166" s="12" t="s">
        <v>6643</v>
      </c>
      <c r="G3166" s="12" t="s">
        <v>6642</v>
      </c>
      <c r="H3166" s="12" t="s">
        <v>6704</v>
      </c>
      <c r="I3166" s="12" t="s">
        <v>7259</v>
      </c>
      <c r="J3166" s="11" t="s">
        <v>1851</v>
      </c>
      <c r="K3166" s="11" t="s">
        <v>1852</v>
      </c>
      <c r="L3166" s="11" t="s">
        <v>1853</v>
      </c>
      <c r="M3166" s="11" t="s">
        <v>1854</v>
      </c>
      <c r="N3166" s="12"/>
      <c r="O3166" s="11" t="s">
        <v>1858</v>
      </c>
      <c r="P3166" s="56"/>
    </row>
    <row r="3167" spans="1:16" ht="15.75" customHeight="1" x14ac:dyDescent="0.2">
      <c r="A3167" s="48">
        <v>7048</v>
      </c>
      <c r="B3167" s="11" t="s">
        <v>1857</v>
      </c>
      <c r="C3167" s="11" t="s">
        <v>1876</v>
      </c>
      <c r="D3167" s="6" t="s">
        <v>1850</v>
      </c>
      <c r="E3167" s="11" t="s">
        <v>6642</v>
      </c>
      <c r="F3167" s="12" t="s">
        <v>6643</v>
      </c>
      <c r="G3167" s="12" t="s">
        <v>6642</v>
      </c>
      <c r="H3167" s="58" t="s">
        <v>6648</v>
      </c>
      <c r="I3167" s="12" t="s">
        <v>7148</v>
      </c>
      <c r="J3167" s="11" t="s">
        <v>1851</v>
      </c>
      <c r="K3167" s="11" t="s">
        <v>1852</v>
      </c>
      <c r="L3167" s="11" t="s">
        <v>1853</v>
      </c>
      <c r="M3167" s="11" t="s">
        <v>1854</v>
      </c>
      <c r="N3167" s="12"/>
      <c r="O3167" s="11" t="s">
        <v>1860</v>
      </c>
      <c r="P3167" s="56"/>
    </row>
    <row r="3168" spans="1:16" ht="15.75" customHeight="1" x14ac:dyDescent="0.2">
      <c r="A3168" s="48">
        <v>7386</v>
      </c>
      <c r="B3168" s="11" t="s">
        <v>1857</v>
      </c>
      <c r="C3168" s="11" t="s">
        <v>1876</v>
      </c>
      <c r="D3168" s="6" t="s">
        <v>1850</v>
      </c>
      <c r="E3168" s="11" t="s">
        <v>6642</v>
      </c>
      <c r="F3168" s="12" t="s">
        <v>6643</v>
      </c>
      <c r="G3168" s="12" t="s">
        <v>6642</v>
      </c>
      <c r="H3168" s="12" t="s">
        <v>6655</v>
      </c>
      <c r="I3168" s="12" t="s">
        <v>7260</v>
      </c>
      <c r="J3168" s="11" t="s">
        <v>1856</v>
      </c>
      <c r="K3168" s="11" t="s">
        <v>1852</v>
      </c>
      <c r="L3168" s="11" t="s">
        <v>1853</v>
      </c>
      <c r="M3168" s="11" t="s">
        <v>1854</v>
      </c>
      <c r="N3168" s="12"/>
      <c r="O3168" s="11" t="s">
        <v>1860</v>
      </c>
      <c r="P3168" s="56"/>
    </row>
    <row r="3169" spans="1:16" ht="15.75" customHeight="1" x14ac:dyDescent="0.2">
      <c r="A3169" s="48">
        <v>7392</v>
      </c>
      <c r="B3169" s="11" t="s">
        <v>1857</v>
      </c>
      <c r="C3169" s="11" t="s">
        <v>1876</v>
      </c>
      <c r="D3169" s="6" t="s">
        <v>1850</v>
      </c>
      <c r="E3169" s="11" t="s">
        <v>6642</v>
      </c>
      <c r="F3169" s="12" t="s">
        <v>6643</v>
      </c>
      <c r="G3169" s="12" t="s">
        <v>6642</v>
      </c>
      <c r="H3169" s="58" t="s">
        <v>6648</v>
      </c>
      <c r="I3169" s="12" t="s">
        <v>7261</v>
      </c>
      <c r="J3169" s="11" t="s">
        <v>1851</v>
      </c>
      <c r="K3169" s="11" t="s">
        <v>1852</v>
      </c>
      <c r="L3169" s="11" t="s">
        <v>1853</v>
      </c>
      <c r="M3169" s="11" t="s">
        <v>7262</v>
      </c>
      <c r="N3169" s="12"/>
      <c r="O3169" s="11" t="s">
        <v>1858</v>
      </c>
      <c r="P3169" s="56"/>
    </row>
    <row r="3170" spans="1:16" ht="15.75" customHeight="1" x14ac:dyDescent="0.2">
      <c r="A3170" s="48">
        <v>7387</v>
      </c>
      <c r="B3170" s="11" t="s">
        <v>1857</v>
      </c>
      <c r="C3170" s="11" t="s">
        <v>1876</v>
      </c>
      <c r="D3170" s="6" t="s">
        <v>1850</v>
      </c>
      <c r="E3170" s="11" t="s">
        <v>6642</v>
      </c>
      <c r="F3170" s="12" t="s">
        <v>6643</v>
      </c>
      <c r="G3170" s="12" t="s">
        <v>6642</v>
      </c>
      <c r="H3170" s="12" t="s">
        <v>3542</v>
      </c>
      <c r="I3170" s="12" t="s">
        <v>7263</v>
      </c>
      <c r="J3170" s="11" t="s">
        <v>1851</v>
      </c>
      <c r="K3170" s="11" t="s">
        <v>1852</v>
      </c>
      <c r="L3170" s="11" t="s">
        <v>1853</v>
      </c>
      <c r="M3170" s="11" t="s">
        <v>1854</v>
      </c>
      <c r="N3170" s="12"/>
      <c r="O3170" s="11" t="s">
        <v>2307</v>
      </c>
      <c r="P3170" s="56" t="s">
        <v>3343</v>
      </c>
    </row>
    <row r="3171" spans="1:16" ht="15.75" customHeight="1" x14ac:dyDescent="0.2">
      <c r="A3171" s="48">
        <v>7441</v>
      </c>
      <c r="B3171" s="11" t="s">
        <v>1857</v>
      </c>
      <c r="C3171" s="11" t="s">
        <v>1876</v>
      </c>
      <c r="D3171" s="6" t="s">
        <v>1850</v>
      </c>
      <c r="E3171" s="11" t="s">
        <v>6642</v>
      </c>
      <c r="F3171" s="12" t="s">
        <v>6643</v>
      </c>
      <c r="G3171" s="12" t="s">
        <v>6642</v>
      </c>
      <c r="H3171" s="12" t="s">
        <v>6661</v>
      </c>
      <c r="I3171" s="12" t="s">
        <v>7264</v>
      </c>
      <c r="J3171" s="11" t="s">
        <v>1851</v>
      </c>
      <c r="K3171" s="11" t="s">
        <v>1852</v>
      </c>
      <c r="L3171" s="11" t="s">
        <v>1853</v>
      </c>
      <c r="M3171" s="11" t="s">
        <v>7265</v>
      </c>
      <c r="N3171" s="12"/>
      <c r="O3171" s="11" t="s">
        <v>1867</v>
      </c>
      <c r="P3171" s="56"/>
    </row>
    <row r="3172" spans="1:16" ht="15.75" customHeight="1" x14ac:dyDescent="0.2">
      <c r="A3172" s="48">
        <v>7385</v>
      </c>
      <c r="B3172" s="11" t="s">
        <v>1857</v>
      </c>
      <c r="C3172" s="11" t="s">
        <v>1876</v>
      </c>
      <c r="D3172" s="6" t="s">
        <v>1850</v>
      </c>
      <c r="E3172" s="11" t="s">
        <v>6642</v>
      </c>
      <c r="F3172" s="12" t="s">
        <v>6643</v>
      </c>
      <c r="G3172" s="12" t="s">
        <v>6642</v>
      </c>
      <c r="H3172" s="12" t="s">
        <v>6653</v>
      </c>
      <c r="I3172" s="12" t="s">
        <v>7266</v>
      </c>
      <c r="J3172" s="11" t="s">
        <v>1856</v>
      </c>
      <c r="K3172" s="11" t="s">
        <v>1852</v>
      </c>
      <c r="L3172" s="11" t="s">
        <v>1853</v>
      </c>
      <c r="M3172" s="11" t="s">
        <v>1854</v>
      </c>
      <c r="N3172" s="12"/>
      <c r="O3172" s="11" t="s">
        <v>1858</v>
      </c>
      <c r="P3172" s="56"/>
    </row>
    <row r="3173" spans="1:16" ht="15.75" customHeight="1" x14ac:dyDescent="0.2">
      <c r="A3173" s="48">
        <v>7440</v>
      </c>
      <c r="B3173" s="11" t="s">
        <v>1857</v>
      </c>
      <c r="C3173" s="11" t="s">
        <v>1876</v>
      </c>
      <c r="D3173" s="6" t="s">
        <v>1850</v>
      </c>
      <c r="E3173" s="11" t="s">
        <v>6642</v>
      </c>
      <c r="F3173" s="12" t="s">
        <v>6643</v>
      </c>
      <c r="G3173" s="12" t="s">
        <v>6642</v>
      </c>
      <c r="H3173" s="62" t="s">
        <v>6666</v>
      </c>
      <c r="I3173" s="12" t="s">
        <v>7267</v>
      </c>
      <c r="J3173" s="11" t="s">
        <v>1851</v>
      </c>
      <c r="K3173" s="11" t="s">
        <v>1852</v>
      </c>
      <c r="L3173" s="11" t="s">
        <v>1853</v>
      </c>
      <c r="M3173" s="11" t="s">
        <v>7268</v>
      </c>
      <c r="N3173" s="12"/>
      <c r="O3173" s="11" t="s">
        <v>1860</v>
      </c>
      <c r="P3173" s="56"/>
    </row>
    <row r="3174" spans="1:16" ht="15.75" customHeight="1" x14ac:dyDescent="0.2">
      <c r="A3174" s="49">
        <v>7438</v>
      </c>
      <c r="B3174" s="11" t="s">
        <v>1857</v>
      </c>
      <c r="C3174" s="11" t="s">
        <v>1876</v>
      </c>
      <c r="D3174" s="6" t="s">
        <v>1850</v>
      </c>
      <c r="E3174" s="11" t="s">
        <v>6642</v>
      </c>
      <c r="F3174" s="12" t="s">
        <v>6643</v>
      </c>
      <c r="G3174" s="12" t="s">
        <v>6642</v>
      </c>
      <c r="H3174" s="12" t="s">
        <v>6708</v>
      </c>
      <c r="I3174" s="12" t="s">
        <v>7269</v>
      </c>
      <c r="J3174" s="11" t="s">
        <v>1851</v>
      </c>
      <c r="K3174" s="11" t="s">
        <v>1852</v>
      </c>
      <c r="L3174" s="11" t="s">
        <v>1853</v>
      </c>
      <c r="M3174" s="11" t="s">
        <v>7270</v>
      </c>
      <c r="N3174" s="12"/>
      <c r="O3174" s="11" t="s">
        <v>1858</v>
      </c>
      <c r="P3174" s="56"/>
    </row>
    <row r="3175" spans="1:16" ht="15.75" customHeight="1" x14ac:dyDescent="0.2">
      <c r="A3175" s="48">
        <v>7411</v>
      </c>
      <c r="B3175" s="11" t="s">
        <v>1857</v>
      </c>
      <c r="C3175" s="11" t="s">
        <v>1876</v>
      </c>
      <c r="D3175" s="6" t="s">
        <v>1850</v>
      </c>
      <c r="E3175" s="11" t="s">
        <v>6642</v>
      </c>
      <c r="F3175" s="12" t="s">
        <v>6643</v>
      </c>
      <c r="G3175" s="12" t="s">
        <v>6642</v>
      </c>
      <c r="H3175" s="12" t="s">
        <v>6687</v>
      </c>
      <c r="I3175" s="12" t="s">
        <v>7271</v>
      </c>
      <c r="J3175" s="11" t="s">
        <v>1851</v>
      </c>
      <c r="K3175" s="11" t="s">
        <v>1852</v>
      </c>
      <c r="L3175" s="11" t="s">
        <v>1853</v>
      </c>
      <c r="M3175" s="11" t="s">
        <v>7272</v>
      </c>
      <c r="N3175" s="12"/>
      <c r="O3175" s="11" t="s">
        <v>1858</v>
      </c>
      <c r="P3175" s="56"/>
    </row>
    <row r="3176" spans="1:16" ht="15.75" customHeight="1" x14ac:dyDescent="0.2">
      <c r="A3176" s="48">
        <v>3656</v>
      </c>
      <c r="B3176" s="11" t="s">
        <v>1871</v>
      </c>
      <c r="C3176" s="11" t="s">
        <v>1876</v>
      </c>
      <c r="D3176" s="6" t="s">
        <v>1850</v>
      </c>
      <c r="E3176" s="11" t="s">
        <v>6642</v>
      </c>
      <c r="F3176" s="12" t="s">
        <v>6643</v>
      </c>
      <c r="G3176" s="12" t="s">
        <v>6642</v>
      </c>
      <c r="H3176" s="62" t="s">
        <v>6661</v>
      </c>
      <c r="I3176" s="12" t="s">
        <v>7085</v>
      </c>
      <c r="J3176" s="11" t="s">
        <v>1851</v>
      </c>
      <c r="K3176" s="11" t="s">
        <v>1852</v>
      </c>
      <c r="L3176" s="11" t="s">
        <v>1853</v>
      </c>
      <c r="M3176" s="11" t="s">
        <v>1854</v>
      </c>
      <c r="N3176" s="12"/>
      <c r="O3176" s="11" t="s">
        <v>1854</v>
      </c>
      <c r="P3176" s="56"/>
    </row>
    <row r="3177" spans="1:16" ht="15.75" customHeight="1" x14ac:dyDescent="0.2">
      <c r="A3177" s="48">
        <v>6200</v>
      </c>
      <c r="B3177" s="11" t="s">
        <v>1871</v>
      </c>
      <c r="C3177" s="11" t="s">
        <v>1876</v>
      </c>
      <c r="D3177" s="6" t="s">
        <v>1850</v>
      </c>
      <c r="E3177" s="11" t="s">
        <v>6642</v>
      </c>
      <c r="F3177" s="12" t="s">
        <v>6643</v>
      </c>
      <c r="G3177" s="12" t="s">
        <v>6642</v>
      </c>
      <c r="H3177" s="62" t="s">
        <v>6666</v>
      </c>
      <c r="I3177" s="12" t="s">
        <v>7273</v>
      </c>
      <c r="J3177" s="11" t="s">
        <v>1851</v>
      </c>
      <c r="K3177" s="11" t="s">
        <v>1852</v>
      </c>
      <c r="L3177" s="11" t="s">
        <v>1853</v>
      </c>
      <c r="M3177" s="11" t="s">
        <v>1854</v>
      </c>
      <c r="N3177" s="12"/>
      <c r="O3177" s="11" t="s">
        <v>1854</v>
      </c>
      <c r="P3177" s="56" t="s">
        <v>3516</v>
      </c>
    </row>
    <row r="3178" spans="1:16" ht="15.75" customHeight="1" x14ac:dyDescent="0.2">
      <c r="A3178" s="48">
        <v>6229</v>
      </c>
      <c r="B3178" s="11" t="s">
        <v>1871</v>
      </c>
      <c r="C3178" s="11" t="s">
        <v>1876</v>
      </c>
      <c r="D3178" s="6" t="s">
        <v>1850</v>
      </c>
      <c r="E3178" s="11" t="s">
        <v>6642</v>
      </c>
      <c r="F3178" s="12" t="s">
        <v>6643</v>
      </c>
      <c r="G3178" s="12" t="s">
        <v>6642</v>
      </c>
      <c r="H3178" s="12" t="s">
        <v>2768</v>
      </c>
      <c r="I3178" s="12" t="s">
        <v>7274</v>
      </c>
      <c r="J3178" s="11" t="s">
        <v>1851</v>
      </c>
      <c r="K3178" s="11" t="s">
        <v>1852</v>
      </c>
      <c r="L3178" s="11" t="s">
        <v>1853</v>
      </c>
      <c r="M3178" s="11" t="s">
        <v>1854</v>
      </c>
      <c r="N3178" s="12"/>
      <c r="O3178" s="11" t="s">
        <v>2350</v>
      </c>
      <c r="P3178" s="56" t="s">
        <v>1865</v>
      </c>
    </row>
    <row r="3179" spans="1:16" ht="15.75" customHeight="1" x14ac:dyDescent="0.2">
      <c r="A3179" s="48">
        <v>6789</v>
      </c>
      <c r="B3179" s="11" t="s">
        <v>1871</v>
      </c>
      <c r="C3179" s="11" t="s">
        <v>1876</v>
      </c>
      <c r="D3179" s="6" t="s">
        <v>1850</v>
      </c>
      <c r="E3179" s="11" t="s">
        <v>6642</v>
      </c>
      <c r="F3179" s="12" t="s">
        <v>6643</v>
      </c>
      <c r="G3179" s="12" t="s">
        <v>6642</v>
      </c>
      <c r="H3179" s="12" t="s">
        <v>2768</v>
      </c>
      <c r="I3179" s="12" t="s">
        <v>7275</v>
      </c>
      <c r="J3179" s="11" t="s">
        <v>1851</v>
      </c>
      <c r="K3179" s="11" t="s">
        <v>1852</v>
      </c>
      <c r="L3179" s="11" t="s">
        <v>1853</v>
      </c>
      <c r="M3179" s="11" t="s">
        <v>7276</v>
      </c>
      <c r="N3179" s="12"/>
      <c r="O3179" s="11" t="s">
        <v>1864</v>
      </c>
      <c r="P3179" s="56" t="s">
        <v>1865</v>
      </c>
    </row>
    <row r="3180" spans="1:16" ht="15.75" customHeight="1" x14ac:dyDescent="0.2">
      <c r="A3180" s="48">
        <v>6790</v>
      </c>
      <c r="B3180" s="11" t="s">
        <v>1871</v>
      </c>
      <c r="C3180" s="11" t="s">
        <v>1876</v>
      </c>
      <c r="D3180" s="6" t="s">
        <v>1850</v>
      </c>
      <c r="E3180" s="11" t="s">
        <v>6642</v>
      </c>
      <c r="F3180" s="12" t="s">
        <v>6643</v>
      </c>
      <c r="G3180" s="12" t="s">
        <v>6642</v>
      </c>
      <c r="H3180" s="12" t="s">
        <v>3542</v>
      </c>
      <c r="I3180" s="12" t="s">
        <v>5536</v>
      </c>
      <c r="J3180" s="11" t="s">
        <v>1851</v>
      </c>
      <c r="K3180" s="11" t="s">
        <v>1852</v>
      </c>
      <c r="L3180" s="11" t="s">
        <v>1853</v>
      </c>
      <c r="M3180" s="11" t="s">
        <v>1854</v>
      </c>
      <c r="N3180" s="12"/>
      <c r="O3180" s="11" t="s">
        <v>1866</v>
      </c>
      <c r="P3180" s="56" t="s">
        <v>1865</v>
      </c>
    </row>
    <row r="3181" spans="1:16" ht="15.75" customHeight="1" x14ac:dyDescent="0.2">
      <c r="A3181" s="48">
        <v>6993</v>
      </c>
      <c r="B3181" s="11" t="s">
        <v>1871</v>
      </c>
      <c r="C3181" s="11" t="s">
        <v>1876</v>
      </c>
      <c r="D3181" s="6" t="s">
        <v>1850</v>
      </c>
      <c r="E3181" s="11" t="s">
        <v>6642</v>
      </c>
      <c r="F3181" s="12" t="s">
        <v>6643</v>
      </c>
      <c r="G3181" s="12" t="s">
        <v>6642</v>
      </c>
      <c r="H3181" s="12" t="s">
        <v>2768</v>
      </c>
      <c r="I3181" s="12" t="s">
        <v>7277</v>
      </c>
      <c r="J3181" s="11" t="s">
        <v>1851</v>
      </c>
      <c r="K3181" s="11" t="s">
        <v>1852</v>
      </c>
      <c r="L3181" s="11" t="s">
        <v>1853</v>
      </c>
      <c r="M3181" s="11" t="s">
        <v>1854</v>
      </c>
      <c r="N3181" s="12"/>
      <c r="O3181" s="11" t="s">
        <v>1854</v>
      </c>
      <c r="P3181" s="56"/>
    </row>
    <row r="3182" spans="1:16" ht="15.75" customHeight="1" x14ac:dyDescent="0.2">
      <c r="A3182" s="48">
        <v>6999</v>
      </c>
      <c r="B3182" s="11" t="s">
        <v>1871</v>
      </c>
      <c r="C3182" s="11" t="s">
        <v>1876</v>
      </c>
      <c r="D3182" s="6" t="s">
        <v>1850</v>
      </c>
      <c r="E3182" s="11" t="s">
        <v>6642</v>
      </c>
      <c r="F3182" s="12" t="s">
        <v>6643</v>
      </c>
      <c r="G3182" s="12" t="s">
        <v>6642</v>
      </c>
      <c r="H3182" s="12" t="s">
        <v>2768</v>
      </c>
      <c r="I3182" s="12" t="s">
        <v>7278</v>
      </c>
      <c r="J3182" s="11" t="s">
        <v>1851</v>
      </c>
      <c r="K3182" s="11" t="s">
        <v>1852</v>
      </c>
      <c r="L3182" s="11" t="s">
        <v>1853</v>
      </c>
      <c r="M3182" s="11" t="s">
        <v>1854</v>
      </c>
      <c r="N3182" s="12"/>
      <c r="O3182" s="11" t="s">
        <v>1854</v>
      </c>
      <c r="P3182" s="56"/>
    </row>
    <row r="3183" spans="1:16" ht="15.75" customHeight="1" x14ac:dyDescent="0.2">
      <c r="A3183" s="48">
        <v>7000</v>
      </c>
      <c r="B3183" s="11" t="s">
        <v>1871</v>
      </c>
      <c r="C3183" s="11" t="s">
        <v>1876</v>
      </c>
      <c r="D3183" s="6" t="s">
        <v>1850</v>
      </c>
      <c r="E3183" s="11" t="s">
        <v>6642</v>
      </c>
      <c r="F3183" s="12" t="s">
        <v>6643</v>
      </c>
      <c r="G3183" s="12" t="s">
        <v>6642</v>
      </c>
      <c r="H3183" s="12" t="s">
        <v>2768</v>
      </c>
      <c r="I3183" s="12" t="s">
        <v>7279</v>
      </c>
      <c r="J3183" s="11" t="s">
        <v>1851</v>
      </c>
      <c r="K3183" s="11" t="s">
        <v>1852</v>
      </c>
      <c r="L3183" s="11" t="s">
        <v>1853</v>
      </c>
      <c r="M3183" s="11" t="s">
        <v>1854</v>
      </c>
      <c r="N3183" s="12"/>
      <c r="O3183" s="11" t="s">
        <v>1854</v>
      </c>
      <c r="P3183" s="56"/>
    </row>
    <row r="3184" spans="1:16" ht="15.75" customHeight="1" x14ac:dyDescent="0.2">
      <c r="A3184" s="48">
        <v>7001</v>
      </c>
      <c r="B3184" s="11" t="s">
        <v>1871</v>
      </c>
      <c r="C3184" s="11" t="s">
        <v>1876</v>
      </c>
      <c r="D3184" s="6" t="s">
        <v>1850</v>
      </c>
      <c r="E3184" s="11" t="s">
        <v>6642</v>
      </c>
      <c r="F3184" s="12" t="s">
        <v>6643</v>
      </c>
      <c r="G3184" s="12" t="s">
        <v>6642</v>
      </c>
      <c r="H3184" s="12" t="s">
        <v>2768</v>
      </c>
      <c r="I3184" s="12" t="s">
        <v>7280</v>
      </c>
      <c r="J3184" s="11" t="s">
        <v>1851</v>
      </c>
      <c r="K3184" s="11" t="s">
        <v>1852</v>
      </c>
      <c r="L3184" s="11" t="s">
        <v>1853</v>
      </c>
      <c r="M3184" s="11" t="s">
        <v>1854</v>
      </c>
      <c r="N3184" s="12"/>
      <c r="O3184" s="11" t="s">
        <v>1854</v>
      </c>
      <c r="P3184" s="56"/>
    </row>
    <row r="3185" spans="1:16" ht="15.75" customHeight="1" x14ac:dyDescent="0.2">
      <c r="A3185" s="48">
        <v>7008</v>
      </c>
      <c r="B3185" s="11" t="s">
        <v>1871</v>
      </c>
      <c r="C3185" s="11" t="s">
        <v>1876</v>
      </c>
      <c r="D3185" s="6" t="s">
        <v>1850</v>
      </c>
      <c r="E3185" s="11" t="s">
        <v>6642</v>
      </c>
      <c r="F3185" s="12" t="s">
        <v>6643</v>
      </c>
      <c r="G3185" s="12" t="s">
        <v>6642</v>
      </c>
      <c r="H3185" s="12" t="s">
        <v>6648</v>
      </c>
      <c r="I3185" s="12" t="s">
        <v>7281</v>
      </c>
      <c r="J3185" s="11" t="s">
        <v>1851</v>
      </c>
      <c r="K3185" s="11" t="s">
        <v>1852</v>
      </c>
      <c r="L3185" s="11" t="s">
        <v>1853</v>
      </c>
      <c r="M3185" s="11" t="s">
        <v>1854</v>
      </c>
      <c r="N3185" s="12"/>
      <c r="O3185" s="11" t="s">
        <v>1854</v>
      </c>
      <c r="P3185" s="56"/>
    </row>
    <row r="3186" spans="1:16" ht="15.75" customHeight="1" x14ac:dyDescent="0.2">
      <c r="A3186" s="48">
        <v>7012</v>
      </c>
      <c r="B3186" s="11" t="s">
        <v>1871</v>
      </c>
      <c r="C3186" s="11" t="s">
        <v>1876</v>
      </c>
      <c r="D3186" s="6" t="s">
        <v>1850</v>
      </c>
      <c r="E3186" s="11" t="s">
        <v>6642</v>
      </c>
      <c r="F3186" s="12" t="s">
        <v>6643</v>
      </c>
      <c r="G3186" s="12" t="s">
        <v>6642</v>
      </c>
      <c r="H3186" s="62" t="s">
        <v>6666</v>
      </c>
      <c r="I3186" s="12" t="s">
        <v>7282</v>
      </c>
      <c r="J3186" s="11" t="s">
        <v>1851</v>
      </c>
      <c r="K3186" s="11" t="s">
        <v>1852</v>
      </c>
      <c r="L3186" s="11" t="s">
        <v>1853</v>
      </c>
      <c r="M3186" s="11" t="s">
        <v>1854</v>
      </c>
      <c r="N3186" s="12"/>
      <c r="O3186" s="11" t="s">
        <v>3016</v>
      </c>
      <c r="P3186" s="56" t="s">
        <v>1863</v>
      </c>
    </row>
    <row r="3187" spans="1:16" ht="15.75" customHeight="1" x14ac:dyDescent="0.2">
      <c r="A3187" s="48">
        <v>7014</v>
      </c>
      <c r="B3187" s="11" t="s">
        <v>1871</v>
      </c>
      <c r="C3187" s="11" t="s">
        <v>1876</v>
      </c>
      <c r="D3187" s="6" t="s">
        <v>1850</v>
      </c>
      <c r="E3187" s="11" t="s">
        <v>6642</v>
      </c>
      <c r="F3187" s="12" t="s">
        <v>6643</v>
      </c>
      <c r="G3187" s="12" t="s">
        <v>6642</v>
      </c>
      <c r="H3187" s="62" t="s">
        <v>6666</v>
      </c>
      <c r="I3187" s="12" t="s">
        <v>7283</v>
      </c>
      <c r="J3187" s="11" t="s">
        <v>1851</v>
      </c>
      <c r="K3187" s="11" t="s">
        <v>1852</v>
      </c>
      <c r="L3187" s="11" t="s">
        <v>1853</v>
      </c>
      <c r="M3187" s="11" t="s">
        <v>1854</v>
      </c>
      <c r="N3187" s="12"/>
      <c r="O3187" s="11" t="s">
        <v>1854</v>
      </c>
      <c r="P3187" s="56"/>
    </row>
    <row r="3188" spans="1:16" ht="15.75" customHeight="1" x14ac:dyDescent="0.2">
      <c r="A3188" s="48">
        <v>7015</v>
      </c>
      <c r="B3188" s="11" t="s">
        <v>1871</v>
      </c>
      <c r="C3188" s="11" t="s">
        <v>1876</v>
      </c>
      <c r="D3188" s="6" t="s">
        <v>1850</v>
      </c>
      <c r="E3188" s="11" t="s">
        <v>6642</v>
      </c>
      <c r="F3188" s="12" t="s">
        <v>6643</v>
      </c>
      <c r="G3188" s="12" t="s">
        <v>6642</v>
      </c>
      <c r="H3188" s="62" t="s">
        <v>6666</v>
      </c>
      <c r="I3188" s="12" t="s">
        <v>7284</v>
      </c>
      <c r="J3188" s="11" t="s">
        <v>1851</v>
      </c>
      <c r="K3188" s="11" t="s">
        <v>1852</v>
      </c>
      <c r="L3188" s="11" t="s">
        <v>1853</v>
      </c>
      <c r="M3188" s="11" t="s">
        <v>1854</v>
      </c>
      <c r="N3188" s="12"/>
      <c r="O3188" s="11" t="s">
        <v>1854</v>
      </c>
      <c r="P3188" s="56"/>
    </row>
    <row r="3189" spans="1:16" ht="15.75" customHeight="1" x14ac:dyDescent="0.2">
      <c r="A3189" s="48">
        <v>7016</v>
      </c>
      <c r="B3189" s="11" t="s">
        <v>1871</v>
      </c>
      <c r="C3189" s="11" t="s">
        <v>1876</v>
      </c>
      <c r="D3189" s="6" t="s">
        <v>1850</v>
      </c>
      <c r="E3189" s="11" t="s">
        <v>6642</v>
      </c>
      <c r="F3189" s="12" t="s">
        <v>6643</v>
      </c>
      <c r="G3189" s="12" t="s">
        <v>6642</v>
      </c>
      <c r="H3189" s="62" t="s">
        <v>6666</v>
      </c>
      <c r="I3189" s="12" t="s">
        <v>7285</v>
      </c>
      <c r="J3189" s="11" t="s">
        <v>1851</v>
      </c>
      <c r="K3189" s="11" t="s">
        <v>1852</v>
      </c>
      <c r="L3189" s="11" t="s">
        <v>1853</v>
      </c>
      <c r="M3189" s="11" t="s">
        <v>1854</v>
      </c>
      <c r="N3189" s="12"/>
      <c r="O3189" s="11" t="s">
        <v>2350</v>
      </c>
      <c r="P3189" s="56" t="s">
        <v>1865</v>
      </c>
    </row>
    <row r="3190" spans="1:16" ht="15.75" customHeight="1" x14ac:dyDescent="0.2">
      <c r="A3190" s="48">
        <v>7032</v>
      </c>
      <c r="B3190" s="11" t="s">
        <v>1871</v>
      </c>
      <c r="C3190" s="11" t="s">
        <v>1876</v>
      </c>
      <c r="D3190" s="6" t="s">
        <v>1850</v>
      </c>
      <c r="E3190" s="11" t="s">
        <v>6642</v>
      </c>
      <c r="F3190" s="12" t="s">
        <v>6643</v>
      </c>
      <c r="G3190" s="12" t="s">
        <v>6642</v>
      </c>
      <c r="H3190" s="12" t="s">
        <v>3542</v>
      </c>
      <c r="I3190" s="12" t="s">
        <v>7286</v>
      </c>
      <c r="J3190" s="11" t="s">
        <v>1851</v>
      </c>
      <c r="K3190" s="11" t="s">
        <v>1852</v>
      </c>
      <c r="L3190" s="11" t="s">
        <v>1853</v>
      </c>
      <c r="M3190" s="11" t="s">
        <v>1854</v>
      </c>
      <c r="N3190" s="12"/>
      <c r="O3190" s="11" t="s">
        <v>1854</v>
      </c>
      <c r="P3190" s="56"/>
    </row>
    <row r="3191" spans="1:16" ht="15.75" customHeight="1" x14ac:dyDescent="0.2">
      <c r="A3191" s="48">
        <v>7038</v>
      </c>
      <c r="B3191" s="11" t="s">
        <v>1871</v>
      </c>
      <c r="C3191" s="11" t="s">
        <v>1876</v>
      </c>
      <c r="D3191" s="6" t="s">
        <v>1850</v>
      </c>
      <c r="E3191" s="11" t="s">
        <v>6642</v>
      </c>
      <c r="F3191" s="12" t="s">
        <v>6643</v>
      </c>
      <c r="G3191" s="12" t="s">
        <v>6642</v>
      </c>
      <c r="H3191" s="12" t="s">
        <v>3542</v>
      </c>
      <c r="I3191" s="12" t="s">
        <v>7287</v>
      </c>
      <c r="J3191" s="11" t="s">
        <v>1851</v>
      </c>
      <c r="K3191" s="11" t="s">
        <v>1852</v>
      </c>
      <c r="L3191" s="11" t="s">
        <v>1853</v>
      </c>
      <c r="M3191" s="11" t="s">
        <v>1854</v>
      </c>
      <c r="N3191" s="12"/>
      <c r="O3191" s="11" t="s">
        <v>1854</v>
      </c>
      <c r="P3191" s="56"/>
    </row>
    <row r="3192" spans="1:16" ht="15.75" customHeight="1" x14ac:dyDescent="0.2">
      <c r="A3192" s="48">
        <v>7055</v>
      </c>
      <c r="B3192" s="11" t="s">
        <v>1871</v>
      </c>
      <c r="C3192" s="11" t="s">
        <v>1876</v>
      </c>
      <c r="D3192" s="6" t="s">
        <v>1850</v>
      </c>
      <c r="E3192" s="11" t="s">
        <v>6642</v>
      </c>
      <c r="F3192" s="12" t="s">
        <v>6643</v>
      </c>
      <c r="G3192" s="12" t="s">
        <v>6642</v>
      </c>
      <c r="H3192" s="12" t="s">
        <v>6687</v>
      </c>
      <c r="I3192" s="12" t="s">
        <v>7288</v>
      </c>
      <c r="J3192" s="11" t="s">
        <v>1851</v>
      </c>
      <c r="K3192" s="11" t="s">
        <v>1852</v>
      </c>
      <c r="L3192" s="11" t="s">
        <v>1853</v>
      </c>
      <c r="M3192" s="11" t="s">
        <v>1854</v>
      </c>
      <c r="N3192" s="12"/>
      <c r="O3192" s="11" t="s">
        <v>1854</v>
      </c>
      <c r="P3192" s="56"/>
    </row>
    <row r="3193" spans="1:16" ht="15.75" customHeight="1" x14ac:dyDescent="0.2">
      <c r="A3193" s="48">
        <v>7058</v>
      </c>
      <c r="B3193" s="11" t="s">
        <v>1871</v>
      </c>
      <c r="C3193" s="11" t="s">
        <v>1876</v>
      </c>
      <c r="D3193" s="6" t="s">
        <v>1850</v>
      </c>
      <c r="E3193" s="11" t="s">
        <v>6642</v>
      </c>
      <c r="F3193" s="12" t="s">
        <v>6643</v>
      </c>
      <c r="G3193" s="12" t="s">
        <v>6642</v>
      </c>
      <c r="H3193" s="12" t="s">
        <v>6687</v>
      </c>
      <c r="I3193" s="12" t="s">
        <v>7289</v>
      </c>
      <c r="J3193" s="11" t="s">
        <v>1851</v>
      </c>
      <c r="K3193" s="11" t="s">
        <v>1852</v>
      </c>
      <c r="L3193" s="11" t="s">
        <v>1853</v>
      </c>
      <c r="M3193" s="11" t="s">
        <v>1854</v>
      </c>
      <c r="N3193" s="12"/>
      <c r="O3193" s="11" t="s">
        <v>3016</v>
      </c>
      <c r="P3193" s="56" t="s">
        <v>1863</v>
      </c>
    </row>
    <row r="3194" spans="1:16" ht="15.75" customHeight="1" x14ac:dyDescent="0.2">
      <c r="A3194" s="48">
        <v>7067</v>
      </c>
      <c r="B3194" s="11" t="s">
        <v>1871</v>
      </c>
      <c r="C3194" s="11" t="s">
        <v>1876</v>
      </c>
      <c r="D3194" s="6" t="s">
        <v>1850</v>
      </c>
      <c r="E3194" s="11" t="s">
        <v>6642</v>
      </c>
      <c r="F3194" s="12" t="s">
        <v>6643</v>
      </c>
      <c r="G3194" s="12" t="s">
        <v>6642</v>
      </c>
      <c r="H3194" s="12" t="s">
        <v>6657</v>
      </c>
      <c r="I3194" s="12" t="s">
        <v>7290</v>
      </c>
      <c r="J3194" s="11" t="s">
        <v>1851</v>
      </c>
      <c r="K3194" s="11" t="s">
        <v>1852</v>
      </c>
      <c r="L3194" s="11" t="s">
        <v>1853</v>
      </c>
      <c r="M3194" s="11" t="s">
        <v>7291</v>
      </c>
      <c r="N3194" s="12" t="s">
        <v>7292</v>
      </c>
      <c r="O3194" s="11" t="s">
        <v>1854</v>
      </c>
      <c r="P3194" s="56"/>
    </row>
    <row r="3195" spans="1:16" ht="15.75" customHeight="1" x14ac:dyDescent="0.2">
      <c r="A3195" s="48">
        <v>7089</v>
      </c>
      <c r="B3195" s="11" t="s">
        <v>1871</v>
      </c>
      <c r="C3195" s="11" t="s">
        <v>1876</v>
      </c>
      <c r="D3195" s="6" t="s">
        <v>1850</v>
      </c>
      <c r="E3195" s="11" t="s">
        <v>6642</v>
      </c>
      <c r="F3195" s="12" t="s">
        <v>6643</v>
      </c>
      <c r="G3195" s="12" t="s">
        <v>6642</v>
      </c>
      <c r="H3195" s="58" t="s">
        <v>6689</v>
      </c>
      <c r="I3195" s="12" t="s">
        <v>7293</v>
      </c>
      <c r="J3195" s="11" t="s">
        <v>1851</v>
      </c>
      <c r="K3195" s="11" t="s">
        <v>1852</v>
      </c>
      <c r="L3195" s="11" t="s">
        <v>1853</v>
      </c>
      <c r="M3195" s="11" t="s">
        <v>1854</v>
      </c>
      <c r="N3195" s="12"/>
      <c r="O3195" s="11" t="s">
        <v>1854</v>
      </c>
      <c r="P3195" s="56"/>
    </row>
    <row r="3196" spans="1:16" ht="15.75" customHeight="1" x14ac:dyDescent="0.2">
      <c r="A3196" s="48">
        <v>7091</v>
      </c>
      <c r="B3196" s="11" t="s">
        <v>1871</v>
      </c>
      <c r="C3196" s="11" t="s">
        <v>1876</v>
      </c>
      <c r="D3196" s="6" t="s">
        <v>1850</v>
      </c>
      <c r="E3196" s="11" t="s">
        <v>6642</v>
      </c>
      <c r="F3196" s="12" t="s">
        <v>6643</v>
      </c>
      <c r="G3196" s="12" t="s">
        <v>6642</v>
      </c>
      <c r="H3196" s="12" t="s">
        <v>6689</v>
      </c>
      <c r="I3196" s="12" t="s">
        <v>7294</v>
      </c>
      <c r="J3196" s="11" t="s">
        <v>1851</v>
      </c>
      <c r="K3196" s="11" t="s">
        <v>1852</v>
      </c>
      <c r="L3196" s="11" t="s">
        <v>1853</v>
      </c>
      <c r="M3196" s="11" t="s">
        <v>1854</v>
      </c>
      <c r="N3196" s="12"/>
      <c r="O3196" s="11" t="s">
        <v>1854</v>
      </c>
      <c r="P3196" s="56"/>
    </row>
    <row r="3197" spans="1:16" ht="15.75" customHeight="1" x14ac:dyDescent="0.2">
      <c r="A3197" s="48">
        <v>7121</v>
      </c>
      <c r="B3197" s="11" t="s">
        <v>1871</v>
      </c>
      <c r="C3197" s="11" t="s">
        <v>1876</v>
      </c>
      <c r="D3197" s="6" t="s">
        <v>1850</v>
      </c>
      <c r="E3197" s="11" t="s">
        <v>6642</v>
      </c>
      <c r="F3197" s="12" t="s">
        <v>6643</v>
      </c>
      <c r="G3197" s="12" t="s">
        <v>6642</v>
      </c>
      <c r="H3197" s="12" t="s">
        <v>3542</v>
      </c>
      <c r="I3197" s="12" t="s">
        <v>7295</v>
      </c>
      <c r="J3197" s="11" t="s">
        <v>1851</v>
      </c>
      <c r="K3197" s="11" t="s">
        <v>1852</v>
      </c>
      <c r="L3197" s="11" t="s">
        <v>1853</v>
      </c>
      <c r="M3197" s="11" t="s">
        <v>1854</v>
      </c>
      <c r="N3197" s="12"/>
      <c r="O3197" s="11" t="s">
        <v>1854</v>
      </c>
      <c r="P3197" s="56"/>
    </row>
    <row r="3198" spans="1:16" ht="15.75" customHeight="1" x14ac:dyDescent="0.2">
      <c r="A3198" s="48">
        <v>7125</v>
      </c>
      <c r="B3198" s="11" t="s">
        <v>1871</v>
      </c>
      <c r="C3198" s="11" t="s">
        <v>1876</v>
      </c>
      <c r="D3198" s="6" t="s">
        <v>1850</v>
      </c>
      <c r="E3198" s="11" t="s">
        <v>6642</v>
      </c>
      <c r="F3198" s="12" t="s">
        <v>6643</v>
      </c>
      <c r="G3198" s="12" t="s">
        <v>6642</v>
      </c>
      <c r="H3198" s="12" t="s">
        <v>6648</v>
      </c>
      <c r="I3198" s="12" t="s">
        <v>7296</v>
      </c>
      <c r="J3198" s="11" t="s">
        <v>1851</v>
      </c>
      <c r="K3198" s="11" t="s">
        <v>1852</v>
      </c>
      <c r="L3198" s="11" t="s">
        <v>1853</v>
      </c>
      <c r="M3198" s="11" t="s">
        <v>7297</v>
      </c>
      <c r="N3198" s="12"/>
      <c r="O3198" s="11" t="s">
        <v>1866</v>
      </c>
      <c r="P3198" s="56" t="s">
        <v>2184</v>
      </c>
    </row>
    <row r="3199" spans="1:16" ht="15.75" customHeight="1" x14ac:dyDescent="0.2">
      <c r="A3199" s="48">
        <v>7256</v>
      </c>
      <c r="B3199" s="11" t="s">
        <v>1871</v>
      </c>
      <c r="C3199" s="11" t="s">
        <v>1876</v>
      </c>
      <c r="D3199" s="6" t="s">
        <v>1850</v>
      </c>
      <c r="E3199" s="11" t="s">
        <v>6642</v>
      </c>
      <c r="F3199" s="12" t="s">
        <v>6643</v>
      </c>
      <c r="G3199" s="12" t="s">
        <v>6642</v>
      </c>
      <c r="H3199" s="12" t="s">
        <v>6644</v>
      </c>
      <c r="I3199" s="12" t="s">
        <v>7298</v>
      </c>
      <c r="J3199" s="11" t="s">
        <v>1851</v>
      </c>
      <c r="K3199" s="11" t="s">
        <v>1852</v>
      </c>
      <c r="L3199" s="11" t="s">
        <v>1853</v>
      </c>
      <c r="M3199" s="11" t="s">
        <v>1854</v>
      </c>
      <c r="N3199" s="12"/>
      <c r="O3199" s="11" t="s">
        <v>1854</v>
      </c>
      <c r="P3199" s="56"/>
    </row>
    <row r="3200" spans="1:16" ht="15.75" customHeight="1" x14ac:dyDescent="0.2">
      <c r="A3200" s="48">
        <v>7260</v>
      </c>
      <c r="B3200" s="11" t="s">
        <v>1871</v>
      </c>
      <c r="C3200" s="11" t="s">
        <v>1876</v>
      </c>
      <c r="D3200" s="6" t="s">
        <v>1850</v>
      </c>
      <c r="E3200" s="11" t="s">
        <v>6642</v>
      </c>
      <c r="F3200" s="12" t="s">
        <v>6643</v>
      </c>
      <c r="G3200" s="12" t="s">
        <v>6642</v>
      </c>
      <c r="H3200" s="12" t="s">
        <v>6657</v>
      </c>
      <c r="I3200" s="12" t="s">
        <v>7299</v>
      </c>
      <c r="J3200" s="11" t="s">
        <v>1851</v>
      </c>
      <c r="K3200" s="11" t="s">
        <v>1852</v>
      </c>
      <c r="L3200" s="11" t="s">
        <v>1853</v>
      </c>
      <c r="M3200" s="11" t="s">
        <v>1854</v>
      </c>
      <c r="N3200" s="12"/>
      <c r="O3200" s="11" t="s">
        <v>1854</v>
      </c>
      <c r="P3200" s="56"/>
    </row>
    <row r="3201" spans="1:16" ht="15.75" customHeight="1" x14ac:dyDescent="0.2">
      <c r="A3201" s="48">
        <v>7261</v>
      </c>
      <c r="B3201" s="11" t="s">
        <v>1871</v>
      </c>
      <c r="C3201" s="11" t="s">
        <v>1876</v>
      </c>
      <c r="D3201" s="6" t="s">
        <v>1850</v>
      </c>
      <c r="E3201" s="11" t="s">
        <v>6642</v>
      </c>
      <c r="F3201" s="12" t="s">
        <v>6643</v>
      </c>
      <c r="G3201" s="12" t="s">
        <v>6642</v>
      </c>
      <c r="H3201" s="12" t="s">
        <v>6687</v>
      </c>
      <c r="I3201" s="12" t="s">
        <v>7300</v>
      </c>
      <c r="J3201" s="11" t="s">
        <v>1851</v>
      </c>
      <c r="K3201" s="11" t="s">
        <v>1852</v>
      </c>
      <c r="L3201" s="11" t="s">
        <v>1853</v>
      </c>
      <c r="M3201" s="11" t="s">
        <v>1854</v>
      </c>
      <c r="N3201" s="12"/>
      <c r="O3201" s="11" t="s">
        <v>1854</v>
      </c>
      <c r="P3201" s="56"/>
    </row>
    <row r="3202" spans="1:16" ht="15.75" customHeight="1" x14ac:dyDescent="0.2">
      <c r="A3202" s="48">
        <v>7267</v>
      </c>
      <c r="B3202" s="11" t="s">
        <v>1871</v>
      </c>
      <c r="C3202" s="11" t="s">
        <v>1876</v>
      </c>
      <c r="D3202" s="6" t="s">
        <v>1850</v>
      </c>
      <c r="E3202" s="11" t="s">
        <v>6642</v>
      </c>
      <c r="F3202" s="12" t="s">
        <v>6643</v>
      </c>
      <c r="G3202" s="12" t="s">
        <v>6642</v>
      </c>
      <c r="H3202" s="12" t="s">
        <v>2768</v>
      </c>
      <c r="I3202" s="12" t="s">
        <v>7301</v>
      </c>
      <c r="J3202" s="11" t="s">
        <v>1851</v>
      </c>
      <c r="K3202" s="11" t="s">
        <v>1852</v>
      </c>
      <c r="L3202" s="11" t="s">
        <v>1853</v>
      </c>
      <c r="M3202" s="11" t="s">
        <v>1854</v>
      </c>
      <c r="N3202" s="12"/>
      <c r="O3202" s="11" t="s">
        <v>1866</v>
      </c>
      <c r="P3202" s="56" t="s">
        <v>7302</v>
      </c>
    </row>
    <row r="3203" spans="1:16" ht="15.75" customHeight="1" x14ac:dyDescent="0.2">
      <c r="A3203" s="48">
        <v>7276</v>
      </c>
      <c r="B3203" s="11" t="s">
        <v>1871</v>
      </c>
      <c r="C3203" s="11" t="s">
        <v>1876</v>
      </c>
      <c r="D3203" s="6" t="s">
        <v>1850</v>
      </c>
      <c r="E3203" s="11" t="s">
        <v>6642</v>
      </c>
      <c r="F3203" s="12" t="s">
        <v>6643</v>
      </c>
      <c r="G3203" s="12" t="s">
        <v>6642</v>
      </c>
      <c r="H3203" s="12" t="s">
        <v>6658</v>
      </c>
      <c r="I3203" s="12" t="s">
        <v>7303</v>
      </c>
      <c r="J3203" s="11" t="s">
        <v>1851</v>
      </c>
      <c r="K3203" s="11" t="s">
        <v>1852</v>
      </c>
      <c r="L3203" s="11" t="s">
        <v>1853</v>
      </c>
      <c r="M3203" s="11" t="s">
        <v>1854</v>
      </c>
      <c r="N3203" s="12"/>
      <c r="O3203" s="11" t="s">
        <v>1854</v>
      </c>
      <c r="P3203" s="56"/>
    </row>
    <row r="3204" spans="1:16" ht="15.75" customHeight="1" x14ac:dyDescent="0.2">
      <c r="A3204" s="48">
        <v>7277</v>
      </c>
      <c r="B3204" s="11" t="s">
        <v>1871</v>
      </c>
      <c r="C3204" s="11" t="s">
        <v>1876</v>
      </c>
      <c r="D3204" s="6" t="s">
        <v>1850</v>
      </c>
      <c r="E3204" s="11" t="s">
        <v>6642</v>
      </c>
      <c r="F3204" s="12" t="s">
        <v>6643</v>
      </c>
      <c r="G3204" s="12" t="s">
        <v>6642</v>
      </c>
      <c r="H3204" s="12" t="s">
        <v>2768</v>
      </c>
      <c r="I3204" s="12" t="s">
        <v>7304</v>
      </c>
      <c r="J3204" s="11" t="s">
        <v>1851</v>
      </c>
      <c r="K3204" s="11" t="s">
        <v>1852</v>
      </c>
      <c r="L3204" s="11" t="s">
        <v>1853</v>
      </c>
      <c r="M3204" s="11" t="s">
        <v>1854</v>
      </c>
      <c r="N3204" s="12"/>
      <c r="O3204" s="11" t="s">
        <v>1854</v>
      </c>
      <c r="P3204" s="56"/>
    </row>
    <row r="3205" spans="1:16" ht="15.75" customHeight="1" x14ac:dyDescent="0.2">
      <c r="A3205" s="48">
        <v>7278</v>
      </c>
      <c r="B3205" s="11" t="s">
        <v>1871</v>
      </c>
      <c r="C3205" s="11" t="s">
        <v>1876</v>
      </c>
      <c r="D3205" s="6" t="s">
        <v>1850</v>
      </c>
      <c r="E3205" s="11" t="s">
        <v>6642</v>
      </c>
      <c r="F3205" s="12" t="s">
        <v>6643</v>
      </c>
      <c r="G3205" s="12" t="s">
        <v>6642</v>
      </c>
      <c r="H3205" s="12" t="s">
        <v>6644</v>
      </c>
      <c r="I3205" s="12" t="s">
        <v>7305</v>
      </c>
      <c r="J3205" s="11" t="s">
        <v>1851</v>
      </c>
      <c r="K3205" s="11" t="s">
        <v>1852</v>
      </c>
      <c r="L3205" s="11" t="s">
        <v>1853</v>
      </c>
      <c r="M3205" s="11" t="s">
        <v>1854</v>
      </c>
      <c r="N3205" s="12"/>
      <c r="O3205" s="11" t="s">
        <v>1854</v>
      </c>
      <c r="P3205" s="56"/>
    </row>
    <row r="3206" spans="1:16" ht="15.75" customHeight="1" x14ac:dyDescent="0.2">
      <c r="A3206" s="48">
        <v>7279</v>
      </c>
      <c r="B3206" s="11" t="s">
        <v>1871</v>
      </c>
      <c r="C3206" s="11" t="s">
        <v>1876</v>
      </c>
      <c r="D3206" s="6" t="s">
        <v>1850</v>
      </c>
      <c r="E3206" s="11" t="s">
        <v>6642</v>
      </c>
      <c r="F3206" s="12" t="s">
        <v>6643</v>
      </c>
      <c r="G3206" s="12" t="s">
        <v>6642</v>
      </c>
      <c r="H3206" s="12" t="s">
        <v>2768</v>
      </c>
      <c r="I3206" s="12" t="s">
        <v>7306</v>
      </c>
      <c r="J3206" s="11" t="s">
        <v>1851</v>
      </c>
      <c r="K3206" s="11" t="s">
        <v>1852</v>
      </c>
      <c r="L3206" s="11" t="s">
        <v>1853</v>
      </c>
      <c r="M3206" s="11" t="s">
        <v>1854</v>
      </c>
      <c r="N3206" s="12"/>
      <c r="O3206" s="11" t="s">
        <v>1854</v>
      </c>
      <c r="P3206" s="56"/>
    </row>
    <row r="3207" spans="1:16" ht="15.75" customHeight="1" x14ac:dyDescent="0.2">
      <c r="A3207" s="48">
        <v>7280</v>
      </c>
      <c r="B3207" s="11" t="s">
        <v>1871</v>
      </c>
      <c r="C3207" s="11" t="s">
        <v>1876</v>
      </c>
      <c r="D3207" s="6" t="s">
        <v>1850</v>
      </c>
      <c r="E3207" s="11" t="s">
        <v>6642</v>
      </c>
      <c r="F3207" s="12" t="s">
        <v>6643</v>
      </c>
      <c r="G3207" s="12" t="s">
        <v>6642</v>
      </c>
      <c r="H3207" s="12" t="s">
        <v>2768</v>
      </c>
      <c r="I3207" s="12" t="s">
        <v>7307</v>
      </c>
      <c r="J3207" s="11" t="s">
        <v>1851</v>
      </c>
      <c r="K3207" s="11" t="s">
        <v>1852</v>
      </c>
      <c r="L3207" s="11" t="s">
        <v>1853</v>
      </c>
      <c r="M3207" s="11" t="s">
        <v>1854</v>
      </c>
      <c r="N3207" s="12"/>
      <c r="O3207" s="11" t="s">
        <v>1854</v>
      </c>
      <c r="P3207" s="56"/>
    </row>
    <row r="3208" spans="1:16" ht="15.75" customHeight="1" x14ac:dyDescent="0.2">
      <c r="A3208" s="48">
        <v>7284</v>
      </c>
      <c r="B3208" s="11" t="s">
        <v>1871</v>
      </c>
      <c r="C3208" s="11" t="s">
        <v>1876</v>
      </c>
      <c r="D3208" s="6" t="s">
        <v>1850</v>
      </c>
      <c r="E3208" s="11" t="s">
        <v>6642</v>
      </c>
      <c r="F3208" s="12" t="s">
        <v>6643</v>
      </c>
      <c r="G3208" s="12" t="s">
        <v>6642</v>
      </c>
      <c r="H3208" s="12" t="s">
        <v>6655</v>
      </c>
      <c r="I3208" s="12" t="s">
        <v>7308</v>
      </c>
      <c r="J3208" s="11" t="s">
        <v>1851</v>
      </c>
      <c r="K3208" s="11" t="s">
        <v>1852</v>
      </c>
      <c r="L3208" s="11" t="s">
        <v>1853</v>
      </c>
      <c r="M3208" s="11" t="s">
        <v>1854</v>
      </c>
      <c r="N3208" s="12"/>
      <c r="O3208" s="11" t="s">
        <v>1854</v>
      </c>
      <c r="P3208" s="56"/>
    </row>
    <row r="3209" spans="1:16" ht="15.75" customHeight="1" x14ac:dyDescent="0.2">
      <c r="A3209" s="48">
        <v>7288</v>
      </c>
      <c r="B3209" s="11" t="s">
        <v>1871</v>
      </c>
      <c r="C3209" s="11" t="s">
        <v>1876</v>
      </c>
      <c r="D3209" s="6" t="s">
        <v>1850</v>
      </c>
      <c r="E3209" s="11" t="s">
        <v>6642</v>
      </c>
      <c r="F3209" s="12" t="s">
        <v>6643</v>
      </c>
      <c r="G3209" s="12" t="s">
        <v>6642</v>
      </c>
      <c r="H3209" s="12" t="s">
        <v>6658</v>
      </c>
      <c r="I3209" s="12" t="s">
        <v>7309</v>
      </c>
      <c r="J3209" s="11" t="s">
        <v>1851</v>
      </c>
      <c r="K3209" s="11" t="s">
        <v>1852</v>
      </c>
      <c r="L3209" s="11" t="s">
        <v>1853</v>
      </c>
      <c r="M3209" s="11" t="s">
        <v>1854</v>
      </c>
      <c r="N3209" s="12"/>
      <c r="O3209" s="11" t="s">
        <v>1854</v>
      </c>
      <c r="P3209" s="56"/>
    </row>
    <row r="3210" spans="1:16" ht="15.75" customHeight="1" x14ac:dyDescent="0.2">
      <c r="A3210" s="48">
        <v>7262</v>
      </c>
      <c r="B3210" s="11" t="s">
        <v>1871</v>
      </c>
      <c r="C3210" s="11" t="s">
        <v>1876</v>
      </c>
      <c r="D3210" s="6" t="s">
        <v>1850</v>
      </c>
      <c r="E3210" s="11" t="s">
        <v>6642</v>
      </c>
      <c r="F3210" s="12" t="s">
        <v>6643</v>
      </c>
      <c r="G3210" s="12" t="s">
        <v>6642</v>
      </c>
      <c r="H3210" s="12" t="s">
        <v>2768</v>
      </c>
      <c r="I3210" s="12" t="s">
        <v>7310</v>
      </c>
      <c r="J3210" s="11" t="s">
        <v>1851</v>
      </c>
      <c r="K3210" s="11" t="s">
        <v>1852</v>
      </c>
      <c r="L3210" s="11" t="s">
        <v>1853</v>
      </c>
      <c r="M3210" s="11" t="s">
        <v>1854</v>
      </c>
      <c r="N3210" s="12"/>
      <c r="O3210" s="11" t="s">
        <v>1854</v>
      </c>
      <c r="P3210" s="56"/>
    </row>
    <row r="3211" spans="1:16" ht="15.75" customHeight="1" x14ac:dyDescent="0.2">
      <c r="A3211" s="48">
        <v>7102</v>
      </c>
      <c r="B3211" s="11" t="s">
        <v>1871</v>
      </c>
      <c r="C3211" s="11" t="s">
        <v>1876</v>
      </c>
      <c r="D3211" s="6" t="s">
        <v>1850</v>
      </c>
      <c r="E3211" s="11" t="s">
        <v>6642</v>
      </c>
      <c r="F3211" s="12" t="s">
        <v>6643</v>
      </c>
      <c r="G3211" s="12" t="s">
        <v>6642</v>
      </c>
      <c r="H3211" s="12" t="s">
        <v>2626</v>
      </c>
      <c r="I3211" s="12" t="s">
        <v>7311</v>
      </c>
      <c r="J3211" s="11" t="s">
        <v>1851</v>
      </c>
      <c r="K3211" s="11" t="s">
        <v>1852</v>
      </c>
      <c r="L3211" s="11" t="s">
        <v>1853</v>
      </c>
      <c r="M3211" s="11" t="s">
        <v>1854</v>
      </c>
      <c r="N3211" s="12"/>
      <c r="O3211" s="11" t="s">
        <v>1854</v>
      </c>
      <c r="P3211" s="56"/>
    </row>
    <row r="3212" spans="1:16" ht="15.75" customHeight="1" x14ac:dyDescent="0.2">
      <c r="A3212" s="48">
        <v>7439</v>
      </c>
      <c r="B3212" s="11" t="s">
        <v>1871</v>
      </c>
      <c r="C3212" s="11" t="s">
        <v>1876</v>
      </c>
      <c r="D3212" s="6" t="s">
        <v>1850</v>
      </c>
      <c r="E3212" s="11" t="s">
        <v>6642</v>
      </c>
      <c r="F3212" s="12" t="s">
        <v>6643</v>
      </c>
      <c r="G3212" s="12" t="s">
        <v>6642</v>
      </c>
      <c r="H3212" s="12" t="s">
        <v>2626</v>
      </c>
      <c r="I3212" s="12" t="s">
        <v>7312</v>
      </c>
      <c r="J3212" s="11" t="s">
        <v>1851</v>
      </c>
      <c r="K3212" s="11" t="s">
        <v>1852</v>
      </c>
      <c r="L3212" s="11" t="s">
        <v>1853</v>
      </c>
      <c r="M3212" s="11" t="s">
        <v>1854</v>
      </c>
      <c r="N3212" s="12"/>
      <c r="O3212" s="11" t="s">
        <v>1854</v>
      </c>
      <c r="P3212" s="56"/>
    </row>
    <row r="3213" spans="1:16" ht="15.75" customHeight="1" x14ac:dyDescent="0.2">
      <c r="A3213" s="48">
        <v>7068</v>
      </c>
      <c r="B3213" s="11" t="s">
        <v>1871</v>
      </c>
      <c r="C3213" s="11" t="s">
        <v>1876</v>
      </c>
      <c r="D3213" s="6" t="s">
        <v>1850</v>
      </c>
      <c r="E3213" s="11" t="s">
        <v>6642</v>
      </c>
      <c r="F3213" s="12" t="s">
        <v>6643</v>
      </c>
      <c r="G3213" s="12" t="s">
        <v>6642</v>
      </c>
      <c r="H3213" s="12" t="s">
        <v>6657</v>
      </c>
      <c r="I3213" s="12" t="s">
        <v>7313</v>
      </c>
      <c r="J3213" s="11" t="s">
        <v>1851</v>
      </c>
      <c r="K3213" s="11" t="s">
        <v>1852</v>
      </c>
      <c r="L3213" s="11" t="s">
        <v>1853</v>
      </c>
      <c r="M3213" s="11" t="s">
        <v>1854</v>
      </c>
      <c r="N3213" s="12"/>
      <c r="O3213" s="11" t="s">
        <v>1854</v>
      </c>
      <c r="P3213" s="56"/>
    </row>
    <row r="3214" spans="1:16" ht="15.75" customHeight="1" x14ac:dyDescent="0.2">
      <c r="A3214" s="48">
        <v>16130</v>
      </c>
      <c r="B3214" s="11" t="s">
        <v>1871</v>
      </c>
      <c r="C3214" s="11" t="s">
        <v>1876</v>
      </c>
      <c r="D3214" s="6" t="s">
        <v>1850</v>
      </c>
      <c r="E3214" s="11" t="s">
        <v>6642</v>
      </c>
      <c r="F3214" s="12" t="s">
        <v>6643</v>
      </c>
      <c r="G3214" s="12" t="s">
        <v>6642</v>
      </c>
      <c r="H3214" s="12" t="s">
        <v>6657</v>
      </c>
      <c r="I3214" s="12" t="s">
        <v>7314</v>
      </c>
      <c r="J3214" s="11" t="s">
        <v>1851</v>
      </c>
      <c r="K3214" s="11" t="s">
        <v>1852</v>
      </c>
      <c r="L3214" s="11" t="s">
        <v>1853</v>
      </c>
      <c r="M3214" s="11" t="s">
        <v>1854</v>
      </c>
      <c r="N3214" s="12"/>
      <c r="O3214" s="11" t="s">
        <v>1866</v>
      </c>
      <c r="P3214" s="56"/>
    </row>
    <row r="3215" spans="1:16" ht="15.75" customHeight="1" x14ac:dyDescent="0.2">
      <c r="A3215" s="48">
        <v>16119</v>
      </c>
      <c r="B3215" s="11" t="s">
        <v>1871</v>
      </c>
      <c r="C3215" s="11" t="s">
        <v>1876</v>
      </c>
      <c r="D3215" s="6" t="s">
        <v>1850</v>
      </c>
      <c r="E3215" s="11" t="s">
        <v>6642</v>
      </c>
      <c r="F3215" s="12" t="s">
        <v>6643</v>
      </c>
      <c r="G3215" s="12" t="s">
        <v>6642</v>
      </c>
      <c r="H3215" s="12" t="s">
        <v>2768</v>
      </c>
      <c r="I3215" s="12" t="s">
        <v>7109</v>
      </c>
      <c r="J3215" s="11" t="s">
        <v>1851</v>
      </c>
      <c r="K3215" s="11" t="s">
        <v>1852</v>
      </c>
      <c r="L3215" s="11" t="s">
        <v>1853</v>
      </c>
      <c r="M3215" s="11" t="s">
        <v>1854</v>
      </c>
      <c r="N3215" s="12"/>
      <c r="O3215" s="11" t="s">
        <v>1854</v>
      </c>
      <c r="P3215" s="56"/>
    </row>
    <row r="3216" spans="1:16" ht="15.75" customHeight="1" x14ac:dyDescent="0.2">
      <c r="A3216" s="48">
        <v>15982</v>
      </c>
      <c r="B3216" s="11" t="s">
        <v>1871</v>
      </c>
      <c r="C3216" s="11" t="s">
        <v>1876</v>
      </c>
      <c r="D3216" s="6" t="s">
        <v>1850</v>
      </c>
      <c r="E3216" s="11" t="s">
        <v>6642</v>
      </c>
      <c r="F3216" s="12" t="s">
        <v>6643</v>
      </c>
      <c r="G3216" s="12" t="s">
        <v>6642</v>
      </c>
      <c r="H3216" s="12" t="s">
        <v>6708</v>
      </c>
      <c r="I3216" s="12" t="s">
        <v>7315</v>
      </c>
      <c r="J3216" s="11" t="s">
        <v>1851</v>
      </c>
      <c r="K3216" s="11" t="s">
        <v>1852</v>
      </c>
      <c r="L3216" s="11" t="s">
        <v>1853</v>
      </c>
      <c r="M3216" s="11" t="s">
        <v>1854</v>
      </c>
      <c r="N3216" s="12"/>
      <c r="O3216" s="11" t="s">
        <v>1854</v>
      </c>
      <c r="P3216" s="56"/>
    </row>
    <row r="3217" spans="1:16" ht="15.75" customHeight="1" x14ac:dyDescent="0.2">
      <c r="A3217" s="48">
        <v>16126</v>
      </c>
      <c r="B3217" s="11" t="s">
        <v>1871</v>
      </c>
      <c r="C3217" s="11" t="s">
        <v>1876</v>
      </c>
      <c r="D3217" s="6" t="s">
        <v>1850</v>
      </c>
      <c r="E3217" s="11" t="s">
        <v>6642</v>
      </c>
      <c r="F3217" s="12" t="s">
        <v>6643</v>
      </c>
      <c r="G3217" s="12" t="s">
        <v>6642</v>
      </c>
      <c r="H3217" s="12" t="s">
        <v>2626</v>
      </c>
      <c r="I3217" s="12" t="s">
        <v>7316</v>
      </c>
      <c r="J3217" s="11" t="s">
        <v>1851</v>
      </c>
      <c r="K3217" s="11" t="s">
        <v>1852</v>
      </c>
      <c r="L3217" s="11" t="s">
        <v>1853</v>
      </c>
      <c r="M3217" s="11" t="s">
        <v>1854</v>
      </c>
      <c r="N3217" s="12"/>
      <c r="O3217" s="11" t="s">
        <v>1854</v>
      </c>
      <c r="P3217" s="56"/>
    </row>
    <row r="3218" spans="1:16" ht="15.75" customHeight="1" x14ac:dyDescent="0.2">
      <c r="A3218" s="48">
        <v>7403</v>
      </c>
      <c r="B3218" s="11" t="s">
        <v>1871</v>
      </c>
      <c r="C3218" s="11" t="s">
        <v>1876</v>
      </c>
      <c r="D3218" s="6" t="s">
        <v>1850</v>
      </c>
      <c r="E3218" s="11" t="s">
        <v>6642</v>
      </c>
      <c r="F3218" s="12" t="s">
        <v>6643</v>
      </c>
      <c r="G3218" s="12" t="s">
        <v>6642</v>
      </c>
      <c r="H3218" s="12" t="s">
        <v>6658</v>
      </c>
      <c r="I3218" s="12" t="s">
        <v>7317</v>
      </c>
      <c r="J3218" s="11" t="s">
        <v>1851</v>
      </c>
      <c r="K3218" s="11" t="s">
        <v>1852</v>
      </c>
      <c r="L3218" s="11" t="s">
        <v>1853</v>
      </c>
      <c r="M3218" s="11" t="s">
        <v>1854</v>
      </c>
      <c r="N3218" s="12"/>
      <c r="O3218" s="11" t="s">
        <v>1854</v>
      </c>
      <c r="P3218" s="56"/>
    </row>
    <row r="3219" spans="1:16" ht="15.75" customHeight="1" x14ac:dyDescent="0.2">
      <c r="A3219" s="48">
        <v>7258</v>
      </c>
      <c r="B3219" s="11" t="s">
        <v>1871</v>
      </c>
      <c r="C3219" s="11" t="s">
        <v>1876</v>
      </c>
      <c r="D3219" s="6" t="s">
        <v>1850</v>
      </c>
      <c r="E3219" s="11" t="s">
        <v>6642</v>
      </c>
      <c r="F3219" s="12" t="s">
        <v>6643</v>
      </c>
      <c r="G3219" s="12" t="s">
        <v>6642</v>
      </c>
      <c r="H3219" s="12" t="s">
        <v>6646</v>
      </c>
      <c r="I3219" s="12" t="s">
        <v>7318</v>
      </c>
      <c r="J3219" s="11" t="s">
        <v>1851</v>
      </c>
      <c r="K3219" s="11" t="s">
        <v>1852</v>
      </c>
      <c r="L3219" s="11" t="s">
        <v>1853</v>
      </c>
      <c r="M3219" s="11" t="s">
        <v>1854</v>
      </c>
      <c r="N3219" s="12"/>
      <c r="O3219" s="11" t="s">
        <v>1854</v>
      </c>
      <c r="P3219" s="56"/>
    </row>
    <row r="3220" spans="1:16" ht="15.75" customHeight="1" x14ac:dyDescent="0.2">
      <c r="A3220" s="48">
        <v>7374</v>
      </c>
      <c r="B3220" s="11" t="s">
        <v>1871</v>
      </c>
      <c r="C3220" s="11" t="s">
        <v>1876</v>
      </c>
      <c r="D3220" s="6" t="s">
        <v>1850</v>
      </c>
      <c r="E3220" s="11" t="s">
        <v>6642</v>
      </c>
      <c r="F3220" s="12" t="s">
        <v>6643</v>
      </c>
      <c r="G3220" s="12" t="s">
        <v>6642</v>
      </c>
      <c r="H3220" s="12" t="s">
        <v>6661</v>
      </c>
      <c r="I3220" s="12" t="s">
        <v>7319</v>
      </c>
      <c r="J3220" s="11" t="s">
        <v>1851</v>
      </c>
      <c r="K3220" s="11" t="s">
        <v>1852</v>
      </c>
      <c r="L3220" s="11" t="s">
        <v>1853</v>
      </c>
      <c r="M3220" s="11" t="s">
        <v>1854</v>
      </c>
      <c r="N3220" s="12"/>
      <c r="O3220" s="11" t="s">
        <v>1854</v>
      </c>
      <c r="P3220" s="56"/>
    </row>
    <row r="3221" spans="1:16" ht="15.75" customHeight="1" x14ac:dyDescent="0.2">
      <c r="A3221" s="48">
        <v>7122</v>
      </c>
      <c r="B3221" s="11" t="s">
        <v>1871</v>
      </c>
      <c r="C3221" s="11" t="s">
        <v>1876</v>
      </c>
      <c r="D3221" s="6" t="s">
        <v>1850</v>
      </c>
      <c r="E3221" s="11" t="s">
        <v>6642</v>
      </c>
      <c r="F3221" s="12" t="s">
        <v>6643</v>
      </c>
      <c r="G3221" s="12" t="s">
        <v>6642</v>
      </c>
      <c r="H3221" s="12" t="s">
        <v>6661</v>
      </c>
      <c r="I3221" s="12" t="s">
        <v>7320</v>
      </c>
      <c r="J3221" s="11" t="s">
        <v>1851</v>
      </c>
      <c r="K3221" s="11" t="s">
        <v>1852</v>
      </c>
      <c r="L3221" s="11" t="s">
        <v>1853</v>
      </c>
      <c r="M3221" s="11" t="s">
        <v>1854</v>
      </c>
      <c r="N3221" s="12"/>
      <c r="O3221" s="11" t="s">
        <v>1854</v>
      </c>
      <c r="P3221" s="56"/>
    </row>
    <row r="3222" spans="1:16" ht="15.75" customHeight="1" x14ac:dyDescent="0.2">
      <c r="A3222" s="48">
        <v>7275</v>
      </c>
      <c r="B3222" s="11" t="s">
        <v>1871</v>
      </c>
      <c r="C3222" s="11" t="s">
        <v>1876</v>
      </c>
      <c r="D3222" s="6" t="s">
        <v>1850</v>
      </c>
      <c r="E3222" s="11" t="s">
        <v>6642</v>
      </c>
      <c r="F3222" s="12" t="s">
        <v>6643</v>
      </c>
      <c r="G3222" s="12" t="s">
        <v>6642</v>
      </c>
      <c r="H3222" s="12" t="s">
        <v>3542</v>
      </c>
      <c r="I3222" s="12" t="s">
        <v>7321</v>
      </c>
      <c r="J3222" s="11" t="s">
        <v>1851</v>
      </c>
      <c r="K3222" s="11" t="s">
        <v>1852</v>
      </c>
      <c r="L3222" s="11" t="s">
        <v>1853</v>
      </c>
      <c r="M3222" s="11" t="s">
        <v>1854</v>
      </c>
      <c r="N3222" s="12"/>
      <c r="O3222" s="11" t="s">
        <v>1854</v>
      </c>
      <c r="P3222" s="56"/>
    </row>
    <row r="3223" spans="1:16" ht="15.75" customHeight="1" x14ac:dyDescent="0.2">
      <c r="A3223" s="48">
        <v>7368</v>
      </c>
      <c r="B3223" s="11" t="s">
        <v>1871</v>
      </c>
      <c r="C3223" s="11" t="s">
        <v>1876</v>
      </c>
      <c r="D3223" s="6" t="s">
        <v>1850</v>
      </c>
      <c r="E3223" s="11" t="s">
        <v>6642</v>
      </c>
      <c r="F3223" s="12" t="s">
        <v>6643</v>
      </c>
      <c r="G3223" s="12" t="s">
        <v>6642</v>
      </c>
      <c r="H3223" s="12" t="s">
        <v>6689</v>
      </c>
      <c r="I3223" s="12" t="s">
        <v>7322</v>
      </c>
      <c r="J3223" s="11" t="s">
        <v>1851</v>
      </c>
      <c r="K3223" s="11" t="s">
        <v>1852</v>
      </c>
      <c r="L3223" s="11" t="s">
        <v>1853</v>
      </c>
      <c r="M3223" s="11" t="s">
        <v>1854</v>
      </c>
      <c r="N3223" s="12"/>
      <c r="O3223" s="11" t="s">
        <v>1854</v>
      </c>
      <c r="P3223" s="56"/>
    </row>
    <row r="3224" spans="1:16" ht="15.75" customHeight="1" x14ac:dyDescent="0.2">
      <c r="A3224" s="48">
        <v>5925</v>
      </c>
      <c r="B3224" s="11" t="s">
        <v>1857</v>
      </c>
      <c r="C3224" s="11" t="s">
        <v>1876</v>
      </c>
      <c r="D3224" s="6" t="s">
        <v>4261</v>
      </c>
      <c r="E3224" s="11" t="s">
        <v>6642</v>
      </c>
      <c r="F3224" s="12" t="s">
        <v>6643</v>
      </c>
      <c r="G3224" s="12" t="s">
        <v>6642</v>
      </c>
      <c r="H3224" s="58" t="s">
        <v>6646</v>
      </c>
      <c r="I3224" s="12" t="s">
        <v>7323</v>
      </c>
      <c r="J3224" s="11" t="s">
        <v>1851</v>
      </c>
      <c r="K3224" s="11" t="s">
        <v>1852</v>
      </c>
      <c r="L3224" s="11" t="s">
        <v>1853</v>
      </c>
      <c r="M3224" s="11" t="s">
        <v>1854</v>
      </c>
      <c r="N3224" s="12"/>
      <c r="O3224" s="11" t="s">
        <v>2598</v>
      </c>
      <c r="P3224" s="56" t="s">
        <v>2819</v>
      </c>
    </row>
    <row r="3225" spans="1:16" ht="15.75" customHeight="1" x14ac:dyDescent="0.2">
      <c r="A3225" s="48">
        <v>5930</v>
      </c>
      <c r="B3225" s="11" t="s">
        <v>1857</v>
      </c>
      <c r="C3225" s="11" t="s">
        <v>1876</v>
      </c>
      <c r="D3225" s="6" t="s">
        <v>4261</v>
      </c>
      <c r="E3225" s="11" t="s">
        <v>6642</v>
      </c>
      <c r="F3225" s="12" t="s">
        <v>6643</v>
      </c>
      <c r="G3225" s="12" t="s">
        <v>6642</v>
      </c>
      <c r="H3225" s="58" t="s">
        <v>6646</v>
      </c>
      <c r="I3225" s="12" t="s">
        <v>7324</v>
      </c>
      <c r="J3225" s="11" t="s">
        <v>1851</v>
      </c>
      <c r="K3225" s="11" t="s">
        <v>1852</v>
      </c>
      <c r="L3225" s="11" t="s">
        <v>1853</v>
      </c>
      <c r="M3225" s="11" t="s">
        <v>1854</v>
      </c>
      <c r="N3225" s="12"/>
      <c r="O3225" s="11" t="s">
        <v>1867</v>
      </c>
      <c r="P3225" s="56" t="s">
        <v>6745</v>
      </c>
    </row>
    <row r="3226" spans="1:16" ht="15.75" customHeight="1" x14ac:dyDescent="0.2">
      <c r="A3226" s="48">
        <v>5933</v>
      </c>
      <c r="B3226" s="11" t="s">
        <v>1857</v>
      </c>
      <c r="C3226" s="11" t="s">
        <v>1876</v>
      </c>
      <c r="D3226" s="6" t="s">
        <v>4261</v>
      </c>
      <c r="E3226" s="11" t="s">
        <v>6642</v>
      </c>
      <c r="F3226" s="12" t="s">
        <v>6643</v>
      </c>
      <c r="G3226" s="12" t="s">
        <v>6642</v>
      </c>
      <c r="H3226" s="58" t="s">
        <v>6646</v>
      </c>
      <c r="I3226" s="12" t="s">
        <v>7325</v>
      </c>
      <c r="J3226" s="11" t="s">
        <v>1851</v>
      </c>
      <c r="K3226" s="11" t="s">
        <v>1852</v>
      </c>
      <c r="L3226" s="11" t="s">
        <v>1853</v>
      </c>
      <c r="M3226" s="11" t="s">
        <v>1854</v>
      </c>
      <c r="N3226" s="12"/>
      <c r="O3226" s="11" t="s">
        <v>7124</v>
      </c>
      <c r="P3226" s="56" t="s">
        <v>2573</v>
      </c>
    </row>
    <row r="3227" spans="1:16" ht="15.75" customHeight="1" x14ac:dyDescent="0.2">
      <c r="A3227" s="48">
        <v>6214</v>
      </c>
      <c r="B3227" s="11" t="s">
        <v>1857</v>
      </c>
      <c r="C3227" s="11" t="s">
        <v>1876</v>
      </c>
      <c r="D3227" s="6" t="s">
        <v>4261</v>
      </c>
      <c r="E3227" s="11" t="s">
        <v>6642</v>
      </c>
      <c r="F3227" s="12" t="s">
        <v>6643</v>
      </c>
      <c r="G3227" s="12" t="s">
        <v>6642</v>
      </c>
      <c r="H3227" s="12" t="s">
        <v>2768</v>
      </c>
      <c r="I3227" s="12" t="s">
        <v>7326</v>
      </c>
      <c r="J3227" s="11" t="s">
        <v>1851</v>
      </c>
      <c r="K3227" s="11" t="s">
        <v>1852</v>
      </c>
      <c r="L3227" s="11" t="s">
        <v>1853</v>
      </c>
      <c r="M3227" s="11" t="s">
        <v>1854</v>
      </c>
      <c r="N3227" s="12"/>
      <c r="O3227" s="11" t="s">
        <v>1860</v>
      </c>
      <c r="P3227" s="56" t="s">
        <v>7097</v>
      </c>
    </row>
    <row r="3228" spans="1:16" ht="15.75" customHeight="1" x14ac:dyDescent="0.2">
      <c r="A3228" s="48">
        <v>6977</v>
      </c>
      <c r="B3228" s="11" t="s">
        <v>1857</v>
      </c>
      <c r="C3228" s="11" t="s">
        <v>1876</v>
      </c>
      <c r="D3228" s="6" t="s">
        <v>4261</v>
      </c>
      <c r="E3228" s="11" t="s">
        <v>6642</v>
      </c>
      <c r="F3228" s="12" t="s">
        <v>6643</v>
      </c>
      <c r="G3228" s="12" t="s">
        <v>6642</v>
      </c>
      <c r="H3228" s="58" t="s">
        <v>6689</v>
      </c>
      <c r="I3228" s="12" t="s">
        <v>7327</v>
      </c>
      <c r="J3228" s="11" t="s">
        <v>1851</v>
      </c>
      <c r="K3228" s="11" t="s">
        <v>1852</v>
      </c>
      <c r="L3228" s="11" t="s">
        <v>1853</v>
      </c>
      <c r="M3228" s="11" t="s">
        <v>7328</v>
      </c>
      <c r="N3228" s="12" t="s">
        <v>7329</v>
      </c>
      <c r="O3228" s="11" t="s">
        <v>1867</v>
      </c>
      <c r="P3228" s="56" t="s">
        <v>1865</v>
      </c>
    </row>
    <row r="3229" spans="1:16" ht="15.75" customHeight="1" x14ac:dyDescent="0.2">
      <c r="A3229" s="48">
        <v>6981</v>
      </c>
      <c r="B3229" s="11" t="s">
        <v>1857</v>
      </c>
      <c r="C3229" s="11" t="s">
        <v>1876</v>
      </c>
      <c r="D3229" s="6" t="s">
        <v>4261</v>
      </c>
      <c r="E3229" s="11" t="s">
        <v>6642</v>
      </c>
      <c r="F3229" s="12" t="s">
        <v>6643</v>
      </c>
      <c r="G3229" s="12" t="s">
        <v>6642</v>
      </c>
      <c r="H3229" s="58" t="s">
        <v>6646</v>
      </c>
      <c r="I3229" s="12" t="s">
        <v>7330</v>
      </c>
      <c r="J3229" s="11" t="s">
        <v>1851</v>
      </c>
      <c r="K3229" s="11" t="s">
        <v>1852</v>
      </c>
      <c r="L3229" s="11" t="s">
        <v>1853</v>
      </c>
      <c r="M3229" s="11" t="s">
        <v>7331</v>
      </c>
      <c r="N3229" s="12" t="s">
        <v>7332</v>
      </c>
      <c r="O3229" s="11" t="s">
        <v>1867</v>
      </c>
      <c r="P3229" s="56" t="s">
        <v>3343</v>
      </c>
    </row>
    <row r="3230" spans="1:16" ht="15.75" customHeight="1" x14ac:dyDescent="0.2">
      <c r="A3230" s="48">
        <v>6982</v>
      </c>
      <c r="B3230" s="11" t="s">
        <v>1857</v>
      </c>
      <c r="C3230" s="11" t="s">
        <v>1876</v>
      </c>
      <c r="D3230" s="6" t="s">
        <v>4261</v>
      </c>
      <c r="E3230" s="11" t="s">
        <v>6642</v>
      </c>
      <c r="F3230" s="12" t="s">
        <v>6643</v>
      </c>
      <c r="G3230" s="12" t="s">
        <v>6642</v>
      </c>
      <c r="H3230" s="58" t="s">
        <v>2626</v>
      </c>
      <c r="I3230" s="12" t="s">
        <v>7333</v>
      </c>
      <c r="J3230" s="11" t="s">
        <v>1851</v>
      </c>
      <c r="K3230" s="11" t="s">
        <v>1852</v>
      </c>
      <c r="L3230" s="11" t="s">
        <v>1853</v>
      </c>
      <c r="M3230" s="11" t="s">
        <v>7334</v>
      </c>
      <c r="N3230" s="12" t="s">
        <v>7335</v>
      </c>
      <c r="O3230" s="11" t="s">
        <v>1867</v>
      </c>
      <c r="P3230" s="56" t="s">
        <v>4665</v>
      </c>
    </row>
    <row r="3231" spans="1:16" ht="15.75" customHeight="1" x14ac:dyDescent="0.2">
      <c r="A3231" s="48">
        <v>7005</v>
      </c>
      <c r="B3231" s="11" t="s">
        <v>1857</v>
      </c>
      <c r="C3231" s="11" t="s">
        <v>1876</v>
      </c>
      <c r="D3231" s="6" t="s">
        <v>4261</v>
      </c>
      <c r="E3231" s="11" t="s">
        <v>6642</v>
      </c>
      <c r="F3231" s="12" t="s">
        <v>6643</v>
      </c>
      <c r="G3231" s="12" t="s">
        <v>6642</v>
      </c>
      <c r="H3231" s="12" t="s">
        <v>6661</v>
      </c>
      <c r="I3231" s="12" t="s">
        <v>7336</v>
      </c>
      <c r="J3231" s="11" t="s">
        <v>1851</v>
      </c>
      <c r="K3231" s="11" t="s">
        <v>1852</v>
      </c>
      <c r="L3231" s="11" t="s">
        <v>1853</v>
      </c>
      <c r="M3231" s="11" t="s">
        <v>7337</v>
      </c>
      <c r="N3231" s="12"/>
      <c r="O3231" s="11" t="s">
        <v>1860</v>
      </c>
      <c r="P3231" s="56"/>
    </row>
    <row r="3232" spans="1:16" ht="15.75" customHeight="1" x14ac:dyDescent="0.2">
      <c r="A3232" s="48">
        <v>7365</v>
      </c>
      <c r="B3232" s="11" t="s">
        <v>1857</v>
      </c>
      <c r="C3232" s="11" t="s">
        <v>1876</v>
      </c>
      <c r="D3232" s="6" t="s">
        <v>4261</v>
      </c>
      <c r="E3232" s="11" t="s">
        <v>6642</v>
      </c>
      <c r="F3232" s="12" t="s">
        <v>6643</v>
      </c>
      <c r="G3232" s="12" t="s">
        <v>6642</v>
      </c>
      <c r="H3232" s="58" t="s">
        <v>6646</v>
      </c>
      <c r="I3232" s="12" t="s">
        <v>7338</v>
      </c>
      <c r="J3232" s="11" t="s">
        <v>1851</v>
      </c>
      <c r="K3232" s="11" t="s">
        <v>1852</v>
      </c>
      <c r="L3232" s="11" t="s">
        <v>1853</v>
      </c>
      <c r="M3232" s="11" t="s">
        <v>7339</v>
      </c>
      <c r="N3232" s="12"/>
      <c r="O3232" s="11" t="s">
        <v>1860</v>
      </c>
      <c r="P3232" s="56"/>
    </row>
    <row r="3233" spans="1:16" ht="15.75" customHeight="1" x14ac:dyDescent="0.2">
      <c r="A3233" s="48">
        <v>7382</v>
      </c>
      <c r="B3233" s="11" t="s">
        <v>1857</v>
      </c>
      <c r="C3233" s="11" t="s">
        <v>1876</v>
      </c>
      <c r="D3233" s="6" t="s">
        <v>4261</v>
      </c>
      <c r="E3233" s="11" t="s">
        <v>6642</v>
      </c>
      <c r="F3233" s="12" t="s">
        <v>6643</v>
      </c>
      <c r="G3233" s="12" t="s">
        <v>6642</v>
      </c>
      <c r="H3233" s="12" t="s">
        <v>6644</v>
      </c>
      <c r="I3233" s="12" t="s">
        <v>7340</v>
      </c>
      <c r="J3233" s="11" t="s">
        <v>1851</v>
      </c>
      <c r="K3233" s="11" t="s">
        <v>1852</v>
      </c>
      <c r="L3233" s="11" t="s">
        <v>1853</v>
      </c>
      <c r="M3233" s="11" t="s">
        <v>7341</v>
      </c>
      <c r="N3233" s="12"/>
      <c r="O3233" s="11" t="s">
        <v>1860</v>
      </c>
      <c r="P3233" s="56"/>
    </row>
    <row r="3234" spans="1:16" ht="15.75" customHeight="1" x14ac:dyDescent="0.2">
      <c r="A3234" s="48">
        <v>7562</v>
      </c>
      <c r="B3234" s="11" t="s">
        <v>1857</v>
      </c>
      <c r="C3234" s="11" t="s">
        <v>1876</v>
      </c>
      <c r="D3234" s="6" t="s">
        <v>4261</v>
      </c>
      <c r="E3234" s="11" t="s">
        <v>6642</v>
      </c>
      <c r="F3234" s="12" t="s">
        <v>6643</v>
      </c>
      <c r="G3234" s="12" t="s">
        <v>6642</v>
      </c>
      <c r="H3234" s="12" t="s">
        <v>3542</v>
      </c>
      <c r="I3234" s="12" t="s">
        <v>7342</v>
      </c>
      <c r="J3234" s="11" t="s">
        <v>1851</v>
      </c>
      <c r="K3234" s="11" t="s">
        <v>1852</v>
      </c>
      <c r="L3234" s="11" t="s">
        <v>1853</v>
      </c>
      <c r="M3234" s="11" t="s">
        <v>7343</v>
      </c>
      <c r="N3234" s="12"/>
      <c r="O3234" s="11" t="s">
        <v>1858</v>
      </c>
      <c r="P3234" s="56"/>
    </row>
    <row r="3235" spans="1:16" ht="15.75" customHeight="1" x14ac:dyDescent="0.2">
      <c r="A3235" s="48">
        <v>7619</v>
      </c>
      <c r="B3235" s="11" t="s">
        <v>1857</v>
      </c>
      <c r="C3235" s="11" t="s">
        <v>1876</v>
      </c>
      <c r="D3235" s="6" t="s">
        <v>1850</v>
      </c>
      <c r="E3235" s="11" t="s">
        <v>6642</v>
      </c>
      <c r="F3235" s="12" t="s">
        <v>6643</v>
      </c>
      <c r="G3235" s="12" t="s">
        <v>6642</v>
      </c>
      <c r="H3235" s="58" t="s">
        <v>6653</v>
      </c>
      <c r="I3235" s="12" t="s">
        <v>7344</v>
      </c>
      <c r="J3235" s="11" t="s">
        <v>1856</v>
      </c>
      <c r="K3235" s="11" t="s">
        <v>1852</v>
      </c>
      <c r="L3235" s="11" t="s">
        <v>1853</v>
      </c>
      <c r="M3235" s="11"/>
      <c r="N3235" s="12"/>
      <c r="O3235" s="11" t="s">
        <v>1858</v>
      </c>
      <c r="P3235" s="56"/>
    </row>
    <row r="3236" spans="1:16" ht="15.75" customHeight="1" x14ac:dyDescent="0.2">
      <c r="A3236" s="48">
        <v>3347</v>
      </c>
      <c r="B3236" s="11" t="s">
        <v>1857</v>
      </c>
      <c r="C3236" s="11" t="s">
        <v>1849</v>
      </c>
      <c r="D3236" s="6" t="s">
        <v>1850</v>
      </c>
      <c r="E3236" s="11" t="s">
        <v>6642</v>
      </c>
      <c r="F3236" s="12" t="s">
        <v>7345</v>
      </c>
      <c r="G3236" s="12" t="s">
        <v>7346</v>
      </c>
      <c r="H3236" s="12" t="s">
        <v>7347</v>
      </c>
      <c r="I3236" s="12" t="s">
        <v>7348</v>
      </c>
      <c r="J3236" s="11" t="s">
        <v>1856</v>
      </c>
      <c r="K3236" s="11" t="s">
        <v>1852</v>
      </c>
      <c r="L3236" s="11" t="s">
        <v>1853</v>
      </c>
      <c r="M3236" s="11" t="s">
        <v>7349</v>
      </c>
      <c r="N3236" s="12"/>
      <c r="O3236" s="11" t="s">
        <v>1860</v>
      </c>
      <c r="P3236" s="56"/>
    </row>
    <row r="3237" spans="1:16" ht="15.75" customHeight="1" x14ac:dyDescent="0.2">
      <c r="A3237" s="48">
        <v>3297</v>
      </c>
      <c r="B3237" s="11" t="s">
        <v>1857</v>
      </c>
      <c r="C3237" s="11" t="s">
        <v>1849</v>
      </c>
      <c r="D3237" s="6" t="s">
        <v>1850</v>
      </c>
      <c r="E3237" s="11" t="s">
        <v>6642</v>
      </c>
      <c r="F3237" s="12" t="s">
        <v>7345</v>
      </c>
      <c r="G3237" s="12" t="s">
        <v>5198</v>
      </c>
      <c r="H3237" s="12" t="s">
        <v>7350</v>
      </c>
      <c r="I3237" s="12" t="s">
        <v>1896</v>
      </c>
      <c r="J3237" s="11" t="s">
        <v>1856</v>
      </c>
      <c r="K3237" s="11" t="s">
        <v>1852</v>
      </c>
      <c r="L3237" s="11" t="s">
        <v>1853</v>
      </c>
      <c r="M3237" s="11" t="s">
        <v>7351</v>
      </c>
      <c r="N3237" s="12"/>
      <c r="O3237" s="11" t="s">
        <v>1859</v>
      </c>
      <c r="P3237" s="56"/>
    </row>
    <row r="3238" spans="1:16" ht="15.75" customHeight="1" x14ac:dyDescent="0.2">
      <c r="A3238" s="48">
        <v>3282</v>
      </c>
      <c r="B3238" s="11" t="s">
        <v>1857</v>
      </c>
      <c r="C3238" s="11" t="s">
        <v>1849</v>
      </c>
      <c r="D3238" s="6" t="s">
        <v>1850</v>
      </c>
      <c r="E3238" s="11" t="s">
        <v>6642</v>
      </c>
      <c r="F3238" s="12" t="s">
        <v>7345</v>
      </c>
      <c r="G3238" s="12" t="s">
        <v>5198</v>
      </c>
      <c r="H3238" s="12" t="s">
        <v>7352</v>
      </c>
      <c r="I3238" s="12" t="s">
        <v>3571</v>
      </c>
      <c r="J3238" s="11" t="s">
        <v>1856</v>
      </c>
      <c r="K3238" s="11" t="s">
        <v>1852</v>
      </c>
      <c r="L3238" s="11" t="s">
        <v>1853</v>
      </c>
      <c r="M3238" s="11" t="s">
        <v>7353</v>
      </c>
      <c r="N3238" s="12"/>
      <c r="O3238" s="11" t="s">
        <v>1859</v>
      </c>
      <c r="P3238" s="56"/>
    </row>
    <row r="3239" spans="1:16" ht="15.75" customHeight="1" x14ac:dyDescent="0.2">
      <c r="A3239" s="48">
        <v>3277</v>
      </c>
      <c r="B3239" s="11" t="s">
        <v>1857</v>
      </c>
      <c r="C3239" s="11" t="s">
        <v>1849</v>
      </c>
      <c r="D3239" s="6" t="s">
        <v>1850</v>
      </c>
      <c r="E3239" s="11" t="s">
        <v>6642</v>
      </c>
      <c r="F3239" s="12" t="s">
        <v>7345</v>
      </c>
      <c r="G3239" s="12" t="s">
        <v>5198</v>
      </c>
      <c r="H3239" s="12" t="s">
        <v>7352</v>
      </c>
      <c r="I3239" s="12" t="s">
        <v>7354</v>
      </c>
      <c r="J3239" s="11" t="s">
        <v>1851</v>
      </c>
      <c r="K3239" s="11" t="s">
        <v>1852</v>
      </c>
      <c r="L3239" s="11" t="s">
        <v>1853</v>
      </c>
      <c r="M3239" s="11" t="s">
        <v>1854</v>
      </c>
      <c r="N3239" s="12"/>
      <c r="O3239" s="11" t="s">
        <v>1859</v>
      </c>
      <c r="P3239" s="56"/>
    </row>
    <row r="3240" spans="1:16" ht="15.75" customHeight="1" x14ac:dyDescent="0.2">
      <c r="A3240" s="48">
        <v>4082</v>
      </c>
      <c r="B3240" s="11" t="s">
        <v>1857</v>
      </c>
      <c r="C3240" s="11" t="s">
        <v>1849</v>
      </c>
      <c r="D3240" s="6" t="s">
        <v>1850</v>
      </c>
      <c r="E3240" s="11" t="s">
        <v>6642</v>
      </c>
      <c r="F3240" s="12" t="s">
        <v>7345</v>
      </c>
      <c r="G3240" s="12" t="s">
        <v>7355</v>
      </c>
      <c r="H3240" s="12" t="s">
        <v>7355</v>
      </c>
      <c r="I3240" s="12" t="s">
        <v>7356</v>
      </c>
      <c r="J3240" s="11" t="s">
        <v>1856</v>
      </c>
      <c r="K3240" s="11" t="s">
        <v>1852</v>
      </c>
      <c r="L3240" s="11" t="s">
        <v>1853</v>
      </c>
      <c r="M3240" s="11" t="s">
        <v>7357</v>
      </c>
      <c r="N3240" s="12" t="s">
        <v>7358</v>
      </c>
      <c r="O3240" s="11" t="s">
        <v>1860</v>
      </c>
      <c r="P3240" s="56"/>
    </row>
    <row r="3241" spans="1:16" ht="15.75" customHeight="1" x14ac:dyDescent="0.2">
      <c r="A3241" s="48">
        <v>3201</v>
      </c>
      <c r="B3241" s="11" t="s">
        <v>1857</v>
      </c>
      <c r="C3241" s="11" t="s">
        <v>1849</v>
      </c>
      <c r="D3241" s="6" t="s">
        <v>1850</v>
      </c>
      <c r="E3241" s="11" t="s">
        <v>6642</v>
      </c>
      <c r="F3241" s="12" t="s">
        <v>7345</v>
      </c>
      <c r="G3241" s="12" t="s">
        <v>5198</v>
      </c>
      <c r="H3241" s="12" t="s">
        <v>7350</v>
      </c>
      <c r="I3241" s="12" t="s">
        <v>7359</v>
      </c>
      <c r="J3241" s="11" t="s">
        <v>1856</v>
      </c>
      <c r="K3241" s="11" t="s">
        <v>1852</v>
      </c>
      <c r="L3241" s="11" t="s">
        <v>1853</v>
      </c>
      <c r="M3241" s="11" t="s">
        <v>7360</v>
      </c>
      <c r="N3241" s="12" t="s">
        <v>7361</v>
      </c>
      <c r="O3241" s="11" t="s">
        <v>1859</v>
      </c>
      <c r="P3241" s="56"/>
    </row>
    <row r="3242" spans="1:16" ht="15.75" customHeight="1" x14ac:dyDescent="0.2">
      <c r="A3242" s="48">
        <v>3243</v>
      </c>
      <c r="B3242" s="11" t="s">
        <v>1857</v>
      </c>
      <c r="C3242" s="11" t="s">
        <v>1849</v>
      </c>
      <c r="D3242" s="6" t="s">
        <v>1850</v>
      </c>
      <c r="E3242" s="11" t="s">
        <v>6642</v>
      </c>
      <c r="F3242" s="12" t="s">
        <v>7345</v>
      </c>
      <c r="G3242" s="12" t="s">
        <v>5198</v>
      </c>
      <c r="H3242" s="12" t="s">
        <v>7362</v>
      </c>
      <c r="I3242" s="12" t="s">
        <v>6032</v>
      </c>
      <c r="J3242" s="11" t="s">
        <v>1856</v>
      </c>
      <c r="K3242" s="11" t="s">
        <v>1852</v>
      </c>
      <c r="L3242" s="11" t="s">
        <v>1853</v>
      </c>
      <c r="M3242" s="11" t="s">
        <v>7363</v>
      </c>
      <c r="N3242" s="12" t="s">
        <v>7364</v>
      </c>
      <c r="O3242" s="11" t="s">
        <v>1859</v>
      </c>
      <c r="P3242" s="56"/>
    </row>
    <row r="3243" spans="1:16" ht="15.75" customHeight="1" x14ac:dyDescent="0.2">
      <c r="A3243" s="48">
        <v>6825</v>
      </c>
      <c r="B3243" s="11" t="s">
        <v>1857</v>
      </c>
      <c r="C3243" s="11" t="s">
        <v>1849</v>
      </c>
      <c r="D3243" s="6" t="s">
        <v>1850</v>
      </c>
      <c r="E3243" s="11" t="s">
        <v>6642</v>
      </c>
      <c r="F3243" s="12" t="s">
        <v>7345</v>
      </c>
      <c r="G3243" s="12" t="s">
        <v>5198</v>
      </c>
      <c r="H3243" s="12" t="s">
        <v>5198</v>
      </c>
      <c r="I3243" s="12" t="s">
        <v>7365</v>
      </c>
      <c r="J3243" s="11" t="s">
        <v>1856</v>
      </c>
      <c r="K3243" s="11" t="s">
        <v>1852</v>
      </c>
      <c r="L3243" s="11" t="s">
        <v>1853</v>
      </c>
      <c r="M3243" s="11" t="s">
        <v>7366</v>
      </c>
      <c r="N3243" s="12" t="s">
        <v>2281</v>
      </c>
      <c r="O3243" s="11" t="s">
        <v>1858</v>
      </c>
      <c r="P3243" s="56"/>
    </row>
    <row r="3244" spans="1:16" ht="15.75" customHeight="1" x14ac:dyDescent="0.2">
      <c r="A3244" s="48">
        <v>3214</v>
      </c>
      <c r="B3244" s="11" t="s">
        <v>1857</v>
      </c>
      <c r="C3244" s="11" t="s">
        <v>1849</v>
      </c>
      <c r="D3244" s="6" t="s">
        <v>1850</v>
      </c>
      <c r="E3244" s="11" t="s">
        <v>6642</v>
      </c>
      <c r="F3244" s="12" t="s">
        <v>7345</v>
      </c>
      <c r="G3244" s="12" t="s">
        <v>5198</v>
      </c>
      <c r="H3244" s="12" t="s">
        <v>7352</v>
      </c>
      <c r="I3244" s="12" t="s">
        <v>7367</v>
      </c>
      <c r="J3244" s="11" t="s">
        <v>1856</v>
      </c>
      <c r="K3244" s="11" t="s">
        <v>1852</v>
      </c>
      <c r="L3244" s="11" t="s">
        <v>1853</v>
      </c>
      <c r="M3244" s="11" t="s">
        <v>7368</v>
      </c>
      <c r="N3244" s="12" t="s">
        <v>7369</v>
      </c>
      <c r="O3244" s="11" t="s">
        <v>2307</v>
      </c>
      <c r="P3244" s="56" t="s">
        <v>7043</v>
      </c>
    </row>
    <row r="3245" spans="1:16" ht="15.75" customHeight="1" x14ac:dyDescent="0.2">
      <c r="A3245" s="48">
        <v>3241</v>
      </c>
      <c r="B3245" s="11" t="s">
        <v>1857</v>
      </c>
      <c r="C3245" s="11" t="s">
        <v>1849</v>
      </c>
      <c r="D3245" s="6" t="s">
        <v>1850</v>
      </c>
      <c r="E3245" s="11" t="s">
        <v>6642</v>
      </c>
      <c r="F3245" s="12" t="s">
        <v>7345</v>
      </c>
      <c r="G3245" s="12" t="s">
        <v>5198</v>
      </c>
      <c r="H3245" s="12" t="s">
        <v>7362</v>
      </c>
      <c r="I3245" s="12" t="s">
        <v>7370</v>
      </c>
      <c r="J3245" s="11" t="s">
        <v>1856</v>
      </c>
      <c r="K3245" s="11" t="s">
        <v>1852</v>
      </c>
      <c r="L3245" s="11" t="s">
        <v>1853</v>
      </c>
      <c r="M3245" s="11" t="s">
        <v>7371</v>
      </c>
      <c r="N3245" s="12" t="s">
        <v>7372</v>
      </c>
      <c r="O3245" s="11" t="s">
        <v>1860</v>
      </c>
      <c r="P3245" s="56"/>
    </row>
    <row r="3246" spans="1:16" ht="15.75" customHeight="1" x14ac:dyDescent="0.2">
      <c r="A3246" s="48">
        <v>3302</v>
      </c>
      <c r="B3246" s="11" t="s">
        <v>1857</v>
      </c>
      <c r="C3246" s="11" t="s">
        <v>1849</v>
      </c>
      <c r="D3246" s="6" t="s">
        <v>1850</v>
      </c>
      <c r="E3246" s="11" t="s">
        <v>6642</v>
      </c>
      <c r="F3246" s="12" t="s">
        <v>7345</v>
      </c>
      <c r="G3246" s="12" t="s">
        <v>5198</v>
      </c>
      <c r="H3246" s="12" t="s">
        <v>7373</v>
      </c>
      <c r="I3246" s="12" t="s">
        <v>7374</v>
      </c>
      <c r="J3246" s="11" t="s">
        <v>2246</v>
      </c>
      <c r="K3246" s="11" t="s">
        <v>2247</v>
      </c>
      <c r="L3246" s="11" t="s">
        <v>7375</v>
      </c>
      <c r="M3246" s="11" t="s">
        <v>7376</v>
      </c>
      <c r="N3246" s="12" t="s">
        <v>7377</v>
      </c>
      <c r="O3246" s="11" t="s">
        <v>1860</v>
      </c>
      <c r="P3246" s="56"/>
    </row>
    <row r="3247" spans="1:16" ht="15.75" customHeight="1" x14ac:dyDescent="0.2">
      <c r="A3247" s="48">
        <v>3325</v>
      </c>
      <c r="B3247" s="11" t="s">
        <v>1857</v>
      </c>
      <c r="C3247" s="11" t="s">
        <v>1849</v>
      </c>
      <c r="D3247" s="6" t="s">
        <v>1850</v>
      </c>
      <c r="E3247" s="11" t="s">
        <v>6642</v>
      </c>
      <c r="F3247" s="12" t="s">
        <v>7345</v>
      </c>
      <c r="G3247" s="12" t="s">
        <v>5198</v>
      </c>
      <c r="H3247" s="12" t="s">
        <v>7378</v>
      </c>
      <c r="I3247" s="12" t="s">
        <v>7379</v>
      </c>
      <c r="J3247" s="11" t="s">
        <v>1856</v>
      </c>
      <c r="K3247" s="11" t="s">
        <v>1852</v>
      </c>
      <c r="L3247" s="11" t="s">
        <v>1853</v>
      </c>
      <c r="M3247" s="11" t="s">
        <v>6728</v>
      </c>
      <c r="N3247" s="12" t="s">
        <v>7380</v>
      </c>
      <c r="O3247" s="11" t="s">
        <v>1860</v>
      </c>
      <c r="P3247" s="56"/>
    </row>
    <row r="3248" spans="1:16" ht="15.75" customHeight="1" x14ac:dyDescent="0.2">
      <c r="A3248" s="48">
        <v>3200</v>
      </c>
      <c r="B3248" s="11" t="s">
        <v>1857</v>
      </c>
      <c r="C3248" s="11" t="s">
        <v>1849</v>
      </c>
      <c r="D3248" s="6" t="s">
        <v>1850</v>
      </c>
      <c r="E3248" s="11" t="s">
        <v>6642</v>
      </c>
      <c r="F3248" s="12" t="s">
        <v>7345</v>
      </c>
      <c r="G3248" s="12" t="s">
        <v>5198</v>
      </c>
      <c r="H3248" s="12" t="s">
        <v>5198</v>
      </c>
      <c r="I3248" s="12" t="s">
        <v>7381</v>
      </c>
      <c r="J3248" s="11" t="s">
        <v>1851</v>
      </c>
      <c r="K3248" s="11" t="s">
        <v>1852</v>
      </c>
      <c r="L3248" s="11" t="s">
        <v>1853</v>
      </c>
      <c r="M3248" s="11" t="s">
        <v>7382</v>
      </c>
      <c r="N3248" s="12" t="s">
        <v>7383</v>
      </c>
      <c r="O3248" s="11" t="s">
        <v>1858</v>
      </c>
      <c r="P3248" s="56"/>
    </row>
    <row r="3249" spans="1:16" ht="15.75" customHeight="1" x14ac:dyDescent="0.2">
      <c r="A3249" s="48">
        <v>3070</v>
      </c>
      <c r="B3249" s="11" t="s">
        <v>1857</v>
      </c>
      <c r="C3249" s="11" t="s">
        <v>1849</v>
      </c>
      <c r="D3249" s="6" t="s">
        <v>1850</v>
      </c>
      <c r="E3249" s="11" t="s">
        <v>6642</v>
      </c>
      <c r="F3249" s="12" t="s">
        <v>7345</v>
      </c>
      <c r="G3249" s="12" t="s">
        <v>7384</v>
      </c>
      <c r="H3249" s="12" t="s">
        <v>5791</v>
      </c>
      <c r="I3249" s="12" t="s">
        <v>7385</v>
      </c>
      <c r="J3249" s="11" t="s">
        <v>1856</v>
      </c>
      <c r="K3249" s="11" t="s">
        <v>1852</v>
      </c>
      <c r="L3249" s="11" t="s">
        <v>1853</v>
      </c>
      <c r="M3249" s="11" t="s">
        <v>2407</v>
      </c>
      <c r="N3249" s="12" t="s">
        <v>7386</v>
      </c>
      <c r="O3249" s="11" t="s">
        <v>1860</v>
      </c>
      <c r="P3249" s="56"/>
    </row>
    <row r="3250" spans="1:16" ht="15.75" customHeight="1" x14ac:dyDescent="0.2">
      <c r="A3250" s="48">
        <v>3307</v>
      </c>
      <c r="B3250" s="11" t="s">
        <v>1857</v>
      </c>
      <c r="C3250" s="11" t="s">
        <v>1849</v>
      </c>
      <c r="D3250" s="6" t="s">
        <v>1850</v>
      </c>
      <c r="E3250" s="11" t="s">
        <v>6642</v>
      </c>
      <c r="F3250" s="12" t="s">
        <v>7345</v>
      </c>
      <c r="G3250" s="12" t="s">
        <v>5198</v>
      </c>
      <c r="H3250" s="12" t="s">
        <v>7350</v>
      </c>
      <c r="I3250" s="12" t="s">
        <v>7387</v>
      </c>
      <c r="J3250" s="11" t="s">
        <v>1856</v>
      </c>
      <c r="K3250" s="11" t="s">
        <v>1852</v>
      </c>
      <c r="L3250" s="11" t="s">
        <v>1853</v>
      </c>
      <c r="M3250" s="11" t="s">
        <v>7388</v>
      </c>
      <c r="N3250" s="12" t="s">
        <v>7389</v>
      </c>
      <c r="O3250" s="11" t="s">
        <v>1860</v>
      </c>
      <c r="P3250" s="56" t="s">
        <v>2323</v>
      </c>
    </row>
    <row r="3251" spans="1:16" ht="15.75" customHeight="1" x14ac:dyDescent="0.2">
      <c r="A3251" s="48">
        <v>3276</v>
      </c>
      <c r="B3251" s="11" t="s">
        <v>1857</v>
      </c>
      <c r="C3251" s="11" t="s">
        <v>1849</v>
      </c>
      <c r="D3251" s="6" t="s">
        <v>1850</v>
      </c>
      <c r="E3251" s="11" t="s">
        <v>6642</v>
      </c>
      <c r="F3251" s="12" t="s">
        <v>7345</v>
      </c>
      <c r="G3251" s="12" t="s">
        <v>5198</v>
      </c>
      <c r="H3251" s="12" t="s">
        <v>7373</v>
      </c>
      <c r="I3251" s="12" t="s">
        <v>7390</v>
      </c>
      <c r="J3251" s="11" t="s">
        <v>2246</v>
      </c>
      <c r="K3251" s="11" t="s">
        <v>2247</v>
      </c>
      <c r="L3251" s="11" t="s">
        <v>7391</v>
      </c>
      <c r="M3251" s="11" t="s">
        <v>7353</v>
      </c>
      <c r="N3251" s="12" t="s">
        <v>2281</v>
      </c>
      <c r="O3251" s="11" t="s">
        <v>1860</v>
      </c>
      <c r="P3251" s="56"/>
    </row>
    <row r="3252" spans="1:16" ht="15.75" customHeight="1" x14ac:dyDescent="0.2">
      <c r="A3252" s="48">
        <v>3237</v>
      </c>
      <c r="B3252" s="11" t="s">
        <v>1857</v>
      </c>
      <c r="C3252" s="11" t="s">
        <v>1849</v>
      </c>
      <c r="D3252" s="6" t="s">
        <v>1850</v>
      </c>
      <c r="E3252" s="11" t="s">
        <v>6642</v>
      </c>
      <c r="F3252" s="12" t="s">
        <v>7345</v>
      </c>
      <c r="G3252" s="12" t="s">
        <v>5198</v>
      </c>
      <c r="H3252" s="12" t="s">
        <v>5198</v>
      </c>
      <c r="I3252" s="12" t="s">
        <v>7392</v>
      </c>
      <c r="J3252" s="11" t="s">
        <v>1851</v>
      </c>
      <c r="K3252" s="11" t="s">
        <v>1852</v>
      </c>
      <c r="L3252" s="11" t="s">
        <v>1853</v>
      </c>
      <c r="M3252" s="11" t="s">
        <v>7393</v>
      </c>
      <c r="N3252" s="12" t="s">
        <v>7394</v>
      </c>
      <c r="O3252" s="11" t="s">
        <v>1860</v>
      </c>
      <c r="P3252" s="56"/>
    </row>
    <row r="3253" spans="1:16" ht="15.75" customHeight="1" x14ac:dyDescent="0.2">
      <c r="A3253" s="48">
        <v>3238</v>
      </c>
      <c r="B3253" s="11" t="s">
        <v>1857</v>
      </c>
      <c r="C3253" s="11" t="s">
        <v>1849</v>
      </c>
      <c r="D3253" s="6" t="s">
        <v>1850</v>
      </c>
      <c r="E3253" s="11" t="s">
        <v>6642</v>
      </c>
      <c r="F3253" s="12" t="s">
        <v>7345</v>
      </c>
      <c r="G3253" s="12" t="s">
        <v>5198</v>
      </c>
      <c r="H3253" s="12" t="s">
        <v>5198</v>
      </c>
      <c r="I3253" s="12" t="s">
        <v>7395</v>
      </c>
      <c r="J3253" s="11" t="s">
        <v>1856</v>
      </c>
      <c r="K3253" s="11" t="s">
        <v>1852</v>
      </c>
      <c r="L3253" s="11" t="s">
        <v>1853</v>
      </c>
      <c r="M3253" s="11" t="s">
        <v>7353</v>
      </c>
      <c r="N3253" s="12" t="s">
        <v>2281</v>
      </c>
      <c r="O3253" s="11" t="s">
        <v>1858</v>
      </c>
      <c r="P3253" s="56"/>
    </row>
    <row r="3254" spans="1:16" ht="15.75" customHeight="1" x14ac:dyDescent="0.2">
      <c r="A3254" s="48">
        <v>3338</v>
      </c>
      <c r="B3254" s="11" t="s">
        <v>1857</v>
      </c>
      <c r="C3254" s="11" t="s">
        <v>1849</v>
      </c>
      <c r="D3254" s="6" t="s">
        <v>1850</v>
      </c>
      <c r="E3254" s="11" t="s">
        <v>6642</v>
      </c>
      <c r="F3254" s="12" t="s">
        <v>7345</v>
      </c>
      <c r="G3254" s="12" t="s">
        <v>5198</v>
      </c>
      <c r="H3254" s="12" t="s">
        <v>5198</v>
      </c>
      <c r="I3254" s="12" t="s">
        <v>7396</v>
      </c>
      <c r="J3254" s="11" t="s">
        <v>1856</v>
      </c>
      <c r="K3254" s="11" t="s">
        <v>1852</v>
      </c>
      <c r="L3254" s="11" t="s">
        <v>1853</v>
      </c>
      <c r="M3254" s="11" t="s">
        <v>7353</v>
      </c>
      <c r="N3254" s="12" t="s">
        <v>7397</v>
      </c>
      <c r="O3254" s="11" t="s">
        <v>1860</v>
      </c>
      <c r="P3254" s="56"/>
    </row>
    <row r="3255" spans="1:16" ht="15.75" customHeight="1" x14ac:dyDescent="0.2">
      <c r="A3255" s="48">
        <v>3232</v>
      </c>
      <c r="B3255" s="11" t="s">
        <v>1857</v>
      </c>
      <c r="C3255" s="11" t="s">
        <v>1849</v>
      </c>
      <c r="D3255" s="6" t="s">
        <v>1850</v>
      </c>
      <c r="E3255" s="11" t="s">
        <v>6642</v>
      </c>
      <c r="F3255" s="12" t="s">
        <v>7345</v>
      </c>
      <c r="G3255" s="12" t="s">
        <v>5198</v>
      </c>
      <c r="H3255" s="12" t="s">
        <v>5198</v>
      </c>
      <c r="I3255" s="12" t="s">
        <v>7398</v>
      </c>
      <c r="J3255" s="11" t="s">
        <v>1856</v>
      </c>
      <c r="K3255" s="11" t="s">
        <v>1852</v>
      </c>
      <c r="L3255" s="11" t="s">
        <v>1853</v>
      </c>
      <c r="M3255" s="11" t="s">
        <v>2244</v>
      </c>
      <c r="N3255" s="12"/>
      <c r="O3255" s="11" t="s">
        <v>1858</v>
      </c>
      <c r="P3255" s="56"/>
    </row>
    <row r="3256" spans="1:16" ht="15.75" customHeight="1" x14ac:dyDescent="0.2">
      <c r="A3256" s="48">
        <v>3230</v>
      </c>
      <c r="B3256" s="11" t="s">
        <v>1857</v>
      </c>
      <c r="C3256" s="11" t="s">
        <v>1849</v>
      </c>
      <c r="D3256" s="6" t="s">
        <v>1850</v>
      </c>
      <c r="E3256" s="11" t="s">
        <v>6642</v>
      </c>
      <c r="F3256" s="12" t="s">
        <v>7345</v>
      </c>
      <c r="G3256" s="12" t="s">
        <v>5198</v>
      </c>
      <c r="H3256" s="12" t="s">
        <v>5198</v>
      </c>
      <c r="I3256" s="12" t="s">
        <v>7399</v>
      </c>
      <c r="J3256" s="11" t="s">
        <v>1856</v>
      </c>
      <c r="K3256" s="11" t="s">
        <v>1852</v>
      </c>
      <c r="L3256" s="11" t="s">
        <v>1853</v>
      </c>
      <c r="M3256" s="11" t="s">
        <v>7353</v>
      </c>
      <c r="N3256" s="12"/>
      <c r="O3256" s="11" t="s">
        <v>1859</v>
      </c>
      <c r="P3256" s="56"/>
    </row>
    <row r="3257" spans="1:16" ht="15.75" customHeight="1" x14ac:dyDescent="0.2">
      <c r="A3257" s="48">
        <v>3285</v>
      </c>
      <c r="B3257" s="11" t="s">
        <v>1857</v>
      </c>
      <c r="C3257" s="11" t="s">
        <v>1849</v>
      </c>
      <c r="D3257" s="6" t="s">
        <v>1850</v>
      </c>
      <c r="E3257" s="11" t="s">
        <v>6642</v>
      </c>
      <c r="F3257" s="12" t="s">
        <v>7345</v>
      </c>
      <c r="G3257" s="12" t="s">
        <v>5198</v>
      </c>
      <c r="H3257" s="12" t="s">
        <v>7352</v>
      </c>
      <c r="I3257" s="12" t="s">
        <v>6046</v>
      </c>
      <c r="J3257" s="11" t="s">
        <v>1856</v>
      </c>
      <c r="K3257" s="11" t="s">
        <v>1852</v>
      </c>
      <c r="L3257" s="11" t="s">
        <v>1853</v>
      </c>
      <c r="M3257" s="11" t="s">
        <v>1854</v>
      </c>
      <c r="N3257" s="12"/>
      <c r="O3257" s="11" t="s">
        <v>1859</v>
      </c>
      <c r="P3257" s="56"/>
    </row>
    <row r="3258" spans="1:16" ht="15.75" customHeight="1" x14ac:dyDescent="0.2">
      <c r="A3258" s="48">
        <v>3344</v>
      </c>
      <c r="B3258" s="11" t="s">
        <v>1857</v>
      </c>
      <c r="C3258" s="11" t="s">
        <v>1849</v>
      </c>
      <c r="D3258" s="6" t="s">
        <v>1850</v>
      </c>
      <c r="E3258" s="11" t="s">
        <v>6642</v>
      </c>
      <c r="F3258" s="12" t="s">
        <v>7345</v>
      </c>
      <c r="G3258" s="12" t="s">
        <v>5198</v>
      </c>
      <c r="H3258" s="12" t="s">
        <v>7352</v>
      </c>
      <c r="I3258" s="12" t="s">
        <v>7400</v>
      </c>
      <c r="J3258" s="11" t="s">
        <v>1856</v>
      </c>
      <c r="K3258" s="11" t="s">
        <v>1852</v>
      </c>
      <c r="L3258" s="11" t="s">
        <v>1853</v>
      </c>
      <c r="M3258" s="11" t="s">
        <v>7353</v>
      </c>
      <c r="N3258" s="12"/>
      <c r="O3258" s="11" t="s">
        <v>1859</v>
      </c>
      <c r="P3258" s="56"/>
    </row>
    <row r="3259" spans="1:16" ht="15.75" customHeight="1" x14ac:dyDescent="0.2">
      <c r="A3259" s="48">
        <v>3328</v>
      </c>
      <c r="B3259" s="11" t="s">
        <v>1857</v>
      </c>
      <c r="C3259" s="11" t="s">
        <v>1849</v>
      </c>
      <c r="D3259" s="6" t="s">
        <v>1850</v>
      </c>
      <c r="E3259" s="11" t="s">
        <v>6642</v>
      </c>
      <c r="F3259" s="12" t="s">
        <v>7345</v>
      </c>
      <c r="G3259" s="12" t="s">
        <v>5198</v>
      </c>
      <c r="H3259" s="12" t="s">
        <v>7378</v>
      </c>
      <c r="I3259" s="12" t="s">
        <v>7401</v>
      </c>
      <c r="J3259" s="11" t="s">
        <v>1856</v>
      </c>
      <c r="K3259" s="11" t="s">
        <v>1852</v>
      </c>
      <c r="L3259" s="11" t="s">
        <v>1853</v>
      </c>
      <c r="M3259" s="11" t="s">
        <v>7402</v>
      </c>
      <c r="N3259" s="12" t="s">
        <v>7403</v>
      </c>
      <c r="O3259" s="11" t="s">
        <v>1859</v>
      </c>
      <c r="P3259" s="56"/>
    </row>
    <row r="3260" spans="1:16" ht="15.75" customHeight="1" x14ac:dyDescent="0.2">
      <c r="A3260" s="48">
        <v>3334</v>
      </c>
      <c r="B3260" s="11" t="s">
        <v>1857</v>
      </c>
      <c r="C3260" s="11" t="s">
        <v>1849</v>
      </c>
      <c r="D3260" s="6" t="s">
        <v>1850</v>
      </c>
      <c r="E3260" s="11" t="s">
        <v>6642</v>
      </c>
      <c r="F3260" s="12" t="s">
        <v>7345</v>
      </c>
      <c r="G3260" s="12" t="s">
        <v>5198</v>
      </c>
      <c r="H3260" s="12" t="s">
        <v>7404</v>
      </c>
      <c r="I3260" s="12" t="s">
        <v>7405</v>
      </c>
      <c r="J3260" s="11" t="s">
        <v>1856</v>
      </c>
      <c r="K3260" s="11" t="s">
        <v>1852</v>
      </c>
      <c r="L3260" s="11" t="s">
        <v>1853</v>
      </c>
      <c r="M3260" s="11" t="s">
        <v>7406</v>
      </c>
      <c r="N3260" s="12" t="s">
        <v>7407</v>
      </c>
      <c r="O3260" s="11" t="s">
        <v>1859</v>
      </c>
      <c r="P3260" s="56"/>
    </row>
    <row r="3261" spans="1:16" ht="15.75" customHeight="1" x14ac:dyDescent="0.2">
      <c r="A3261" s="48">
        <v>3248</v>
      </c>
      <c r="B3261" s="11" t="s">
        <v>1857</v>
      </c>
      <c r="C3261" s="11" t="s">
        <v>1849</v>
      </c>
      <c r="D3261" s="6" t="s">
        <v>1850</v>
      </c>
      <c r="E3261" s="11" t="s">
        <v>6642</v>
      </c>
      <c r="F3261" s="12" t="s">
        <v>7345</v>
      </c>
      <c r="G3261" s="12" t="s">
        <v>5198</v>
      </c>
      <c r="H3261" s="12" t="s">
        <v>7408</v>
      </c>
      <c r="I3261" s="12" t="s">
        <v>7409</v>
      </c>
      <c r="J3261" s="11" t="s">
        <v>1856</v>
      </c>
      <c r="K3261" s="11" t="s">
        <v>1852</v>
      </c>
      <c r="L3261" s="11" t="s">
        <v>1853</v>
      </c>
      <c r="M3261" s="11" t="s">
        <v>7410</v>
      </c>
      <c r="N3261" s="12" t="s">
        <v>7411</v>
      </c>
      <c r="O3261" s="11" t="s">
        <v>1859</v>
      </c>
      <c r="P3261" s="56"/>
    </row>
    <row r="3262" spans="1:16" ht="15.75" customHeight="1" x14ac:dyDescent="0.2">
      <c r="A3262" s="48">
        <v>3260</v>
      </c>
      <c r="B3262" s="11" t="s">
        <v>1857</v>
      </c>
      <c r="C3262" s="11" t="s">
        <v>1849</v>
      </c>
      <c r="D3262" s="6" t="s">
        <v>1850</v>
      </c>
      <c r="E3262" s="11" t="s">
        <v>6642</v>
      </c>
      <c r="F3262" s="12" t="s">
        <v>7345</v>
      </c>
      <c r="G3262" s="12" t="s">
        <v>5198</v>
      </c>
      <c r="H3262" s="12" t="s">
        <v>7352</v>
      </c>
      <c r="I3262" s="12" t="s">
        <v>2353</v>
      </c>
      <c r="J3262" s="11" t="s">
        <v>1856</v>
      </c>
      <c r="K3262" s="11" t="s">
        <v>1852</v>
      </c>
      <c r="L3262" s="11" t="s">
        <v>1853</v>
      </c>
      <c r="M3262" s="11" t="s">
        <v>7353</v>
      </c>
      <c r="N3262" s="12"/>
      <c r="O3262" s="11" t="s">
        <v>1859</v>
      </c>
      <c r="P3262" s="56"/>
    </row>
    <row r="3263" spans="1:16" ht="15.75" customHeight="1" x14ac:dyDescent="0.2">
      <c r="A3263" s="48">
        <v>3323</v>
      </c>
      <c r="B3263" s="11" t="s">
        <v>1857</v>
      </c>
      <c r="C3263" s="11" t="s">
        <v>1849</v>
      </c>
      <c r="D3263" s="6" t="s">
        <v>1850</v>
      </c>
      <c r="E3263" s="11" t="s">
        <v>6642</v>
      </c>
      <c r="F3263" s="12" t="s">
        <v>7345</v>
      </c>
      <c r="G3263" s="12" t="s">
        <v>5198</v>
      </c>
      <c r="H3263" s="12" t="s">
        <v>7378</v>
      </c>
      <c r="I3263" s="12" t="s">
        <v>7412</v>
      </c>
      <c r="J3263" s="11" t="s">
        <v>1856</v>
      </c>
      <c r="K3263" s="11" t="s">
        <v>1852</v>
      </c>
      <c r="L3263" s="11" t="s">
        <v>1853</v>
      </c>
      <c r="M3263" s="11" t="s">
        <v>7413</v>
      </c>
      <c r="N3263" s="12" t="s">
        <v>7414</v>
      </c>
      <c r="O3263" s="11" t="s">
        <v>1859</v>
      </c>
      <c r="P3263" s="56"/>
    </row>
    <row r="3264" spans="1:16" ht="15.75" customHeight="1" x14ac:dyDescent="0.2">
      <c r="A3264" s="48">
        <v>6361</v>
      </c>
      <c r="B3264" s="11" t="s">
        <v>1857</v>
      </c>
      <c r="C3264" s="11" t="s">
        <v>1849</v>
      </c>
      <c r="D3264" s="6" t="s">
        <v>1850</v>
      </c>
      <c r="E3264" s="11" t="s">
        <v>6642</v>
      </c>
      <c r="F3264" s="12" t="s">
        <v>7345</v>
      </c>
      <c r="G3264" s="12" t="s">
        <v>5198</v>
      </c>
      <c r="H3264" s="12" t="s">
        <v>7352</v>
      </c>
      <c r="I3264" s="12" t="s">
        <v>7415</v>
      </c>
      <c r="J3264" s="11" t="s">
        <v>1856</v>
      </c>
      <c r="K3264" s="11" t="s">
        <v>1852</v>
      </c>
      <c r="L3264" s="11" t="s">
        <v>1853</v>
      </c>
      <c r="M3264" s="11" t="s">
        <v>7416</v>
      </c>
      <c r="N3264" s="12" t="s">
        <v>7417</v>
      </c>
      <c r="O3264" s="11" t="s">
        <v>2755</v>
      </c>
      <c r="P3264" s="56"/>
    </row>
    <row r="3265" spans="1:16" ht="15.75" customHeight="1" x14ac:dyDescent="0.2">
      <c r="A3265" s="48">
        <v>3314</v>
      </c>
      <c r="B3265" s="11" t="s">
        <v>1857</v>
      </c>
      <c r="C3265" s="11" t="s">
        <v>1849</v>
      </c>
      <c r="D3265" s="6" t="s">
        <v>1850</v>
      </c>
      <c r="E3265" s="11" t="s">
        <v>6642</v>
      </c>
      <c r="F3265" s="12" t="s">
        <v>7345</v>
      </c>
      <c r="G3265" s="12" t="s">
        <v>5198</v>
      </c>
      <c r="H3265" s="12" t="s">
        <v>7352</v>
      </c>
      <c r="I3265" s="12" t="s">
        <v>7418</v>
      </c>
      <c r="J3265" s="11" t="s">
        <v>1856</v>
      </c>
      <c r="K3265" s="11" t="s">
        <v>1852</v>
      </c>
      <c r="L3265" s="11" t="s">
        <v>1853</v>
      </c>
      <c r="M3265" s="11" t="s">
        <v>7353</v>
      </c>
      <c r="N3265" s="12"/>
      <c r="O3265" s="11" t="s">
        <v>1858</v>
      </c>
      <c r="P3265" s="56"/>
    </row>
    <row r="3266" spans="1:16" ht="15.75" customHeight="1" x14ac:dyDescent="0.2">
      <c r="A3266" s="48">
        <v>5059</v>
      </c>
      <c r="B3266" s="11" t="s">
        <v>1857</v>
      </c>
      <c r="C3266" s="11" t="s">
        <v>1849</v>
      </c>
      <c r="D3266" s="6" t="s">
        <v>1850</v>
      </c>
      <c r="E3266" s="11" t="s">
        <v>6642</v>
      </c>
      <c r="F3266" s="12" t="s">
        <v>7345</v>
      </c>
      <c r="G3266" s="12" t="s">
        <v>5198</v>
      </c>
      <c r="H3266" s="12" t="s">
        <v>7373</v>
      </c>
      <c r="I3266" s="12" t="s">
        <v>7419</v>
      </c>
      <c r="J3266" s="11" t="s">
        <v>2246</v>
      </c>
      <c r="K3266" s="11" t="s">
        <v>2247</v>
      </c>
      <c r="L3266" s="11" t="s">
        <v>7375</v>
      </c>
      <c r="M3266" s="11" t="s">
        <v>7420</v>
      </c>
      <c r="N3266" s="12" t="s">
        <v>7421</v>
      </c>
      <c r="O3266" s="11" t="s">
        <v>1858</v>
      </c>
      <c r="P3266" s="56"/>
    </row>
    <row r="3267" spans="1:16" ht="15.75" customHeight="1" x14ac:dyDescent="0.2">
      <c r="A3267" s="48">
        <v>3354</v>
      </c>
      <c r="B3267" s="11" t="s">
        <v>1857</v>
      </c>
      <c r="C3267" s="11" t="s">
        <v>1849</v>
      </c>
      <c r="D3267" s="6" t="s">
        <v>1850</v>
      </c>
      <c r="E3267" s="11" t="s">
        <v>6642</v>
      </c>
      <c r="F3267" s="12" t="s">
        <v>7345</v>
      </c>
      <c r="G3267" s="12" t="s">
        <v>7346</v>
      </c>
      <c r="H3267" s="12" t="s">
        <v>7347</v>
      </c>
      <c r="I3267" s="12" t="s">
        <v>3715</v>
      </c>
      <c r="J3267" s="11" t="s">
        <v>1856</v>
      </c>
      <c r="K3267" s="11" t="s">
        <v>1852</v>
      </c>
      <c r="L3267" s="11" t="s">
        <v>1853</v>
      </c>
      <c r="M3267" s="11" t="s">
        <v>6799</v>
      </c>
      <c r="N3267" s="12" t="s">
        <v>7422</v>
      </c>
      <c r="O3267" s="11" t="s">
        <v>2755</v>
      </c>
      <c r="P3267" s="56"/>
    </row>
    <row r="3268" spans="1:16" ht="15.75" customHeight="1" x14ac:dyDescent="0.2">
      <c r="A3268" s="48">
        <v>3335</v>
      </c>
      <c r="B3268" s="11" t="s">
        <v>1857</v>
      </c>
      <c r="C3268" s="11" t="s">
        <v>1849</v>
      </c>
      <c r="D3268" s="6" t="s">
        <v>1850</v>
      </c>
      <c r="E3268" s="11" t="s">
        <v>6642</v>
      </c>
      <c r="F3268" s="12" t="s">
        <v>7345</v>
      </c>
      <c r="G3268" s="12" t="s">
        <v>5198</v>
      </c>
      <c r="H3268" s="12" t="s">
        <v>7404</v>
      </c>
      <c r="I3268" s="12" t="s">
        <v>7423</v>
      </c>
      <c r="J3268" s="11" t="s">
        <v>1856</v>
      </c>
      <c r="K3268" s="11" t="s">
        <v>1852</v>
      </c>
      <c r="L3268" s="11" t="s">
        <v>1853</v>
      </c>
      <c r="M3268" s="11" t="s">
        <v>1854</v>
      </c>
      <c r="N3268" s="12"/>
      <c r="O3268" s="11" t="s">
        <v>1859</v>
      </c>
      <c r="P3268" s="56"/>
    </row>
    <row r="3269" spans="1:16" ht="15.75" customHeight="1" x14ac:dyDescent="0.2">
      <c r="A3269" s="48">
        <v>3224</v>
      </c>
      <c r="B3269" s="11" t="s">
        <v>1857</v>
      </c>
      <c r="C3269" s="11" t="s">
        <v>1849</v>
      </c>
      <c r="D3269" s="6" t="s">
        <v>1850</v>
      </c>
      <c r="E3269" s="11" t="s">
        <v>6642</v>
      </c>
      <c r="F3269" s="12" t="s">
        <v>7345</v>
      </c>
      <c r="G3269" s="12" t="s">
        <v>5198</v>
      </c>
      <c r="H3269" s="12" t="s">
        <v>5198</v>
      </c>
      <c r="I3269" s="12" t="s">
        <v>7424</v>
      </c>
      <c r="J3269" s="11" t="s">
        <v>1856</v>
      </c>
      <c r="K3269" s="11" t="s">
        <v>1852</v>
      </c>
      <c r="L3269" s="11" t="s">
        <v>1853</v>
      </c>
      <c r="M3269" s="11" t="s">
        <v>7425</v>
      </c>
      <c r="N3269" s="12" t="s">
        <v>7426</v>
      </c>
      <c r="O3269" s="11" t="s">
        <v>1859</v>
      </c>
      <c r="P3269" s="56"/>
    </row>
    <row r="3270" spans="1:16" ht="15.75" customHeight="1" x14ac:dyDescent="0.2">
      <c r="A3270" s="48">
        <v>3336</v>
      </c>
      <c r="B3270" s="11" t="s">
        <v>1857</v>
      </c>
      <c r="C3270" s="11" t="s">
        <v>1849</v>
      </c>
      <c r="D3270" s="6" t="s">
        <v>1850</v>
      </c>
      <c r="E3270" s="11" t="s">
        <v>6642</v>
      </c>
      <c r="F3270" s="12" t="s">
        <v>7345</v>
      </c>
      <c r="G3270" s="12" t="s">
        <v>5198</v>
      </c>
      <c r="H3270" s="12" t="s">
        <v>7404</v>
      </c>
      <c r="I3270" s="12" t="s">
        <v>7427</v>
      </c>
      <c r="J3270" s="11" t="s">
        <v>1856</v>
      </c>
      <c r="K3270" s="11" t="s">
        <v>1852</v>
      </c>
      <c r="L3270" s="11" t="s">
        <v>1853</v>
      </c>
      <c r="M3270" s="11" t="s">
        <v>7351</v>
      </c>
      <c r="N3270" s="12"/>
      <c r="O3270" s="11" t="s">
        <v>1859</v>
      </c>
      <c r="P3270" s="56"/>
    </row>
    <row r="3271" spans="1:16" ht="15.75" customHeight="1" x14ac:dyDescent="0.2">
      <c r="A3271" s="48">
        <v>3221</v>
      </c>
      <c r="B3271" s="11" t="s">
        <v>1857</v>
      </c>
      <c r="C3271" s="11" t="s">
        <v>1849</v>
      </c>
      <c r="D3271" s="6" t="s">
        <v>1850</v>
      </c>
      <c r="E3271" s="11" t="s">
        <v>6642</v>
      </c>
      <c r="F3271" s="12" t="s">
        <v>7345</v>
      </c>
      <c r="G3271" s="12" t="s">
        <v>5198</v>
      </c>
      <c r="H3271" s="12" t="s">
        <v>7373</v>
      </c>
      <c r="I3271" s="12" t="s">
        <v>7428</v>
      </c>
      <c r="J3271" s="11" t="s">
        <v>2246</v>
      </c>
      <c r="K3271" s="11" t="s">
        <v>2247</v>
      </c>
      <c r="L3271" s="11" t="s">
        <v>7375</v>
      </c>
      <c r="M3271" s="11" t="s">
        <v>7353</v>
      </c>
      <c r="N3271" s="12" t="s">
        <v>2281</v>
      </c>
      <c r="O3271" s="11" t="s">
        <v>1858</v>
      </c>
      <c r="P3271" s="56"/>
    </row>
    <row r="3272" spans="1:16" ht="15.75" customHeight="1" x14ac:dyDescent="0.2">
      <c r="A3272" s="48">
        <v>3306</v>
      </c>
      <c r="B3272" s="11" t="s">
        <v>1857</v>
      </c>
      <c r="C3272" s="11" t="s">
        <v>1849</v>
      </c>
      <c r="D3272" s="6" t="s">
        <v>1850</v>
      </c>
      <c r="E3272" s="11" t="s">
        <v>6642</v>
      </c>
      <c r="F3272" s="12" t="s">
        <v>7345</v>
      </c>
      <c r="G3272" s="12" t="s">
        <v>5198</v>
      </c>
      <c r="H3272" s="12" t="s">
        <v>7373</v>
      </c>
      <c r="I3272" s="12" t="s">
        <v>7429</v>
      </c>
      <c r="J3272" s="11" t="s">
        <v>2246</v>
      </c>
      <c r="K3272" s="11" t="s">
        <v>2247</v>
      </c>
      <c r="L3272" s="11" t="s">
        <v>7375</v>
      </c>
      <c r="M3272" s="11" t="s">
        <v>7353</v>
      </c>
      <c r="N3272" s="12" t="s">
        <v>7430</v>
      </c>
      <c r="O3272" s="11" t="s">
        <v>1858</v>
      </c>
      <c r="P3272" s="56"/>
    </row>
    <row r="3273" spans="1:16" ht="15.75" customHeight="1" x14ac:dyDescent="0.2">
      <c r="A3273" s="48">
        <v>3286</v>
      </c>
      <c r="B3273" s="11" t="s">
        <v>1857</v>
      </c>
      <c r="C3273" s="11" t="s">
        <v>1849</v>
      </c>
      <c r="D3273" s="6" t="s">
        <v>1850</v>
      </c>
      <c r="E3273" s="11" t="s">
        <v>6642</v>
      </c>
      <c r="F3273" s="12" t="s">
        <v>7345</v>
      </c>
      <c r="G3273" s="12" t="s">
        <v>5198</v>
      </c>
      <c r="H3273" s="12" t="s">
        <v>7352</v>
      </c>
      <c r="I3273" s="12" t="s">
        <v>7431</v>
      </c>
      <c r="J3273" s="11" t="s">
        <v>1856</v>
      </c>
      <c r="K3273" s="11" t="s">
        <v>1852</v>
      </c>
      <c r="L3273" s="11" t="s">
        <v>1853</v>
      </c>
      <c r="M3273" s="11" t="s">
        <v>7353</v>
      </c>
      <c r="N3273" s="12" t="s">
        <v>7432</v>
      </c>
      <c r="O3273" s="11" t="s">
        <v>1858</v>
      </c>
      <c r="P3273" s="56"/>
    </row>
    <row r="3274" spans="1:16" ht="15.75" customHeight="1" x14ac:dyDescent="0.2">
      <c r="A3274" s="48">
        <v>3365</v>
      </c>
      <c r="B3274" s="11" t="s">
        <v>1857</v>
      </c>
      <c r="C3274" s="11" t="s">
        <v>1849</v>
      </c>
      <c r="D3274" s="6" t="s">
        <v>1850</v>
      </c>
      <c r="E3274" s="11" t="s">
        <v>6642</v>
      </c>
      <c r="F3274" s="12" t="s">
        <v>7345</v>
      </c>
      <c r="G3274" s="12" t="s">
        <v>7346</v>
      </c>
      <c r="H3274" s="12" t="s">
        <v>7433</v>
      </c>
      <c r="I3274" s="12" t="s">
        <v>7434</v>
      </c>
      <c r="J3274" s="11" t="s">
        <v>1856</v>
      </c>
      <c r="K3274" s="11" t="s">
        <v>1852</v>
      </c>
      <c r="L3274" s="11" t="s">
        <v>1853</v>
      </c>
      <c r="M3274" s="11" t="s">
        <v>7353</v>
      </c>
      <c r="N3274" s="12"/>
      <c r="O3274" s="11" t="s">
        <v>2755</v>
      </c>
      <c r="P3274" s="56"/>
    </row>
    <row r="3275" spans="1:16" ht="15.75" customHeight="1" x14ac:dyDescent="0.2">
      <c r="A3275" s="48">
        <v>3249</v>
      </c>
      <c r="B3275" s="11" t="s">
        <v>1857</v>
      </c>
      <c r="C3275" s="11" t="s">
        <v>1849</v>
      </c>
      <c r="D3275" s="6" t="s">
        <v>1850</v>
      </c>
      <c r="E3275" s="11" t="s">
        <v>6642</v>
      </c>
      <c r="F3275" s="12" t="s">
        <v>7345</v>
      </c>
      <c r="G3275" s="12" t="s">
        <v>5198</v>
      </c>
      <c r="H3275" s="12" t="s">
        <v>7352</v>
      </c>
      <c r="I3275" s="12" t="s">
        <v>7435</v>
      </c>
      <c r="J3275" s="11" t="s">
        <v>1856</v>
      </c>
      <c r="K3275" s="11" t="s">
        <v>1852</v>
      </c>
      <c r="L3275" s="11" t="s">
        <v>1853</v>
      </c>
      <c r="M3275" s="11" t="s">
        <v>7353</v>
      </c>
      <c r="N3275" s="12"/>
      <c r="O3275" s="11" t="s">
        <v>1859</v>
      </c>
      <c r="P3275" s="56"/>
    </row>
    <row r="3276" spans="1:16" ht="15.75" customHeight="1" x14ac:dyDescent="0.2">
      <c r="A3276" s="48">
        <v>3292</v>
      </c>
      <c r="B3276" s="11" t="s">
        <v>1857</v>
      </c>
      <c r="C3276" s="11" t="s">
        <v>1849</v>
      </c>
      <c r="D3276" s="6" t="s">
        <v>1850</v>
      </c>
      <c r="E3276" s="11" t="s">
        <v>6642</v>
      </c>
      <c r="F3276" s="12" t="s">
        <v>7345</v>
      </c>
      <c r="G3276" s="12" t="s">
        <v>5198</v>
      </c>
      <c r="H3276" s="12" t="s">
        <v>7352</v>
      </c>
      <c r="I3276" s="12" t="s">
        <v>7436</v>
      </c>
      <c r="J3276" s="11" t="s">
        <v>1856</v>
      </c>
      <c r="K3276" s="11" t="s">
        <v>1852</v>
      </c>
      <c r="L3276" s="11" t="s">
        <v>1853</v>
      </c>
      <c r="M3276" s="11" t="s">
        <v>1854</v>
      </c>
      <c r="N3276" s="12"/>
      <c r="O3276" s="11" t="s">
        <v>1859</v>
      </c>
      <c r="P3276" s="56"/>
    </row>
    <row r="3277" spans="1:16" ht="15.75" customHeight="1" x14ac:dyDescent="0.2">
      <c r="A3277" s="48">
        <v>3212</v>
      </c>
      <c r="B3277" s="11" t="s">
        <v>1857</v>
      </c>
      <c r="C3277" s="11" t="s">
        <v>1849</v>
      </c>
      <c r="D3277" s="6" t="s">
        <v>1850</v>
      </c>
      <c r="E3277" s="11" t="s">
        <v>6642</v>
      </c>
      <c r="F3277" s="12" t="s">
        <v>7345</v>
      </c>
      <c r="G3277" s="12" t="s">
        <v>5198</v>
      </c>
      <c r="H3277" s="12" t="s">
        <v>5198</v>
      </c>
      <c r="I3277" s="12" t="s">
        <v>7437</v>
      </c>
      <c r="J3277" s="11" t="s">
        <v>1856</v>
      </c>
      <c r="K3277" s="11" t="s">
        <v>1852</v>
      </c>
      <c r="L3277" s="11" t="s">
        <v>1853</v>
      </c>
      <c r="M3277" s="11" t="s">
        <v>1854</v>
      </c>
      <c r="N3277" s="12"/>
      <c r="O3277" s="11" t="s">
        <v>1866</v>
      </c>
      <c r="P3277" s="56" t="s">
        <v>2409</v>
      </c>
    </row>
    <row r="3278" spans="1:16" ht="15.75" customHeight="1" x14ac:dyDescent="0.2">
      <c r="A3278" s="48">
        <v>3289</v>
      </c>
      <c r="B3278" s="11" t="s">
        <v>1857</v>
      </c>
      <c r="C3278" s="11" t="s">
        <v>1849</v>
      </c>
      <c r="D3278" s="6" t="s">
        <v>1850</v>
      </c>
      <c r="E3278" s="11" t="s">
        <v>6642</v>
      </c>
      <c r="F3278" s="12" t="s">
        <v>7345</v>
      </c>
      <c r="G3278" s="12" t="s">
        <v>5198</v>
      </c>
      <c r="H3278" s="12" t="s">
        <v>7352</v>
      </c>
      <c r="I3278" s="12" t="s">
        <v>7438</v>
      </c>
      <c r="J3278" s="11" t="s">
        <v>2246</v>
      </c>
      <c r="K3278" s="11" t="s">
        <v>2247</v>
      </c>
      <c r="L3278" s="11" t="s">
        <v>7391</v>
      </c>
      <c r="M3278" s="11" t="s">
        <v>3894</v>
      </c>
      <c r="N3278" s="12" t="s">
        <v>7439</v>
      </c>
      <c r="O3278" s="11" t="s">
        <v>1858</v>
      </c>
      <c r="P3278" s="56"/>
    </row>
    <row r="3279" spans="1:16" ht="15.75" customHeight="1" x14ac:dyDescent="0.2">
      <c r="A3279" s="48">
        <v>3079</v>
      </c>
      <c r="B3279" s="11" t="s">
        <v>1857</v>
      </c>
      <c r="C3279" s="11" t="s">
        <v>1849</v>
      </c>
      <c r="D3279" s="6" t="s">
        <v>1850</v>
      </c>
      <c r="E3279" s="11" t="s">
        <v>6642</v>
      </c>
      <c r="F3279" s="12" t="s">
        <v>7345</v>
      </c>
      <c r="G3279" s="12" t="s">
        <v>7384</v>
      </c>
      <c r="H3279" s="12" t="s">
        <v>7440</v>
      </c>
      <c r="I3279" s="12" t="s">
        <v>7441</v>
      </c>
      <c r="J3279" s="11" t="s">
        <v>1856</v>
      </c>
      <c r="K3279" s="11" t="s">
        <v>1852</v>
      </c>
      <c r="L3279" s="11" t="s">
        <v>1853</v>
      </c>
      <c r="M3279" s="11" t="s">
        <v>7442</v>
      </c>
      <c r="N3279" s="12" t="s">
        <v>7443</v>
      </c>
      <c r="O3279" s="11" t="s">
        <v>2755</v>
      </c>
      <c r="P3279" s="56"/>
    </row>
    <row r="3280" spans="1:16" ht="15.75" customHeight="1" x14ac:dyDescent="0.2">
      <c r="A3280" s="48">
        <v>3360</v>
      </c>
      <c r="B3280" s="11" t="s">
        <v>1857</v>
      </c>
      <c r="C3280" s="11" t="s">
        <v>1849</v>
      </c>
      <c r="D3280" s="6" t="s">
        <v>1850</v>
      </c>
      <c r="E3280" s="11" t="s">
        <v>6642</v>
      </c>
      <c r="F3280" s="12" t="s">
        <v>7345</v>
      </c>
      <c r="G3280" s="12" t="s">
        <v>7346</v>
      </c>
      <c r="H3280" s="12" t="s">
        <v>7444</v>
      </c>
      <c r="I3280" s="12" t="s">
        <v>7445</v>
      </c>
      <c r="J3280" s="11" t="s">
        <v>1856</v>
      </c>
      <c r="K3280" s="11" t="s">
        <v>1852</v>
      </c>
      <c r="L3280" s="11" t="s">
        <v>1853</v>
      </c>
      <c r="M3280" s="11" t="s">
        <v>4326</v>
      </c>
      <c r="N3280" s="12" t="s">
        <v>7446</v>
      </c>
      <c r="O3280" s="11" t="s">
        <v>1860</v>
      </c>
      <c r="P3280" s="56"/>
    </row>
    <row r="3281" spans="1:16" ht="15.75" customHeight="1" x14ac:dyDescent="0.2">
      <c r="A3281" s="48">
        <v>3225</v>
      </c>
      <c r="B3281" s="11" t="s">
        <v>1857</v>
      </c>
      <c r="C3281" s="11" t="s">
        <v>1849</v>
      </c>
      <c r="D3281" s="6" t="s">
        <v>1850</v>
      </c>
      <c r="E3281" s="11" t="s">
        <v>6642</v>
      </c>
      <c r="F3281" s="12" t="s">
        <v>7345</v>
      </c>
      <c r="G3281" s="12" t="s">
        <v>5198</v>
      </c>
      <c r="H3281" s="12" t="s">
        <v>5198</v>
      </c>
      <c r="I3281" s="12" t="s">
        <v>7447</v>
      </c>
      <c r="J3281" s="11" t="s">
        <v>1856</v>
      </c>
      <c r="K3281" s="11" t="s">
        <v>1852</v>
      </c>
      <c r="L3281" s="11" t="s">
        <v>1853</v>
      </c>
      <c r="M3281" s="11" t="s">
        <v>7448</v>
      </c>
      <c r="N3281" s="12" t="s">
        <v>7449</v>
      </c>
      <c r="O3281" s="11" t="s">
        <v>1859</v>
      </c>
      <c r="P3281" s="56"/>
    </row>
    <row r="3282" spans="1:16" ht="15.75" customHeight="1" x14ac:dyDescent="0.2">
      <c r="A3282" s="48">
        <v>3208</v>
      </c>
      <c r="B3282" s="11" t="s">
        <v>1857</v>
      </c>
      <c r="C3282" s="11" t="s">
        <v>1849</v>
      </c>
      <c r="D3282" s="6" t="s">
        <v>1850</v>
      </c>
      <c r="E3282" s="11" t="s">
        <v>6642</v>
      </c>
      <c r="F3282" s="12" t="s">
        <v>7345</v>
      </c>
      <c r="G3282" s="12" t="s">
        <v>5198</v>
      </c>
      <c r="H3282" s="12" t="s">
        <v>5198</v>
      </c>
      <c r="I3282" s="12" t="s">
        <v>7450</v>
      </c>
      <c r="J3282" s="11" t="s">
        <v>1856</v>
      </c>
      <c r="K3282" s="11" t="s">
        <v>1852</v>
      </c>
      <c r="L3282" s="11" t="s">
        <v>1853</v>
      </c>
      <c r="M3282" s="11" t="s">
        <v>7451</v>
      </c>
      <c r="N3282" s="12" t="s">
        <v>7452</v>
      </c>
      <c r="O3282" s="11" t="s">
        <v>1859</v>
      </c>
      <c r="P3282" s="56"/>
    </row>
    <row r="3283" spans="1:16" ht="15.75" customHeight="1" x14ac:dyDescent="0.2">
      <c r="A3283" s="48">
        <v>5050</v>
      </c>
      <c r="B3283" s="11" t="s">
        <v>1857</v>
      </c>
      <c r="C3283" s="11" t="s">
        <v>1849</v>
      </c>
      <c r="D3283" s="6" t="s">
        <v>1850</v>
      </c>
      <c r="E3283" s="11" t="s">
        <v>6642</v>
      </c>
      <c r="F3283" s="12" t="s">
        <v>7345</v>
      </c>
      <c r="G3283" s="12" t="s">
        <v>5198</v>
      </c>
      <c r="H3283" s="12" t="s">
        <v>7373</v>
      </c>
      <c r="I3283" s="12" t="s">
        <v>7453</v>
      </c>
      <c r="J3283" s="11" t="s">
        <v>2246</v>
      </c>
      <c r="K3283" s="11" t="s">
        <v>2247</v>
      </c>
      <c r="L3283" s="11" t="s">
        <v>7375</v>
      </c>
      <c r="M3283" s="11" t="s">
        <v>7353</v>
      </c>
      <c r="N3283" s="12"/>
      <c r="O3283" s="11" t="s">
        <v>1859</v>
      </c>
      <c r="P3283" s="56"/>
    </row>
    <row r="3284" spans="1:16" ht="15.75" customHeight="1" x14ac:dyDescent="0.2">
      <c r="A3284" s="48">
        <v>3076</v>
      </c>
      <c r="B3284" s="11" t="s">
        <v>1857</v>
      </c>
      <c r="C3284" s="11" t="s">
        <v>1849</v>
      </c>
      <c r="D3284" s="6" t="s">
        <v>1850</v>
      </c>
      <c r="E3284" s="11" t="s">
        <v>6642</v>
      </c>
      <c r="F3284" s="12" t="s">
        <v>7345</v>
      </c>
      <c r="G3284" s="12" t="s">
        <v>7384</v>
      </c>
      <c r="H3284" s="12" t="s">
        <v>7454</v>
      </c>
      <c r="I3284" s="12" t="s">
        <v>3055</v>
      </c>
      <c r="J3284" s="11" t="s">
        <v>1856</v>
      </c>
      <c r="K3284" s="11" t="s">
        <v>1852</v>
      </c>
      <c r="L3284" s="11" t="s">
        <v>1853</v>
      </c>
      <c r="M3284" s="11" t="s">
        <v>7455</v>
      </c>
      <c r="N3284" s="12" t="s">
        <v>7456</v>
      </c>
      <c r="O3284" s="11" t="s">
        <v>1859</v>
      </c>
      <c r="P3284" s="56"/>
    </row>
    <row r="3285" spans="1:16" ht="15.75" customHeight="1" x14ac:dyDescent="0.2">
      <c r="A3285" s="48">
        <v>3077</v>
      </c>
      <c r="B3285" s="11" t="s">
        <v>1857</v>
      </c>
      <c r="C3285" s="11" t="s">
        <v>1849</v>
      </c>
      <c r="D3285" s="6" t="s">
        <v>1850</v>
      </c>
      <c r="E3285" s="11" t="s">
        <v>6642</v>
      </c>
      <c r="F3285" s="12" t="s">
        <v>7345</v>
      </c>
      <c r="G3285" s="12" t="s">
        <v>7384</v>
      </c>
      <c r="H3285" s="12" t="s">
        <v>7457</v>
      </c>
      <c r="I3285" s="12" t="s">
        <v>7458</v>
      </c>
      <c r="J3285" s="11" t="s">
        <v>1856</v>
      </c>
      <c r="K3285" s="11" t="s">
        <v>1852</v>
      </c>
      <c r="L3285" s="11" t="s">
        <v>1853</v>
      </c>
      <c r="M3285" s="11" t="s">
        <v>1854</v>
      </c>
      <c r="N3285" s="12"/>
      <c r="O3285" s="11" t="s">
        <v>1860</v>
      </c>
      <c r="P3285" s="56"/>
    </row>
    <row r="3286" spans="1:16" ht="15.75" customHeight="1" x14ac:dyDescent="0.2">
      <c r="A3286" s="48">
        <v>3078</v>
      </c>
      <c r="B3286" s="11" t="s">
        <v>1857</v>
      </c>
      <c r="C3286" s="11" t="s">
        <v>1849</v>
      </c>
      <c r="D3286" s="6" t="s">
        <v>1850</v>
      </c>
      <c r="E3286" s="11" t="s">
        <v>6642</v>
      </c>
      <c r="F3286" s="12" t="s">
        <v>7345</v>
      </c>
      <c r="G3286" s="12" t="s">
        <v>7384</v>
      </c>
      <c r="H3286" s="12" t="s">
        <v>7459</v>
      </c>
      <c r="I3286" s="12" t="s">
        <v>3060</v>
      </c>
      <c r="J3286" s="11" t="s">
        <v>1856</v>
      </c>
      <c r="K3286" s="11" t="s">
        <v>1852</v>
      </c>
      <c r="L3286" s="11" t="s">
        <v>1853</v>
      </c>
      <c r="M3286" s="11" t="s">
        <v>6928</v>
      </c>
      <c r="N3286" s="12" t="s">
        <v>7460</v>
      </c>
      <c r="O3286" s="11" t="s">
        <v>1859</v>
      </c>
      <c r="P3286" s="56"/>
    </row>
    <row r="3287" spans="1:16" ht="15.75" customHeight="1" x14ac:dyDescent="0.2">
      <c r="A3287" s="48">
        <v>3348</v>
      </c>
      <c r="B3287" s="11" t="s">
        <v>1857</v>
      </c>
      <c r="C3287" s="11" t="s">
        <v>1849</v>
      </c>
      <c r="D3287" s="6" t="s">
        <v>1850</v>
      </c>
      <c r="E3287" s="11" t="s">
        <v>6642</v>
      </c>
      <c r="F3287" s="12" t="s">
        <v>7345</v>
      </c>
      <c r="G3287" s="12" t="s">
        <v>7346</v>
      </c>
      <c r="H3287" s="12" t="s">
        <v>7461</v>
      </c>
      <c r="I3287" s="12" t="s">
        <v>3884</v>
      </c>
      <c r="J3287" s="11" t="s">
        <v>1856</v>
      </c>
      <c r="K3287" s="11" t="s">
        <v>1852</v>
      </c>
      <c r="L3287" s="11" t="s">
        <v>1853</v>
      </c>
      <c r="M3287" s="11" t="s">
        <v>7462</v>
      </c>
      <c r="N3287" s="12" t="s">
        <v>7463</v>
      </c>
      <c r="O3287" s="11" t="s">
        <v>1859</v>
      </c>
      <c r="P3287" s="56"/>
    </row>
    <row r="3288" spans="1:16" ht="15.75" customHeight="1" x14ac:dyDescent="0.2">
      <c r="A3288" s="48">
        <v>3256</v>
      </c>
      <c r="B3288" s="11" t="s">
        <v>1857</v>
      </c>
      <c r="C3288" s="11" t="s">
        <v>1849</v>
      </c>
      <c r="D3288" s="6" t="s">
        <v>1850</v>
      </c>
      <c r="E3288" s="11" t="s">
        <v>6642</v>
      </c>
      <c r="F3288" s="12" t="s">
        <v>7345</v>
      </c>
      <c r="G3288" s="12" t="s">
        <v>5198</v>
      </c>
      <c r="H3288" s="12" t="s">
        <v>7352</v>
      </c>
      <c r="I3288" s="12" t="s">
        <v>7464</v>
      </c>
      <c r="J3288" s="11" t="s">
        <v>1856</v>
      </c>
      <c r="K3288" s="11" t="s">
        <v>1852</v>
      </c>
      <c r="L3288" s="11" t="s">
        <v>1853</v>
      </c>
      <c r="M3288" s="11" t="s">
        <v>7353</v>
      </c>
      <c r="N3288" s="12"/>
      <c r="O3288" s="11" t="s">
        <v>1859</v>
      </c>
      <c r="P3288" s="56"/>
    </row>
    <row r="3289" spans="1:16" ht="15.75" customHeight="1" x14ac:dyDescent="0.2">
      <c r="A3289" s="48">
        <v>3258</v>
      </c>
      <c r="B3289" s="11" t="s">
        <v>1857</v>
      </c>
      <c r="C3289" s="11" t="s">
        <v>1849</v>
      </c>
      <c r="D3289" s="6" t="s">
        <v>1850</v>
      </c>
      <c r="E3289" s="11" t="s">
        <v>6642</v>
      </c>
      <c r="F3289" s="12" t="s">
        <v>7345</v>
      </c>
      <c r="G3289" s="12" t="s">
        <v>5198</v>
      </c>
      <c r="H3289" s="12" t="s">
        <v>7350</v>
      </c>
      <c r="I3289" s="12" t="s">
        <v>7465</v>
      </c>
      <c r="J3289" s="11" t="s">
        <v>1856</v>
      </c>
      <c r="K3289" s="11" t="s">
        <v>1852</v>
      </c>
      <c r="L3289" s="11" t="s">
        <v>1853</v>
      </c>
      <c r="M3289" s="11" t="s">
        <v>7466</v>
      </c>
      <c r="N3289" s="12"/>
      <c r="O3289" s="11" t="s">
        <v>1859</v>
      </c>
      <c r="P3289" s="56"/>
    </row>
    <row r="3290" spans="1:16" ht="15.75" customHeight="1" x14ac:dyDescent="0.2">
      <c r="A3290" s="48">
        <v>3246</v>
      </c>
      <c r="B3290" s="11" t="s">
        <v>1857</v>
      </c>
      <c r="C3290" s="11" t="s">
        <v>1849</v>
      </c>
      <c r="D3290" s="6" t="s">
        <v>1850</v>
      </c>
      <c r="E3290" s="11" t="s">
        <v>6642</v>
      </c>
      <c r="F3290" s="12" t="s">
        <v>7345</v>
      </c>
      <c r="G3290" s="12" t="s">
        <v>5198</v>
      </c>
      <c r="H3290" s="12" t="s">
        <v>7350</v>
      </c>
      <c r="I3290" s="12" t="s">
        <v>7467</v>
      </c>
      <c r="J3290" s="11" t="s">
        <v>1856</v>
      </c>
      <c r="K3290" s="11" t="s">
        <v>1852</v>
      </c>
      <c r="L3290" s="11" t="s">
        <v>1853</v>
      </c>
      <c r="M3290" s="11" t="s">
        <v>6876</v>
      </c>
      <c r="N3290" s="12" t="s">
        <v>7468</v>
      </c>
      <c r="O3290" s="11" t="s">
        <v>1858</v>
      </c>
      <c r="P3290" s="56"/>
    </row>
    <row r="3291" spans="1:16" ht="15.75" customHeight="1" x14ac:dyDescent="0.2">
      <c r="A3291" s="48">
        <v>3329</v>
      </c>
      <c r="B3291" s="11" t="s">
        <v>1857</v>
      </c>
      <c r="C3291" s="11" t="s">
        <v>1849</v>
      </c>
      <c r="D3291" s="6" t="s">
        <v>1850</v>
      </c>
      <c r="E3291" s="11" t="s">
        <v>6642</v>
      </c>
      <c r="F3291" s="12" t="s">
        <v>7345</v>
      </c>
      <c r="G3291" s="12" t="s">
        <v>5198</v>
      </c>
      <c r="H3291" s="12" t="s">
        <v>7378</v>
      </c>
      <c r="I3291" s="12" t="s">
        <v>7469</v>
      </c>
      <c r="J3291" s="11" t="s">
        <v>1856</v>
      </c>
      <c r="K3291" s="11" t="s">
        <v>1852</v>
      </c>
      <c r="L3291" s="11" t="s">
        <v>1853</v>
      </c>
      <c r="M3291" s="11" t="s">
        <v>7353</v>
      </c>
      <c r="N3291" s="12" t="s">
        <v>7470</v>
      </c>
      <c r="O3291" s="11" t="s">
        <v>1859</v>
      </c>
      <c r="P3291" s="56"/>
    </row>
    <row r="3292" spans="1:16" ht="15.75" customHeight="1" x14ac:dyDescent="0.2">
      <c r="A3292" s="48">
        <v>3298</v>
      </c>
      <c r="B3292" s="11" t="s">
        <v>1857</v>
      </c>
      <c r="C3292" s="11" t="s">
        <v>1849</v>
      </c>
      <c r="D3292" s="6" t="s">
        <v>1850</v>
      </c>
      <c r="E3292" s="11" t="s">
        <v>6642</v>
      </c>
      <c r="F3292" s="12" t="s">
        <v>7345</v>
      </c>
      <c r="G3292" s="12" t="s">
        <v>5198</v>
      </c>
      <c r="H3292" s="12" t="s">
        <v>7350</v>
      </c>
      <c r="I3292" s="12" t="s">
        <v>7471</v>
      </c>
      <c r="J3292" s="11" t="s">
        <v>1856</v>
      </c>
      <c r="K3292" s="11" t="s">
        <v>1852</v>
      </c>
      <c r="L3292" s="11" t="s">
        <v>1853</v>
      </c>
      <c r="M3292" s="11" t="s">
        <v>1854</v>
      </c>
      <c r="N3292" s="12"/>
      <c r="O3292" s="11" t="s">
        <v>1859</v>
      </c>
      <c r="P3292" s="56"/>
    </row>
    <row r="3293" spans="1:16" ht="15.75" customHeight="1" x14ac:dyDescent="0.2">
      <c r="A3293" s="48">
        <v>3259</v>
      </c>
      <c r="B3293" s="11" t="s">
        <v>1857</v>
      </c>
      <c r="C3293" s="11" t="s">
        <v>1849</v>
      </c>
      <c r="D3293" s="6" t="s">
        <v>1850</v>
      </c>
      <c r="E3293" s="11" t="s">
        <v>6642</v>
      </c>
      <c r="F3293" s="12" t="s">
        <v>7345</v>
      </c>
      <c r="G3293" s="12" t="s">
        <v>5198</v>
      </c>
      <c r="H3293" s="12" t="s">
        <v>7350</v>
      </c>
      <c r="I3293" s="12" t="s">
        <v>7472</v>
      </c>
      <c r="J3293" s="11" t="s">
        <v>1856</v>
      </c>
      <c r="K3293" s="11" t="s">
        <v>1852</v>
      </c>
      <c r="L3293" s="11" t="s">
        <v>1853</v>
      </c>
      <c r="M3293" s="11" t="s">
        <v>7351</v>
      </c>
      <c r="N3293" s="12"/>
      <c r="O3293" s="11" t="s">
        <v>1859</v>
      </c>
      <c r="P3293" s="56"/>
    </row>
    <row r="3294" spans="1:16" ht="15.75" customHeight="1" x14ac:dyDescent="0.2">
      <c r="A3294" s="48">
        <v>3229</v>
      </c>
      <c r="B3294" s="11" t="s">
        <v>1857</v>
      </c>
      <c r="C3294" s="11" t="s">
        <v>1849</v>
      </c>
      <c r="D3294" s="6" t="s">
        <v>1850</v>
      </c>
      <c r="E3294" s="11" t="s">
        <v>6642</v>
      </c>
      <c r="F3294" s="12" t="s">
        <v>7345</v>
      </c>
      <c r="G3294" s="12" t="s">
        <v>5198</v>
      </c>
      <c r="H3294" s="12" t="s">
        <v>5198</v>
      </c>
      <c r="I3294" s="12" t="s">
        <v>7473</v>
      </c>
      <c r="J3294" s="11" t="s">
        <v>1856</v>
      </c>
      <c r="K3294" s="11" t="s">
        <v>1852</v>
      </c>
      <c r="L3294" s="11" t="s">
        <v>1853</v>
      </c>
      <c r="M3294" s="11" t="s">
        <v>7474</v>
      </c>
      <c r="N3294" s="12" t="s">
        <v>7475</v>
      </c>
      <c r="O3294" s="11" t="s">
        <v>1859</v>
      </c>
      <c r="P3294" s="56"/>
    </row>
    <row r="3295" spans="1:16" ht="15.75" customHeight="1" x14ac:dyDescent="0.2">
      <c r="A3295" s="48">
        <v>3234</v>
      </c>
      <c r="B3295" s="11" t="s">
        <v>1857</v>
      </c>
      <c r="C3295" s="11" t="s">
        <v>1849</v>
      </c>
      <c r="D3295" s="6" t="s">
        <v>1850</v>
      </c>
      <c r="E3295" s="11" t="s">
        <v>6642</v>
      </c>
      <c r="F3295" s="12" t="s">
        <v>7345</v>
      </c>
      <c r="G3295" s="12" t="s">
        <v>5198</v>
      </c>
      <c r="H3295" s="12" t="s">
        <v>5198</v>
      </c>
      <c r="I3295" s="12" t="s">
        <v>7476</v>
      </c>
      <c r="J3295" s="11" t="s">
        <v>1856</v>
      </c>
      <c r="K3295" s="11" t="s">
        <v>1852</v>
      </c>
      <c r="L3295" s="11" t="s">
        <v>1853</v>
      </c>
      <c r="M3295" s="11" t="s">
        <v>7477</v>
      </c>
      <c r="N3295" s="12" t="s">
        <v>7478</v>
      </c>
      <c r="O3295" s="11" t="s">
        <v>2755</v>
      </c>
      <c r="P3295" s="56"/>
    </row>
    <row r="3296" spans="1:16" ht="15.75" customHeight="1" x14ac:dyDescent="0.2">
      <c r="A3296" s="48">
        <v>3305</v>
      </c>
      <c r="B3296" s="11" t="s">
        <v>1857</v>
      </c>
      <c r="C3296" s="11" t="s">
        <v>1849</v>
      </c>
      <c r="D3296" s="6" t="s">
        <v>1850</v>
      </c>
      <c r="E3296" s="11" t="s">
        <v>6642</v>
      </c>
      <c r="F3296" s="12" t="s">
        <v>7345</v>
      </c>
      <c r="G3296" s="12" t="s">
        <v>5198</v>
      </c>
      <c r="H3296" s="12" t="s">
        <v>7350</v>
      </c>
      <c r="I3296" s="12" t="s">
        <v>7479</v>
      </c>
      <c r="J3296" s="11" t="s">
        <v>2246</v>
      </c>
      <c r="K3296" s="11" t="s">
        <v>1852</v>
      </c>
      <c r="L3296" s="11" t="s">
        <v>1853</v>
      </c>
      <c r="M3296" s="11" t="s">
        <v>7480</v>
      </c>
      <c r="N3296" s="12" t="s">
        <v>7481</v>
      </c>
      <c r="O3296" s="11" t="s">
        <v>1859</v>
      </c>
      <c r="P3296" s="56"/>
    </row>
    <row r="3297" spans="1:16" ht="15.75" customHeight="1" x14ac:dyDescent="0.2">
      <c r="A3297" s="48">
        <v>3304</v>
      </c>
      <c r="B3297" s="11" t="s">
        <v>1857</v>
      </c>
      <c r="C3297" s="11" t="s">
        <v>1849</v>
      </c>
      <c r="D3297" s="6" t="s">
        <v>1850</v>
      </c>
      <c r="E3297" s="11" t="s">
        <v>6642</v>
      </c>
      <c r="F3297" s="12" t="s">
        <v>7345</v>
      </c>
      <c r="G3297" s="12" t="s">
        <v>5198</v>
      </c>
      <c r="H3297" s="12" t="s">
        <v>7350</v>
      </c>
      <c r="I3297" s="12" t="s">
        <v>7482</v>
      </c>
      <c r="J3297" s="11" t="s">
        <v>1856</v>
      </c>
      <c r="K3297" s="11" t="s">
        <v>1852</v>
      </c>
      <c r="L3297" s="11" t="s">
        <v>1853</v>
      </c>
      <c r="M3297" s="11" t="s">
        <v>7483</v>
      </c>
      <c r="N3297" s="12" t="s">
        <v>7484</v>
      </c>
      <c r="O3297" s="11" t="s">
        <v>1858</v>
      </c>
      <c r="P3297" s="56"/>
    </row>
    <row r="3298" spans="1:16" ht="15.75" customHeight="1" x14ac:dyDescent="0.2">
      <c r="A3298" s="48">
        <v>3358</v>
      </c>
      <c r="B3298" s="11" t="s">
        <v>1857</v>
      </c>
      <c r="C3298" s="11" t="s">
        <v>1849</v>
      </c>
      <c r="D3298" s="6" t="s">
        <v>1850</v>
      </c>
      <c r="E3298" s="11" t="s">
        <v>6642</v>
      </c>
      <c r="F3298" s="12" t="s">
        <v>7345</v>
      </c>
      <c r="G3298" s="12" t="s">
        <v>7346</v>
      </c>
      <c r="H3298" s="12" t="s">
        <v>7444</v>
      </c>
      <c r="I3298" s="12" t="s">
        <v>7485</v>
      </c>
      <c r="J3298" s="11" t="s">
        <v>2246</v>
      </c>
      <c r="K3298" s="11" t="s">
        <v>1852</v>
      </c>
      <c r="L3298" s="11" t="s">
        <v>7391</v>
      </c>
      <c r="M3298" s="11" t="s">
        <v>7486</v>
      </c>
      <c r="N3298" s="12" t="s">
        <v>7487</v>
      </c>
      <c r="O3298" s="11" t="s">
        <v>1860</v>
      </c>
      <c r="P3298" s="56"/>
    </row>
    <row r="3299" spans="1:16" ht="15.75" customHeight="1" x14ac:dyDescent="0.2">
      <c r="A3299" s="48">
        <v>3330</v>
      </c>
      <c r="B3299" s="11" t="s">
        <v>1857</v>
      </c>
      <c r="C3299" s="11" t="s">
        <v>1849</v>
      </c>
      <c r="D3299" s="6" t="s">
        <v>1850</v>
      </c>
      <c r="E3299" s="11" t="s">
        <v>6642</v>
      </c>
      <c r="F3299" s="12" t="s">
        <v>7345</v>
      </c>
      <c r="G3299" s="12" t="s">
        <v>5198</v>
      </c>
      <c r="H3299" s="12" t="s">
        <v>7404</v>
      </c>
      <c r="I3299" s="12" t="s">
        <v>7488</v>
      </c>
      <c r="J3299" s="11" t="s">
        <v>1856</v>
      </c>
      <c r="K3299" s="11" t="s">
        <v>1852</v>
      </c>
      <c r="L3299" s="11" t="s">
        <v>1853</v>
      </c>
      <c r="M3299" s="11" t="s">
        <v>7425</v>
      </c>
      <c r="N3299" s="12" t="s">
        <v>7489</v>
      </c>
      <c r="O3299" s="11" t="s">
        <v>1859</v>
      </c>
      <c r="P3299" s="56"/>
    </row>
    <row r="3300" spans="1:16" ht="15.75" customHeight="1" x14ac:dyDescent="0.2">
      <c r="A3300" s="48">
        <v>4986</v>
      </c>
      <c r="B3300" s="11" t="s">
        <v>1857</v>
      </c>
      <c r="C3300" s="11" t="s">
        <v>1849</v>
      </c>
      <c r="D3300" s="6" t="s">
        <v>1850</v>
      </c>
      <c r="E3300" s="11" t="s">
        <v>6642</v>
      </c>
      <c r="F3300" s="12" t="s">
        <v>7345</v>
      </c>
      <c r="G3300" s="12" t="s">
        <v>5198</v>
      </c>
      <c r="H3300" s="12" t="s">
        <v>7373</v>
      </c>
      <c r="I3300" s="12" t="s">
        <v>7490</v>
      </c>
      <c r="J3300" s="11" t="s">
        <v>2246</v>
      </c>
      <c r="K3300" s="11" t="s">
        <v>2247</v>
      </c>
      <c r="L3300" s="11" t="s">
        <v>7375</v>
      </c>
      <c r="M3300" s="11" t="s">
        <v>7353</v>
      </c>
      <c r="N3300" s="12"/>
      <c r="O3300" s="11" t="s">
        <v>1858</v>
      </c>
      <c r="P3300" s="56"/>
    </row>
    <row r="3301" spans="1:16" ht="15.75" customHeight="1" x14ac:dyDescent="0.2">
      <c r="A3301" s="48">
        <v>3356</v>
      </c>
      <c r="B3301" s="11" t="s">
        <v>1857</v>
      </c>
      <c r="C3301" s="11" t="s">
        <v>1849</v>
      </c>
      <c r="D3301" s="6" t="s">
        <v>1850</v>
      </c>
      <c r="E3301" s="11" t="s">
        <v>6642</v>
      </c>
      <c r="F3301" s="12" t="s">
        <v>7345</v>
      </c>
      <c r="G3301" s="12" t="s">
        <v>7346</v>
      </c>
      <c r="H3301" s="12" t="s">
        <v>7461</v>
      </c>
      <c r="I3301" s="12" t="s">
        <v>7491</v>
      </c>
      <c r="J3301" s="11" t="s">
        <v>1856</v>
      </c>
      <c r="K3301" s="11" t="s">
        <v>1852</v>
      </c>
      <c r="L3301" s="11" t="s">
        <v>1853</v>
      </c>
      <c r="M3301" s="11" t="s">
        <v>7353</v>
      </c>
      <c r="N3301" s="12"/>
      <c r="O3301" s="11" t="s">
        <v>1859</v>
      </c>
      <c r="P3301" s="56"/>
    </row>
    <row r="3302" spans="1:16" ht="15.75" customHeight="1" x14ac:dyDescent="0.2">
      <c r="A3302" s="48">
        <v>3357</v>
      </c>
      <c r="B3302" s="11" t="s">
        <v>1857</v>
      </c>
      <c r="C3302" s="11" t="s">
        <v>1849</v>
      </c>
      <c r="D3302" s="6" t="s">
        <v>1850</v>
      </c>
      <c r="E3302" s="11" t="s">
        <v>6642</v>
      </c>
      <c r="F3302" s="12" t="s">
        <v>7345</v>
      </c>
      <c r="G3302" s="12" t="s">
        <v>7346</v>
      </c>
      <c r="H3302" s="12" t="s">
        <v>7461</v>
      </c>
      <c r="I3302" s="12" t="s">
        <v>7492</v>
      </c>
      <c r="J3302" s="11" t="s">
        <v>1856</v>
      </c>
      <c r="K3302" s="11" t="s">
        <v>1852</v>
      </c>
      <c r="L3302" s="11" t="s">
        <v>1853</v>
      </c>
      <c r="M3302" s="11" t="s">
        <v>7493</v>
      </c>
      <c r="N3302" s="12" t="s">
        <v>7494</v>
      </c>
      <c r="O3302" s="11" t="s">
        <v>1859</v>
      </c>
      <c r="P3302" s="56"/>
    </row>
    <row r="3303" spans="1:16" ht="15.75" customHeight="1" x14ac:dyDescent="0.2">
      <c r="A3303" s="48">
        <v>3345</v>
      </c>
      <c r="B3303" s="11" t="s">
        <v>1857</v>
      </c>
      <c r="C3303" s="11" t="s">
        <v>1849</v>
      </c>
      <c r="D3303" s="6" t="s">
        <v>1850</v>
      </c>
      <c r="E3303" s="11" t="s">
        <v>6642</v>
      </c>
      <c r="F3303" s="12" t="s">
        <v>7345</v>
      </c>
      <c r="G3303" s="12" t="s">
        <v>5198</v>
      </c>
      <c r="H3303" s="12" t="s">
        <v>7352</v>
      </c>
      <c r="I3303" s="12" t="s">
        <v>7495</v>
      </c>
      <c r="J3303" s="11" t="s">
        <v>1856</v>
      </c>
      <c r="K3303" s="11" t="s">
        <v>1852</v>
      </c>
      <c r="L3303" s="11" t="s">
        <v>1853</v>
      </c>
      <c r="M3303" s="11" t="s">
        <v>7353</v>
      </c>
      <c r="N3303" s="12"/>
      <c r="O3303" s="11" t="s">
        <v>1859</v>
      </c>
      <c r="P3303" s="56"/>
    </row>
    <row r="3304" spans="1:16" ht="15.75" customHeight="1" x14ac:dyDescent="0.2">
      <c r="A3304" s="48">
        <v>5837</v>
      </c>
      <c r="B3304" s="11" t="s">
        <v>1857</v>
      </c>
      <c r="C3304" s="11" t="s">
        <v>1849</v>
      </c>
      <c r="D3304" s="6" t="s">
        <v>1850</v>
      </c>
      <c r="E3304" s="11" t="s">
        <v>6642</v>
      </c>
      <c r="F3304" s="12" t="s">
        <v>7345</v>
      </c>
      <c r="G3304" s="12" t="s">
        <v>5198</v>
      </c>
      <c r="H3304" s="12" t="s">
        <v>7352</v>
      </c>
      <c r="I3304" s="12" t="s">
        <v>7496</v>
      </c>
      <c r="J3304" s="11" t="s">
        <v>1856</v>
      </c>
      <c r="K3304" s="11" t="s">
        <v>1852</v>
      </c>
      <c r="L3304" s="11" t="s">
        <v>1853</v>
      </c>
      <c r="M3304" s="11" t="s">
        <v>7497</v>
      </c>
      <c r="N3304" s="12" t="s">
        <v>7498</v>
      </c>
      <c r="O3304" s="11" t="s">
        <v>1860</v>
      </c>
      <c r="P3304" s="56"/>
    </row>
    <row r="3305" spans="1:16" ht="15.75" customHeight="1" x14ac:dyDescent="0.2">
      <c r="A3305" s="48">
        <v>4987</v>
      </c>
      <c r="B3305" s="11" t="s">
        <v>1857</v>
      </c>
      <c r="C3305" s="11" t="s">
        <v>1849</v>
      </c>
      <c r="D3305" s="6" t="s">
        <v>1850</v>
      </c>
      <c r="E3305" s="11" t="s">
        <v>6642</v>
      </c>
      <c r="F3305" s="12" t="s">
        <v>7345</v>
      </c>
      <c r="G3305" s="12" t="s">
        <v>5198</v>
      </c>
      <c r="H3305" s="12" t="s">
        <v>7352</v>
      </c>
      <c r="I3305" s="12" t="s">
        <v>7499</v>
      </c>
      <c r="J3305" s="11" t="s">
        <v>1856</v>
      </c>
      <c r="K3305" s="11" t="s">
        <v>1852</v>
      </c>
      <c r="L3305" s="11" t="s">
        <v>1853</v>
      </c>
      <c r="M3305" s="11" t="s">
        <v>7353</v>
      </c>
      <c r="N3305" s="12"/>
      <c r="O3305" s="11" t="s">
        <v>1859</v>
      </c>
      <c r="P3305" s="56"/>
    </row>
    <row r="3306" spans="1:16" ht="15.75" customHeight="1" x14ac:dyDescent="0.2">
      <c r="A3306" s="48">
        <v>3310</v>
      </c>
      <c r="B3306" s="11" t="s">
        <v>1857</v>
      </c>
      <c r="C3306" s="11" t="s">
        <v>1849</v>
      </c>
      <c r="D3306" s="6" t="s">
        <v>1850</v>
      </c>
      <c r="E3306" s="11" t="s">
        <v>6642</v>
      </c>
      <c r="F3306" s="12" t="s">
        <v>7345</v>
      </c>
      <c r="G3306" s="12" t="s">
        <v>5198</v>
      </c>
      <c r="H3306" s="12" t="s">
        <v>7373</v>
      </c>
      <c r="I3306" s="12" t="s">
        <v>7500</v>
      </c>
      <c r="J3306" s="11" t="s">
        <v>2246</v>
      </c>
      <c r="K3306" s="11" t="s">
        <v>2247</v>
      </c>
      <c r="L3306" s="11" t="s">
        <v>7375</v>
      </c>
      <c r="M3306" s="11" t="s">
        <v>7353</v>
      </c>
      <c r="N3306" s="12"/>
      <c r="O3306" s="11" t="s">
        <v>1858</v>
      </c>
      <c r="P3306" s="56"/>
    </row>
    <row r="3307" spans="1:16" ht="15.75" customHeight="1" x14ac:dyDescent="0.2">
      <c r="A3307" s="48">
        <v>3346</v>
      </c>
      <c r="B3307" s="11" t="s">
        <v>1857</v>
      </c>
      <c r="C3307" s="11" t="s">
        <v>1849</v>
      </c>
      <c r="D3307" s="6" t="s">
        <v>1850</v>
      </c>
      <c r="E3307" s="11" t="s">
        <v>6642</v>
      </c>
      <c r="F3307" s="12" t="s">
        <v>7345</v>
      </c>
      <c r="G3307" s="12" t="s">
        <v>5198</v>
      </c>
      <c r="H3307" s="12" t="s">
        <v>7373</v>
      </c>
      <c r="I3307" s="12" t="s">
        <v>7501</v>
      </c>
      <c r="J3307" s="11" t="s">
        <v>2246</v>
      </c>
      <c r="K3307" s="11" t="s">
        <v>2247</v>
      </c>
      <c r="L3307" s="11" t="s">
        <v>7375</v>
      </c>
      <c r="M3307" s="11" t="s">
        <v>7353</v>
      </c>
      <c r="N3307" s="12"/>
      <c r="O3307" s="11" t="s">
        <v>1860</v>
      </c>
      <c r="P3307" s="56"/>
    </row>
    <row r="3308" spans="1:16" ht="15.75" customHeight="1" x14ac:dyDescent="0.2">
      <c r="A3308" s="48">
        <v>3271</v>
      </c>
      <c r="B3308" s="11" t="s">
        <v>1857</v>
      </c>
      <c r="C3308" s="11" t="s">
        <v>1849</v>
      </c>
      <c r="D3308" s="6" t="s">
        <v>1850</v>
      </c>
      <c r="E3308" s="11" t="s">
        <v>6642</v>
      </c>
      <c r="F3308" s="12" t="s">
        <v>7345</v>
      </c>
      <c r="G3308" s="12" t="s">
        <v>5198</v>
      </c>
      <c r="H3308" s="12" t="s">
        <v>7352</v>
      </c>
      <c r="I3308" s="12" t="s">
        <v>7502</v>
      </c>
      <c r="J3308" s="11" t="s">
        <v>1856</v>
      </c>
      <c r="K3308" s="11" t="s">
        <v>1852</v>
      </c>
      <c r="L3308" s="11" t="s">
        <v>1853</v>
      </c>
      <c r="M3308" s="11" t="s">
        <v>1854</v>
      </c>
      <c r="N3308" s="12"/>
      <c r="O3308" s="11" t="s">
        <v>1859</v>
      </c>
      <c r="P3308" s="56"/>
    </row>
    <row r="3309" spans="1:16" ht="15.75" customHeight="1" x14ac:dyDescent="0.2">
      <c r="A3309" s="48">
        <v>3257</v>
      </c>
      <c r="B3309" s="11" t="s">
        <v>1857</v>
      </c>
      <c r="C3309" s="11" t="s">
        <v>1849</v>
      </c>
      <c r="D3309" s="6" t="s">
        <v>1850</v>
      </c>
      <c r="E3309" s="11" t="s">
        <v>6642</v>
      </c>
      <c r="F3309" s="12" t="s">
        <v>7345</v>
      </c>
      <c r="G3309" s="12" t="s">
        <v>5198</v>
      </c>
      <c r="H3309" s="12" t="s">
        <v>7350</v>
      </c>
      <c r="I3309" s="12" t="s">
        <v>7503</v>
      </c>
      <c r="J3309" s="11" t="s">
        <v>1856</v>
      </c>
      <c r="K3309" s="11" t="s">
        <v>1852</v>
      </c>
      <c r="L3309" s="11" t="s">
        <v>1853</v>
      </c>
      <c r="M3309" s="11" t="s">
        <v>6799</v>
      </c>
      <c r="N3309" s="12" t="s">
        <v>7504</v>
      </c>
      <c r="O3309" s="11" t="s">
        <v>1859</v>
      </c>
      <c r="P3309" s="56"/>
    </row>
    <row r="3310" spans="1:16" ht="15.75" customHeight="1" x14ac:dyDescent="0.2">
      <c r="A3310" s="48">
        <v>3312</v>
      </c>
      <c r="B3310" s="11" t="s">
        <v>1857</v>
      </c>
      <c r="C3310" s="11" t="s">
        <v>1849</v>
      </c>
      <c r="D3310" s="6" t="s">
        <v>1850</v>
      </c>
      <c r="E3310" s="11" t="s">
        <v>6642</v>
      </c>
      <c r="F3310" s="12" t="s">
        <v>7345</v>
      </c>
      <c r="G3310" s="12" t="s">
        <v>5198</v>
      </c>
      <c r="H3310" s="12" t="s">
        <v>7352</v>
      </c>
      <c r="I3310" s="12" t="s">
        <v>7505</v>
      </c>
      <c r="J3310" s="11" t="s">
        <v>1856</v>
      </c>
      <c r="K3310" s="11" t="s">
        <v>1852</v>
      </c>
      <c r="L3310" s="11" t="s">
        <v>1853</v>
      </c>
      <c r="M3310" s="11" t="s">
        <v>7353</v>
      </c>
      <c r="N3310" s="12"/>
      <c r="O3310" s="11" t="s">
        <v>1859</v>
      </c>
      <c r="P3310" s="56"/>
    </row>
    <row r="3311" spans="1:16" ht="15.75" customHeight="1" x14ac:dyDescent="0.2">
      <c r="A3311" s="48">
        <v>3253</v>
      </c>
      <c r="B3311" s="11" t="s">
        <v>1857</v>
      </c>
      <c r="C3311" s="11" t="s">
        <v>1849</v>
      </c>
      <c r="D3311" s="6" t="s">
        <v>1850</v>
      </c>
      <c r="E3311" s="11" t="s">
        <v>6642</v>
      </c>
      <c r="F3311" s="12" t="s">
        <v>7345</v>
      </c>
      <c r="G3311" s="12" t="s">
        <v>5198</v>
      </c>
      <c r="H3311" s="12" t="s">
        <v>7352</v>
      </c>
      <c r="I3311" s="12" t="s">
        <v>7506</v>
      </c>
      <c r="J3311" s="11" t="s">
        <v>1856</v>
      </c>
      <c r="K3311" s="11" t="s">
        <v>1852</v>
      </c>
      <c r="L3311" s="11" t="s">
        <v>1853</v>
      </c>
      <c r="M3311" s="11" t="s">
        <v>7353</v>
      </c>
      <c r="N3311" s="12" t="s">
        <v>7507</v>
      </c>
      <c r="O3311" s="11" t="s">
        <v>1858</v>
      </c>
      <c r="P3311" s="56"/>
    </row>
    <row r="3312" spans="1:16" ht="15.75" customHeight="1" x14ac:dyDescent="0.2">
      <c r="A3312" s="48">
        <v>3316</v>
      </c>
      <c r="B3312" s="11" t="s">
        <v>1857</v>
      </c>
      <c r="C3312" s="11" t="s">
        <v>1849</v>
      </c>
      <c r="D3312" s="6" t="s">
        <v>1850</v>
      </c>
      <c r="E3312" s="11" t="s">
        <v>6642</v>
      </c>
      <c r="F3312" s="12" t="s">
        <v>7345</v>
      </c>
      <c r="G3312" s="12" t="s">
        <v>5198</v>
      </c>
      <c r="H3312" s="12" t="s">
        <v>7352</v>
      </c>
      <c r="I3312" s="12" t="s">
        <v>7508</v>
      </c>
      <c r="J3312" s="11" t="s">
        <v>1856</v>
      </c>
      <c r="K3312" s="11" t="s">
        <v>1852</v>
      </c>
      <c r="L3312" s="11" t="s">
        <v>1853</v>
      </c>
      <c r="M3312" s="11" t="s">
        <v>7353</v>
      </c>
      <c r="N3312" s="12" t="s">
        <v>7509</v>
      </c>
      <c r="O3312" s="11" t="s">
        <v>1859</v>
      </c>
      <c r="P3312" s="56"/>
    </row>
    <row r="3313" spans="1:16" ht="15.75" customHeight="1" x14ac:dyDescent="0.2">
      <c r="A3313" s="48">
        <v>3361</v>
      </c>
      <c r="B3313" s="11" t="s">
        <v>1857</v>
      </c>
      <c r="C3313" s="11" t="s">
        <v>1849</v>
      </c>
      <c r="D3313" s="6" t="s">
        <v>1850</v>
      </c>
      <c r="E3313" s="11" t="s">
        <v>6642</v>
      </c>
      <c r="F3313" s="12" t="s">
        <v>7345</v>
      </c>
      <c r="G3313" s="12" t="s">
        <v>7346</v>
      </c>
      <c r="H3313" s="12" t="s">
        <v>7510</v>
      </c>
      <c r="I3313" s="12" t="s">
        <v>7511</v>
      </c>
      <c r="J3313" s="11" t="s">
        <v>1856</v>
      </c>
      <c r="K3313" s="11" t="s">
        <v>1852</v>
      </c>
      <c r="L3313" s="11" t="s">
        <v>1853</v>
      </c>
      <c r="M3313" s="11" t="s">
        <v>1854</v>
      </c>
      <c r="N3313" s="12"/>
      <c r="O3313" s="11" t="s">
        <v>2755</v>
      </c>
      <c r="P3313" s="56"/>
    </row>
    <row r="3314" spans="1:16" ht="15.75" customHeight="1" x14ac:dyDescent="0.2">
      <c r="A3314" s="48">
        <v>3203</v>
      </c>
      <c r="B3314" s="11" t="s">
        <v>1857</v>
      </c>
      <c r="C3314" s="11" t="s">
        <v>1849</v>
      </c>
      <c r="D3314" s="6" t="s">
        <v>1850</v>
      </c>
      <c r="E3314" s="11" t="s">
        <v>6642</v>
      </c>
      <c r="F3314" s="12" t="s">
        <v>7345</v>
      </c>
      <c r="G3314" s="12" t="s">
        <v>5198</v>
      </c>
      <c r="H3314" s="12" t="s">
        <v>7373</v>
      </c>
      <c r="I3314" s="12" t="s">
        <v>5428</v>
      </c>
      <c r="J3314" s="11" t="s">
        <v>2246</v>
      </c>
      <c r="K3314" s="11" t="s">
        <v>2247</v>
      </c>
      <c r="L3314" s="11" t="s">
        <v>7375</v>
      </c>
      <c r="M3314" s="11" t="s">
        <v>7416</v>
      </c>
      <c r="N3314" s="12" t="s">
        <v>7512</v>
      </c>
      <c r="O3314" s="11" t="s">
        <v>1858</v>
      </c>
      <c r="P3314" s="56"/>
    </row>
    <row r="3315" spans="1:16" ht="15.75" customHeight="1" x14ac:dyDescent="0.2">
      <c r="A3315" s="48">
        <v>3313</v>
      </c>
      <c r="B3315" s="11" t="s">
        <v>1857</v>
      </c>
      <c r="C3315" s="11" t="s">
        <v>1849</v>
      </c>
      <c r="D3315" s="6" t="s">
        <v>1850</v>
      </c>
      <c r="E3315" s="11" t="s">
        <v>6642</v>
      </c>
      <c r="F3315" s="12" t="s">
        <v>7345</v>
      </c>
      <c r="G3315" s="12" t="s">
        <v>5198</v>
      </c>
      <c r="H3315" s="12" t="s">
        <v>7513</v>
      </c>
      <c r="I3315" s="12" t="s">
        <v>7514</v>
      </c>
      <c r="J3315" s="11" t="s">
        <v>1856</v>
      </c>
      <c r="K3315" s="11" t="s">
        <v>1852</v>
      </c>
      <c r="L3315" s="11" t="s">
        <v>1853</v>
      </c>
      <c r="M3315" s="11" t="s">
        <v>7353</v>
      </c>
      <c r="N3315" s="12" t="s">
        <v>7515</v>
      </c>
      <c r="O3315" s="11" t="s">
        <v>1858</v>
      </c>
      <c r="P3315" s="56"/>
    </row>
    <row r="3316" spans="1:16" ht="15.75" customHeight="1" x14ac:dyDescent="0.2">
      <c r="A3316" s="48">
        <v>3355</v>
      </c>
      <c r="B3316" s="11" t="s">
        <v>1857</v>
      </c>
      <c r="C3316" s="11" t="s">
        <v>1849</v>
      </c>
      <c r="D3316" s="6" t="s">
        <v>1850</v>
      </c>
      <c r="E3316" s="11" t="s">
        <v>6642</v>
      </c>
      <c r="F3316" s="12" t="s">
        <v>7345</v>
      </c>
      <c r="G3316" s="12" t="s">
        <v>7346</v>
      </c>
      <c r="H3316" s="12" t="s">
        <v>7347</v>
      </c>
      <c r="I3316" s="12" t="s">
        <v>7516</v>
      </c>
      <c r="J3316" s="11" t="s">
        <v>2246</v>
      </c>
      <c r="K3316" s="11" t="s">
        <v>2247</v>
      </c>
      <c r="L3316" s="11" t="s">
        <v>7391</v>
      </c>
      <c r="M3316" s="11" t="s">
        <v>7353</v>
      </c>
      <c r="N3316" s="12"/>
      <c r="O3316" s="11" t="s">
        <v>1860</v>
      </c>
      <c r="P3316" s="56"/>
    </row>
    <row r="3317" spans="1:16" ht="15.75" customHeight="1" x14ac:dyDescent="0.2">
      <c r="A3317" s="48">
        <v>5775</v>
      </c>
      <c r="B3317" s="11" t="s">
        <v>1857</v>
      </c>
      <c r="C3317" s="11" t="s">
        <v>1849</v>
      </c>
      <c r="D3317" s="6" t="s">
        <v>1850</v>
      </c>
      <c r="E3317" s="11" t="s">
        <v>6642</v>
      </c>
      <c r="F3317" s="12" t="s">
        <v>7345</v>
      </c>
      <c r="G3317" s="12" t="s">
        <v>5198</v>
      </c>
      <c r="H3317" s="12" t="s">
        <v>7352</v>
      </c>
      <c r="I3317" s="12" t="s">
        <v>4571</v>
      </c>
      <c r="J3317" s="11" t="s">
        <v>1856</v>
      </c>
      <c r="K3317" s="11" t="s">
        <v>1852</v>
      </c>
      <c r="L3317" s="11" t="s">
        <v>1853</v>
      </c>
      <c r="M3317" s="11" t="s">
        <v>7353</v>
      </c>
      <c r="N3317" s="12" t="s">
        <v>7517</v>
      </c>
      <c r="O3317" s="11" t="s">
        <v>1859</v>
      </c>
      <c r="P3317" s="56"/>
    </row>
    <row r="3318" spans="1:16" ht="15.75" customHeight="1" x14ac:dyDescent="0.2">
      <c r="A3318" s="48">
        <v>3341</v>
      </c>
      <c r="B3318" s="11" t="s">
        <v>1857</v>
      </c>
      <c r="C3318" s="11" t="s">
        <v>1849</v>
      </c>
      <c r="D3318" s="6" t="s">
        <v>1850</v>
      </c>
      <c r="E3318" s="11" t="s">
        <v>6642</v>
      </c>
      <c r="F3318" s="12" t="s">
        <v>7345</v>
      </c>
      <c r="G3318" s="12" t="s">
        <v>5198</v>
      </c>
      <c r="H3318" s="12" t="s">
        <v>7404</v>
      </c>
      <c r="I3318" s="12" t="s">
        <v>7518</v>
      </c>
      <c r="J3318" s="11" t="s">
        <v>1856</v>
      </c>
      <c r="K3318" s="11" t="s">
        <v>1852</v>
      </c>
      <c r="L3318" s="11" t="s">
        <v>1853</v>
      </c>
      <c r="M3318" s="11" t="s">
        <v>1854</v>
      </c>
      <c r="N3318" s="12"/>
      <c r="O3318" s="11" t="s">
        <v>1859</v>
      </c>
      <c r="P3318" s="56"/>
    </row>
    <row r="3319" spans="1:16" ht="15.75" customHeight="1" x14ac:dyDescent="0.2">
      <c r="A3319" s="48">
        <v>3364</v>
      </c>
      <c r="B3319" s="11" t="s">
        <v>1857</v>
      </c>
      <c r="C3319" s="11" t="s">
        <v>1849</v>
      </c>
      <c r="D3319" s="6" t="s">
        <v>1850</v>
      </c>
      <c r="E3319" s="11" t="s">
        <v>6642</v>
      </c>
      <c r="F3319" s="12" t="s">
        <v>7345</v>
      </c>
      <c r="G3319" s="12" t="s">
        <v>7346</v>
      </c>
      <c r="H3319" s="12" t="s">
        <v>7510</v>
      </c>
      <c r="I3319" s="12" t="s">
        <v>7519</v>
      </c>
      <c r="J3319" s="11" t="s">
        <v>1856</v>
      </c>
      <c r="K3319" s="11" t="s">
        <v>1852</v>
      </c>
      <c r="L3319" s="11" t="s">
        <v>1853</v>
      </c>
      <c r="M3319" s="11" t="s">
        <v>7520</v>
      </c>
      <c r="N3319" s="12" t="s">
        <v>7521</v>
      </c>
      <c r="O3319" s="11" t="s">
        <v>1859</v>
      </c>
      <c r="P3319" s="56"/>
    </row>
    <row r="3320" spans="1:16" ht="15.75" customHeight="1" x14ac:dyDescent="0.2">
      <c r="A3320" s="48">
        <v>3339</v>
      </c>
      <c r="B3320" s="11" t="s">
        <v>1857</v>
      </c>
      <c r="C3320" s="11" t="s">
        <v>1849</v>
      </c>
      <c r="D3320" s="6" t="s">
        <v>1850</v>
      </c>
      <c r="E3320" s="11" t="s">
        <v>6642</v>
      </c>
      <c r="F3320" s="12" t="s">
        <v>7345</v>
      </c>
      <c r="G3320" s="12" t="s">
        <v>5198</v>
      </c>
      <c r="H3320" s="12" t="s">
        <v>7404</v>
      </c>
      <c r="I3320" s="12" t="s">
        <v>7522</v>
      </c>
      <c r="J3320" s="11" t="s">
        <v>1856</v>
      </c>
      <c r="K3320" s="11" t="s">
        <v>1852</v>
      </c>
      <c r="L3320" s="11" t="s">
        <v>1853</v>
      </c>
      <c r="M3320" s="11" t="s">
        <v>7353</v>
      </c>
      <c r="N3320" s="12"/>
      <c r="O3320" s="11" t="s">
        <v>1858</v>
      </c>
      <c r="P3320" s="56"/>
    </row>
    <row r="3321" spans="1:16" ht="15.75" customHeight="1" x14ac:dyDescent="0.2">
      <c r="A3321" s="48">
        <v>3239</v>
      </c>
      <c r="B3321" s="11" t="s">
        <v>1857</v>
      </c>
      <c r="C3321" s="11" t="s">
        <v>1849</v>
      </c>
      <c r="D3321" s="6" t="s">
        <v>1850</v>
      </c>
      <c r="E3321" s="11" t="s">
        <v>6642</v>
      </c>
      <c r="F3321" s="12" t="s">
        <v>7345</v>
      </c>
      <c r="G3321" s="12" t="s">
        <v>5198</v>
      </c>
      <c r="H3321" s="12" t="s">
        <v>7362</v>
      </c>
      <c r="I3321" s="12" t="s">
        <v>4573</v>
      </c>
      <c r="J3321" s="11" t="s">
        <v>1856</v>
      </c>
      <c r="K3321" s="11" t="s">
        <v>1852</v>
      </c>
      <c r="L3321" s="11" t="s">
        <v>1853</v>
      </c>
      <c r="M3321" s="11" t="s">
        <v>7402</v>
      </c>
      <c r="N3321" s="12" t="s">
        <v>7523</v>
      </c>
      <c r="O3321" s="11" t="s">
        <v>1858</v>
      </c>
      <c r="P3321" s="56"/>
    </row>
    <row r="3322" spans="1:16" ht="15.75" customHeight="1" x14ac:dyDescent="0.2">
      <c r="A3322" s="48">
        <v>3250</v>
      </c>
      <c r="B3322" s="11" t="s">
        <v>1857</v>
      </c>
      <c r="C3322" s="11" t="s">
        <v>1849</v>
      </c>
      <c r="D3322" s="6" t="s">
        <v>1850</v>
      </c>
      <c r="E3322" s="11" t="s">
        <v>6642</v>
      </c>
      <c r="F3322" s="12" t="s">
        <v>7345</v>
      </c>
      <c r="G3322" s="12" t="s">
        <v>5198</v>
      </c>
      <c r="H3322" s="12" t="s">
        <v>7350</v>
      </c>
      <c r="I3322" s="12" t="s">
        <v>7524</v>
      </c>
      <c r="J3322" s="11" t="s">
        <v>1856</v>
      </c>
      <c r="K3322" s="11" t="s">
        <v>1852</v>
      </c>
      <c r="L3322" s="11" t="s">
        <v>1853</v>
      </c>
      <c r="M3322" s="11" t="s">
        <v>7353</v>
      </c>
      <c r="N3322" s="12"/>
      <c r="O3322" s="11" t="s">
        <v>1859</v>
      </c>
      <c r="P3322" s="56"/>
    </row>
    <row r="3323" spans="1:16" ht="15.75" customHeight="1" x14ac:dyDescent="0.2">
      <c r="A3323" s="48">
        <v>3320</v>
      </c>
      <c r="B3323" s="11" t="s">
        <v>1857</v>
      </c>
      <c r="C3323" s="11" t="s">
        <v>1849</v>
      </c>
      <c r="D3323" s="6" t="s">
        <v>1850</v>
      </c>
      <c r="E3323" s="11" t="s">
        <v>6642</v>
      </c>
      <c r="F3323" s="12" t="s">
        <v>7345</v>
      </c>
      <c r="G3323" s="12" t="s">
        <v>5198</v>
      </c>
      <c r="H3323" s="12" t="s">
        <v>7350</v>
      </c>
      <c r="I3323" s="12" t="s">
        <v>7525</v>
      </c>
      <c r="J3323" s="11" t="s">
        <v>1856</v>
      </c>
      <c r="K3323" s="11" t="s">
        <v>1852</v>
      </c>
      <c r="L3323" s="11" t="s">
        <v>1853</v>
      </c>
      <c r="M3323" s="11" t="s">
        <v>1854</v>
      </c>
      <c r="N3323" s="12"/>
      <c r="O3323" s="11" t="s">
        <v>1859</v>
      </c>
      <c r="P3323" s="56"/>
    </row>
    <row r="3324" spans="1:16" ht="15.75" customHeight="1" x14ac:dyDescent="0.2">
      <c r="A3324" s="48">
        <v>3362</v>
      </c>
      <c r="B3324" s="11" t="s">
        <v>1857</v>
      </c>
      <c r="C3324" s="11" t="s">
        <v>1849</v>
      </c>
      <c r="D3324" s="6" t="s">
        <v>1850</v>
      </c>
      <c r="E3324" s="11" t="s">
        <v>6642</v>
      </c>
      <c r="F3324" s="12" t="s">
        <v>7345</v>
      </c>
      <c r="G3324" s="12" t="s">
        <v>7346</v>
      </c>
      <c r="H3324" s="12" t="s">
        <v>7510</v>
      </c>
      <c r="I3324" s="12" t="s">
        <v>7526</v>
      </c>
      <c r="J3324" s="11" t="s">
        <v>1856</v>
      </c>
      <c r="K3324" s="11" t="s">
        <v>1852</v>
      </c>
      <c r="L3324" s="11" t="s">
        <v>1853</v>
      </c>
      <c r="M3324" s="11" t="s">
        <v>7527</v>
      </c>
      <c r="N3324" s="12" t="s">
        <v>7528</v>
      </c>
      <c r="O3324" s="11" t="s">
        <v>1859</v>
      </c>
      <c r="P3324" s="56"/>
    </row>
    <row r="3325" spans="1:16" ht="15.75" customHeight="1" x14ac:dyDescent="0.2">
      <c r="A3325" s="48">
        <v>3207</v>
      </c>
      <c r="B3325" s="11" t="s">
        <v>1857</v>
      </c>
      <c r="C3325" s="11" t="s">
        <v>1849</v>
      </c>
      <c r="D3325" s="6" t="s">
        <v>1850</v>
      </c>
      <c r="E3325" s="11" t="s">
        <v>6642</v>
      </c>
      <c r="F3325" s="12" t="s">
        <v>7345</v>
      </c>
      <c r="G3325" s="12" t="s">
        <v>5198</v>
      </c>
      <c r="H3325" s="12" t="s">
        <v>7352</v>
      </c>
      <c r="I3325" s="12" t="s">
        <v>7529</v>
      </c>
      <c r="J3325" s="11" t="s">
        <v>1856</v>
      </c>
      <c r="K3325" s="11" t="s">
        <v>1852</v>
      </c>
      <c r="L3325" s="11" t="s">
        <v>1853</v>
      </c>
      <c r="M3325" s="11" t="s">
        <v>7353</v>
      </c>
      <c r="N3325" s="12" t="s">
        <v>7530</v>
      </c>
      <c r="O3325" s="11" t="s">
        <v>1858</v>
      </c>
      <c r="P3325" s="56"/>
    </row>
    <row r="3326" spans="1:16" ht="15.75" customHeight="1" x14ac:dyDescent="0.2">
      <c r="A3326" s="48">
        <v>3317</v>
      </c>
      <c r="B3326" s="11" t="s">
        <v>1857</v>
      </c>
      <c r="C3326" s="11" t="s">
        <v>1849</v>
      </c>
      <c r="D3326" s="6" t="s">
        <v>1850</v>
      </c>
      <c r="E3326" s="11" t="s">
        <v>6642</v>
      </c>
      <c r="F3326" s="12" t="s">
        <v>7345</v>
      </c>
      <c r="G3326" s="12" t="s">
        <v>5198</v>
      </c>
      <c r="H3326" s="12" t="s">
        <v>7352</v>
      </c>
      <c r="I3326" s="12" t="s">
        <v>7531</v>
      </c>
      <c r="J3326" s="11" t="s">
        <v>1856</v>
      </c>
      <c r="K3326" s="11" t="s">
        <v>1852</v>
      </c>
      <c r="L3326" s="11" t="s">
        <v>1853</v>
      </c>
      <c r="M3326" s="11" t="s">
        <v>6876</v>
      </c>
      <c r="N3326" s="12" t="s">
        <v>7532</v>
      </c>
      <c r="O3326" s="11" t="s">
        <v>1860</v>
      </c>
      <c r="P3326" s="56"/>
    </row>
    <row r="3327" spans="1:16" ht="15.75" customHeight="1" x14ac:dyDescent="0.2">
      <c r="A3327" s="48">
        <v>3340</v>
      </c>
      <c r="B3327" s="11" t="s">
        <v>1857</v>
      </c>
      <c r="C3327" s="11" t="s">
        <v>1849</v>
      </c>
      <c r="D3327" s="6" t="s">
        <v>1850</v>
      </c>
      <c r="E3327" s="11" t="s">
        <v>6642</v>
      </c>
      <c r="F3327" s="12" t="s">
        <v>7345</v>
      </c>
      <c r="G3327" s="12" t="s">
        <v>5198</v>
      </c>
      <c r="H3327" s="12" t="s">
        <v>7404</v>
      </c>
      <c r="I3327" s="12" t="s">
        <v>7533</v>
      </c>
      <c r="J3327" s="11" t="s">
        <v>1856</v>
      </c>
      <c r="K3327" s="11" t="s">
        <v>1852</v>
      </c>
      <c r="L3327" s="11" t="s">
        <v>1853</v>
      </c>
      <c r="M3327" s="11" t="s">
        <v>7534</v>
      </c>
      <c r="N3327" s="12" t="s">
        <v>7535</v>
      </c>
      <c r="O3327" s="11" t="s">
        <v>1859</v>
      </c>
      <c r="P3327" s="56"/>
    </row>
    <row r="3328" spans="1:16" ht="15.75" customHeight="1" x14ac:dyDescent="0.2">
      <c r="A3328" s="48">
        <v>3274</v>
      </c>
      <c r="B3328" s="11" t="s">
        <v>1857</v>
      </c>
      <c r="C3328" s="11" t="s">
        <v>1849</v>
      </c>
      <c r="D3328" s="6" t="s">
        <v>1850</v>
      </c>
      <c r="E3328" s="11" t="s">
        <v>6642</v>
      </c>
      <c r="F3328" s="12" t="s">
        <v>7345</v>
      </c>
      <c r="G3328" s="12" t="s">
        <v>5198</v>
      </c>
      <c r="H3328" s="12" t="s">
        <v>7352</v>
      </c>
      <c r="I3328" s="12" t="s">
        <v>7536</v>
      </c>
      <c r="J3328" s="11" t="s">
        <v>1856</v>
      </c>
      <c r="K3328" s="11" t="s">
        <v>1852</v>
      </c>
      <c r="L3328" s="11" t="s">
        <v>1853</v>
      </c>
      <c r="M3328" s="11" t="s">
        <v>7353</v>
      </c>
      <c r="N3328" s="12"/>
      <c r="O3328" s="11" t="s">
        <v>2755</v>
      </c>
      <c r="P3328" s="56"/>
    </row>
    <row r="3329" spans="1:16" ht="15.75" customHeight="1" x14ac:dyDescent="0.2">
      <c r="A3329" s="48">
        <v>3321</v>
      </c>
      <c r="B3329" s="11" t="s">
        <v>1857</v>
      </c>
      <c r="C3329" s="11" t="s">
        <v>1849</v>
      </c>
      <c r="D3329" s="6" t="s">
        <v>1850</v>
      </c>
      <c r="E3329" s="11" t="s">
        <v>6642</v>
      </c>
      <c r="F3329" s="12" t="s">
        <v>7345</v>
      </c>
      <c r="G3329" s="12" t="s">
        <v>5198</v>
      </c>
      <c r="H3329" s="12" t="s">
        <v>7378</v>
      </c>
      <c r="I3329" s="12" t="s">
        <v>7537</v>
      </c>
      <c r="J3329" s="11" t="s">
        <v>1856</v>
      </c>
      <c r="K3329" s="11" t="s">
        <v>1852</v>
      </c>
      <c r="L3329" s="11" t="s">
        <v>1853</v>
      </c>
      <c r="M3329" s="11" t="s">
        <v>7353</v>
      </c>
      <c r="N3329" s="12"/>
      <c r="O3329" s="11" t="s">
        <v>1859</v>
      </c>
      <c r="P3329" s="56"/>
    </row>
    <row r="3330" spans="1:16" ht="15.75" customHeight="1" x14ac:dyDescent="0.2">
      <c r="A3330" s="48">
        <v>3278</v>
      </c>
      <c r="B3330" s="11" t="s">
        <v>1857</v>
      </c>
      <c r="C3330" s="11" t="s">
        <v>1849</v>
      </c>
      <c r="D3330" s="6" t="s">
        <v>1850</v>
      </c>
      <c r="E3330" s="11" t="s">
        <v>6642</v>
      </c>
      <c r="F3330" s="12" t="s">
        <v>7345</v>
      </c>
      <c r="G3330" s="12" t="s">
        <v>5198</v>
      </c>
      <c r="H3330" s="12" t="s">
        <v>7352</v>
      </c>
      <c r="I3330" s="12" t="s">
        <v>7538</v>
      </c>
      <c r="J3330" s="11" t="s">
        <v>1856</v>
      </c>
      <c r="K3330" s="11" t="s">
        <v>1852</v>
      </c>
      <c r="L3330" s="11" t="s">
        <v>1853</v>
      </c>
      <c r="M3330" s="11" t="s">
        <v>7539</v>
      </c>
      <c r="N3330" s="12" t="s">
        <v>7540</v>
      </c>
      <c r="O3330" s="11" t="s">
        <v>1859</v>
      </c>
      <c r="P3330" s="56"/>
    </row>
    <row r="3331" spans="1:16" ht="15.75" customHeight="1" x14ac:dyDescent="0.2">
      <c r="A3331" s="48">
        <v>3273</v>
      </c>
      <c r="B3331" s="11" t="s">
        <v>1857</v>
      </c>
      <c r="C3331" s="11" t="s">
        <v>1849</v>
      </c>
      <c r="D3331" s="6" t="s">
        <v>1850</v>
      </c>
      <c r="E3331" s="11" t="s">
        <v>6642</v>
      </c>
      <c r="F3331" s="12" t="s">
        <v>7345</v>
      </c>
      <c r="G3331" s="12" t="s">
        <v>5198</v>
      </c>
      <c r="H3331" s="12" t="s">
        <v>7350</v>
      </c>
      <c r="I3331" s="12" t="s">
        <v>7541</v>
      </c>
      <c r="J3331" s="11" t="s">
        <v>1856</v>
      </c>
      <c r="K3331" s="11" t="s">
        <v>1852</v>
      </c>
      <c r="L3331" s="11" t="s">
        <v>1853</v>
      </c>
      <c r="M3331" s="11" t="s">
        <v>6913</v>
      </c>
      <c r="N3331" s="12" t="s">
        <v>7542</v>
      </c>
      <c r="O3331" s="11" t="s">
        <v>1859</v>
      </c>
      <c r="P3331" s="56"/>
    </row>
    <row r="3332" spans="1:16" ht="15.75" customHeight="1" x14ac:dyDescent="0.2">
      <c r="A3332" s="48">
        <v>3288</v>
      </c>
      <c r="B3332" s="11" t="s">
        <v>1857</v>
      </c>
      <c r="C3332" s="11" t="s">
        <v>1849</v>
      </c>
      <c r="D3332" s="6" t="s">
        <v>1850</v>
      </c>
      <c r="E3332" s="11" t="s">
        <v>6642</v>
      </c>
      <c r="F3332" s="12" t="s">
        <v>7345</v>
      </c>
      <c r="G3332" s="12" t="s">
        <v>5198</v>
      </c>
      <c r="H3332" s="12" t="s">
        <v>7352</v>
      </c>
      <c r="I3332" s="12" t="s">
        <v>7543</v>
      </c>
      <c r="J3332" s="11" t="s">
        <v>1856</v>
      </c>
      <c r="K3332" s="11" t="s">
        <v>1852</v>
      </c>
      <c r="L3332" s="11" t="s">
        <v>1853</v>
      </c>
      <c r="M3332" s="11" t="s">
        <v>7544</v>
      </c>
      <c r="N3332" s="12" t="s">
        <v>7545</v>
      </c>
      <c r="O3332" s="11" t="s">
        <v>1858</v>
      </c>
      <c r="P3332" s="56"/>
    </row>
    <row r="3333" spans="1:16" ht="15.75" customHeight="1" x14ac:dyDescent="0.2">
      <c r="A3333" s="48">
        <v>3228</v>
      </c>
      <c r="B3333" s="11" t="s">
        <v>1857</v>
      </c>
      <c r="C3333" s="11" t="s">
        <v>1849</v>
      </c>
      <c r="D3333" s="6" t="s">
        <v>1850</v>
      </c>
      <c r="E3333" s="11" t="s">
        <v>6642</v>
      </c>
      <c r="F3333" s="12" t="s">
        <v>7345</v>
      </c>
      <c r="G3333" s="12" t="s">
        <v>5198</v>
      </c>
      <c r="H3333" s="12" t="s">
        <v>5198</v>
      </c>
      <c r="I3333" s="12" t="s">
        <v>7546</v>
      </c>
      <c r="J3333" s="11" t="s">
        <v>1856</v>
      </c>
      <c r="K3333" s="11" t="s">
        <v>1852</v>
      </c>
      <c r="L3333" s="11" t="s">
        <v>1853</v>
      </c>
      <c r="M3333" s="11" t="s">
        <v>7547</v>
      </c>
      <c r="N3333" s="12" t="s">
        <v>7548</v>
      </c>
      <c r="O3333" s="11" t="s">
        <v>1859</v>
      </c>
      <c r="P3333" s="56"/>
    </row>
    <row r="3334" spans="1:16" ht="15.75" customHeight="1" x14ac:dyDescent="0.2">
      <c r="A3334" s="48">
        <v>3227</v>
      </c>
      <c r="B3334" s="11" t="s">
        <v>1857</v>
      </c>
      <c r="C3334" s="11" t="s">
        <v>1849</v>
      </c>
      <c r="D3334" s="6" t="s">
        <v>1850</v>
      </c>
      <c r="E3334" s="11" t="s">
        <v>6642</v>
      </c>
      <c r="F3334" s="12" t="s">
        <v>7345</v>
      </c>
      <c r="G3334" s="12" t="s">
        <v>5198</v>
      </c>
      <c r="H3334" s="12" t="s">
        <v>5198</v>
      </c>
      <c r="I3334" s="12" t="s">
        <v>7549</v>
      </c>
      <c r="J3334" s="11" t="s">
        <v>1856</v>
      </c>
      <c r="K3334" s="11" t="s">
        <v>1852</v>
      </c>
      <c r="L3334" s="11" t="s">
        <v>1853</v>
      </c>
      <c r="M3334" s="11" t="s">
        <v>7353</v>
      </c>
      <c r="N3334" s="12"/>
      <c r="O3334" s="11" t="s">
        <v>1859</v>
      </c>
      <c r="P3334" s="56"/>
    </row>
    <row r="3335" spans="1:16" ht="15.75" customHeight="1" x14ac:dyDescent="0.2">
      <c r="A3335" s="48">
        <v>3251</v>
      </c>
      <c r="B3335" s="11" t="s">
        <v>1857</v>
      </c>
      <c r="C3335" s="11" t="s">
        <v>1849</v>
      </c>
      <c r="D3335" s="6" t="s">
        <v>1850</v>
      </c>
      <c r="E3335" s="11" t="s">
        <v>6642</v>
      </c>
      <c r="F3335" s="12" t="s">
        <v>7345</v>
      </c>
      <c r="G3335" s="12" t="s">
        <v>5198</v>
      </c>
      <c r="H3335" s="12" t="s">
        <v>7350</v>
      </c>
      <c r="I3335" s="12" t="s">
        <v>5852</v>
      </c>
      <c r="J3335" s="11" t="s">
        <v>1856</v>
      </c>
      <c r="K3335" s="11" t="s">
        <v>1852</v>
      </c>
      <c r="L3335" s="11" t="s">
        <v>1853</v>
      </c>
      <c r="M3335" s="11" t="s">
        <v>7550</v>
      </c>
      <c r="N3335" s="12" t="s">
        <v>7551</v>
      </c>
      <c r="O3335" s="11" t="s">
        <v>1859</v>
      </c>
      <c r="P3335" s="56"/>
    </row>
    <row r="3336" spans="1:16" ht="15.75" customHeight="1" x14ac:dyDescent="0.2">
      <c r="A3336" s="48">
        <v>3363</v>
      </c>
      <c r="B3336" s="11" t="s">
        <v>1857</v>
      </c>
      <c r="C3336" s="11" t="s">
        <v>1849</v>
      </c>
      <c r="D3336" s="6" t="s">
        <v>1850</v>
      </c>
      <c r="E3336" s="11" t="s">
        <v>6642</v>
      </c>
      <c r="F3336" s="12" t="s">
        <v>7345</v>
      </c>
      <c r="G3336" s="12" t="s">
        <v>7346</v>
      </c>
      <c r="H3336" s="12" t="s">
        <v>7510</v>
      </c>
      <c r="I3336" s="12" t="s">
        <v>7552</v>
      </c>
      <c r="J3336" s="11" t="s">
        <v>1856</v>
      </c>
      <c r="K3336" s="11" t="s">
        <v>1852</v>
      </c>
      <c r="L3336" s="11" t="s">
        <v>1853</v>
      </c>
      <c r="M3336" s="11" t="s">
        <v>7353</v>
      </c>
      <c r="N3336" s="12"/>
      <c r="O3336" s="11" t="s">
        <v>1859</v>
      </c>
      <c r="P3336" s="56"/>
    </row>
    <row r="3337" spans="1:16" ht="15.75" customHeight="1" x14ac:dyDescent="0.2">
      <c r="A3337" s="48">
        <v>6345</v>
      </c>
      <c r="B3337" s="11" t="s">
        <v>1857</v>
      </c>
      <c r="C3337" s="11" t="s">
        <v>1849</v>
      </c>
      <c r="D3337" s="6" t="s">
        <v>1850</v>
      </c>
      <c r="E3337" s="11" t="s">
        <v>6642</v>
      </c>
      <c r="F3337" s="12" t="s">
        <v>7345</v>
      </c>
      <c r="G3337" s="12" t="s">
        <v>7346</v>
      </c>
      <c r="H3337" s="12" t="s">
        <v>7510</v>
      </c>
      <c r="I3337" s="12" t="s">
        <v>7553</v>
      </c>
      <c r="J3337" s="11" t="s">
        <v>1856</v>
      </c>
      <c r="K3337" s="11" t="s">
        <v>1852</v>
      </c>
      <c r="L3337" s="11" t="s">
        <v>1853</v>
      </c>
      <c r="M3337" s="11" t="s">
        <v>7554</v>
      </c>
      <c r="N3337" s="12" t="s">
        <v>7555</v>
      </c>
      <c r="O3337" s="11" t="s">
        <v>1859</v>
      </c>
      <c r="P3337" s="56"/>
    </row>
    <row r="3338" spans="1:16" ht="15.75" customHeight="1" x14ac:dyDescent="0.2">
      <c r="A3338" s="48">
        <v>3333</v>
      </c>
      <c r="B3338" s="11" t="s">
        <v>1857</v>
      </c>
      <c r="C3338" s="11" t="s">
        <v>1849</v>
      </c>
      <c r="D3338" s="6" t="s">
        <v>1850</v>
      </c>
      <c r="E3338" s="11" t="s">
        <v>6642</v>
      </c>
      <c r="F3338" s="12" t="s">
        <v>7345</v>
      </c>
      <c r="G3338" s="12" t="s">
        <v>5198</v>
      </c>
      <c r="H3338" s="12" t="s">
        <v>7404</v>
      </c>
      <c r="I3338" s="12" t="s">
        <v>7556</v>
      </c>
      <c r="J3338" s="11" t="s">
        <v>1856</v>
      </c>
      <c r="K3338" s="11" t="s">
        <v>1852</v>
      </c>
      <c r="L3338" s="11" t="s">
        <v>1853</v>
      </c>
      <c r="M3338" s="11" t="s">
        <v>7353</v>
      </c>
      <c r="N3338" s="12"/>
      <c r="O3338" s="11" t="s">
        <v>2772</v>
      </c>
      <c r="P3338" s="56"/>
    </row>
    <row r="3339" spans="1:16" ht="15.75" customHeight="1" x14ac:dyDescent="0.2">
      <c r="A3339" s="48">
        <v>3226</v>
      </c>
      <c r="B3339" s="11" t="s">
        <v>1857</v>
      </c>
      <c r="C3339" s="11" t="s">
        <v>1849</v>
      </c>
      <c r="D3339" s="6" t="s">
        <v>1850</v>
      </c>
      <c r="E3339" s="11" t="s">
        <v>6642</v>
      </c>
      <c r="F3339" s="12" t="s">
        <v>7345</v>
      </c>
      <c r="G3339" s="12" t="s">
        <v>5198</v>
      </c>
      <c r="H3339" s="12" t="s">
        <v>5198</v>
      </c>
      <c r="I3339" s="12" t="s">
        <v>7557</v>
      </c>
      <c r="J3339" s="11" t="s">
        <v>1856</v>
      </c>
      <c r="K3339" s="11" t="s">
        <v>1852</v>
      </c>
      <c r="L3339" s="11" t="s">
        <v>1853</v>
      </c>
      <c r="M3339" s="11" t="s">
        <v>7558</v>
      </c>
      <c r="N3339" s="12" t="s">
        <v>7559</v>
      </c>
      <c r="O3339" s="11" t="s">
        <v>2755</v>
      </c>
      <c r="P3339" s="56"/>
    </row>
    <row r="3340" spans="1:16" ht="15.75" customHeight="1" x14ac:dyDescent="0.2">
      <c r="A3340" s="48">
        <v>3299</v>
      </c>
      <c r="B3340" s="11" t="s">
        <v>1857</v>
      </c>
      <c r="C3340" s="11" t="s">
        <v>1849</v>
      </c>
      <c r="D3340" s="6" t="s">
        <v>1850</v>
      </c>
      <c r="E3340" s="11" t="s">
        <v>6642</v>
      </c>
      <c r="F3340" s="12" t="s">
        <v>7345</v>
      </c>
      <c r="G3340" s="12" t="s">
        <v>5198</v>
      </c>
      <c r="H3340" s="12" t="s">
        <v>7352</v>
      </c>
      <c r="I3340" s="12" t="s">
        <v>7560</v>
      </c>
      <c r="J3340" s="11" t="s">
        <v>1856</v>
      </c>
      <c r="K3340" s="11" t="s">
        <v>1852</v>
      </c>
      <c r="L3340" s="11" t="s">
        <v>1853</v>
      </c>
      <c r="M3340" s="11" t="s">
        <v>7539</v>
      </c>
      <c r="N3340" s="12" t="s">
        <v>7561</v>
      </c>
      <c r="O3340" s="11" t="s">
        <v>1859</v>
      </c>
      <c r="P3340" s="56"/>
    </row>
    <row r="3341" spans="1:16" ht="15.75" customHeight="1" x14ac:dyDescent="0.2">
      <c r="A3341" s="48">
        <v>6354</v>
      </c>
      <c r="B3341" s="11" t="s">
        <v>1857</v>
      </c>
      <c r="C3341" s="11" t="s">
        <v>1849</v>
      </c>
      <c r="D3341" s="6" t="s">
        <v>1850</v>
      </c>
      <c r="E3341" s="11" t="s">
        <v>6642</v>
      </c>
      <c r="F3341" s="12" t="s">
        <v>7345</v>
      </c>
      <c r="G3341" s="12" t="s">
        <v>5198</v>
      </c>
      <c r="H3341" s="12" t="s">
        <v>7404</v>
      </c>
      <c r="I3341" s="12" t="s">
        <v>7562</v>
      </c>
      <c r="J3341" s="11" t="s">
        <v>1856</v>
      </c>
      <c r="K3341" s="11" t="s">
        <v>1852</v>
      </c>
      <c r="L3341" s="11" t="s">
        <v>1853</v>
      </c>
      <c r="M3341" s="11" t="s">
        <v>7353</v>
      </c>
      <c r="N3341" s="12"/>
      <c r="O3341" s="11" t="s">
        <v>1859</v>
      </c>
      <c r="P3341" s="56"/>
    </row>
    <row r="3342" spans="1:16" ht="15.75" customHeight="1" x14ac:dyDescent="0.2">
      <c r="A3342" s="48">
        <v>3213</v>
      </c>
      <c r="B3342" s="11" t="s">
        <v>1857</v>
      </c>
      <c r="C3342" s="11" t="s">
        <v>1849</v>
      </c>
      <c r="D3342" s="6" t="s">
        <v>1850</v>
      </c>
      <c r="E3342" s="11" t="s">
        <v>6642</v>
      </c>
      <c r="F3342" s="12" t="s">
        <v>7345</v>
      </c>
      <c r="G3342" s="12" t="s">
        <v>5198</v>
      </c>
      <c r="H3342" s="12" t="s">
        <v>5198</v>
      </c>
      <c r="I3342" s="12" t="s">
        <v>7563</v>
      </c>
      <c r="J3342" s="11" t="s">
        <v>1851</v>
      </c>
      <c r="K3342" s="11" t="s">
        <v>1852</v>
      </c>
      <c r="L3342" s="11" t="s">
        <v>1853</v>
      </c>
      <c r="M3342" s="11" t="s">
        <v>7564</v>
      </c>
      <c r="N3342" s="12" t="s">
        <v>7565</v>
      </c>
      <c r="O3342" s="11" t="s">
        <v>2412</v>
      </c>
      <c r="P3342" s="56" t="s">
        <v>7566</v>
      </c>
    </row>
    <row r="3343" spans="1:16" ht="15.75" customHeight="1" x14ac:dyDescent="0.2">
      <c r="A3343" s="48">
        <v>3318</v>
      </c>
      <c r="B3343" s="11" t="s">
        <v>1857</v>
      </c>
      <c r="C3343" s="11" t="s">
        <v>1849</v>
      </c>
      <c r="D3343" s="6" t="s">
        <v>1850</v>
      </c>
      <c r="E3343" s="11" t="s">
        <v>6642</v>
      </c>
      <c r="F3343" s="12" t="s">
        <v>7345</v>
      </c>
      <c r="G3343" s="12" t="s">
        <v>5198</v>
      </c>
      <c r="H3343" s="12" t="s">
        <v>7352</v>
      </c>
      <c r="I3343" s="12" t="s">
        <v>7567</v>
      </c>
      <c r="J3343" s="11" t="s">
        <v>1856</v>
      </c>
      <c r="K3343" s="11" t="s">
        <v>1852</v>
      </c>
      <c r="L3343" s="11" t="s">
        <v>1853</v>
      </c>
      <c r="M3343" s="11" t="s">
        <v>7351</v>
      </c>
      <c r="N3343" s="12"/>
      <c r="O3343" s="11" t="s">
        <v>1859</v>
      </c>
      <c r="P3343" s="56"/>
    </row>
    <row r="3344" spans="1:16" ht="15.75" customHeight="1" x14ac:dyDescent="0.2">
      <c r="A3344" s="48">
        <v>7595</v>
      </c>
      <c r="B3344" s="11" t="s">
        <v>1857</v>
      </c>
      <c r="C3344" s="11" t="s">
        <v>1849</v>
      </c>
      <c r="D3344" s="6" t="s">
        <v>1850</v>
      </c>
      <c r="E3344" s="11" t="s">
        <v>6642</v>
      </c>
      <c r="F3344" s="12" t="s">
        <v>7345</v>
      </c>
      <c r="G3344" s="12" t="s">
        <v>5198</v>
      </c>
      <c r="H3344" s="12" t="s">
        <v>7373</v>
      </c>
      <c r="I3344" s="12" t="s">
        <v>7568</v>
      </c>
      <c r="J3344" s="11" t="s">
        <v>2246</v>
      </c>
      <c r="K3344" s="11" t="s">
        <v>2247</v>
      </c>
      <c r="L3344" s="11" t="s">
        <v>7375</v>
      </c>
      <c r="M3344" s="11" t="s">
        <v>7569</v>
      </c>
      <c r="N3344" s="12"/>
      <c r="O3344" s="11" t="s">
        <v>1859</v>
      </c>
      <c r="P3344" s="56"/>
    </row>
    <row r="3345" spans="1:16" ht="15.75" customHeight="1" x14ac:dyDescent="0.2">
      <c r="A3345" s="48">
        <v>3300</v>
      </c>
      <c r="B3345" s="11" t="s">
        <v>1857</v>
      </c>
      <c r="C3345" s="11" t="s">
        <v>1849</v>
      </c>
      <c r="D3345" s="6" t="s">
        <v>1850</v>
      </c>
      <c r="E3345" s="11" t="s">
        <v>6642</v>
      </c>
      <c r="F3345" s="12" t="s">
        <v>7345</v>
      </c>
      <c r="G3345" s="12" t="s">
        <v>5198</v>
      </c>
      <c r="H3345" s="12" t="s">
        <v>7352</v>
      </c>
      <c r="I3345" s="12" t="s">
        <v>7570</v>
      </c>
      <c r="J3345" s="11" t="s">
        <v>1856</v>
      </c>
      <c r="K3345" s="11" t="s">
        <v>1852</v>
      </c>
      <c r="L3345" s="11" t="s">
        <v>1853</v>
      </c>
      <c r="M3345" s="11" t="s">
        <v>7571</v>
      </c>
      <c r="N3345" s="12" t="s">
        <v>7572</v>
      </c>
      <c r="O3345" s="11" t="s">
        <v>1858</v>
      </c>
      <c r="P3345" s="56"/>
    </row>
    <row r="3346" spans="1:16" ht="15.75" customHeight="1" x14ac:dyDescent="0.2">
      <c r="A3346" s="48">
        <v>3331</v>
      </c>
      <c r="B3346" s="11" t="s">
        <v>1857</v>
      </c>
      <c r="C3346" s="11" t="s">
        <v>1849</v>
      </c>
      <c r="D3346" s="6" t="s">
        <v>1850</v>
      </c>
      <c r="E3346" s="11" t="s">
        <v>6642</v>
      </c>
      <c r="F3346" s="12" t="s">
        <v>7345</v>
      </c>
      <c r="G3346" s="12" t="s">
        <v>5198</v>
      </c>
      <c r="H3346" s="12" t="s">
        <v>7404</v>
      </c>
      <c r="I3346" s="12" t="s">
        <v>7573</v>
      </c>
      <c r="J3346" s="11" t="s">
        <v>1856</v>
      </c>
      <c r="K3346" s="11" t="s">
        <v>1852</v>
      </c>
      <c r="L3346" s="11" t="s">
        <v>1853</v>
      </c>
      <c r="M3346" s="11" t="s">
        <v>7574</v>
      </c>
      <c r="N3346" s="12" t="s">
        <v>7575</v>
      </c>
      <c r="O3346" s="11" t="s">
        <v>1860</v>
      </c>
      <c r="P3346" s="56"/>
    </row>
    <row r="3347" spans="1:16" ht="15.75" customHeight="1" x14ac:dyDescent="0.2">
      <c r="A3347" s="48">
        <v>3072</v>
      </c>
      <c r="B3347" s="11" t="s">
        <v>1857</v>
      </c>
      <c r="C3347" s="11" t="s">
        <v>1849</v>
      </c>
      <c r="D3347" s="6" t="s">
        <v>1850</v>
      </c>
      <c r="E3347" s="11" t="s">
        <v>6642</v>
      </c>
      <c r="F3347" s="12" t="s">
        <v>7345</v>
      </c>
      <c r="G3347" s="12" t="s">
        <v>7384</v>
      </c>
      <c r="H3347" s="12" t="s">
        <v>7576</v>
      </c>
      <c r="I3347" s="12" t="s">
        <v>7577</v>
      </c>
      <c r="J3347" s="11" t="s">
        <v>1856</v>
      </c>
      <c r="K3347" s="11" t="s">
        <v>1852</v>
      </c>
      <c r="L3347" s="11" t="s">
        <v>1853</v>
      </c>
      <c r="M3347" s="11" t="s">
        <v>7353</v>
      </c>
      <c r="N3347" s="12"/>
      <c r="O3347" s="11" t="s">
        <v>1858</v>
      </c>
      <c r="P3347" s="56"/>
    </row>
    <row r="3348" spans="1:16" ht="15.75" customHeight="1" x14ac:dyDescent="0.2">
      <c r="A3348" s="48">
        <v>4085</v>
      </c>
      <c r="B3348" s="11" t="s">
        <v>1857</v>
      </c>
      <c r="C3348" s="11" t="s">
        <v>1849</v>
      </c>
      <c r="D3348" s="6" t="s">
        <v>1850</v>
      </c>
      <c r="E3348" s="11" t="s">
        <v>6642</v>
      </c>
      <c r="F3348" s="12" t="s">
        <v>7345</v>
      </c>
      <c r="G3348" s="12" t="s">
        <v>7355</v>
      </c>
      <c r="H3348" s="12" t="s">
        <v>7578</v>
      </c>
      <c r="I3348" s="12" t="s">
        <v>7579</v>
      </c>
      <c r="J3348" s="11" t="s">
        <v>1856</v>
      </c>
      <c r="K3348" s="11" t="s">
        <v>1852</v>
      </c>
      <c r="L3348" s="11" t="s">
        <v>1853</v>
      </c>
      <c r="M3348" s="11" t="s">
        <v>7580</v>
      </c>
      <c r="N3348" s="12" t="s">
        <v>7581</v>
      </c>
      <c r="O3348" s="11" t="s">
        <v>1860</v>
      </c>
      <c r="P3348" s="56"/>
    </row>
    <row r="3349" spans="1:16" ht="15.75" customHeight="1" x14ac:dyDescent="0.2">
      <c r="A3349" s="48">
        <v>5430</v>
      </c>
      <c r="B3349" s="11" t="s">
        <v>1857</v>
      </c>
      <c r="C3349" s="11" t="s">
        <v>1849</v>
      </c>
      <c r="D3349" s="6" t="s">
        <v>1850</v>
      </c>
      <c r="E3349" s="11" t="s">
        <v>6642</v>
      </c>
      <c r="F3349" s="12" t="s">
        <v>7345</v>
      </c>
      <c r="G3349" s="12" t="s">
        <v>5198</v>
      </c>
      <c r="H3349" s="12" t="s">
        <v>7352</v>
      </c>
      <c r="I3349" s="12" t="s">
        <v>7582</v>
      </c>
      <c r="J3349" s="11" t="s">
        <v>1856</v>
      </c>
      <c r="K3349" s="11" t="s">
        <v>1852</v>
      </c>
      <c r="L3349" s="11" t="s">
        <v>1853</v>
      </c>
      <c r="M3349" s="11" t="s">
        <v>7351</v>
      </c>
      <c r="N3349" s="12"/>
      <c r="O3349" s="11" t="s">
        <v>1858</v>
      </c>
      <c r="P3349" s="56"/>
    </row>
    <row r="3350" spans="1:16" ht="15.75" customHeight="1" x14ac:dyDescent="0.2">
      <c r="A3350" s="48">
        <v>3280</v>
      </c>
      <c r="B3350" s="11" t="s">
        <v>1857</v>
      </c>
      <c r="C3350" s="11" t="s">
        <v>1849</v>
      </c>
      <c r="D3350" s="6" t="s">
        <v>1850</v>
      </c>
      <c r="E3350" s="11" t="s">
        <v>6642</v>
      </c>
      <c r="F3350" s="12" t="s">
        <v>7345</v>
      </c>
      <c r="G3350" s="12" t="s">
        <v>5198</v>
      </c>
      <c r="H3350" s="12" t="s">
        <v>7352</v>
      </c>
      <c r="I3350" s="12" t="s">
        <v>2535</v>
      </c>
      <c r="J3350" s="11" t="s">
        <v>1856</v>
      </c>
      <c r="K3350" s="11" t="s">
        <v>1852</v>
      </c>
      <c r="L3350" s="11" t="s">
        <v>1853</v>
      </c>
      <c r="M3350" s="11" t="s">
        <v>7583</v>
      </c>
      <c r="N3350" s="12" t="s">
        <v>7584</v>
      </c>
      <c r="O3350" s="11" t="s">
        <v>1858</v>
      </c>
      <c r="P3350" s="56"/>
    </row>
    <row r="3351" spans="1:16" ht="15.75" customHeight="1" x14ac:dyDescent="0.2">
      <c r="A3351" s="48">
        <v>3294</v>
      </c>
      <c r="B3351" s="11" t="s">
        <v>1857</v>
      </c>
      <c r="C3351" s="11" t="s">
        <v>1849</v>
      </c>
      <c r="D3351" s="6" t="s">
        <v>1850</v>
      </c>
      <c r="E3351" s="11" t="s">
        <v>6642</v>
      </c>
      <c r="F3351" s="12" t="s">
        <v>7345</v>
      </c>
      <c r="G3351" s="12" t="s">
        <v>5198</v>
      </c>
      <c r="H3351" s="12" t="s">
        <v>7350</v>
      </c>
      <c r="I3351" s="12" t="s">
        <v>7585</v>
      </c>
      <c r="J3351" s="11" t="s">
        <v>1856</v>
      </c>
      <c r="K3351" s="11" t="s">
        <v>1852</v>
      </c>
      <c r="L3351" s="11" t="s">
        <v>7391</v>
      </c>
      <c r="M3351" s="11" t="s">
        <v>7353</v>
      </c>
      <c r="N3351" s="12"/>
      <c r="O3351" s="11" t="s">
        <v>1858</v>
      </c>
      <c r="P3351" s="56"/>
    </row>
    <row r="3352" spans="1:16" ht="15.75" customHeight="1" x14ac:dyDescent="0.2">
      <c r="A3352" s="48">
        <v>3309</v>
      </c>
      <c r="B3352" s="11" t="s">
        <v>1857</v>
      </c>
      <c r="C3352" s="11" t="s">
        <v>1849</v>
      </c>
      <c r="D3352" s="6" t="s">
        <v>1850</v>
      </c>
      <c r="E3352" s="11" t="s">
        <v>6642</v>
      </c>
      <c r="F3352" s="12" t="s">
        <v>7345</v>
      </c>
      <c r="G3352" s="12" t="s">
        <v>5198</v>
      </c>
      <c r="H3352" s="12" t="s">
        <v>7352</v>
      </c>
      <c r="I3352" s="12" t="s">
        <v>3136</v>
      </c>
      <c r="J3352" s="11" t="s">
        <v>1856</v>
      </c>
      <c r="K3352" s="11" t="s">
        <v>1852</v>
      </c>
      <c r="L3352" s="11" t="s">
        <v>1853</v>
      </c>
      <c r="M3352" s="11" t="s">
        <v>7413</v>
      </c>
      <c r="N3352" s="12" t="s">
        <v>7586</v>
      </c>
      <c r="O3352" s="11" t="s">
        <v>1858</v>
      </c>
      <c r="P3352" s="56"/>
    </row>
    <row r="3353" spans="1:16" ht="15.75" customHeight="1" x14ac:dyDescent="0.2">
      <c r="A3353" s="48">
        <v>3296</v>
      </c>
      <c r="B3353" s="11" t="s">
        <v>1857</v>
      </c>
      <c r="C3353" s="11" t="s">
        <v>1849</v>
      </c>
      <c r="D3353" s="6" t="s">
        <v>1850</v>
      </c>
      <c r="E3353" s="11" t="s">
        <v>6642</v>
      </c>
      <c r="F3353" s="12" t="s">
        <v>7345</v>
      </c>
      <c r="G3353" s="12" t="s">
        <v>5198</v>
      </c>
      <c r="H3353" s="12" t="s">
        <v>7352</v>
      </c>
      <c r="I3353" s="12" t="s">
        <v>7587</v>
      </c>
      <c r="J3353" s="11" t="s">
        <v>1856</v>
      </c>
      <c r="K3353" s="11" t="s">
        <v>1852</v>
      </c>
      <c r="L3353" s="11" t="s">
        <v>1853</v>
      </c>
      <c r="M3353" s="11" t="s">
        <v>7353</v>
      </c>
      <c r="N3353" s="12" t="s">
        <v>7588</v>
      </c>
      <c r="O3353" s="11" t="s">
        <v>1860</v>
      </c>
      <c r="P3353" s="56"/>
    </row>
    <row r="3354" spans="1:16" ht="15.75" customHeight="1" x14ac:dyDescent="0.2">
      <c r="A3354" s="48">
        <v>3359</v>
      </c>
      <c r="B3354" s="11" t="s">
        <v>1857</v>
      </c>
      <c r="C3354" s="11" t="s">
        <v>1849</v>
      </c>
      <c r="D3354" s="6" t="s">
        <v>1850</v>
      </c>
      <c r="E3354" s="11" t="s">
        <v>6642</v>
      </c>
      <c r="F3354" s="12" t="s">
        <v>7345</v>
      </c>
      <c r="G3354" s="12" t="s">
        <v>7346</v>
      </c>
      <c r="H3354" s="12" t="s">
        <v>7461</v>
      </c>
      <c r="I3354" s="12" t="s">
        <v>7589</v>
      </c>
      <c r="J3354" s="11" t="s">
        <v>2246</v>
      </c>
      <c r="K3354" s="11" t="s">
        <v>2247</v>
      </c>
      <c r="L3354" s="11" t="s">
        <v>7391</v>
      </c>
      <c r="M3354" s="11" t="s">
        <v>7351</v>
      </c>
      <c r="N3354" s="12"/>
      <c r="O3354" s="11" t="s">
        <v>1858</v>
      </c>
      <c r="P3354" s="56"/>
    </row>
    <row r="3355" spans="1:16" ht="15.75" customHeight="1" x14ac:dyDescent="0.2">
      <c r="A3355" s="48">
        <v>3275</v>
      </c>
      <c r="B3355" s="11" t="s">
        <v>1857</v>
      </c>
      <c r="C3355" s="11" t="s">
        <v>1849</v>
      </c>
      <c r="D3355" s="6" t="s">
        <v>1850</v>
      </c>
      <c r="E3355" s="11" t="s">
        <v>6642</v>
      </c>
      <c r="F3355" s="12" t="s">
        <v>7345</v>
      </c>
      <c r="G3355" s="12" t="s">
        <v>5198</v>
      </c>
      <c r="H3355" s="12" t="s">
        <v>7352</v>
      </c>
      <c r="I3355" s="12" t="s">
        <v>7590</v>
      </c>
      <c r="J3355" s="11" t="s">
        <v>1856</v>
      </c>
      <c r="K3355" s="11" t="s">
        <v>1852</v>
      </c>
      <c r="L3355" s="11" t="s">
        <v>1853</v>
      </c>
      <c r="M3355" s="11" t="s">
        <v>1854</v>
      </c>
      <c r="N3355" s="12"/>
      <c r="O3355" s="11" t="s">
        <v>1858</v>
      </c>
      <c r="P3355" s="56"/>
    </row>
    <row r="3356" spans="1:16" ht="15.75" customHeight="1" x14ac:dyDescent="0.2">
      <c r="A3356" s="48">
        <v>3080</v>
      </c>
      <c r="B3356" s="11" t="s">
        <v>1857</v>
      </c>
      <c r="C3356" s="11" t="s">
        <v>1849</v>
      </c>
      <c r="D3356" s="6" t="s">
        <v>1850</v>
      </c>
      <c r="E3356" s="11" t="s">
        <v>6642</v>
      </c>
      <c r="F3356" s="12" t="s">
        <v>7345</v>
      </c>
      <c r="G3356" s="12" t="s">
        <v>7384</v>
      </c>
      <c r="H3356" s="12" t="s">
        <v>7576</v>
      </c>
      <c r="I3356" s="12" t="s">
        <v>7591</v>
      </c>
      <c r="J3356" s="11" t="s">
        <v>1856</v>
      </c>
      <c r="K3356" s="11" t="s">
        <v>1852</v>
      </c>
      <c r="L3356" s="11" t="s">
        <v>1853</v>
      </c>
      <c r="M3356" s="11" t="s">
        <v>7353</v>
      </c>
      <c r="N3356" s="12"/>
      <c r="O3356" s="11" t="s">
        <v>1858</v>
      </c>
      <c r="P3356" s="56"/>
    </row>
    <row r="3357" spans="1:16" ht="15.75" customHeight="1" x14ac:dyDescent="0.2">
      <c r="A3357" s="48">
        <v>5093</v>
      </c>
      <c r="B3357" s="11" t="s">
        <v>1857</v>
      </c>
      <c r="C3357" s="11" t="s">
        <v>1849</v>
      </c>
      <c r="D3357" s="6" t="s">
        <v>1850</v>
      </c>
      <c r="E3357" s="11" t="s">
        <v>6642</v>
      </c>
      <c r="F3357" s="12" t="s">
        <v>7345</v>
      </c>
      <c r="G3357" s="12" t="s">
        <v>5198</v>
      </c>
      <c r="H3357" s="12" t="s">
        <v>7373</v>
      </c>
      <c r="I3357" s="12" t="s">
        <v>7592</v>
      </c>
      <c r="J3357" s="11" t="s">
        <v>2246</v>
      </c>
      <c r="K3357" s="11" t="s">
        <v>2247</v>
      </c>
      <c r="L3357" s="11" t="s">
        <v>7375</v>
      </c>
      <c r="M3357" s="11" t="s">
        <v>1854</v>
      </c>
      <c r="N3357" s="12"/>
      <c r="O3357" s="11" t="s">
        <v>1858</v>
      </c>
      <c r="P3357" s="56"/>
    </row>
    <row r="3358" spans="1:16" ht="15.75" customHeight="1" x14ac:dyDescent="0.2">
      <c r="A3358" s="48">
        <v>3290</v>
      </c>
      <c r="B3358" s="11" t="s">
        <v>1857</v>
      </c>
      <c r="C3358" s="11" t="s">
        <v>1849</v>
      </c>
      <c r="D3358" s="6" t="s">
        <v>1850</v>
      </c>
      <c r="E3358" s="11" t="s">
        <v>6642</v>
      </c>
      <c r="F3358" s="12" t="s">
        <v>7345</v>
      </c>
      <c r="G3358" s="12" t="s">
        <v>5198</v>
      </c>
      <c r="H3358" s="12" t="s">
        <v>7350</v>
      </c>
      <c r="I3358" s="12" t="s">
        <v>7593</v>
      </c>
      <c r="J3358" s="11" t="s">
        <v>1856</v>
      </c>
      <c r="K3358" s="11" t="s">
        <v>1852</v>
      </c>
      <c r="L3358" s="11" t="s">
        <v>1853</v>
      </c>
      <c r="M3358" s="11" t="s">
        <v>7594</v>
      </c>
      <c r="N3358" s="12" t="s">
        <v>7595</v>
      </c>
      <c r="O3358" s="11" t="s">
        <v>1858</v>
      </c>
      <c r="P3358" s="56"/>
    </row>
    <row r="3359" spans="1:16" ht="15.75" customHeight="1" x14ac:dyDescent="0.2">
      <c r="A3359" s="48">
        <v>15953</v>
      </c>
      <c r="B3359" s="11" t="s">
        <v>1871</v>
      </c>
      <c r="C3359" s="11" t="s">
        <v>1849</v>
      </c>
      <c r="D3359" s="6" t="s">
        <v>1850</v>
      </c>
      <c r="E3359" s="11" t="s">
        <v>6642</v>
      </c>
      <c r="F3359" s="12" t="s">
        <v>7345</v>
      </c>
      <c r="G3359" s="12" t="s">
        <v>7346</v>
      </c>
      <c r="H3359" s="12" t="s">
        <v>7347</v>
      </c>
      <c r="I3359" s="12" t="s">
        <v>7596</v>
      </c>
      <c r="J3359" s="11" t="s">
        <v>1856</v>
      </c>
      <c r="K3359" s="11" t="s">
        <v>1852</v>
      </c>
      <c r="L3359" s="11" t="s">
        <v>1853</v>
      </c>
      <c r="M3359" s="11" t="s">
        <v>1854</v>
      </c>
      <c r="N3359" s="12"/>
      <c r="O3359" s="11" t="s">
        <v>2022</v>
      </c>
      <c r="P3359" s="56"/>
    </row>
    <row r="3360" spans="1:16" ht="15.75" customHeight="1" x14ac:dyDescent="0.2">
      <c r="A3360" s="48">
        <v>16125</v>
      </c>
      <c r="B3360" s="11" t="s">
        <v>1871</v>
      </c>
      <c r="C3360" s="11" t="s">
        <v>1849</v>
      </c>
      <c r="D3360" s="6" t="s">
        <v>1850</v>
      </c>
      <c r="E3360" s="11" t="s">
        <v>6642</v>
      </c>
      <c r="F3360" s="12" t="s">
        <v>7345</v>
      </c>
      <c r="G3360" s="12" t="s">
        <v>5198</v>
      </c>
      <c r="H3360" s="12" t="s">
        <v>7373</v>
      </c>
      <c r="I3360" s="12" t="s">
        <v>7597</v>
      </c>
      <c r="J3360" s="11" t="s">
        <v>2246</v>
      </c>
      <c r="K3360" s="11" t="s">
        <v>2247</v>
      </c>
      <c r="L3360" s="11" t="s">
        <v>1853</v>
      </c>
      <c r="M3360" s="11" t="s">
        <v>1854</v>
      </c>
      <c r="N3360" s="12"/>
      <c r="O3360" s="11" t="s">
        <v>1859</v>
      </c>
      <c r="P3360" s="56"/>
    </row>
    <row r="3361" spans="1:16" ht="15.75" customHeight="1" x14ac:dyDescent="0.2">
      <c r="A3361" s="48">
        <v>5875</v>
      </c>
      <c r="B3361" s="11" t="s">
        <v>1871</v>
      </c>
      <c r="C3361" s="11" t="s">
        <v>1849</v>
      </c>
      <c r="D3361" s="6" t="s">
        <v>1850</v>
      </c>
      <c r="E3361" s="11" t="s">
        <v>6642</v>
      </c>
      <c r="F3361" s="12" t="s">
        <v>7345</v>
      </c>
      <c r="G3361" s="12" t="s">
        <v>5198</v>
      </c>
      <c r="H3361" s="12" t="s">
        <v>7350</v>
      </c>
      <c r="I3361" s="12" t="s">
        <v>7598</v>
      </c>
      <c r="J3361" s="11" t="s">
        <v>1856</v>
      </c>
      <c r="K3361" s="11" t="s">
        <v>1852</v>
      </c>
      <c r="L3361" s="11" t="s">
        <v>1853</v>
      </c>
      <c r="M3361" s="11" t="s">
        <v>1854</v>
      </c>
      <c r="N3361" s="12"/>
      <c r="O3361" s="11" t="s">
        <v>2022</v>
      </c>
      <c r="P3361" s="56" t="s">
        <v>1863</v>
      </c>
    </row>
    <row r="3362" spans="1:16" ht="15.75" customHeight="1" x14ac:dyDescent="0.2">
      <c r="A3362" s="48">
        <v>3209</v>
      </c>
      <c r="B3362" s="11" t="s">
        <v>1871</v>
      </c>
      <c r="C3362" s="11" t="s">
        <v>1849</v>
      </c>
      <c r="D3362" s="6" t="s">
        <v>1850</v>
      </c>
      <c r="E3362" s="11" t="s">
        <v>6642</v>
      </c>
      <c r="F3362" s="12" t="s">
        <v>7345</v>
      </c>
      <c r="G3362" s="12" t="s">
        <v>5198</v>
      </c>
      <c r="H3362" s="12" t="s">
        <v>5198</v>
      </c>
      <c r="I3362" s="12" t="s">
        <v>7599</v>
      </c>
      <c r="J3362" s="11" t="s">
        <v>1851</v>
      </c>
      <c r="K3362" s="11" t="s">
        <v>1852</v>
      </c>
      <c r="L3362" s="11" t="s">
        <v>1853</v>
      </c>
      <c r="M3362" s="11" t="s">
        <v>1854</v>
      </c>
      <c r="N3362" s="12"/>
      <c r="O3362" s="11" t="s">
        <v>2022</v>
      </c>
      <c r="P3362" s="56" t="s">
        <v>2573</v>
      </c>
    </row>
    <row r="3363" spans="1:16" ht="15.75" customHeight="1" x14ac:dyDescent="0.2">
      <c r="A3363" s="48">
        <v>15954</v>
      </c>
      <c r="B3363" s="11" t="s">
        <v>1871</v>
      </c>
      <c r="C3363" s="11" t="s">
        <v>1849</v>
      </c>
      <c r="D3363" s="6" t="s">
        <v>1850</v>
      </c>
      <c r="E3363" s="11" t="s">
        <v>6642</v>
      </c>
      <c r="F3363" s="12" t="s">
        <v>7345</v>
      </c>
      <c r="G3363" s="12" t="s">
        <v>5198</v>
      </c>
      <c r="H3363" s="12" t="s">
        <v>7404</v>
      </c>
      <c r="I3363" s="12" t="s">
        <v>7573</v>
      </c>
      <c r="J3363" s="11" t="s">
        <v>1856</v>
      </c>
      <c r="K3363" s="11" t="s">
        <v>1852</v>
      </c>
      <c r="L3363" s="11" t="s">
        <v>1853</v>
      </c>
      <c r="M3363" s="11" t="s">
        <v>1854</v>
      </c>
      <c r="N3363" s="12"/>
      <c r="O3363" s="11" t="s">
        <v>3016</v>
      </c>
      <c r="P3363" s="56" t="s">
        <v>2323</v>
      </c>
    </row>
    <row r="3364" spans="1:16" ht="15.75" customHeight="1" x14ac:dyDescent="0.2">
      <c r="A3364" s="48">
        <v>3210</v>
      </c>
      <c r="B3364" s="11" t="s">
        <v>1871</v>
      </c>
      <c r="C3364" s="11" t="s">
        <v>1849</v>
      </c>
      <c r="D3364" s="6" t="s">
        <v>1850</v>
      </c>
      <c r="E3364" s="11" t="s">
        <v>6642</v>
      </c>
      <c r="F3364" s="12" t="s">
        <v>7345</v>
      </c>
      <c r="G3364" s="12" t="s">
        <v>5198</v>
      </c>
      <c r="H3364" s="12" t="s">
        <v>5198</v>
      </c>
      <c r="I3364" s="12" t="s">
        <v>7600</v>
      </c>
      <c r="J3364" s="11" t="s">
        <v>1856</v>
      </c>
      <c r="K3364" s="11" t="s">
        <v>1852</v>
      </c>
      <c r="L3364" s="11" t="s">
        <v>1853</v>
      </c>
      <c r="M3364" s="11" t="s">
        <v>1854</v>
      </c>
      <c r="N3364" s="12"/>
      <c r="O3364" s="11" t="s">
        <v>2022</v>
      </c>
      <c r="P3364" s="56" t="s">
        <v>7601</v>
      </c>
    </row>
    <row r="3365" spans="1:16" ht="15.75" customHeight="1" x14ac:dyDescent="0.2">
      <c r="A3365" s="48">
        <v>15958</v>
      </c>
      <c r="B3365" s="11" t="s">
        <v>1871</v>
      </c>
      <c r="C3365" s="11" t="s">
        <v>1849</v>
      </c>
      <c r="D3365" s="6" t="s">
        <v>1850</v>
      </c>
      <c r="E3365" s="11" t="s">
        <v>6642</v>
      </c>
      <c r="F3365" s="12" t="s">
        <v>7345</v>
      </c>
      <c r="G3365" s="12" t="s">
        <v>5198</v>
      </c>
      <c r="H3365" s="12" t="s">
        <v>5198</v>
      </c>
      <c r="I3365" s="12" t="s">
        <v>7602</v>
      </c>
      <c r="J3365" s="11" t="s">
        <v>1851</v>
      </c>
      <c r="K3365" s="11" t="s">
        <v>1852</v>
      </c>
      <c r="L3365" s="11" t="s">
        <v>1853</v>
      </c>
      <c r="M3365" s="11" t="s">
        <v>1854</v>
      </c>
      <c r="N3365" s="12"/>
      <c r="O3365" s="11" t="s">
        <v>1859</v>
      </c>
      <c r="P3365" s="56"/>
    </row>
    <row r="3366" spans="1:16" ht="15.75" customHeight="1" x14ac:dyDescent="0.2">
      <c r="A3366" s="48">
        <v>15956</v>
      </c>
      <c r="B3366" s="11" t="s">
        <v>1871</v>
      </c>
      <c r="C3366" s="11" t="s">
        <v>1849</v>
      </c>
      <c r="D3366" s="6" t="s">
        <v>1850</v>
      </c>
      <c r="E3366" s="11" t="s">
        <v>6642</v>
      </c>
      <c r="F3366" s="12" t="s">
        <v>7345</v>
      </c>
      <c r="G3366" s="12" t="s">
        <v>7603</v>
      </c>
      <c r="H3366" s="12" t="s">
        <v>5198</v>
      </c>
      <c r="I3366" s="12" t="s">
        <v>7604</v>
      </c>
      <c r="J3366" s="11" t="s">
        <v>1851</v>
      </c>
      <c r="K3366" s="11" t="s">
        <v>1852</v>
      </c>
      <c r="L3366" s="11" t="s">
        <v>1853</v>
      </c>
      <c r="M3366" s="11" t="s">
        <v>1854</v>
      </c>
      <c r="N3366" s="12"/>
      <c r="O3366" s="11" t="s">
        <v>1859</v>
      </c>
      <c r="P3366" s="56"/>
    </row>
    <row r="3367" spans="1:16" ht="15.75" customHeight="1" x14ac:dyDescent="0.2">
      <c r="A3367" s="48">
        <v>15960</v>
      </c>
      <c r="B3367" s="11" t="s">
        <v>1871</v>
      </c>
      <c r="C3367" s="11" t="s">
        <v>1849</v>
      </c>
      <c r="D3367" s="6" t="s">
        <v>1850</v>
      </c>
      <c r="E3367" s="11" t="s">
        <v>6642</v>
      </c>
      <c r="F3367" s="12" t="s">
        <v>7345</v>
      </c>
      <c r="G3367" s="12" t="s">
        <v>7346</v>
      </c>
      <c r="H3367" s="12" t="s">
        <v>7346</v>
      </c>
      <c r="I3367" s="12" t="s">
        <v>7605</v>
      </c>
      <c r="J3367" s="11" t="s">
        <v>1856</v>
      </c>
      <c r="K3367" s="11" t="s">
        <v>1852</v>
      </c>
      <c r="L3367" s="11" t="s">
        <v>1853</v>
      </c>
      <c r="M3367" s="11" t="s">
        <v>1854</v>
      </c>
      <c r="N3367" s="12"/>
      <c r="O3367" s="11" t="s">
        <v>1872</v>
      </c>
      <c r="P3367" s="56" t="s">
        <v>1863</v>
      </c>
    </row>
    <row r="3368" spans="1:16" ht="15.75" customHeight="1" x14ac:dyDescent="0.2">
      <c r="A3368" s="48">
        <v>15952</v>
      </c>
      <c r="B3368" s="11" t="s">
        <v>1871</v>
      </c>
      <c r="C3368" s="11" t="s">
        <v>1849</v>
      </c>
      <c r="D3368" s="6" t="s">
        <v>1850</v>
      </c>
      <c r="E3368" s="11" t="s">
        <v>6642</v>
      </c>
      <c r="F3368" s="12" t="s">
        <v>7345</v>
      </c>
      <c r="G3368" s="12" t="s">
        <v>7384</v>
      </c>
      <c r="H3368" s="12" t="s">
        <v>5791</v>
      </c>
      <c r="I3368" s="12" t="s">
        <v>7606</v>
      </c>
      <c r="J3368" s="11" t="s">
        <v>1856</v>
      </c>
      <c r="K3368" s="11" t="s">
        <v>1852</v>
      </c>
      <c r="L3368" s="11" t="s">
        <v>1853</v>
      </c>
      <c r="M3368" s="11" t="s">
        <v>1854</v>
      </c>
      <c r="N3368" s="12"/>
      <c r="O3368" s="11" t="s">
        <v>2022</v>
      </c>
      <c r="P3368" s="56" t="s">
        <v>1863</v>
      </c>
    </row>
    <row r="3369" spans="1:16" ht="15.75" customHeight="1" x14ac:dyDescent="0.2">
      <c r="A3369" s="48">
        <v>15951</v>
      </c>
      <c r="B3369" s="11" t="s">
        <v>1871</v>
      </c>
      <c r="C3369" s="11" t="s">
        <v>1849</v>
      </c>
      <c r="D3369" s="6" t="s">
        <v>1850</v>
      </c>
      <c r="E3369" s="11" t="s">
        <v>6642</v>
      </c>
      <c r="F3369" s="12" t="s">
        <v>7345</v>
      </c>
      <c r="G3369" s="12" t="s">
        <v>7384</v>
      </c>
      <c r="H3369" s="12" t="s">
        <v>7457</v>
      </c>
      <c r="I3369" s="12" t="s">
        <v>7458</v>
      </c>
      <c r="J3369" s="11" t="s">
        <v>1856</v>
      </c>
      <c r="K3369" s="11" t="s">
        <v>1852</v>
      </c>
      <c r="L3369" s="11" t="s">
        <v>1853</v>
      </c>
      <c r="M3369" s="11" t="s">
        <v>1854</v>
      </c>
      <c r="N3369" s="12"/>
      <c r="O3369" s="11" t="s">
        <v>2022</v>
      </c>
      <c r="P3369" s="56" t="s">
        <v>2409</v>
      </c>
    </row>
    <row r="3370" spans="1:16" ht="15.75" customHeight="1" x14ac:dyDescent="0.2">
      <c r="A3370" s="48">
        <v>15955</v>
      </c>
      <c r="B3370" s="11" t="s">
        <v>1871</v>
      </c>
      <c r="C3370" s="11" t="s">
        <v>1849</v>
      </c>
      <c r="D3370" s="6" t="s">
        <v>1850</v>
      </c>
      <c r="E3370" s="11" t="s">
        <v>6642</v>
      </c>
      <c r="F3370" s="12" t="s">
        <v>7345</v>
      </c>
      <c r="G3370" s="12" t="s">
        <v>5198</v>
      </c>
      <c r="H3370" s="12" t="s">
        <v>7373</v>
      </c>
      <c r="I3370" s="12" t="s">
        <v>7607</v>
      </c>
      <c r="J3370" s="11" t="s">
        <v>2246</v>
      </c>
      <c r="K3370" s="11" t="s">
        <v>2247</v>
      </c>
      <c r="L3370" s="11" t="s">
        <v>1853</v>
      </c>
      <c r="M3370" s="11" t="s">
        <v>1854</v>
      </c>
      <c r="N3370" s="12"/>
      <c r="O3370" s="11" t="s">
        <v>5538</v>
      </c>
      <c r="P3370" s="56" t="s">
        <v>1865</v>
      </c>
    </row>
    <row r="3371" spans="1:16" ht="15.75" customHeight="1" x14ac:dyDescent="0.2">
      <c r="A3371" s="48">
        <v>15957</v>
      </c>
      <c r="B3371" s="11" t="s">
        <v>1871</v>
      </c>
      <c r="C3371" s="11" t="s">
        <v>1849</v>
      </c>
      <c r="D3371" s="6" t="s">
        <v>1850</v>
      </c>
      <c r="E3371" s="11" t="s">
        <v>6642</v>
      </c>
      <c r="F3371" s="12" t="s">
        <v>7345</v>
      </c>
      <c r="G3371" s="12" t="s">
        <v>5198</v>
      </c>
      <c r="H3371" s="12" t="s">
        <v>5198</v>
      </c>
      <c r="I3371" s="12" t="s">
        <v>5845</v>
      </c>
      <c r="J3371" s="11" t="s">
        <v>1851</v>
      </c>
      <c r="K3371" s="11" t="s">
        <v>1852</v>
      </c>
      <c r="L3371" s="11" t="s">
        <v>1853</v>
      </c>
      <c r="M3371" s="11" t="s">
        <v>1854</v>
      </c>
      <c r="N3371" s="12"/>
      <c r="O3371" s="11" t="s">
        <v>1859</v>
      </c>
      <c r="P3371" s="56"/>
    </row>
    <row r="3372" spans="1:16" ht="15.75" customHeight="1" x14ac:dyDescent="0.2">
      <c r="A3372" s="48">
        <v>15959</v>
      </c>
      <c r="B3372" s="11" t="s">
        <v>1871</v>
      </c>
      <c r="C3372" s="11" t="s">
        <v>1849</v>
      </c>
      <c r="D3372" s="6" t="s">
        <v>1850</v>
      </c>
      <c r="E3372" s="11" t="s">
        <v>6642</v>
      </c>
      <c r="F3372" s="12" t="s">
        <v>7345</v>
      </c>
      <c r="G3372" s="12" t="s">
        <v>7603</v>
      </c>
      <c r="H3372" s="12" t="s">
        <v>5198</v>
      </c>
      <c r="I3372" s="12" t="s">
        <v>7608</v>
      </c>
      <c r="J3372" s="11" t="s">
        <v>1856</v>
      </c>
      <c r="K3372" s="11" t="s">
        <v>1852</v>
      </c>
      <c r="L3372" s="11" t="s">
        <v>1853</v>
      </c>
      <c r="M3372" s="11" t="s">
        <v>1854</v>
      </c>
      <c r="N3372" s="12"/>
      <c r="O3372" s="11" t="s">
        <v>1859</v>
      </c>
      <c r="P3372" s="56"/>
    </row>
    <row r="3373" spans="1:16" ht="15.75" customHeight="1" x14ac:dyDescent="0.2">
      <c r="A3373" s="48">
        <v>7314</v>
      </c>
      <c r="B3373" s="11" t="s">
        <v>1857</v>
      </c>
      <c r="C3373" s="11" t="s">
        <v>1849</v>
      </c>
      <c r="D3373" s="6" t="s">
        <v>2594</v>
      </c>
      <c r="E3373" s="11" t="s">
        <v>6642</v>
      </c>
      <c r="F3373" s="12" t="s">
        <v>7345</v>
      </c>
      <c r="G3373" s="12" t="s">
        <v>5198</v>
      </c>
      <c r="H3373" s="12" t="s">
        <v>5198</v>
      </c>
      <c r="I3373" s="12" t="s">
        <v>7609</v>
      </c>
      <c r="J3373" s="11" t="s">
        <v>1856</v>
      </c>
      <c r="K3373" s="11" t="s">
        <v>1852</v>
      </c>
      <c r="L3373" s="11" t="s">
        <v>1853</v>
      </c>
      <c r="M3373" s="11" t="s">
        <v>1854</v>
      </c>
      <c r="N3373" s="12"/>
      <c r="O3373" s="11" t="s">
        <v>2334</v>
      </c>
      <c r="P3373" s="56"/>
    </row>
    <row r="3374" spans="1:16" ht="15.75" customHeight="1" x14ac:dyDescent="0.2">
      <c r="A3374" s="48">
        <v>6927</v>
      </c>
      <c r="B3374" s="11" t="s">
        <v>1848</v>
      </c>
      <c r="C3374" s="11" t="s">
        <v>1876</v>
      </c>
      <c r="D3374" s="6" t="s">
        <v>1850</v>
      </c>
      <c r="E3374" s="11" t="s">
        <v>6642</v>
      </c>
      <c r="F3374" s="12" t="s">
        <v>7345</v>
      </c>
      <c r="G3374" s="12" t="s">
        <v>5198</v>
      </c>
      <c r="H3374" s="12" t="s">
        <v>5198</v>
      </c>
      <c r="I3374" s="12" t="s">
        <v>7610</v>
      </c>
      <c r="J3374" s="11" t="s">
        <v>1851</v>
      </c>
      <c r="K3374" s="11" t="s">
        <v>1852</v>
      </c>
      <c r="L3374" s="11" t="s">
        <v>1853</v>
      </c>
      <c r="M3374" s="11" t="s">
        <v>1854</v>
      </c>
      <c r="N3374" s="12"/>
      <c r="O3374" s="11" t="s">
        <v>1855</v>
      </c>
      <c r="P3374" s="56"/>
    </row>
    <row r="3375" spans="1:16" ht="15.75" customHeight="1" x14ac:dyDescent="0.2">
      <c r="A3375" s="48">
        <v>6926</v>
      </c>
      <c r="B3375" s="11" t="s">
        <v>1857</v>
      </c>
      <c r="C3375" s="11" t="s">
        <v>1876</v>
      </c>
      <c r="D3375" s="6" t="s">
        <v>1850</v>
      </c>
      <c r="E3375" s="11" t="s">
        <v>6642</v>
      </c>
      <c r="F3375" s="12" t="s">
        <v>7345</v>
      </c>
      <c r="G3375" s="12" t="s">
        <v>5198</v>
      </c>
      <c r="H3375" s="12" t="s">
        <v>5198</v>
      </c>
      <c r="I3375" s="12" t="s">
        <v>7611</v>
      </c>
      <c r="J3375" s="11" t="s">
        <v>1851</v>
      </c>
      <c r="K3375" s="11" t="s">
        <v>1852</v>
      </c>
      <c r="L3375" s="11" t="s">
        <v>1853</v>
      </c>
      <c r="M3375" s="11" t="s">
        <v>1854</v>
      </c>
      <c r="N3375" s="12"/>
      <c r="O3375" s="11" t="s">
        <v>1858</v>
      </c>
      <c r="P3375" s="56"/>
    </row>
    <row r="3376" spans="1:16" ht="15.75" customHeight="1" x14ac:dyDescent="0.2">
      <c r="A3376" s="48">
        <v>7225</v>
      </c>
      <c r="B3376" s="11" t="s">
        <v>1857</v>
      </c>
      <c r="C3376" s="11" t="s">
        <v>1876</v>
      </c>
      <c r="D3376" s="6" t="s">
        <v>1850</v>
      </c>
      <c r="E3376" s="11" t="s">
        <v>6642</v>
      </c>
      <c r="F3376" s="12" t="s">
        <v>7345</v>
      </c>
      <c r="G3376" s="12" t="s">
        <v>5198</v>
      </c>
      <c r="H3376" s="12" t="s">
        <v>7352</v>
      </c>
      <c r="I3376" s="12" t="s">
        <v>7612</v>
      </c>
      <c r="J3376" s="11" t="s">
        <v>1856</v>
      </c>
      <c r="K3376" s="11" t="s">
        <v>1852</v>
      </c>
      <c r="L3376" s="11" t="s">
        <v>1853</v>
      </c>
      <c r="M3376" s="11" t="s">
        <v>7613</v>
      </c>
      <c r="N3376" s="12" t="s">
        <v>7614</v>
      </c>
      <c r="O3376" s="11" t="s">
        <v>1867</v>
      </c>
      <c r="P3376" s="56"/>
    </row>
    <row r="3377" spans="1:16" ht="15.75" customHeight="1" x14ac:dyDescent="0.2">
      <c r="A3377" s="48">
        <v>6154</v>
      </c>
      <c r="B3377" s="11" t="s">
        <v>1857</v>
      </c>
      <c r="C3377" s="11" t="s">
        <v>1876</v>
      </c>
      <c r="D3377" s="6" t="s">
        <v>1850</v>
      </c>
      <c r="E3377" s="11" t="s">
        <v>6642</v>
      </c>
      <c r="F3377" s="12" t="s">
        <v>7345</v>
      </c>
      <c r="G3377" s="12" t="s">
        <v>5198</v>
      </c>
      <c r="H3377" s="12" t="s">
        <v>5198</v>
      </c>
      <c r="I3377" s="12" t="s">
        <v>7148</v>
      </c>
      <c r="J3377" s="11" t="s">
        <v>1851</v>
      </c>
      <c r="K3377" s="11" t="s">
        <v>1852</v>
      </c>
      <c r="L3377" s="11" t="s">
        <v>1853</v>
      </c>
      <c r="M3377" s="11" t="s">
        <v>1854</v>
      </c>
      <c r="N3377" s="12"/>
      <c r="O3377" s="11" t="s">
        <v>1860</v>
      </c>
      <c r="P3377" s="56"/>
    </row>
    <row r="3378" spans="1:16" ht="15.75" customHeight="1" x14ac:dyDescent="0.2">
      <c r="A3378" s="48">
        <v>6928</v>
      </c>
      <c r="B3378" s="11" t="s">
        <v>1857</v>
      </c>
      <c r="C3378" s="11" t="s">
        <v>1876</v>
      </c>
      <c r="D3378" s="6" t="s">
        <v>1850</v>
      </c>
      <c r="E3378" s="11" t="s">
        <v>6642</v>
      </c>
      <c r="F3378" s="12" t="s">
        <v>7345</v>
      </c>
      <c r="G3378" s="12" t="s">
        <v>5198</v>
      </c>
      <c r="H3378" s="12" t="s">
        <v>5198</v>
      </c>
      <c r="I3378" s="12" t="s">
        <v>7615</v>
      </c>
      <c r="J3378" s="11" t="s">
        <v>1851</v>
      </c>
      <c r="K3378" s="11" t="s">
        <v>1852</v>
      </c>
      <c r="L3378" s="11" t="s">
        <v>1853</v>
      </c>
      <c r="M3378" s="11" t="s">
        <v>7616</v>
      </c>
      <c r="N3378" s="12"/>
      <c r="O3378" s="11" t="s">
        <v>1860</v>
      </c>
      <c r="P3378" s="56"/>
    </row>
    <row r="3379" spans="1:16" ht="15.75" customHeight="1" x14ac:dyDescent="0.2">
      <c r="A3379" s="48">
        <v>6930</v>
      </c>
      <c r="B3379" s="11" t="s">
        <v>1871</v>
      </c>
      <c r="C3379" s="11" t="s">
        <v>1876</v>
      </c>
      <c r="D3379" s="6" t="s">
        <v>1850</v>
      </c>
      <c r="E3379" s="11" t="s">
        <v>6642</v>
      </c>
      <c r="F3379" s="12" t="s">
        <v>7345</v>
      </c>
      <c r="G3379" s="12" t="s">
        <v>5198</v>
      </c>
      <c r="H3379" s="12" t="s">
        <v>7352</v>
      </c>
      <c r="I3379" s="12" t="s">
        <v>7617</v>
      </c>
      <c r="J3379" s="11" t="s">
        <v>1851</v>
      </c>
      <c r="K3379" s="11" t="s">
        <v>1852</v>
      </c>
      <c r="L3379" s="11" t="s">
        <v>1853</v>
      </c>
      <c r="M3379" s="11" t="s">
        <v>7614</v>
      </c>
      <c r="N3379" s="12"/>
      <c r="O3379" s="11" t="s">
        <v>1866</v>
      </c>
      <c r="P3379" s="56" t="s">
        <v>7618</v>
      </c>
    </row>
    <row r="3380" spans="1:16" ht="15.75" customHeight="1" x14ac:dyDescent="0.2">
      <c r="A3380" s="48">
        <v>15584</v>
      </c>
      <c r="B3380" s="11" t="s">
        <v>1848</v>
      </c>
      <c r="C3380" s="11" t="s">
        <v>1849</v>
      </c>
      <c r="D3380" s="6" t="s">
        <v>1850</v>
      </c>
      <c r="E3380" s="11" t="s">
        <v>6642</v>
      </c>
      <c r="F3380" s="12" t="s">
        <v>7619</v>
      </c>
      <c r="G3380" s="12" t="s">
        <v>6642</v>
      </c>
      <c r="H3380" s="12" t="s">
        <v>7620</v>
      </c>
      <c r="I3380" s="12" t="s">
        <v>7621</v>
      </c>
      <c r="J3380" s="11" t="s">
        <v>1851</v>
      </c>
      <c r="K3380" s="11" t="s">
        <v>1852</v>
      </c>
      <c r="L3380" s="11" t="s">
        <v>1853</v>
      </c>
      <c r="M3380" s="11" t="s">
        <v>1854</v>
      </c>
      <c r="N3380" s="12"/>
      <c r="O3380" s="11" t="s">
        <v>1855</v>
      </c>
      <c r="P3380" s="56"/>
    </row>
    <row r="3381" spans="1:16" ht="15.75" customHeight="1" x14ac:dyDescent="0.2">
      <c r="A3381" s="49">
        <v>15745</v>
      </c>
      <c r="B3381" s="11" t="s">
        <v>1848</v>
      </c>
      <c r="C3381" s="11" t="s">
        <v>1849</v>
      </c>
      <c r="D3381" s="6" t="s">
        <v>1850</v>
      </c>
      <c r="E3381" s="11" t="s">
        <v>6642</v>
      </c>
      <c r="F3381" s="12" t="s">
        <v>7619</v>
      </c>
      <c r="G3381" s="12" t="s">
        <v>6642</v>
      </c>
      <c r="H3381" s="12" t="s">
        <v>7622</v>
      </c>
      <c r="I3381" s="12" t="s">
        <v>7623</v>
      </c>
      <c r="J3381" s="11" t="s">
        <v>1856</v>
      </c>
      <c r="K3381" s="11" t="s">
        <v>1852</v>
      </c>
      <c r="L3381" s="11" t="s">
        <v>1853</v>
      </c>
      <c r="M3381" s="11" t="s">
        <v>1854</v>
      </c>
      <c r="N3381" s="12"/>
      <c r="O3381" s="11" t="s">
        <v>1855</v>
      </c>
      <c r="P3381" s="56"/>
    </row>
    <row r="3382" spans="1:16" ht="15.75" customHeight="1" x14ac:dyDescent="0.2">
      <c r="A3382" s="49">
        <v>15746</v>
      </c>
      <c r="B3382" s="11" t="s">
        <v>1848</v>
      </c>
      <c r="C3382" s="11" t="s">
        <v>1849</v>
      </c>
      <c r="D3382" s="6" t="s">
        <v>1850</v>
      </c>
      <c r="E3382" s="11" t="s">
        <v>6642</v>
      </c>
      <c r="F3382" s="12" t="s">
        <v>7619</v>
      </c>
      <c r="G3382" s="12" t="s">
        <v>6642</v>
      </c>
      <c r="H3382" s="12" t="s">
        <v>7622</v>
      </c>
      <c r="I3382" s="12" t="s">
        <v>7624</v>
      </c>
      <c r="J3382" s="11" t="s">
        <v>1851</v>
      </c>
      <c r="K3382" s="11" t="s">
        <v>1852</v>
      </c>
      <c r="L3382" s="11" t="s">
        <v>1853</v>
      </c>
      <c r="M3382" s="11" t="s">
        <v>1854</v>
      </c>
      <c r="N3382" s="12"/>
      <c r="O3382" s="11" t="s">
        <v>1855</v>
      </c>
      <c r="P3382" s="56"/>
    </row>
    <row r="3383" spans="1:16" ht="15.75" customHeight="1" x14ac:dyDescent="0.2">
      <c r="A3383" s="49">
        <v>15747</v>
      </c>
      <c r="B3383" s="11" t="s">
        <v>1848</v>
      </c>
      <c r="C3383" s="11" t="s">
        <v>1849</v>
      </c>
      <c r="D3383" s="6" t="s">
        <v>1850</v>
      </c>
      <c r="E3383" s="11" t="s">
        <v>6642</v>
      </c>
      <c r="F3383" s="12" t="s">
        <v>7619</v>
      </c>
      <c r="G3383" s="12" t="s">
        <v>6642</v>
      </c>
      <c r="H3383" s="12" t="s">
        <v>7622</v>
      </c>
      <c r="I3383" s="12" t="s">
        <v>7625</v>
      </c>
      <c r="J3383" s="11" t="s">
        <v>1851</v>
      </c>
      <c r="K3383" s="11" t="s">
        <v>1852</v>
      </c>
      <c r="L3383" s="11" t="s">
        <v>1853</v>
      </c>
      <c r="M3383" s="11" t="s">
        <v>1854</v>
      </c>
      <c r="N3383" s="12"/>
      <c r="O3383" s="11" t="s">
        <v>1855</v>
      </c>
      <c r="P3383" s="56"/>
    </row>
    <row r="3384" spans="1:16" ht="15.75" customHeight="1" x14ac:dyDescent="0.2">
      <c r="A3384" s="49">
        <v>16026</v>
      </c>
      <c r="B3384" s="11" t="s">
        <v>1848</v>
      </c>
      <c r="C3384" s="11" t="s">
        <v>1849</v>
      </c>
      <c r="D3384" s="6" t="s">
        <v>1850</v>
      </c>
      <c r="E3384" s="11" t="s">
        <v>6642</v>
      </c>
      <c r="F3384" s="12" t="s">
        <v>7619</v>
      </c>
      <c r="G3384" s="12" t="s">
        <v>6642</v>
      </c>
      <c r="H3384" s="12" t="s">
        <v>7626</v>
      </c>
      <c r="I3384" s="12" t="s">
        <v>7627</v>
      </c>
      <c r="J3384" s="11" t="s">
        <v>1856</v>
      </c>
      <c r="K3384" s="11" t="s">
        <v>1852</v>
      </c>
      <c r="L3384" s="11" t="s">
        <v>1853</v>
      </c>
      <c r="M3384" s="11" t="s">
        <v>1854</v>
      </c>
      <c r="N3384" s="12"/>
      <c r="O3384" s="11" t="s">
        <v>1855</v>
      </c>
      <c r="P3384" s="56"/>
    </row>
    <row r="3385" spans="1:16" ht="15.75" customHeight="1" x14ac:dyDescent="0.2">
      <c r="A3385" s="49">
        <v>16027</v>
      </c>
      <c r="B3385" s="11" t="s">
        <v>1848</v>
      </c>
      <c r="C3385" s="11" t="s">
        <v>1849</v>
      </c>
      <c r="D3385" s="6" t="s">
        <v>1850</v>
      </c>
      <c r="E3385" s="11" t="s">
        <v>6642</v>
      </c>
      <c r="F3385" s="12" t="s">
        <v>7619</v>
      </c>
      <c r="G3385" s="12" t="s">
        <v>6642</v>
      </c>
      <c r="H3385" s="12" t="s">
        <v>7626</v>
      </c>
      <c r="I3385" s="12" t="s">
        <v>7628</v>
      </c>
      <c r="J3385" s="11" t="s">
        <v>1851</v>
      </c>
      <c r="K3385" s="11" t="s">
        <v>1852</v>
      </c>
      <c r="L3385" s="11" t="s">
        <v>1853</v>
      </c>
      <c r="M3385" s="11" t="s">
        <v>1854</v>
      </c>
      <c r="N3385" s="12"/>
      <c r="O3385" s="11" t="s">
        <v>1855</v>
      </c>
      <c r="P3385" s="56"/>
    </row>
    <row r="3386" spans="1:16" ht="15.75" customHeight="1" x14ac:dyDescent="0.2">
      <c r="A3386" s="49">
        <v>16028</v>
      </c>
      <c r="B3386" s="11" t="s">
        <v>1848</v>
      </c>
      <c r="C3386" s="11" t="s">
        <v>1849</v>
      </c>
      <c r="D3386" s="6" t="s">
        <v>1850</v>
      </c>
      <c r="E3386" s="11" t="s">
        <v>6642</v>
      </c>
      <c r="F3386" s="12" t="s">
        <v>7619</v>
      </c>
      <c r="G3386" s="12" t="s">
        <v>6642</v>
      </c>
      <c r="H3386" s="12" t="s">
        <v>7626</v>
      </c>
      <c r="I3386" s="12" t="s">
        <v>7629</v>
      </c>
      <c r="J3386" s="11" t="s">
        <v>1851</v>
      </c>
      <c r="K3386" s="11" t="s">
        <v>1852</v>
      </c>
      <c r="L3386" s="11" t="s">
        <v>1853</v>
      </c>
      <c r="M3386" s="11" t="s">
        <v>1854</v>
      </c>
      <c r="N3386" s="12"/>
      <c r="O3386" s="11" t="s">
        <v>1855</v>
      </c>
      <c r="P3386" s="56"/>
    </row>
    <row r="3387" spans="1:16" ht="15.75" customHeight="1" x14ac:dyDescent="0.2">
      <c r="A3387" s="49">
        <v>16030</v>
      </c>
      <c r="B3387" s="11" t="s">
        <v>1848</v>
      </c>
      <c r="C3387" s="11" t="s">
        <v>1849</v>
      </c>
      <c r="D3387" s="6" t="s">
        <v>1850</v>
      </c>
      <c r="E3387" s="11" t="s">
        <v>6642</v>
      </c>
      <c r="F3387" s="12" t="s">
        <v>7619</v>
      </c>
      <c r="G3387" s="12" t="s">
        <v>6642</v>
      </c>
      <c r="H3387" s="12" t="s">
        <v>7630</v>
      </c>
      <c r="I3387" s="12" t="s">
        <v>7631</v>
      </c>
      <c r="J3387" s="11" t="s">
        <v>1851</v>
      </c>
      <c r="K3387" s="11" t="s">
        <v>1852</v>
      </c>
      <c r="L3387" s="11" t="s">
        <v>1853</v>
      </c>
      <c r="M3387" s="11" t="s">
        <v>1854</v>
      </c>
      <c r="N3387" s="12"/>
      <c r="O3387" s="11" t="s">
        <v>1855</v>
      </c>
      <c r="P3387" s="56"/>
    </row>
    <row r="3388" spans="1:16" ht="15.75" customHeight="1" x14ac:dyDescent="0.2">
      <c r="A3388" s="49">
        <v>16031</v>
      </c>
      <c r="B3388" s="11" t="s">
        <v>1848</v>
      </c>
      <c r="C3388" s="11" t="s">
        <v>1849</v>
      </c>
      <c r="D3388" s="6" t="s">
        <v>1850</v>
      </c>
      <c r="E3388" s="11" t="s">
        <v>6642</v>
      </c>
      <c r="F3388" s="12" t="s">
        <v>7619</v>
      </c>
      <c r="G3388" s="12" t="s">
        <v>6642</v>
      </c>
      <c r="H3388" s="12" t="s">
        <v>7630</v>
      </c>
      <c r="I3388" s="12" t="s">
        <v>7632</v>
      </c>
      <c r="J3388" s="11" t="s">
        <v>1851</v>
      </c>
      <c r="K3388" s="11" t="s">
        <v>1852</v>
      </c>
      <c r="L3388" s="11" t="s">
        <v>1853</v>
      </c>
      <c r="M3388" s="11" t="s">
        <v>1854</v>
      </c>
      <c r="N3388" s="12"/>
      <c r="O3388" s="11" t="s">
        <v>1855</v>
      </c>
      <c r="P3388" s="56"/>
    </row>
    <row r="3389" spans="1:16" ht="15.75" customHeight="1" x14ac:dyDescent="0.2">
      <c r="A3389" s="49">
        <v>16179</v>
      </c>
      <c r="B3389" s="11" t="s">
        <v>1848</v>
      </c>
      <c r="C3389" s="11" t="s">
        <v>1849</v>
      </c>
      <c r="D3389" s="6" t="s">
        <v>1850</v>
      </c>
      <c r="E3389" s="11" t="s">
        <v>6642</v>
      </c>
      <c r="F3389" s="12" t="s">
        <v>7619</v>
      </c>
      <c r="G3389" s="12" t="s">
        <v>6642</v>
      </c>
      <c r="H3389" s="12" t="s">
        <v>7630</v>
      </c>
      <c r="I3389" s="12" t="s">
        <v>7633</v>
      </c>
      <c r="J3389" s="11" t="s">
        <v>1851</v>
      </c>
      <c r="K3389" s="11" t="s">
        <v>1852</v>
      </c>
      <c r="L3389" s="11" t="s">
        <v>1853</v>
      </c>
      <c r="M3389" s="11" t="s">
        <v>1854</v>
      </c>
      <c r="N3389" s="12"/>
      <c r="O3389" s="11" t="s">
        <v>1855</v>
      </c>
      <c r="P3389" s="56"/>
    </row>
    <row r="3390" spans="1:16" ht="15.75" customHeight="1" x14ac:dyDescent="0.2">
      <c r="A3390" s="49">
        <v>16178</v>
      </c>
      <c r="B3390" s="11" t="s">
        <v>1848</v>
      </c>
      <c r="C3390" s="11" t="s">
        <v>1849</v>
      </c>
      <c r="D3390" s="6" t="s">
        <v>1850</v>
      </c>
      <c r="E3390" s="11" t="s">
        <v>6642</v>
      </c>
      <c r="F3390" s="12" t="s">
        <v>7619</v>
      </c>
      <c r="G3390" s="12" t="s">
        <v>6642</v>
      </c>
      <c r="H3390" s="12" t="s">
        <v>7630</v>
      </c>
      <c r="I3390" s="12" t="s">
        <v>7634</v>
      </c>
      <c r="J3390" s="11" t="s">
        <v>1851</v>
      </c>
      <c r="K3390" s="11" t="s">
        <v>1852</v>
      </c>
      <c r="L3390" s="11" t="s">
        <v>1853</v>
      </c>
      <c r="M3390" s="11" t="s">
        <v>1854</v>
      </c>
      <c r="N3390" s="12"/>
      <c r="O3390" s="11" t="s">
        <v>1855</v>
      </c>
      <c r="P3390" s="56"/>
    </row>
    <row r="3391" spans="1:16" ht="15.75" customHeight="1" x14ac:dyDescent="0.2">
      <c r="A3391" s="49">
        <v>5889</v>
      </c>
      <c r="B3391" s="11" t="s">
        <v>1857</v>
      </c>
      <c r="C3391" s="11" t="s">
        <v>1849</v>
      </c>
      <c r="D3391" s="6" t="s">
        <v>1850</v>
      </c>
      <c r="E3391" s="11" t="s">
        <v>6642</v>
      </c>
      <c r="F3391" s="12" t="s">
        <v>7619</v>
      </c>
      <c r="G3391" s="12" t="s">
        <v>6642</v>
      </c>
      <c r="H3391" s="12" t="s">
        <v>7626</v>
      </c>
      <c r="I3391" s="12" t="s">
        <v>7635</v>
      </c>
      <c r="J3391" s="11" t="s">
        <v>2246</v>
      </c>
      <c r="K3391" s="11" t="s">
        <v>2247</v>
      </c>
      <c r="L3391" s="11" t="s">
        <v>1853</v>
      </c>
      <c r="M3391" s="11" t="s">
        <v>7636</v>
      </c>
      <c r="N3391" s="12" t="s">
        <v>7637</v>
      </c>
      <c r="O3391" s="11" t="s">
        <v>1859</v>
      </c>
      <c r="P3391" s="56"/>
    </row>
    <row r="3392" spans="1:16" ht="15.75" customHeight="1" x14ac:dyDescent="0.2">
      <c r="A3392" s="49">
        <v>3793</v>
      </c>
      <c r="B3392" s="11" t="s">
        <v>1857</v>
      </c>
      <c r="C3392" s="11" t="s">
        <v>1849</v>
      </c>
      <c r="D3392" s="6" t="s">
        <v>1850</v>
      </c>
      <c r="E3392" s="11" t="s">
        <v>6642</v>
      </c>
      <c r="F3392" s="12" t="s">
        <v>7619</v>
      </c>
      <c r="G3392" s="12" t="s">
        <v>6642</v>
      </c>
      <c r="H3392" s="12" t="s">
        <v>7626</v>
      </c>
      <c r="I3392" s="12" t="s">
        <v>7638</v>
      </c>
      <c r="J3392" s="11" t="s">
        <v>1856</v>
      </c>
      <c r="K3392" s="11" t="s">
        <v>1852</v>
      </c>
      <c r="L3392" s="11" t="s">
        <v>1853</v>
      </c>
      <c r="M3392" s="11" t="s">
        <v>6850</v>
      </c>
      <c r="N3392" s="12" t="s">
        <v>7639</v>
      </c>
      <c r="O3392" s="11" t="s">
        <v>1858</v>
      </c>
      <c r="P3392" s="56"/>
    </row>
    <row r="3393" spans="1:16" ht="15.75" customHeight="1" x14ac:dyDescent="0.2">
      <c r="A3393" s="49">
        <v>3818</v>
      </c>
      <c r="B3393" s="11" t="s">
        <v>1857</v>
      </c>
      <c r="C3393" s="11" t="s">
        <v>1849</v>
      </c>
      <c r="D3393" s="6" t="s">
        <v>1850</v>
      </c>
      <c r="E3393" s="11" t="s">
        <v>6642</v>
      </c>
      <c r="F3393" s="12" t="s">
        <v>7619</v>
      </c>
      <c r="G3393" s="12" t="s">
        <v>6642</v>
      </c>
      <c r="H3393" s="12" t="s">
        <v>7626</v>
      </c>
      <c r="I3393" s="12" t="s">
        <v>7640</v>
      </c>
      <c r="J3393" s="11" t="s">
        <v>1856</v>
      </c>
      <c r="K3393" s="11" t="s">
        <v>1852</v>
      </c>
      <c r="L3393" s="11" t="s">
        <v>1853</v>
      </c>
      <c r="M3393" s="11" t="s">
        <v>7641</v>
      </c>
      <c r="N3393" s="12"/>
      <c r="O3393" s="11" t="s">
        <v>1860</v>
      </c>
      <c r="P3393" s="56"/>
    </row>
    <row r="3394" spans="1:16" ht="15.75" customHeight="1" x14ac:dyDescent="0.2">
      <c r="A3394" s="49">
        <v>5612</v>
      </c>
      <c r="B3394" s="11" t="s">
        <v>1857</v>
      </c>
      <c r="C3394" s="11" t="s">
        <v>1849</v>
      </c>
      <c r="D3394" s="6" t="s">
        <v>1850</v>
      </c>
      <c r="E3394" s="11" t="s">
        <v>6642</v>
      </c>
      <c r="F3394" s="12" t="s">
        <v>7619</v>
      </c>
      <c r="G3394" s="12" t="s">
        <v>6642</v>
      </c>
      <c r="H3394" s="12" t="s">
        <v>7620</v>
      </c>
      <c r="I3394" s="12" t="s">
        <v>7642</v>
      </c>
      <c r="J3394" s="11" t="s">
        <v>1851</v>
      </c>
      <c r="K3394" s="11" t="s">
        <v>1852</v>
      </c>
      <c r="L3394" s="11" t="s">
        <v>1853</v>
      </c>
      <c r="M3394" s="11" t="s">
        <v>7643</v>
      </c>
      <c r="N3394" s="12" t="s">
        <v>7644</v>
      </c>
      <c r="O3394" s="11" t="s">
        <v>1860</v>
      </c>
      <c r="P3394" s="56"/>
    </row>
    <row r="3395" spans="1:16" ht="15.75" customHeight="1" x14ac:dyDescent="0.2">
      <c r="A3395" s="49">
        <v>3819</v>
      </c>
      <c r="B3395" s="11" t="s">
        <v>1857</v>
      </c>
      <c r="C3395" s="11" t="s">
        <v>1849</v>
      </c>
      <c r="D3395" s="6" t="s">
        <v>1850</v>
      </c>
      <c r="E3395" s="11" t="s">
        <v>6642</v>
      </c>
      <c r="F3395" s="12" t="s">
        <v>7619</v>
      </c>
      <c r="G3395" s="12" t="s">
        <v>6642</v>
      </c>
      <c r="H3395" s="12" t="s">
        <v>7626</v>
      </c>
      <c r="I3395" s="12" t="s">
        <v>7645</v>
      </c>
      <c r="J3395" s="11" t="s">
        <v>1856</v>
      </c>
      <c r="K3395" s="11" t="s">
        <v>1852</v>
      </c>
      <c r="L3395" s="11" t="s">
        <v>1853</v>
      </c>
      <c r="M3395" s="11" t="s">
        <v>1861</v>
      </c>
      <c r="N3395" s="12"/>
      <c r="O3395" s="11" t="s">
        <v>1860</v>
      </c>
      <c r="P3395" s="56"/>
    </row>
    <row r="3396" spans="1:16" ht="15.75" customHeight="1" x14ac:dyDescent="0.2">
      <c r="A3396" s="49">
        <v>3854</v>
      </c>
      <c r="B3396" s="11" t="s">
        <v>1857</v>
      </c>
      <c r="C3396" s="11" t="s">
        <v>1849</v>
      </c>
      <c r="D3396" s="6" t="s">
        <v>1850</v>
      </c>
      <c r="E3396" s="11" t="s">
        <v>6642</v>
      </c>
      <c r="F3396" s="12" t="s">
        <v>7619</v>
      </c>
      <c r="G3396" s="12" t="s">
        <v>6642</v>
      </c>
      <c r="H3396" s="12" t="s">
        <v>7620</v>
      </c>
      <c r="I3396" s="12" t="s">
        <v>7646</v>
      </c>
      <c r="J3396" s="11" t="s">
        <v>1851</v>
      </c>
      <c r="K3396" s="11" t="s">
        <v>1852</v>
      </c>
      <c r="L3396" s="11" t="s">
        <v>1853</v>
      </c>
      <c r="M3396" s="11" t="s">
        <v>7647</v>
      </c>
      <c r="N3396" s="12" t="s">
        <v>7648</v>
      </c>
      <c r="O3396" s="11" t="s">
        <v>1860</v>
      </c>
      <c r="P3396" s="56"/>
    </row>
    <row r="3397" spans="1:16" ht="15.75" customHeight="1" x14ac:dyDescent="0.2">
      <c r="A3397" s="49">
        <v>3815</v>
      </c>
      <c r="B3397" s="11" t="s">
        <v>1857</v>
      </c>
      <c r="C3397" s="11" t="s">
        <v>1849</v>
      </c>
      <c r="D3397" s="6" t="s">
        <v>1850</v>
      </c>
      <c r="E3397" s="11" t="s">
        <v>6642</v>
      </c>
      <c r="F3397" s="12" t="s">
        <v>7619</v>
      </c>
      <c r="G3397" s="12" t="s">
        <v>6642</v>
      </c>
      <c r="H3397" s="12" t="s">
        <v>7626</v>
      </c>
      <c r="I3397" s="12" t="s">
        <v>7649</v>
      </c>
      <c r="J3397" s="11" t="s">
        <v>2246</v>
      </c>
      <c r="K3397" s="11" t="s">
        <v>2247</v>
      </c>
      <c r="L3397" s="11" t="s">
        <v>1853</v>
      </c>
      <c r="M3397" s="11" t="s">
        <v>1854</v>
      </c>
      <c r="N3397" s="12"/>
      <c r="O3397" s="11" t="s">
        <v>1860</v>
      </c>
      <c r="P3397" s="56"/>
    </row>
    <row r="3398" spans="1:16" ht="15.75" customHeight="1" x14ac:dyDescent="0.2">
      <c r="A3398" s="49">
        <v>5702</v>
      </c>
      <c r="B3398" s="11" t="s">
        <v>1857</v>
      </c>
      <c r="C3398" s="11" t="s">
        <v>1849</v>
      </c>
      <c r="D3398" s="6" t="s">
        <v>1850</v>
      </c>
      <c r="E3398" s="11" t="s">
        <v>6642</v>
      </c>
      <c r="F3398" s="12" t="s">
        <v>7619</v>
      </c>
      <c r="G3398" s="12" t="s">
        <v>6642</v>
      </c>
      <c r="H3398" s="12" t="s">
        <v>7622</v>
      </c>
      <c r="I3398" s="12" t="s">
        <v>7650</v>
      </c>
      <c r="J3398" s="11" t="s">
        <v>1851</v>
      </c>
      <c r="K3398" s="11" t="s">
        <v>1852</v>
      </c>
      <c r="L3398" s="11" t="s">
        <v>1853</v>
      </c>
      <c r="M3398" s="11" t="s">
        <v>7651</v>
      </c>
      <c r="N3398" s="12" t="s">
        <v>7652</v>
      </c>
      <c r="O3398" s="11" t="s">
        <v>1866</v>
      </c>
      <c r="P3398" s="56" t="s">
        <v>2184</v>
      </c>
    </row>
    <row r="3399" spans="1:16" ht="15.75" customHeight="1" x14ac:dyDescent="0.2">
      <c r="A3399" s="49">
        <v>3853</v>
      </c>
      <c r="B3399" s="11" t="s">
        <v>1857</v>
      </c>
      <c r="C3399" s="11" t="s">
        <v>1849</v>
      </c>
      <c r="D3399" s="6" t="s">
        <v>1850</v>
      </c>
      <c r="E3399" s="11" t="s">
        <v>6642</v>
      </c>
      <c r="F3399" s="12" t="s">
        <v>7619</v>
      </c>
      <c r="G3399" s="12" t="s">
        <v>6642</v>
      </c>
      <c r="H3399" s="12" t="s">
        <v>7630</v>
      </c>
      <c r="I3399" s="12" t="s">
        <v>7653</v>
      </c>
      <c r="J3399" s="11" t="s">
        <v>1851</v>
      </c>
      <c r="K3399" s="11" t="s">
        <v>1852</v>
      </c>
      <c r="L3399" s="11" t="s">
        <v>1853</v>
      </c>
      <c r="M3399" s="11" t="s">
        <v>2053</v>
      </c>
      <c r="N3399" s="12" t="s">
        <v>7654</v>
      </c>
      <c r="O3399" s="11" t="s">
        <v>2334</v>
      </c>
      <c r="P3399" s="56" t="s">
        <v>7655</v>
      </c>
    </row>
    <row r="3400" spans="1:16" ht="15.75" customHeight="1" x14ac:dyDescent="0.2">
      <c r="A3400" s="49">
        <v>3856</v>
      </c>
      <c r="B3400" s="11" t="s">
        <v>1857</v>
      </c>
      <c r="C3400" s="11" t="s">
        <v>1849</v>
      </c>
      <c r="D3400" s="6" t="s">
        <v>1850</v>
      </c>
      <c r="E3400" s="11" t="s">
        <v>6642</v>
      </c>
      <c r="F3400" s="12" t="s">
        <v>7619</v>
      </c>
      <c r="G3400" s="12" t="s">
        <v>6642</v>
      </c>
      <c r="H3400" s="12" t="s">
        <v>7630</v>
      </c>
      <c r="I3400" s="12" t="s">
        <v>7656</v>
      </c>
      <c r="J3400" s="11" t="s">
        <v>1851</v>
      </c>
      <c r="K3400" s="11" t="s">
        <v>1852</v>
      </c>
      <c r="L3400" s="11" t="s">
        <v>1853</v>
      </c>
      <c r="M3400" s="11" t="s">
        <v>7657</v>
      </c>
      <c r="N3400" s="12" t="s">
        <v>7658</v>
      </c>
      <c r="O3400" s="11" t="s">
        <v>1860</v>
      </c>
      <c r="P3400" s="56"/>
    </row>
    <row r="3401" spans="1:16" ht="15.75" customHeight="1" x14ac:dyDescent="0.2">
      <c r="A3401" s="49">
        <v>3843</v>
      </c>
      <c r="B3401" s="11" t="s">
        <v>1857</v>
      </c>
      <c r="C3401" s="11" t="s">
        <v>1849</v>
      </c>
      <c r="D3401" s="6" t="s">
        <v>1850</v>
      </c>
      <c r="E3401" s="11" t="s">
        <v>6642</v>
      </c>
      <c r="F3401" s="12" t="s">
        <v>7619</v>
      </c>
      <c r="G3401" s="12" t="s">
        <v>6642</v>
      </c>
      <c r="H3401" s="12" t="s">
        <v>7622</v>
      </c>
      <c r="I3401" s="12" t="s">
        <v>7659</v>
      </c>
      <c r="J3401" s="11" t="s">
        <v>1851</v>
      </c>
      <c r="K3401" s="11" t="s">
        <v>1852</v>
      </c>
      <c r="L3401" s="11" t="s">
        <v>1853</v>
      </c>
      <c r="M3401" s="11" t="s">
        <v>4326</v>
      </c>
      <c r="N3401" s="12" t="s">
        <v>7660</v>
      </c>
      <c r="O3401" s="11" t="s">
        <v>1858</v>
      </c>
      <c r="P3401" s="56"/>
    </row>
    <row r="3402" spans="1:16" ht="15.75" customHeight="1" x14ac:dyDescent="0.2">
      <c r="A3402" s="49">
        <v>3817</v>
      </c>
      <c r="B3402" s="11" t="s">
        <v>1857</v>
      </c>
      <c r="C3402" s="11" t="s">
        <v>1849</v>
      </c>
      <c r="D3402" s="6" t="s">
        <v>1850</v>
      </c>
      <c r="E3402" s="11" t="s">
        <v>6642</v>
      </c>
      <c r="F3402" s="12" t="s">
        <v>7619</v>
      </c>
      <c r="G3402" s="12" t="s">
        <v>6642</v>
      </c>
      <c r="H3402" s="12" t="s">
        <v>7626</v>
      </c>
      <c r="I3402" s="12" t="s">
        <v>7661</v>
      </c>
      <c r="J3402" s="11" t="s">
        <v>1851</v>
      </c>
      <c r="K3402" s="11" t="s">
        <v>1852</v>
      </c>
      <c r="L3402" s="11" t="s">
        <v>1853</v>
      </c>
      <c r="M3402" s="11" t="s">
        <v>7662</v>
      </c>
      <c r="N3402" s="12" t="s">
        <v>7663</v>
      </c>
      <c r="O3402" s="11" t="s">
        <v>1858</v>
      </c>
      <c r="P3402" s="56"/>
    </row>
    <row r="3403" spans="1:16" ht="15.75" customHeight="1" x14ac:dyDescent="0.2">
      <c r="A3403" s="49">
        <v>3822</v>
      </c>
      <c r="B3403" s="11" t="s">
        <v>1857</v>
      </c>
      <c r="C3403" s="11" t="s">
        <v>1849</v>
      </c>
      <c r="D3403" s="6" t="s">
        <v>1850</v>
      </c>
      <c r="E3403" s="11" t="s">
        <v>6642</v>
      </c>
      <c r="F3403" s="12" t="s">
        <v>7619</v>
      </c>
      <c r="G3403" s="12" t="s">
        <v>6642</v>
      </c>
      <c r="H3403" s="12" t="s">
        <v>7626</v>
      </c>
      <c r="I3403" s="12" t="s">
        <v>7664</v>
      </c>
      <c r="J3403" s="11" t="s">
        <v>1856</v>
      </c>
      <c r="K3403" s="11" t="s">
        <v>1852</v>
      </c>
      <c r="L3403" s="11" t="s">
        <v>1853</v>
      </c>
      <c r="M3403" s="11" t="s">
        <v>7665</v>
      </c>
      <c r="N3403" s="12" t="s">
        <v>7666</v>
      </c>
      <c r="O3403" s="11" t="s">
        <v>1860</v>
      </c>
      <c r="P3403" s="56"/>
    </row>
    <row r="3404" spans="1:16" ht="15.75" customHeight="1" x14ac:dyDescent="0.2">
      <c r="A3404" s="49">
        <v>3816</v>
      </c>
      <c r="B3404" s="11" t="s">
        <v>1857</v>
      </c>
      <c r="C3404" s="11" t="s">
        <v>1849</v>
      </c>
      <c r="D3404" s="6" t="s">
        <v>1850</v>
      </c>
      <c r="E3404" s="11" t="s">
        <v>6642</v>
      </c>
      <c r="F3404" s="12" t="s">
        <v>7619</v>
      </c>
      <c r="G3404" s="12" t="s">
        <v>6642</v>
      </c>
      <c r="H3404" s="12" t="s">
        <v>7626</v>
      </c>
      <c r="I3404" s="12" t="s">
        <v>7667</v>
      </c>
      <c r="J3404" s="11" t="s">
        <v>1851</v>
      </c>
      <c r="K3404" s="11" t="s">
        <v>1852</v>
      </c>
      <c r="L3404" s="11" t="s">
        <v>1853</v>
      </c>
      <c r="M3404" s="11" t="s">
        <v>7668</v>
      </c>
      <c r="N3404" s="12" t="s">
        <v>7669</v>
      </c>
      <c r="O3404" s="11" t="s">
        <v>1860</v>
      </c>
      <c r="P3404" s="56"/>
    </row>
    <row r="3405" spans="1:16" ht="15.75" customHeight="1" x14ac:dyDescent="0.2">
      <c r="A3405" s="49">
        <v>3825</v>
      </c>
      <c r="B3405" s="11" t="s">
        <v>1857</v>
      </c>
      <c r="C3405" s="11" t="s">
        <v>1849</v>
      </c>
      <c r="D3405" s="6" t="s">
        <v>1850</v>
      </c>
      <c r="E3405" s="11" t="s">
        <v>6642</v>
      </c>
      <c r="F3405" s="12" t="s">
        <v>7619</v>
      </c>
      <c r="G3405" s="12" t="s">
        <v>6642</v>
      </c>
      <c r="H3405" s="12" t="s">
        <v>7630</v>
      </c>
      <c r="I3405" s="12" t="s">
        <v>7670</v>
      </c>
      <c r="J3405" s="11" t="s">
        <v>1851</v>
      </c>
      <c r="K3405" s="11" t="s">
        <v>1852</v>
      </c>
      <c r="L3405" s="11" t="s">
        <v>1853</v>
      </c>
      <c r="M3405" s="11" t="s">
        <v>6799</v>
      </c>
      <c r="N3405" s="12" t="s">
        <v>7671</v>
      </c>
      <c r="O3405" s="11" t="s">
        <v>1858</v>
      </c>
      <c r="P3405" s="56"/>
    </row>
    <row r="3406" spans="1:16" ht="15.75" customHeight="1" x14ac:dyDescent="0.2">
      <c r="A3406" s="49">
        <v>3834</v>
      </c>
      <c r="B3406" s="11" t="s">
        <v>1857</v>
      </c>
      <c r="C3406" s="11" t="s">
        <v>1849</v>
      </c>
      <c r="D3406" s="6" t="s">
        <v>1850</v>
      </c>
      <c r="E3406" s="11" t="s">
        <v>6642</v>
      </c>
      <c r="F3406" s="12" t="s">
        <v>7619</v>
      </c>
      <c r="G3406" s="12" t="s">
        <v>6642</v>
      </c>
      <c r="H3406" s="12" t="s">
        <v>7620</v>
      </c>
      <c r="I3406" s="12" t="s">
        <v>7672</v>
      </c>
      <c r="J3406" s="11" t="s">
        <v>1851</v>
      </c>
      <c r="K3406" s="11" t="s">
        <v>1852</v>
      </c>
      <c r="L3406" s="11" t="s">
        <v>1853</v>
      </c>
      <c r="M3406" s="11" t="s">
        <v>7673</v>
      </c>
      <c r="N3406" s="12" t="s">
        <v>7674</v>
      </c>
      <c r="O3406" s="11" t="s">
        <v>1858</v>
      </c>
      <c r="P3406" s="56"/>
    </row>
    <row r="3407" spans="1:16" ht="15.75" customHeight="1" x14ac:dyDescent="0.2">
      <c r="A3407" s="49">
        <v>3827</v>
      </c>
      <c r="B3407" s="11" t="s">
        <v>1857</v>
      </c>
      <c r="C3407" s="11" t="s">
        <v>1849</v>
      </c>
      <c r="D3407" s="6" t="s">
        <v>1850</v>
      </c>
      <c r="E3407" s="11" t="s">
        <v>6642</v>
      </c>
      <c r="F3407" s="12" t="s">
        <v>7619</v>
      </c>
      <c r="G3407" s="12" t="s">
        <v>6642</v>
      </c>
      <c r="H3407" s="12" t="s">
        <v>7622</v>
      </c>
      <c r="I3407" s="12" t="s">
        <v>7675</v>
      </c>
      <c r="J3407" s="11" t="s">
        <v>1851</v>
      </c>
      <c r="K3407" s="11" t="s">
        <v>1852</v>
      </c>
      <c r="L3407" s="11" t="s">
        <v>1853</v>
      </c>
      <c r="M3407" s="11" t="s">
        <v>7676</v>
      </c>
      <c r="N3407" s="12" t="s">
        <v>7677</v>
      </c>
      <c r="O3407" s="11" t="s">
        <v>1860</v>
      </c>
      <c r="P3407" s="56"/>
    </row>
    <row r="3408" spans="1:16" ht="15.75" customHeight="1" x14ac:dyDescent="0.2">
      <c r="A3408" s="49">
        <v>3829</v>
      </c>
      <c r="B3408" s="11" t="s">
        <v>1857</v>
      </c>
      <c r="C3408" s="11" t="s">
        <v>1849</v>
      </c>
      <c r="D3408" s="6" t="s">
        <v>1850</v>
      </c>
      <c r="E3408" s="11" t="s">
        <v>6642</v>
      </c>
      <c r="F3408" s="12" t="s">
        <v>7619</v>
      </c>
      <c r="G3408" s="12" t="s">
        <v>6642</v>
      </c>
      <c r="H3408" s="12" t="s">
        <v>7620</v>
      </c>
      <c r="I3408" s="12" t="s">
        <v>7678</v>
      </c>
      <c r="J3408" s="11" t="s">
        <v>1851</v>
      </c>
      <c r="K3408" s="11" t="s">
        <v>1852</v>
      </c>
      <c r="L3408" s="11" t="s">
        <v>1853</v>
      </c>
      <c r="M3408" s="11" t="s">
        <v>1861</v>
      </c>
      <c r="N3408" s="12"/>
      <c r="O3408" s="11" t="s">
        <v>1860</v>
      </c>
      <c r="P3408" s="56"/>
    </row>
    <row r="3409" spans="1:16" ht="15.75" customHeight="1" x14ac:dyDescent="0.2">
      <c r="A3409" s="49">
        <v>3823</v>
      </c>
      <c r="B3409" s="11" t="s">
        <v>1857</v>
      </c>
      <c r="C3409" s="11" t="s">
        <v>1849</v>
      </c>
      <c r="D3409" s="6" t="s">
        <v>1850</v>
      </c>
      <c r="E3409" s="11" t="s">
        <v>6642</v>
      </c>
      <c r="F3409" s="12" t="s">
        <v>7619</v>
      </c>
      <c r="G3409" s="12" t="s">
        <v>6642</v>
      </c>
      <c r="H3409" s="12" t="s">
        <v>7626</v>
      </c>
      <c r="I3409" s="12" t="s">
        <v>7679</v>
      </c>
      <c r="J3409" s="11" t="s">
        <v>1856</v>
      </c>
      <c r="K3409" s="11" t="s">
        <v>1852</v>
      </c>
      <c r="L3409" s="11" t="s">
        <v>1853</v>
      </c>
      <c r="M3409" s="11" t="s">
        <v>2407</v>
      </c>
      <c r="N3409" s="12" t="s">
        <v>7680</v>
      </c>
      <c r="O3409" s="11" t="s">
        <v>1860</v>
      </c>
      <c r="P3409" s="56"/>
    </row>
    <row r="3410" spans="1:16" ht="15.75" customHeight="1" x14ac:dyDescent="0.2">
      <c r="A3410" s="49">
        <v>3792</v>
      </c>
      <c r="B3410" s="11" t="s">
        <v>1857</v>
      </c>
      <c r="C3410" s="11" t="s">
        <v>1849</v>
      </c>
      <c r="D3410" s="6" t="s">
        <v>1850</v>
      </c>
      <c r="E3410" s="11" t="s">
        <v>6642</v>
      </c>
      <c r="F3410" s="12" t="s">
        <v>7619</v>
      </c>
      <c r="G3410" s="12" t="s">
        <v>6642</v>
      </c>
      <c r="H3410" s="12" t="s">
        <v>7626</v>
      </c>
      <c r="I3410" s="12" t="s">
        <v>7681</v>
      </c>
      <c r="J3410" s="11" t="s">
        <v>1856</v>
      </c>
      <c r="K3410" s="11" t="s">
        <v>1852</v>
      </c>
      <c r="L3410" s="11" t="s">
        <v>1853</v>
      </c>
      <c r="M3410" s="11" t="s">
        <v>7682</v>
      </c>
      <c r="N3410" s="12" t="s">
        <v>7683</v>
      </c>
      <c r="O3410" s="11" t="s">
        <v>1858</v>
      </c>
      <c r="P3410" s="56"/>
    </row>
    <row r="3411" spans="1:16" ht="15.75" customHeight="1" x14ac:dyDescent="0.2">
      <c r="A3411" s="49">
        <v>3857</v>
      </c>
      <c r="B3411" s="11" t="s">
        <v>1857</v>
      </c>
      <c r="C3411" s="11" t="s">
        <v>1849</v>
      </c>
      <c r="D3411" s="6" t="s">
        <v>1850</v>
      </c>
      <c r="E3411" s="11" t="s">
        <v>6642</v>
      </c>
      <c r="F3411" s="12" t="s">
        <v>7619</v>
      </c>
      <c r="G3411" s="12" t="s">
        <v>6642</v>
      </c>
      <c r="H3411" s="12" t="s">
        <v>7630</v>
      </c>
      <c r="I3411" s="12" t="s">
        <v>7684</v>
      </c>
      <c r="J3411" s="11" t="s">
        <v>1851</v>
      </c>
      <c r="K3411" s="11" t="s">
        <v>1852</v>
      </c>
      <c r="L3411" s="11" t="s">
        <v>1853</v>
      </c>
      <c r="M3411" s="11" t="s">
        <v>7685</v>
      </c>
      <c r="N3411" s="12" t="s">
        <v>7686</v>
      </c>
      <c r="O3411" s="11" t="s">
        <v>1860</v>
      </c>
      <c r="P3411" s="56"/>
    </row>
    <row r="3412" spans="1:16" ht="15.75" customHeight="1" x14ac:dyDescent="0.2">
      <c r="A3412" s="49">
        <v>3794</v>
      </c>
      <c r="B3412" s="11" t="s">
        <v>1857</v>
      </c>
      <c r="C3412" s="11" t="s">
        <v>1849</v>
      </c>
      <c r="D3412" s="6" t="s">
        <v>1850</v>
      </c>
      <c r="E3412" s="11" t="s">
        <v>6642</v>
      </c>
      <c r="F3412" s="12" t="s">
        <v>7619</v>
      </c>
      <c r="G3412" s="12" t="s">
        <v>6642</v>
      </c>
      <c r="H3412" s="12" t="s">
        <v>7626</v>
      </c>
      <c r="I3412" s="12" t="s">
        <v>7687</v>
      </c>
      <c r="J3412" s="11" t="s">
        <v>1856</v>
      </c>
      <c r="K3412" s="11" t="s">
        <v>1852</v>
      </c>
      <c r="L3412" s="11" t="s">
        <v>1853</v>
      </c>
      <c r="M3412" s="11" t="s">
        <v>7657</v>
      </c>
      <c r="N3412" s="12" t="s">
        <v>7688</v>
      </c>
      <c r="O3412" s="11" t="s">
        <v>1858</v>
      </c>
      <c r="P3412" s="56"/>
    </row>
    <row r="3413" spans="1:16" ht="15.75" customHeight="1" x14ac:dyDescent="0.2">
      <c r="A3413" s="49">
        <v>3833</v>
      </c>
      <c r="B3413" s="11" t="s">
        <v>1857</v>
      </c>
      <c r="C3413" s="11" t="s">
        <v>1849</v>
      </c>
      <c r="D3413" s="6" t="s">
        <v>1850</v>
      </c>
      <c r="E3413" s="11" t="s">
        <v>6642</v>
      </c>
      <c r="F3413" s="12" t="s">
        <v>7619</v>
      </c>
      <c r="G3413" s="12" t="s">
        <v>6642</v>
      </c>
      <c r="H3413" s="12" t="s">
        <v>7620</v>
      </c>
      <c r="I3413" s="12" t="s">
        <v>7689</v>
      </c>
      <c r="J3413" s="11" t="s">
        <v>1856</v>
      </c>
      <c r="K3413" s="11" t="s">
        <v>1852</v>
      </c>
      <c r="L3413" s="11" t="s">
        <v>1853</v>
      </c>
      <c r="M3413" s="11" t="s">
        <v>3088</v>
      </c>
      <c r="N3413" s="12" t="s">
        <v>7690</v>
      </c>
      <c r="O3413" s="11" t="s">
        <v>1860</v>
      </c>
      <c r="P3413" s="56"/>
    </row>
    <row r="3414" spans="1:16" ht="15.75" customHeight="1" x14ac:dyDescent="0.2">
      <c r="A3414" s="49">
        <v>3808</v>
      </c>
      <c r="B3414" s="11" t="s">
        <v>1857</v>
      </c>
      <c r="C3414" s="11" t="s">
        <v>1849</v>
      </c>
      <c r="D3414" s="6" t="s">
        <v>1850</v>
      </c>
      <c r="E3414" s="11" t="s">
        <v>6642</v>
      </c>
      <c r="F3414" s="12" t="s">
        <v>7619</v>
      </c>
      <c r="G3414" s="12" t="s">
        <v>6642</v>
      </c>
      <c r="H3414" s="12" t="s">
        <v>7626</v>
      </c>
      <c r="I3414" s="12" t="s">
        <v>7691</v>
      </c>
      <c r="J3414" s="11" t="s">
        <v>1856</v>
      </c>
      <c r="K3414" s="11" t="s">
        <v>1852</v>
      </c>
      <c r="L3414" s="11" t="s">
        <v>1853</v>
      </c>
      <c r="M3414" s="11" t="s">
        <v>7692</v>
      </c>
      <c r="N3414" s="12"/>
      <c r="O3414" s="11" t="s">
        <v>2022</v>
      </c>
      <c r="P3414" s="56" t="s">
        <v>7693</v>
      </c>
    </row>
    <row r="3415" spans="1:16" ht="15.75" customHeight="1" x14ac:dyDescent="0.2">
      <c r="A3415" s="49">
        <v>3795</v>
      </c>
      <c r="B3415" s="11" t="s">
        <v>1857</v>
      </c>
      <c r="C3415" s="11" t="s">
        <v>1849</v>
      </c>
      <c r="D3415" s="6" t="s">
        <v>1850</v>
      </c>
      <c r="E3415" s="11" t="s">
        <v>6642</v>
      </c>
      <c r="F3415" s="12" t="s">
        <v>7619</v>
      </c>
      <c r="G3415" s="12" t="s">
        <v>6642</v>
      </c>
      <c r="H3415" s="12" t="s">
        <v>7626</v>
      </c>
      <c r="I3415" s="12" t="s">
        <v>7694</v>
      </c>
      <c r="J3415" s="11" t="s">
        <v>1856</v>
      </c>
      <c r="K3415" s="11" t="s">
        <v>1852</v>
      </c>
      <c r="L3415" s="11" t="s">
        <v>1853</v>
      </c>
      <c r="M3415" s="11" t="s">
        <v>7695</v>
      </c>
      <c r="N3415" s="12" t="s">
        <v>7696</v>
      </c>
      <c r="O3415" s="11" t="s">
        <v>1859</v>
      </c>
      <c r="P3415" s="56"/>
    </row>
    <row r="3416" spans="1:16" ht="15.75" customHeight="1" x14ac:dyDescent="0.2">
      <c r="A3416" s="49">
        <v>3855</v>
      </c>
      <c r="B3416" s="11" t="s">
        <v>1857</v>
      </c>
      <c r="C3416" s="11" t="s">
        <v>1849</v>
      </c>
      <c r="D3416" s="6" t="s">
        <v>1850</v>
      </c>
      <c r="E3416" s="11" t="s">
        <v>6642</v>
      </c>
      <c r="F3416" s="12" t="s">
        <v>7619</v>
      </c>
      <c r="G3416" s="12" t="s">
        <v>6642</v>
      </c>
      <c r="H3416" s="12" t="s">
        <v>7630</v>
      </c>
      <c r="I3416" s="12" t="s">
        <v>7697</v>
      </c>
      <c r="J3416" s="11" t="s">
        <v>1851</v>
      </c>
      <c r="K3416" s="11" t="s">
        <v>1852</v>
      </c>
      <c r="L3416" s="11" t="s">
        <v>1853</v>
      </c>
      <c r="M3416" s="11" t="s">
        <v>1854</v>
      </c>
      <c r="N3416" s="12"/>
      <c r="O3416" s="11" t="s">
        <v>1860</v>
      </c>
      <c r="P3416" s="56"/>
    </row>
    <row r="3417" spans="1:16" ht="15.75" customHeight="1" x14ac:dyDescent="0.2">
      <c r="A3417" s="49">
        <v>4002</v>
      </c>
      <c r="B3417" s="11" t="s">
        <v>1857</v>
      </c>
      <c r="C3417" s="11" t="s">
        <v>1849</v>
      </c>
      <c r="D3417" s="6" t="s">
        <v>1850</v>
      </c>
      <c r="E3417" s="11" t="s">
        <v>6642</v>
      </c>
      <c r="F3417" s="12" t="s">
        <v>7619</v>
      </c>
      <c r="G3417" s="12" t="s">
        <v>6642</v>
      </c>
      <c r="H3417" s="12" t="s">
        <v>7626</v>
      </c>
      <c r="I3417" s="12" t="s">
        <v>7698</v>
      </c>
      <c r="J3417" s="11" t="s">
        <v>1856</v>
      </c>
      <c r="K3417" s="11" t="s">
        <v>1852</v>
      </c>
      <c r="L3417" s="11" t="s">
        <v>1853</v>
      </c>
      <c r="M3417" s="11" t="s">
        <v>1854</v>
      </c>
      <c r="N3417" s="12"/>
      <c r="O3417" s="11" t="s">
        <v>1859</v>
      </c>
      <c r="P3417" s="56"/>
    </row>
    <row r="3418" spans="1:16" ht="15.75" customHeight="1" x14ac:dyDescent="0.2">
      <c r="A3418" s="49">
        <v>3798</v>
      </c>
      <c r="B3418" s="11" t="s">
        <v>1857</v>
      </c>
      <c r="C3418" s="11" t="s">
        <v>1849</v>
      </c>
      <c r="D3418" s="6" t="s">
        <v>1850</v>
      </c>
      <c r="E3418" s="11" t="s">
        <v>6642</v>
      </c>
      <c r="F3418" s="12" t="s">
        <v>7619</v>
      </c>
      <c r="G3418" s="12" t="s">
        <v>6642</v>
      </c>
      <c r="H3418" s="12" t="s">
        <v>7699</v>
      </c>
      <c r="I3418" s="12" t="s">
        <v>724</v>
      </c>
      <c r="J3418" s="11" t="s">
        <v>1851</v>
      </c>
      <c r="K3418" s="11" t="s">
        <v>1852</v>
      </c>
      <c r="L3418" s="11" t="s">
        <v>1853</v>
      </c>
      <c r="M3418" s="11" t="s">
        <v>7700</v>
      </c>
      <c r="N3418" s="12" t="s">
        <v>7701</v>
      </c>
      <c r="O3418" s="11" t="s">
        <v>1860</v>
      </c>
      <c r="P3418" s="56"/>
    </row>
    <row r="3419" spans="1:16" ht="15.75" customHeight="1" x14ac:dyDescent="0.2">
      <c r="A3419" s="49">
        <v>3813</v>
      </c>
      <c r="B3419" s="11" t="s">
        <v>1857</v>
      </c>
      <c r="C3419" s="11" t="s">
        <v>1849</v>
      </c>
      <c r="D3419" s="6" t="s">
        <v>1850</v>
      </c>
      <c r="E3419" s="11" t="s">
        <v>6642</v>
      </c>
      <c r="F3419" s="12" t="s">
        <v>7619</v>
      </c>
      <c r="G3419" s="12" t="s">
        <v>6642</v>
      </c>
      <c r="H3419" s="12" t="s">
        <v>7626</v>
      </c>
      <c r="I3419" s="12" t="s">
        <v>6186</v>
      </c>
      <c r="J3419" s="11" t="s">
        <v>1856</v>
      </c>
      <c r="K3419" s="11" t="s">
        <v>1852</v>
      </c>
      <c r="L3419" s="11" t="s">
        <v>1853</v>
      </c>
      <c r="M3419" s="11" t="s">
        <v>1854</v>
      </c>
      <c r="N3419" s="12"/>
      <c r="O3419" s="11" t="s">
        <v>1859</v>
      </c>
      <c r="P3419" s="56"/>
    </row>
    <row r="3420" spans="1:16" ht="15.75" customHeight="1" x14ac:dyDescent="0.2">
      <c r="A3420" s="49">
        <v>3824</v>
      </c>
      <c r="B3420" s="11" t="s">
        <v>1857</v>
      </c>
      <c r="C3420" s="11" t="s">
        <v>1849</v>
      </c>
      <c r="D3420" s="6" t="s">
        <v>1850</v>
      </c>
      <c r="E3420" s="11" t="s">
        <v>6642</v>
      </c>
      <c r="F3420" s="12" t="s">
        <v>7619</v>
      </c>
      <c r="G3420" s="12" t="s">
        <v>6642</v>
      </c>
      <c r="H3420" s="12" t="s">
        <v>7626</v>
      </c>
      <c r="I3420" s="12" t="s">
        <v>7702</v>
      </c>
      <c r="J3420" s="11" t="s">
        <v>1851</v>
      </c>
      <c r="K3420" s="11" t="s">
        <v>1852</v>
      </c>
      <c r="L3420" s="11" t="s">
        <v>1853</v>
      </c>
      <c r="M3420" s="11" t="s">
        <v>6928</v>
      </c>
      <c r="N3420" s="12" t="s">
        <v>7703</v>
      </c>
      <c r="O3420" s="11" t="s">
        <v>1860</v>
      </c>
      <c r="P3420" s="56" t="s">
        <v>7704</v>
      </c>
    </row>
    <row r="3421" spans="1:16" ht="15.75" customHeight="1" x14ac:dyDescent="0.2">
      <c r="A3421" s="49">
        <v>3820</v>
      </c>
      <c r="B3421" s="11" t="s">
        <v>1857</v>
      </c>
      <c r="C3421" s="11" t="s">
        <v>1849</v>
      </c>
      <c r="D3421" s="6" t="s">
        <v>1850</v>
      </c>
      <c r="E3421" s="11" t="s">
        <v>6642</v>
      </c>
      <c r="F3421" s="12" t="s">
        <v>7619</v>
      </c>
      <c r="G3421" s="12" t="s">
        <v>6642</v>
      </c>
      <c r="H3421" s="12" t="s">
        <v>7626</v>
      </c>
      <c r="I3421" s="12" t="s">
        <v>4554</v>
      </c>
      <c r="J3421" s="11" t="s">
        <v>1856</v>
      </c>
      <c r="K3421" s="11" t="s">
        <v>1852</v>
      </c>
      <c r="L3421" s="11" t="s">
        <v>1853</v>
      </c>
      <c r="M3421" s="11" t="s">
        <v>7705</v>
      </c>
      <c r="N3421" s="12" t="s">
        <v>7706</v>
      </c>
      <c r="O3421" s="11" t="s">
        <v>1859</v>
      </c>
      <c r="P3421" s="56"/>
    </row>
    <row r="3422" spans="1:16" ht="15.75" customHeight="1" x14ac:dyDescent="0.2">
      <c r="A3422" s="49">
        <v>3799</v>
      </c>
      <c r="B3422" s="11" t="s">
        <v>1857</v>
      </c>
      <c r="C3422" s="11" t="s">
        <v>1849</v>
      </c>
      <c r="D3422" s="6" t="s">
        <v>1850</v>
      </c>
      <c r="E3422" s="11" t="s">
        <v>6642</v>
      </c>
      <c r="F3422" s="12" t="s">
        <v>7619</v>
      </c>
      <c r="G3422" s="12" t="s">
        <v>6642</v>
      </c>
      <c r="H3422" s="12" t="s">
        <v>7626</v>
      </c>
      <c r="I3422" s="12" t="s">
        <v>7707</v>
      </c>
      <c r="J3422" s="11" t="s">
        <v>2246</v>
      </c>
      <c r="K3422" s="11" t="s">
        <v>2247</v>
      </c>
      <c r="L3422" s="11" t="s">
        <v>1853</v>
      </c>
      <c r="M3422" s="11" t="s">
        <v>1854</v>
      </c>
      <c r="N3422" s="12"/>
      <c r="O3422" s="11" t="s">
        <v>1860</v>
      </c>
      <c r="P3422" s="56"/>
    </row>
    <row r="3423" spans="1:16" ht="15.75" customHeight="1" x14ac:dyDescent="0.2">
      <c r="A3423" s="49">
        <v>3797</v>
      </c>
      <c r="B3423" s="11" t="s">
        <v>1857</v>
      </c>
      <c r="C3423" s="11" t="s">
        <v>1849</v>
      </c>
      <c r="D3423" s="6" t="s">
        <v>1850</v>
      </c>
      <c r="E3423" s="11" t="s">
        <v>6642</v>
      </c>
      <c r="F3423" s="12" t="s">
        <v>7619</v>
      </c>
      <c r="G3423" s="12" t="s">
        <v>6642</v>
      </c>
      <c r="H3423" s="12" t="s">
        <v>7626</v>
      </c>
      <c r="I3423" s="12" t="s">
        <v>7708</v>
      </c>
      <c r="J3423" s="11" t="s">
        <v>1856</v>
      </c>
      <c r="K3423" s="11" t="s">
        <v>1852</v>
      </c>
      <c r="L3423" s="11" t="s">
        <v>1853</v>
      </c>
      <c r="M3423" s="11" t="s">
        <v>1854</v>
      </c>
      <c r="N3423" s="12"/>
      <c r="O3423" s="11" t="s">
        <v>2755</v>
      </c>
      <c r="P3423" s="56"/>
    </row>
    <row r="3424" spans="1:16" ht="15.75" customHeight="1" x14ac:dyDescent="0.2">
      <c r="A3424" s="49">
        <v>3831</v>
      </c>
      <c r="B3424" s="11" t="s">
        <v>1857</v>
      </c>
      <c r="C3424" s="11" t="s">
        <v>1849</v>
      </c>
      <c r="D3424" s="6" t="s">
        <v>1850</v>
      </c>
      <c r="E3424" s="11" t="s">
        <v>6642</v>
      </c>
      <c r="F3424" s="12" t="s">
        <v>7619</v>
      </c>
      <c r="G3424" s="12" t="s">
        <v>6642</v>
      </c>
      <c r="H3424" s="12" t="s">
        <v>7620</v>
      </c>
      <c r="I3424" s="12" t="s">
        <v>7709</v>
      </c>
      <c r="J3424" s="11" t="s">
        <v>1856</v>
      </c>
      <c r="K3424" s="11" t="s">
        <v>1852</v>
      </c>
      <c r="L3424" s="11" t="s">
        <v>1853</v>
      </c>
      <c r="M3424" s="11" t="s">
        <v>1854</v>
      </c>
      <c r="N3424" s="12"/>
      <c r="O3424" s="11" t="s">
        <v>2755</v>
      </c>
      <c r="P3424" s="56"/>
    </row>
    <row r="3425" spans="1:16" ht="15.75" customHeight="1" x14ac:dyDescent="0.2">
      <c r="A3425" s="49">
        <v>3835</v>
      </c>
      <c r="B3425" s="11" t="s">
        <v>1857</v>
      </c>
      <c r="C3425" s="11" t="s">
        <v>1849</v>
      </c>
      <c r="D3425" s="6" t="s">
        <v>1850</v>
      </c>
      <c r="E3425" s="11" t="s">
        <v>6642</v>
      </c>
      <c r="F3425" s="12" t="s">
        <v>7619</v>
      </c>
      <c r="G3425" s="12" t="s">
        <v>6642</v>
      </c>
      <c r="H3425" s="12" t="s">
        <v>7622</v>
      </c>
      <c r="I3425" s="12" t="s">
        <v>3231</v>
      </c>
      <c r="J3425" s="11" t="s">
        <v>1851</v>
      </c>
      <c r="K3425" s="11" t="s">
        <v>1852</v>
      </c>
      <c r="L3425" s="11" t="s">
        <v>1853</v>
      </c>
      <c r="M3425" s="11" t="s">
        <v>1854</v>
      </c>
      <c r="N3425" s="12"/>
      <c r="O3425" s="11" t="s">
        <v>1858</v>
      </c>
      <c r="P3425" s="56"/>
    </row>
    <row r="3426" spans="1:16" ht="15.75" customHeight="1" x14ac:dyDescent="0.2">
      <c r="A3426" s="49">
        <v>3821</v>
      </c>
      <c r="B3426" s="11" t="s">
        <v>1857</v>
      </c>
      <c r="C3426" s="11" t="s">
        <v>1849</v>
      </c>
      <c r="D3426" s="6" t="s">
        <v>1850</v>
      </c>
      <c r="E3426" s="11" t="s">
        <v>6642</v>
      </c>
      <c r="F3426" s="12" t="s">
        <v>7619</v>
      </c>
      <c r="G3426" s="12" t="s">
        <v>6642</v>
      </c>
      <c r="H3426" s="12" t="s">
        <v>7626</v>
      </c>
      <c r="I3426" s="12" t="s">
        <v>4047</v>
      </c>
      <c r="J3426" s="11" t="s">
        <v>1856</v>
      </c>
      <c r="K3426" s="11" t="s">
        <v>1852</v>
      </c>
      <c r="L3426" s="11" t="s">
        <v>1853</v>
      </c>
      <c r="M3426" s="11" t="s">
        <v>6859</v>
      </c>
      <c r="N3426" s="12" t="s">
        <v>7710</v>
      </c>
      <c r="O3426" s="11" t="s">
        <v>1860</v>
      </c>
      <c r="P3426" s="56"/>
    </row>
    <row r="3427" spans="1:16" ht="15.75" customHeight="1" x14ac:dyDescent="0.2">
      <c r="A3427" s="49">
        <v>3832</v>
      </c>
      <c r="B3427" s="11" t="s">
        <v>1857</v>
      </c>
      <c r="C3427" s="11" t="s">
        <v>1849</v>
      </c>
      <c r="D3427" s="6" t="s">
        <v>1850</v>
      </c>
      <c r="E3427" s="11" t="s">
        <v>6642</v>
      </c>
      <c r="F3427" s="12" t="s">
        <v>7619</v>
      </c>
      <c r="G3427" s="12" t="s">
        <v>6642</v>
      </c>
      <c r="H3427" s="12" t="s">
        <v>7620</v>
      </c>
      <c r="I3427" s="12" t="s">
        <v>7711</v>
      </c>
      <c r="J3427" s="11" t="s">
        <v>1856</v>
      </c>
      <c r="K3427" s="11" t="s">
        <v>1852</v>
      </c>
      <c r="L3427" s="11" t="s">
        <v>1853</v>
      </c>
      <c r="M3427" s="11" t="s">
        <v>6799</v>
      </c>
      <c r="N3427" s="12" t="s">
        <v>7712</v>
      </c>
      <c r="O3427" s="11" t="s">
        <v>1860</v>
      </c>
      <c r="P3427" s="56"/>
    </row>
    <row r="3428" spans="1:16" ht="15.75" customHeight="1" x14ac:dyDescent="0.2">
      <c r="A3428" s="49">
        <v>3830</v>
      </c>
      <c r="B3428" s="11" t="s">
        <v>1857</v>
      </c>
      <c r="C3428" s="11" t="s">
        <v>1849</v>
      </c>
      <c r="D3428" s="6" t="s">
        <v>1850</v>
      </c>
      <c r="E3428" s="11" t="s">
        <v>6642</v>
      </c>
      <c r="F3428" s="12" t="s">
        <v>7619</v>
      </c>
      <c r="G3428" s="12" t="s">
        <v>6642</v>
      </c>
      <c r="H3428" s="12" t="s">
        <v>7622</v>
      </c>
      <c r="I3428" s="12" t="s">
        <v>7713</v>
      </c>
      <c r="J3428" s="11" t="s">
        <v>1851</v>
      </c>
      <c r="K3428" s="11" t="s">
        <v>1852</v>
      </c>
      <c r="L3428" s="11" t="s">
        <v>1853</v>
      </c>
      <c r="M3428" s="11" t="s">
        <v>7714</v>
      </c>
      <c r="N3428" s="12" t="s">
        <v>7715</v>
      </c>
      <c r="O3428" s="11" t="s">
        <v>1858</v>
      </c>
      <c r="P3428" s="56"/>
    </row>
    <row r="3429" spans="1:16" ht="15.75" customHeight="1" x14ac:dyDescent="0.2">
      <c r="A3429" s="49">
        <v>7593</v>
      </c>
      <c r="B3429" s="11" t="s">
        <v>1857</v>
      </c>
      <c r="C3429" s="11" t="s">
        <v>1849</v>
      </c>
      <c r="D3429" s="6" t="s">
        <v>1850</v>
      </c>
      <c r="E3429" s="11" t="s">
        <v>6642</v>
      </c>
      <c r="F3429" s="12" t="s">
        <v>7619</v>
      </c>
      <c r="G3429" s="12" t="s">
        <v>6642</v>
      </c>
      <c r="H3429" s="12" t="s">
        <v>7620</v>
      </c>
      <c r="I3429" s="12" t="s">
        <v>7716</v>
      </c>
      <c r="J3429" s="11" t="s">
        <v>1851</v>
      </c>
      <c r="K3429" s="11" t="s">
        <v>1852</v>
      </c>
      <c r="L3429" s="11" t="s">
        <v>1853</v>
      </c>
      <c r="M3429" s="11" t="s">
        <v>1854</v>
      </c>
      <c r="N3429" s="12"/>
      <c r="O3429" s="11" t="s">
        <v>7717</v>
      </c>
      <c r="P3429" s="56" t="s">
        <v>2614</v>
      </c>
    </row>
    <row r="3430" spans="1:16" ht="15.75" customHeight="1" x14ac:dyDescent="0.2">
      <c r="A3430" s="49">
        <v>2316</v>
      </c>
      <c r="B3430" s="11" t="s">
        <v>1857</v>
      </c>
      <c r="C3430" s="11" t="s">
        <v>1849</v>
      </c>
      <c r="D3430" s="6" t="s">
        <v>1850</v>
      </c>
      <c r="E3430" s="11" t="s">
        <v>6642</v>
      </c>
      <c r="F3430" s="12" t="s">
        <v>7619</v>
      </c>
      <c r="G3430" s="12" t="s">
        <v>6642</v>
      </c>
      <c r="H3430" s="12" t="s">
        <v>7626</v>
      </c>
      <c r="I3430" s="12" t="s">
        <v>7718</v>
      </c>
      <c r="J3430" s="11" t="s">
        <v>2246</v>
      </c>
      <c r="K3430" s="11" t="s">
        <v>1852</v>
      </c>
      <c r="L3430" s="11" t="s">
        <v>1853</v>
      </c>
      <c r="M3430" s="11" t="s">
        <v>7719</v>
      </c>
      <c r="N3430" s="12" t="s">
        <v>3888</v>
      </c>
      <c r="O3430" s="11" t="s">
        <v>1858</v>
      </c>
      <c r="P3430" s="56"/>
    </row>
    <row r="3431" spans="1:16" ht="15.75" customHeight="1" x14ac:dyDescent="0.2">
      <c r="A3431" s="48">
        <v>16185</v>
      </c>
      <c r="B3431" s="11" t="s">
        <v>1871</v>
      </c>
      <c r="C3431" s="11" t="s">
        <v>1849</v>
      </c>
      <c r="D3431" s="6" t="s">
        <v>1850</v>
      </c>
      <c r="E3431" s="11" t="s">
        <v>6642</v>
      </c>
      <c r="F3431" s="12" t="s">
        <v>7619</v>
      </c>
      <c r="G3431" s="12" t="s">
        <v>6642</v>
      </c>
      <c r="H3431" s="12" t="s">
        <v>7626</v>
      </c>
      <c r="I3431" s="12" t="s">
        <v>7720</v>
      </c>
      <c r="J3431" s="11" t="s">
        <v>1856</v>
      </c>
      <c r="K3431" s="11" t="s">
        <v>1852</v>
      </c>
      <c r="L3431" s="11" t="s">
        <v>1853</v>
      </c>
      <c r="M3431" s="11" t="s">
        <v>1854</v>
      </c>
      <c r="N3431" s="12"/>
      <c r="O3431" s="11" t="s">
        <v>2022</v>
      </c>
      <c r="P3431" s="56" t="s">
        <v>2323</v>
      </c>
    </row>
    <row r="3432" spans="1:16" ht="15.75" customHeight="1" x14ac:dyDescent="0.2">
      <c r="A3432" s="48">
        <v>15621</v>
      </c>
      <c r="B3432" s="11" t="s">
        <v>1871</v>
      </c>
      <c r="C3432" s="11" t="s">
        <v>1849</v>
      </c>
      <c r="D3432" s="6" t="s">
        <v>1850</v>
      </c>
      <c r="E3432" s="11" t="s">
        <v>6642</v>
      </c>
      <c r="F3432" s="12" t="s">
        <v>7619</v>
      </c>
      <c r="G3432" s="12" t="s">
        <v>6642</v>
      </c>
      <c r="H3432" s="12" t="s">
        <v>7626</v>
      </c>
      <c r="I3432" s="12" t="s">
        <v>7721</v>
      </c>
      <c r="J3432" s="11" t="s">
        <v>1856</v>
      </c>
      <c r="K3432" s="11" t="s">
        <v>1852</v>
      </c>
      <c r="L3432" s="11" t="s">
        <v>1853</v>
      </c>
      <c r="M3432" s="11" t="s">
        <v>1854</v>
      </c>
      <c r="N3432" s="12"/>
      <c r="O3432" s="11" t="s">
        <v>1874</v>
      </c>
      <c r="P3432" s="56"/>
    </row>
    <row r="3433" spans="1:16" ht="15.75" customHeight="1" x14ac:dyDescent="0.2">
      <c r="A3433" s="48">
        <v>15188</v>
      </c>
      <c r="B3433" s="11" t="s">
        <v>1871</v>
      </c>
      <c r="C3433" s="11" t="s">
        <v>1849</v>
      </c>
      <c r="D3433" s="6" t="s">
        <v>1850</v>
      </c>
      <c r="E3433" s="11" t="s">
        <v>6642</v>
      </c>
      <c r="F3433" s="12" t="s">
        <v>7619</v>
      </c>
      <c r="G3433" s="12" t="s">
        <v>7722</v>
      </c>
      <c r="H3433" s="12" t="s">
        <v>7622</v>
      </c>
      <c r="I3433" s="12" t="s">
        <v>7723</v>
      </c>
      <c r="J3433" s="11" t="s">
        <v>1856</v>
      </c>
      <c r="K3433" s="11" t="s">
        <v>1852</v>
      </c>
      <c r="L3433" s="11" t="s">
        <v>1853</v>
      </c>
      <c r="M3433" s="11" t="s">
        <v>1854</v>
      </c>
      <c r="N3433" s="12"/>
      <c r="O3433" s="11" t="s">
        <v>1874</v>
      </c>
      <c r="P3433" s="56"/>
    </row>
    <row r="3434" spans="1:16" ht="15.75" customHeight="1" x14ac:dyDescent="0.2">
      <c r="A3434" s="48">
        <v>3844</v>
      </c>
      <c r="B3434" s="11" t="s">
        <v>1871</v>
      </c>
      <c r="C3434" s="11" t="s">
        <v>1849</v>
      </c>
      <c r="D3434" s="6" t="s">
        <v>1850</v>
      </c>
      <c r="E3434" s="11" t="s">
        <v>6642</v>
      </c>
      <c r="F3434" s="12" t="s">
        <v>7619</v>
      </c>
      <c r="G3434" s="12" t="s">
        <v>7722</v>
      </c>
      <c r="H3434" s="12" t="s">
        <v>7622</v>
      </c>
      <c r="I3434" s="12" t="s">
        <v>7724</v>
      </c>
      <c r="J3434" s="11" t="s">
        <v>1851</v>
      </c>
      <c r="K3434" s="11" t="s">
        <v>1852</v>
      </c>
      <c r="L3434" s="11" t="s">
        <v>1853</v>
      </c>
      <c r="M3434" s="11" t="s">
        <v>1854</v>
      </c>
      <c r="N3434" s="12"/>
      <c r="O3434" s="11" t="s">
        <v>1866</v>
      </c>
      <c r="P3434" s="56" t="s">
        <v>7156</v>
      </c>
    </row>
    <row r="3435" spans="1:16" ht="15.75" customHeight="1" x14ac:dyDescent="0.2">
      <c r="A3435" s="48">
        <v>15187</v>
      </c>
      <c r="B3435" s="11" t="s">
        <v>1871</v>
      </c>
      <c r="C3435" s="11" t="s">
        <v>1849</v>
      </c>
      <c r="D3435" s="6" t="s">
        <v>1850</v>
      </c>
      <c r="E3435" s="11" t="s">
        <v>6642</v>
      </c>
      <c r="F3435" s="12" t="s">
        <v>7619</v>
      </c>
      <c r="G3435" s="12" t="s">
        <v>7722</v>
      </c>
      <c r="H3435" s="12" t="s">
        <v>7630</v>
      </c>
      <c r="I3435" s="12" t="s">
        <v>7725</v>
      </c>
      <c r="J3435" s="11" t="s">
        <v>1856</v>
      </c>
      <c r="K3435" s="11" t="s">
        <v>1852</v>
      </c>
      <c r="L3435" s="11" t="s">
        <v>1853</v>
      </c>
      <c r="M3435" s="11" t="s">
        <v>1854</v>
      </c>
      <c r="N3435" s="12"/>
      <c r="O3435" s="11" t="s">
        <v>1874</v>
      </c>
      <c r="P3435" s="56"/>
    </row>
    <row r="3436" spans="1:16" ht="15.75" customHeight="1" x14ac:dyDescent="0.2">
      <c r="A3436" s="48">
        <v>15186</v>
      </c>
      <c r="B3436" s="11" t="s">
        <v>1871</v>
      </c>
      <c r="C3436" s="11" t="s">
        <v>1849</v>
      </c>
      <c r="D3436" s="6" t="s">
        <v>1850</v>
      </c>
      <c r="E3436" s="11" t="s">
        <v>6642</v>
      </c>
      <c r="F3436" s="12" t="s">
        <v>7619</v>
      </c>
      <c r="G3436" s="12" t="s">
        <v>7722</v>
      </c>
      <c r="H3436" s="12" t="s">
        <v>7626</v>
      </c>
      <c r="I3436" s="12" t="s">
        <v>7726</v>
      </c>
      <c r="J3436" s="11" t="s">
        <v>1856</v>
      </c>
      <c r="K3436" s="11" t="s">
        <v>1852</v>
      </c>
      <c r="L3436" s="11" t="s">
        <v>1853</v>
      </c>
      <c r="M3436" s="11" t="s">
        <v>1854</v>
      </c>
      <c r="N3436" s="12"/>
      <c r="O3436" s="11" t="s">
        <v>1866</v>
      </c>
      <c r="P3436" s="56" t="s">
        <v>2323</v>
      </c>
    </row>
    <row r="3437" spans="1:16" ht="15.75" customHeight="1" x14ac:dyDescent="0.2">
      <c r="A3437" s="48">
        <v>15185</v>
      </c>
      <c r="B3437" s="11" t="s">
        <v>1871</v>
      </c>
      <c r="C3437" s="11" t="s">
        <v>1849</v>
      </c>
      <c r="D3437" s="6" t="s">
        <v>1850</v>
      </c>
      <c r="E3437" s="11" t="s">
        <v>6642</v>
      </c>
      <c r="F3437" s="12" t="s">
        <v>7619</v>
      </c>
      <c r="G3437" s="12" t="s">
        <v>7722</v>
      </c>
      <c r="H3437" s="12" t="s">
        <v>7626</v>
      </c>
      <c r="I3437" s="12" t="s">
        <v>7727</v>
      </c>
      <c r="J3437" s="11" t="s">
        <v>2246</v>
      </c>
      <c r="K3437" s="11" t="s">
        <v>2247</v>
      </c>
      <c r="L3437" s="11" t="s">
        <v>1853</v>
      </c>
      <c r="M3437" s="11" t="s">
        <v>1854</v>
      </c>
      <c r="N3437" s="12"/>
      <c r="O3437" s="11" t="s">
        <v>1874</v>
      </c>
      <c r="P3437" s="56" t="s">
        <v>2323</v>
      </c>
    </row>
    <row r="3438" spans="1:16" ht="15.75" customHeight="1" x14ac:dyDescent="0.2">
      <c r="A3438" s="49">
        <v>15346</v>
      </c>
      <c r="B3438" s="11" t="s">
        <v>1848</v>
      </c>
      <c r="C3438" s="11" t="s">
        <v>1876</v>
      </c>
      <c r="D3438" s="6" t="s">
        <v>1850</v>
      </c>
      <c r="E3438" s="11" t="s">
        <v>6642</v>
      </c>
      <c r="F3438" s="12" t="s">
        <v>7619</v>
      </c>
      <c r="G3438" s="12" t="s">
        <v>6642</v>
      </c>
      <c r="H3438" s="12" t="s">
        <v>7626</v>
      </c>
      <c r="I3438" s="12" t="s">
        <v>7728</v>
      </c>
      <c r="J3438" s="11" t="s">
        <v>1851</v>
      </c>
      <c r="K3438" s="11" t="s">
        <v>1852</v>
      </c>
      <c r="L3438" s="11" t="s">
        <v>1853</v>
      </c>
      <c r="M3438" s="11" t="s">
        <v>1854</v>
      </c>
      <c r="N3438" s="12"/>
      <c r="O3438" s="11" t="s">
        <v>1858</v>
      </c>
      <c r="P3438" s="56"/>
    </row>
    <row r="3439" spans="1:16" ht="15.75" customHeight="1" x14ac:dyDescent="0.2">
      <c r="A3439" s="48">
        <v>15308</v>
      </c>
      <c r="B3439" s="11" t="s">
        <v>1848</v>
      </c>
      <c r="C3439" s="11" t="s">
        <v>1876</v>
      </c>
      <c r="D3439" s="6" t="s">
        <v>1850</v>
      </c>
      <c r="E3439" s="11" t="s">
        <v>6642</v>
      </c>
      <c r="F3439" s="12" t="s">
        <v>7619</v>
      </c>
      <c r="G3439" s="12" t="s">
        <v>6642</v>
      </c>
      <c r="H3439" s="12" t="s">
        <v>7620</v>
      </c>
      <c r="I3439" s="12" t="s">
        <v>7729</v>
      </c>
      <c r="J3439" s="11" t="s">
        <v>1851</v>
      </c>
      <c r="K3439" s="11" t="s">
        <v>1852</v>
      </c>
      <c r="L3439" s="11" t="s">
        <v>1853</v>
      </c>
      <c r="M3439" s="11" t="s">
        <v>1854</v>
      </c>
      <c r="N3439" s="12"/>
      <c r="O3439" s="11" t="s">
        <v>1855</v>
      </c>
      <c r="P3439" s="56"/>
    </row>
    <row r="3440" spans="1:16" ht="15.75" customHeight="1" x14ac:dyDescent="0.2">
      <c r="A3440" s="48">
        <v>15309</v>
      </c>
      <c r="B3440" s="11" t="s">
        <v>1848</v>
      </c>
      <c r="C3440" s="11" t="s">
        <v>1876</v>
      </c>
      <c r="D3440" s="6" t="s">
        <v>1850</v>
      </c>
      <c r="E3440" s="11" t="s">
        <v>6642</v>
      </c>
      <c r="F3440" s="12" t="s">
        <v>7619</v>
      </c>
      <c r="G3440" s="12" t="s">
        <v>6642</v>
      </c>
      <c r="H3440" s="12" t="s">
        <v>7620</v>
      </c>
      <c r="I3440" s="12" t="s">
        <v>7730</v>
      </c>
      <c r="J3440" s="11" t="s">
        <v>1851</v>
      </c>
      <c r="K3440" s="11" t="s">
        <v>1852</v>
      </c>
      <c r="L3440" s="11" t="s">
        <v>1853</v>
      </c>
      <c r="M3440" s="11" t="s">
        <v>1854</v>
      </c>
      <c r="N3440" s="12"/>
      <c r="O3440" s="11" t="s">
        <v>1855</v>
      </c>
      <c r="P3440" s="56"/>
    </row>
    <row r="3441" spans="1:16" ht="15.75" customHeight="1" x14ac:dyDescent="0.2">
      <c r="A3441" s="48">
        <v>15302</v>
      </c>
      <c r="B3441" s="11" t="s">
        <v>1848</v>
      </c>
      <c r="C3441" s="11" t="s">
        <v>1876</v>
      </c>
      <c r="D3441" s="6" t="s">
        <v>1850</v>
      </c>
      <c r="E3441" s="11" t="s">
        <v>6642</v>
      </c>
      <c r="F3441" s="12" t="s">
        <v>7619</v>
      </c>
      <c r="G3441" s="12" t="s">
        <v>6642</v>
      </c>
      <c r="H3441" s="12" t="s">
        <v>7620</v>
      </c>
      <c r="I3441" s="12" t="s">
        <v>7731</v>
      </c>
      <c r="J3441" s="11" t="s">
        <v>1856</v>
      </c>
      <c r="K3441" s="11" t="s">
        <v>1852</v>
      </c>
      <c r="L3441" s="11" t="s">
        <v>1853</v>
      </c>
      <c r="M3441" s="11" t="s">
        <v>1854</v>
      </c>
      <c r="N3441" s="12"/>
      <c r="O3441" s="11" t="s">
        <v>1855</v>
      </c>
      <c r="P3441" s="56"/>
    </row>
    <row r="3442" spans="1:16" ht="15.75" customHeight="1" x14ac:dyDescent="0.2">
      <c r="A3442" s="48">
        <v>15300</v>
      </c>
      <c r="B3442" s="11" t="s">
        <v>1848</v>
      </c>
      <c r="C3442" s="11" t="s">
        <v>1876</v>
      </c>
      <c r="D3442" s="6" t="s">
        <v>1850</v>
      </c>
      <c r="E3442" s="11" t="s">
        <v>6642</v>
      </c>
      <c r="F3442" s="12" t="s">
        <v>7619</v>
      </c>
      <c r="G3442" s="12" t="s">
        <v>6642</v>
      </c>
      <c r="H3442" s="12" t="s">
        <v>7620</v>
      </c>
      <c r="I3442" s="12" t="s">
        <v>7732</v>
      </c>
      <c r="J3442" s="11" t="s">
        <v>1851</v>
      </c>
      <c r="K3442" s="11" t="s">
        <v>1852</v>
      </c>
      <c r="L3442" s="11" t="s">
        <v>1853</v>
      </c>
      <c r="M3442" s="11" t="s">
        <v>1854</v>
      </c>
      <c r="N3442" s="12"/>
      <c r="O3442" s="11" t="s">
        <v>1855</v>
      </c>
      <c r="P3442" s="56"/>
    </row>
    <row r="3443" spans="1:16" ht="15.75" customHeight="1" x14ac:dyDescent="0.2">
      <c r="A3443" s="49">
        <v>7459</v>
      </c>
      <c r="B3443" s="11" t="s">
        <v>1857</v>
      </c>
      <c r="C3443" s="11" t="s">
        <v>1876</v>
      </c>
      <c r="D3443" s="6" t="s">
        <v>1850</v>
      </c>
      <c r="E3443" s="11" t="s">
        <v>6642</v>
      </c>
      <c r="F3443" s="12" t="s">
        <v>7619</v>
      </c>
      <c r="G3443" s="12" t="s">
        <v>6642</v>
      </c>
      <c r="H3443" s="12" t="s">
        <v>7622</v>
      </c>
      <c r="I3443" s="12" t="s">
        <v>7733</v>
      </c>
      <c r="J3443" s="11" t="s">
        <v>1851</v>
      </c>
      <c r="K3443" s="11" t="s">
        <v>1852</v>
      </c>
      <c r="L3443" s="11" t="s">
        <v>1853</v>
      </c>
      <c r="M3443" s="11" t="s">
        <v>1854</v>
      </c>
      <c r="N3443" s="12"/>
      <c r="O3443" s="11" t="s">
        <v>1858</v>
      </c>
      <c r="P3443" s="56"/>
    </row>
    <row r="3444" spans="1:16" ht="15.75" customHeight="1" x14ac:dyDescent="0.2">
      <c r="A3444" s="49">
        <v>7458</v>
      </c>
      <c r="B3444" s="11" t="s">
        <v>1857</v>
      </c>
      <c r="C3444" s="11" t="s">
        <v>1876</v>
      </c>
      <c r="D3444" s="6" t="s">
        <v>1850</v>
      </c>
      <c r="E3444" s="11" t="s">
        <v>6642</v>
      </c>
      <c r="F3444" s="12" t="s">
        <v>7619</v>
      </c>
      <c r="G3444" s="12" t="s">
        <v>6642</v>
      </c>
      <c r="H3444" s="12" t="s">
        <v>7620</v>
      </c>
      <c r="I3444" s="12" t="s">
        <v>7734</v>
      </c>
      <c r="J3444" s="11" t="s">
        <v>1851</v>
      </c>
      <c r="K3444" s="11" t="s">
        <v>1852</v>
      </c>
      <c r="L3444" s="11" t="s">
        <v>1853</v>
      </c>
      <c r="M3444" s="11" t="s">
        <v>1854</v>
      </c>
      <c r="N3444" s="12"/>
      <c r="O3444" s="11" t="s">
        <v>1858</v>
      </c>
      <c r="P3444" s="56"/>
    </row>
    <row r="3445" spans="1:16" ht="15.75" customHeight="1" x14ac:dyDescent="0.2">
      <c r="A3445" s="49">
        <v>7152</v>
      </c>
      <c r="B3445" s="11" t="s">
        <v>1857</v>
      </c>
      <c r="C3445" s="11" t="s">
        <v>1876</v>
      </c>
      <c r="D3445" s="6" t="s">
        <v>1850</v>
      </c>
      <c r="E3445" s="11" t="s">
        <v>6642</v>
      </c>
      <c r="F3445" s="12" t="s">
        <v>7619</v>
      </c>
      <c r="G3445" s="12" t="s">
        <v>6642</v>
      </c>
      <c r="H3445" s="12" t="s">
        <v>7620</v>
      </c>
      <c r="I3445" s="12" t="s">
        <v>7735</v>
      </c>
      <c r="J3445" s="11" t="s">
        <v>1851</v>
      </c>
      <c r="K3445" s="11" t="s">
        <v>1852</v>
      </c>
      <c r="L3445" s="11" t="s">
        <v>1853</v>
      </c>
      <c r="M3445" s="11" t="s">
        <v>1854</v>
      </c>
      <c r="N3445" s="12"/>
      <c r="O3445" s="11" t="s">
        <v>1867</v>
      </c>
      <c r="P3445" s="56" t="s">
        <v>3343</v>
      </c>
    </row>
    <row r="3446" spans="1:16" ht="15.75" customHeight="1" x14ac:dyDescent="0.2">
      <c r="A3446" s="48">
        <v>7153</v>
      </c>
      <c r="B3446" s="11" t="s">
        <v>1857</v>
      </c>
      <c r="C3446" s="11" t="s">
        <v>1876</v>
      </c>
      <c r="D3446" s="6" t="s">
        <v>1850</v>
      </c>
      <c r="E3446" s="11" t="s">
        <v>6642</v>
      </c>
      <c r="F3446" s="12" t="s">
        <v>7619</v>
      </c>
      <c r="G3446" s="12" t="s">
        <v>6642</v>
      </c>
      <c r="H3446" s="12" t="s">
        <v>7630</v>
      </c>
      <c r="I3446" s="12" t="s">
        <v>7736</v>
      </c>
      <c r="J3446" s="11" t="s">
        <v>1851</v>
      </c>
      <c r="K3446" s="11" t="s">
        <v>1852</v>
      </c>
      <c r="L3446" s="11" t="s">
        <v>1853</v>
      </c>
      <c r="M3446" s="11" t="s">
        <v>7737</v>
      </c>
      <c r="N3446" s="12"/>
      <c r="O3446" s="11" t="s">
        <v>1860</v>
      </c>
      <c r="P3446" s="56"/>
    </row>
    <row r="3447" spans="1:16" ht="15.75" customHeight="1" x14ac:dyDescent="0.2">
      <c r="A3447" s="49">
        <v>7155</v>
      </c>
      <c r="B3447" s="11" t="s">
        <v>1857</v>
      </c>
      <c r="C3447" s="11" t="s">
        <v>1876</v>
      </c>
      <c r="D3447" s="6" t="s">
        <v>1850</v>
      </c>
      <c r="E3447" s="11" t="s">
        <v>6642</v>
      </c>
      <c r="F3447" s="12" t="s">
        <v>7619</v>
      </c>
      <c r="G3447" s="12" t="s">
        <v>6642</v>
      </c>
      <c r="H3447" s="12" t="s">
        <v>7620</v>
      </c>
      <c r="I3447" s="12" t="s">
        <v>7738</v>
      </c>
      <c r="J3447" s="11" t="s">
        <v>1851</v>
      </c>
      <c r="K3447" s="11" t="s">
        <v>1852</v>
      </c>
      <c r="L3447" s="11" t="s">
        <v>1853</v>
      </c>
      <c r="M3447" s="11" t="s">
        <v>7739</v>
      </c>
      <c r="N3447" s="12"/>
      <c r="O3447" s="11" t="s">
        <v>1858</v>
      </c>
      <c r="P3447" s="56"/>
    </row>
    <row r="3448" spans="1:16" ht="15.75" customHeight="1" x14ac:dyDescent="0.2">
      <c r="A3448" s="48">
        <v>7151</v>
      </c>
      <c r="B3448" s="11" t="s">
        <v>1857</v>
      </c>
      <c r="C3448" s="11" t="s">
        <v>1876</v>
      </c>
      <c r="D3448" s="6" t="s">
        <v>1850</v>
      </c>
      <c r="E3448" s="11" t="s">
        <v>6642</v>
      </c>
      <c r="F3448" s="12" t="s">
        <v>7619</v>
      </c>
      <c r="G3448" s="12" t="s">
        <v>6642</v>
      </c>
      <c r="H3448" s="12" t="s">
        <v>7630</v>
      </c>
      <c r="I3448" s="12" t="s">
        <v>7740</v>
      </c>
      <c r="J3448" s="11" t="s">
        <v>1851</v>
      </c>
      <c r="K3448" s="11" t="s">
        <v>1852</v>
      </c>
      <c r="L3448" s="11" t="s">
        <v>1853</v>
      </c>
      <c r="M3448" s="11" t="s">
        <v>7741</v>
      </c>
      <c r="N3448" s="12"/>
      <c r="O3448" s="11" t="s">
        <v>1860</v>
      </c>
      <c r="P3448" s="56" t="s">
        <v>3343</v>
      </c>
    </row>
    <row r="3449" spans="1:16" ht="15.75" customHeight="1" x14ac:dyDescent="0.2">
      <c r="A3449" s="48">
        <v>7169</v>
      </c>
      <c r="B3449" s="11" t="s">
        <v>1857</v>
      </c>
      <c r="C3449" s="11" t="s">
        <v>1876</v>
      </c>
      <c r="D3449" s="6" t="s">
        <v>1850</v>
      </c>
      <c r="E3449" s="11" t="s">
        <v>6642</v>
      </c>
      <c r="F3449" s="12" t="s">
        <v>7619</v>
      </c>
      <c r="G3449" s="12" t="s">
        <v>6642</v>
      </c>
      <c r="H3449" s="12" t="s">
        <v>7620</v>
      </c>
      <c r="I3449" s="12" t="s">
        <v>7742</v>
      </c>
      <c r="J3449" s="11" t="s">
        <v>1851</v>
      </c>
      <c r="K3449" s="11" t="s">
        <v>1852</v>
      </c>
      <c r="L3449" s="11" t="s">
        <v>1853</v>
      </c>
      <c r="M3449" s="11" t="s">
        <v>1854</v>
      </c>
      <c r="N3449" s="12"/>
      <c r="O3449" s="11" t="s">
        <v>1860</v>
      </c>
      <c r="P3449" s="56"/>
    </row>
    <row r="3450" spans="1:16" ht="15.75" customHeight="1" x14ac:dyDescent="0.2">
      <c r="A3450" s="49">
        <v>7453</v>
      </c>
      <c r="B3450" s="11" t="s">
        <v>1857</v>
      </c>
      <c r="C3450" s="11" t="s">
        <v>1876</v>
      </c>
      <c r="D3450" s="6" t="s">
        <v>1850</v>
      </c>
      <c r="E3450" s="11" t="s">
        <v>6642</v>
      </c>
      <c r="F3450" s="12" t="s">
        <v>7619</v>
      </c>
      <c r="G3450" s="12" t="s">
        <v>6642</v>
      </c>
      <c r="H3450" s="12" t="s">
        <v>7620</v>
      </c>
      <c r="I3450" s="12" t="s">
        <v>7743</v>
      </c>
      <c r="J3450" s="11" t="s">
        <v>1851</v>
      </c>
      <c r="K3450" s="11" t="s">
        <v>1852</v>
      </c>
      <c r="L3450" s="11" t="s">
        <v>1853</v>
      </c>
      <c r="M3450" s="11" t="s">
        <v>1854</v>
      </c>
      <c r="N3450" s="12"/>
      <c r="O3450" s="11" t="s">
        <v>1860</v>
      </c>
      <c r="P3450" s="56"/>
    </row>
    <row r="3451" spans="1:16" ht="15.75" customHeight="1" x14ac:dyDescent="0.2">
      <c r="A3451" s="48">
        <v>7156</v>
      </c>
      <c r="B3451" s="11" t="s">
        <v>1857</v>
      </c>
      <c r="C3451" s="11" t="s">
        <v>1876</v>
      </c>
      <c r="D3451" s="6" t="s">
        <v>1850</v>
      </c>
      <c r="E3451" s="11" t="s">
        <v>6642</v>
      </c>
      <c r="F3451" s="12" t="s">
        <v>7619</v>
      </c>
      <c r="G3451" s="12" t="s">
        <v>6642</v>
      </c>
      <c r="H3451" s="12" t="s">
        <v>7620</v>
      </c>
      <c r="I3451" s="12" t="s">
        <v>7744</v>
      </c>
      <c r="J3451" s="11" t="s">
        <v>1851</v>
      </c>
      <c r="K3451" s="11" t="s">
        <v>1852</v>
      </c>
      <c r="L3451" s="11" t="s">
        <v>1853</v>
      </c>
      <c r="M3451" s="11" t="s">
        <v>1854</v>
      </c>
      <c r="N3451" s="12" t="s">
        <v>7745</v>
      </c>
      <c r="O3451" s="11" t="s">
        <v>1860</v>
      </c>
      <c r="P3451" s="56" t="s">
        <v>3343</v>
      </c>
    </row>
    <row r="3452" spans="1:16" ht="15.75" customHeight="1" x14ac:dyDescent="0.2">
      <c r="A3452" s="49">
        <v>7454</v>
      </c>
      <c r="B3452" s="11" t="s">
        <v>1857</v>
      </c>
      <c r="C3452" s="11" t="s">
        <v>1876</v>
      </c>
      <c r="D3452" s="6" t="s">
        <v>1850</v>
      </c>
      <c r="E3452" s="11" t="s">
        <v>6642</v>
      </c>
      <c r="F3452" s="12" t="s">
        <v>7619</v>
      </c>
      <c r="G3452" s="12" t="s">
        <v>6642</v>
      </c>
      <c r="H3452" s="12" t="s">
        <v>7620</v>
      </c>
      <c r="I3452" s="12" t="s">
        <v>7746</v>
      </c>
      <c r="J3452" s="11" t="s">
        <v>1851</v>
      </c>
      <c r="K3452" s="11" t="s">
        <v>1852</v>
      </c>
      <c r="L3452" s="11" t="s">
        <v>1853</v>
      </c>
      <c r="M3452" s="11" t="s">
        <v>7747</v>
      </c>
      <c r="N3452" s="12"/>
      <c r="O3452" s="11" t="s">
        <v>1858</v>
      </c>
      <c r="P3452" s="56"/>
    </row>
    <row r="3453" spans="1:16" ht="15.75" customHeight="1" x14ac:dyDescent="0.2">
      <c r="A3453" s="48">
        <v>7171</v>
      </c>
      <c r="B3453" s="11" t="s">
        <v>1857</v>
      </c>
      <c r="C3453" s="11" t="s">
        <v>1876</v>
      </c>
      <c r="D3453" s="6" t="s">
        <v>1850</v>
      </c>
      <c r="E3453" s="11" t="s">
        <v>6642</v>
      </c>
      <c r="F3453" s="12" t="s">
        <v>7619</v>
      </c>
      <c r="G3453" s="12" t="s">
        <v>6642</v>
      </c>
      <c r="H3453" s="12" t="s">
        <v>7620</v>
      </c>
      <c r="I3453" s="12" t="s">
        <v>7748</v>
      </c>
      <c r="J3453" s="11" t="s">
        <v>1851</v>
      </c>
      <c r="K3453" s="11" t="s">
        <v>1852</v>
      </c>
      <c r="L3453" s="11" t="s">
        <v>1853</v>
      </c>
      <c r="M3453" s="11" t="s">
        <v>1854</v>
      </c>
      <c r="N3453" s="12"/>
      <c r="O3453" s="11" t="s">
        <v>1858</v>
      </c>
      <c r="P3453" s="56"/>
    </row>
    <row r="3454" spans="1:16" ht="15.75" customHeight="1" x14ac:dyDescent="0.2">
      <c r="A3454" s="49">
        <v>7148</v>
      </c>
      <c r="B3454" s="11" t="s">
        <v>1857</v>
      </c>
      <c r="C3454" s="11" t="s">
        <v>1876</v>
      </c>
      <c r="D3454" s="6" t="s">
        <v>1850</v>
      </c>
      <c r="E3454" s="11" t="s">
        <v>6642</v>
      </c>
      <c r="F3454" s="12" t="s">
        <v>7619</v>
      </c>
      <c r="G3454" s="12" t="s">
        <v>6642</v>
      </c>
      <c r="H3454" s="12" t="s">
        <v>7620</v>
      </c>
      <c r="I3454" s="12" t="s">
        <v>7749</v>
      </c>
      <c r="J3454" s="11" t="s">
        <v>1856</v>
      </c>
      <c r="K3454" s="11" t="s">
        <v>1852</v>
      </c>
      <c r="L3454" s="11" t="s">
        <v>1853</v>
      </c>
      <c r="M3454" s="11" t="s">
        <v>1854</v>
      </c>
      <c r="N3454" s="12"/>
      <c r="O3454" s="11" t="s">
        <v>1858</v>
      </c>
      <c r="P3454" s="56"/>
    </row>
    <row r="3455" spans="1:16" ht="15.75" customHeight="1" x14ac:dyDescent="0.2">
      <c r="A3455" s="49">
        <v>7456</v>
      </c>
      <c r="B3455" s="11" t="s">
        <v>1857</v>
      </c>
      <c r="C3455" s="11" t="s">
        <v>1876</v>
      </c>
      <c r="D3455" s="6" t="s">
        <v>1850</v>
      </c>
      <c r="E3455" s="11" t="s">
        <v>6642</v>
      </c>
      <c r="F3455" s="12" t="s">
        <v>7619</v>
      </c>
      <c r="G3455" s="12" t="s">
        <v>6642</v>
      </c>
      <c r="H3455" s="12" t="s">
        <v>7626</v>
      </c>
      <c r="I3455" s="12" t="s">
        <v>7750</v>
      </c>
      <c r="J3455" s="11" t="s">
        <v>1856</v>
      </c>
      <c r="K3455" s="11" t="s">
        <v>1852</v>
      </c>
      <c r="L3455" s="11" t="s">
        <v>1853</v>
      </c>
      <c r="M3455" s="11" t="s">
        <v>1854</v>
      </c>
      <c r="N3455" s="12"/>
      <c r="O3455" s="11" t="s">
        <v>1858</v>
      </c>
      <c r="P3455" s="56"/>
    </row>
    <row r="3456" spans="1:16" ht="15.75" customHeight="1" x14ac:dyDescent="0.2">
      <c r="A3456" s="48">
        <v>7154</v>
      </c>
      <c r="B3456" s="11" t="s">
        <v>1857</v>
      </c>
      <c r="C3456" s="11" t="s">
        <v>1876</v>
      </c>
      <c r="D3456" s="6" t="s">
        <v>1850</v>
      </c>
      <c r="E3456" s="11" t="s">
        <v>6642</v>
      </c>
      <c r="F3456" s="12" t="s">
        <v>7619</v>
      </c>
      <c r="G3456" s="12" t="s">
        <v>6642</v>
      </c>
      <c r="H3456" s="12" t="s">
        <v>7620</v>
      </c>
      <c r="I3456" s="12" t="s">
        <v>7751</v>
      </c>
      <c r="J3456" s="11" t="s">
        <v>1851</v>
      </c>
      <c r="K3456" s="11" t="s">
        <v>1852</v>
      </c>
      <c r="L3456" s="11" t="s">
        <v>1853</v>
      </c>
      <c r="M3456" s="11" t="s">
        <v>7752</v>
      </c>
      <c r="N3456" s="12"/>
      <c r="O3456" s="11" t="s">
        <v>1860</v>
      </c>
      <c r="P3456" s="56"/>
    </row>
    <row r="3457" spans="1:16" ht="15.75" customHeight="1" x14ac:dyDescent="0.2">
      <c r="A3457" s="48">
        <v>7160</v>
      </c>
      <c r="B3457" s="11" t="s">
        <v>1857</v>
      </c>
      <c r="C3457" s="11" t="s">
        <v>1876</v>
      </c>
      <c r="D3457" s="6" t="s">
        <v>1850</v>
      </c>
      <c r="E3457" s="11" t="s">
        <v>6642</v>
      </c>
      <c r="F3457" s="12" t="s">
        <v>7619</v>
      </c>
      <c r="G3457" s="12" t="s">
        <v>6642</v>
      </c>
      <c r="H3457" s="12" t="s">
        <v>7620</v>
      </c>
      <c r="I3457" s="12" t="s">
        <v>7753</v>
      </c>
      <c r="J3457" s="11" t="s">
        <v>1856</v>
      </c>
      <c r="K3457" s="11" t="s">
        <v>1852</v>
      </c>
      <c r="L3457" s="11" t="s">
        <v>1853</v>
      </c>
      <c r="M3457" s="11" t="s">
        <v>1854</v>
      </c>
      <c r="N3457" s="12"/>
      <c r="O3457" s="11" t="s">
        <v>1859</v>
      </c>
      <c r="P3457" s="56"/>
    </row>
    <row r="3458" spans="1:16" ht="15.75" customHeight="1" x14ac:dyDescent="0.2">
      <c r="A3458" s="48">
        <v>7167</v>
      </c>
      <c r="B3458" s="11" t="s">
        <v>1857</v>
      </c>
      <c r="C3458" s="11" t="s">
        <v>1876</v>
      </c>
      <c r="D3458" s="6" t="s">
        <v>1850</v>
      </c>
      <c r="E3458" s="11" t="s">
        <v>6642</v>
      </c>
      <c r="F3458" s="12" t="s">
        <v>7619</v>
      </c>
      <c r="G3458" s="12" t="s">
        <v>6642</v>
      </c>
      <c r="H3458" s="12" t="s">
        <v>7622</v>
      </c>
      <c r="I3458" s="12" t="s">
        <v>7754</v>
      </c>
      <c r="J3458" s="11" t="s">
        <v>1851</v>
      </c>
      <c r="K3458" s="11" t="s">
        <v>1852</v>
      </c>
      <c r="L3458" s="11" t="s">
        <v>1853</v>
      </c>
      <c r="M3458" s="11" t="s">
        <v>7755</v>
      </c>
      <c r="N3458" s="12"/>
      <c r="O3458" s="11" t="s">
        <v>1860</v>
      </c>
      <c r="P3458" s="56"/>
    </row>
    <row r="3459" spans="1:16" ht="15.75" customHeight="1" x14ac:dyDescent="0.2">
      <c r="A3459" s="48">
        <v>7164</v>
      </c>
      <c r="B3459" s="11" t="s">
        <v>1857</v>
      </c>
      <c r="C3459" s="11" t="s">
        <v>1876</v>
      </c>
      <c r="D3459" s="6" t="s">
        <v>1850</v>
      </c>
      <c r="E3459" s="11" t="s">
        <v>6642</v>
      </c>
      <c r="F3459" s="12" t="s">
        <v>7619</v>
      </c>
      <c r="G3459" s="12" t="s">
        <v>6642</v>
      </c>
      <c r="H3459" s="12" t="s">
        <v>7620</v>
      </c>
      <c r="I3459" s="12" t="s">
        <v>7756</v>
      </c>
      <c r="J3459" s="11" t="s">
        <v>1851</v>
      </c>
      <c r="K3459" s="11" t="s">
        <v>1852</v>
      </c>
      <c r="L3459" s="11" t="s">
        <v>1853</v>
      </c>
      <c r="M3459" s="11" t="s">
        <v>7757</v>
      </c>
      <c r="N3459" s="12"/>
      <c r="O3459" s="11" t="s">
        <v>1860</v>
      </c>
      <c r="P3459" s="56"/>
    </row>
    <row r="3460" spans="1:16" ht="15.75" customHeight="1" x14ac:dyDescent="0.2">
      <c r="A3460" s="49">
        <v>5949</v>
      </c>
      <c r="B3460" s="11" t="s">
        <v>1857</v>
      </c>
      <c r="C3460" s="11" t="s">
        <v>1876</v>
      </c>
      <c r="D3460" s="6" t="s">
        <v>1850</v>
      </c>
      <c r="E3460" s="11" t="s">
        <v>6642</v>
      </c>
      <c r="F3460" s="12" t="s">
        <v>7619</v>
      </c>
      <c r="G3460" s="12" t="s">
        <v>6642</v>
      </c>
      <c r="H3460" s="12" t="s">
        <v>7630</v>
      </c>
      <c r="I3460" s="12" t="s">
        <v>7758</v>
      </c>
      <c r="J3460" s="11" t="s">
        <v>1851</v>
      </c>
      <c r="K3460" s="11" t="s">
        <v>1852</v>
      </c>
      <c r="L3460" s="11" t="s">
        <v>1853</v>
      </c>
      <c r="M3460" s="11" t="s">
        <v>7759</v>
      </c>
      <c r="N3460" s="12"/>
      <c r="O3460" s="11" t="s">
        <v>1860</v>
      </c>
      <c r="P3460" s="56"/>
    </row>
    <row r="3461" spans="1:16" ht="15.75" customHeight="1" x14ac:dyDescent="0.2">
      <c r="A3461" s="48">
        <v>7168</v>
      </c>
      <c r="B3461" s="11" t="s">
        <v>1857</v>
      </c>
      <c r="C3461" s="11" t="s">
        <v>1876</v>
      </c>
      <c r="D3461" s="6" t="s">
        <v>1850</v>
      </c>
      <c r="E3461" s="11" t="s">
        <v>6642</v>
      </c>
      <c r="F3461" s="12" t="s">
        <v>7619</v>
      </c>
      <c r="G3461" s="12" t="s">
        <v>6642</v>
      </c>
      <c r="H3461" s="12" t="s">
        <v>7620</v>
      </c>
      <c r="I3461" s="12" t="s">
        <v>7760</v>
      </c>
      <c r="J3461" s="11" t="s">
        <v>1851</v>
      </c>
      <c r="K3461" s="11" t="s">
        <v>1852</v>
      </c>
      <c r="L3461" s="11" t="s">
        <v>1853</v>
      </c>
      <c r="M3461" s="11" t="s">
        <v>1854</v>
      </c>
      <c r="N3461" s="12"/>
      <c r="O3461" s="11" t="s">
        <v>1858</v>
      </c>
      <c r="P3461" s="56"/>
    </row>
    <row r="3462" spans="1:16" ht="15.75" customHeight="1" x14ac:dyDescent="0.2">
      <c r="A3462" s="49">
        <v>7157</v>
      </c>
      <c r="B3462" s="11" t="s">
        <v>1857</v>
      </c>
      <c r="C3462" s="11" t="s">
        <v>1876</v>
      </c>
      <c r="D3462" s="6" t="s">
        <v>1850</v>
      </c>
      <c r="E3462" s="11" t="s">
        <v>6642</v>
      </c>
      <c r="F3462" s="12" t="s">
        <v>7619</v>
      </c>
      <c r="G3462" s="12" t="s">
        <v>6642</v>
      </c>
      <c r="H3462" s="12" t="s">
        <v>7620</v>
      </c>
      <c r="I3462" s="12" t="s">
        <v>7761</v>
      </c>
      <c r="J3462" s="11" t="s">
        <v>1856</v>
      </c>
      <c r="K3462" s="11" t="s">
        <v>1852</v>
      </c>
      <c r="L3462" s="11" t="s">
        <v>1853</v>
      </c>
      <c r="M3462" s="11" t="s">
        <v>1854</v>
      </c>
      <c r="N3462" s="12"/>
      <c r="O3462" s="11" t="s">
        <v>2307</v>
      </c>
      <c r="P3462" s="56" t="s">
        <v>3343</v>
      </c>
    </row>
    <row r="3463" spans="1:16" ht="15.75" customHeight="1" x14ac:dyDescent="0.2">
      <c r="A3463" s="49">
        <v>5942</v>
      </c>
      <c r="B3463" s="11" t="s">
        <v>1857</v>
      </c>
      <c r="C3463" s="11" t="s">
        <v>1876</v>
      </c>
      <c r="D3463" s="6" t="s">
        <v>1850</v>
      </c>
      <c r="E3463" s="11" t="s">
        <v>6642</v>
      </c>
      <c r="F3463" s="12" t="s">
        <v>7619</v>
      </c>
      <c r="G3463" s="12" t="s">
        <v>6642</v>
      </c>
      <c r="H3463" s="12" t="s">
        <v>7620</v>
      </c>
      <c r="I3463" s="12" t="s">
        <v>7762</v>
      </c>
      <c r="J3463" s="11" t="s">
        <v>1851</v>
      </c>
      <c r="K3463" s="11" t="s">
        <v>1852</v>
      </c>
      <c r="L3463" s="11" t="s">
        <v>1853</v>
      </c>
      <c r="M3463" s="11" t="s">
        <v>1854</v>
      </c>
      <c r="N3463" s="12"/>
      <c r="O3463" s="11" t="s">
        <v>1867</v>
      </c>
      <c r="P3463" s="56"/>
    </row>
    <row r="3464" spans="1:16" ht="15.75" customHeight="1" x14ac:dyDescent="0.2">
      <c r="A3464" s="49">
        <v>5948</v>
      </c>
      <c r="B3464" s="11" t="s">
        <v>1857</v>
      </c>
      <c r="C3464" s="11" t="s">
        <v>1876</v>
      </c>
      <c r="D3464" s="6" t="s">
        <v>1850</v>
      </c>
      <c r="E3464" s="11" t="s">
        <v>6642</v>
      </c>
      <c r="F3464" s="12" t="s">
        <v>7619</v>
      </c>
      <c r="G3464" s="12" t="s">
        <v>6642</v>
      </c>
      <c r="H3464" s="12" t="s">
        <v>7620</v>
      </c>
      <c r="I3464" s="12" t="s">
        <v>7763</v>
      </c>
      <c r="J3464" s="11" t="s">
        <v>1851</v>
      </c>
      <c r="K3464" s="11" t="s">
        <v>1852</v>
      </c>
      <c r="L3464" s="11" t="s">
        <v>1853</v>
      </c>
      <c r="M3464" s="11" t="s">
        <v>1854</v>
      </c>
      <c r="N3464" s="12"/>
      <c r="O3464" s="11" t="s">
        <v>1867</v>
      </c>
      <c r="P3464" s="56" t="s">
        <v>7764</v>
      </c>
    </row>
    <row r="3465" spans="1:16" ht="15.75" customHeight="1" x14ac:dyDescent="0.2">
      <c r="A3465" s="49">
        <v>5946</v>
      </c>
      <c r="B3465" s="11" t="s">
        <v>1857</v>
      </c>
      <c r="C3465" s="11" t="s">
        <v>1876</v>
      </c>
      <c r="D3465" s="6" t="s">
        <v>1850</v>
      </c>
      <c r="E3465" s="11" t="s">
        <v>6642</v>
      </c>
      <c r="F3465" s="12" t="s">
        <v>7619</v>
      </c>
      <c r="G3465" s="12" t="s">
        <v>6642</v>
      </c>
      <c r="H3465" s="12" t="s">
        <v>7620</v>
      </c>
      <c r="I3465" s="12" t="s">
        <v>7765</v>
      </c>
      <c r="J3465" s="11" t="s">
        <v>1851</v>
      </c>
      <c r="K3465" s="11" t="s">
        <v>1852</v>
      </c>
      <c r="L3465" s="11" t="s">
        <v>1853</v>
      </c>
      <c r="M3465" s="11" t="s">
        <v>1854</v>
      </c>
      <c r="N3465" s="12"/>
      <c r="O3465" s="11" t="s">
        <v>1860</v>
      </c>
      <c r="P3465" s="56"/>
    </row>
    <row r="3466" spans="1:16" ht="15.75" customHeight="1" x14ac:dyDescent="0.2">
      <c r="A3466" s="49">
        <v>5939</v>
      </c>
      <c r="B3466" s="11" t="s">
        <v>1857</v>
      </c>
      <c r="C3466" s="11" t="s">
        <v>1876</v>
      </c>
      <c r="D3466" s="6" t="s">
        <v>1850</v>
      </c>
      <c r="E3466" s="11" t="s">
        <v>6642</v>
      </c>
      <c r="F3466" s="12" t="s">
        <v>7619</v>
      </c>
      <c r="G3466" s="12" t="s">
        <v>6642</v>
      </c>
      <c r="H3466" s="12" t="s">
        <v>7620</v>
      </c>
      <c r="I3466" s="12" t="s">
        <v>7766</v>
      </c>
      <c r="J3466" s="11" t="s">
        <v>1851</v>
      </c>
      <c r="K3466" s="11" t="s">
        <v>1852</v>
      </c>
      <c r="L3466" s="11" t="s">
        <v>1853</v>
      </c>
      <c r="M3466" s="11" t="s">
        <v>1854</v>
      </c>
      <c r="N3466" s="12"/>
      <c r="O3466" s="11" t="s">
        <v>1867</v>
      </c>
      <c r="P3466" s="56" t="s">
        <v>1865</v>
      </c>
    </row>
    <row r="3467" spans="1:16" ht="15.75" customHeight="1" x14ac:dyDescent="0.2">
      <c r="A3467" s="49">
        <v>5940</v>
      </c>
      <c r="B3467" s="11" t="s">
        <v>1857</v>
      </c>
      <c r="C3467" s="11" t="s">
        <v>1876</v>
      </c>
      <c r="D3467" s="6" t="s">
        <v>1850</v>
      </c>
      <c r="E3467" s="11" t="s">
        <v>6642</v>
      </c>
      <c r="F3467" s="12" t="s">
        <v>7619</v>
      </c>
      <c r="G3467" s="12" t="s">
        <v>6642</v>
      </c>
      <c r="H3467" s="12" t="s">
        <v>7620</v>
      </c>
      <c r="I3467" s="12" t="s">
        <v>4724</v>
      </c>
      <c r="J3467" s="11" t="s">
        <v>1851</v>
      </c>
      <c r="K3467" s="11" t="s">
        <v>1852</v>
      </c>
      <c r="L3467" s="11" t="s">
        <v>1853</v>
      </c>
      <c r="M3467" s="11" t="s">
        <v>1854</v>
      </c>
      <c r="N3467" s="12"/>
      <c r="O3467" s="11" t="s">
        <v>1860</v>
      </c>
      <c r="P3467" s="56" t="s">
        <v>5203</v>
      </c>
    </row>
    <row r="3468" spans="1:16" ht="15.75" customHeight="1" x14ac:dyDescent="0.2">
      <c r="A3468" s="48">
        <v>7159</v>
      </c>
      <c r="B3468" s="11" t="s">
        <v>1857</v>
      </c>
      <c r="C3468" s="11" t="s">
        <v>1876</v>
      </c>
      <c r="D3468" s="6" t="s">
        <v>1850</v>
      </c>
      <c r="E3468" s="11" t="s">
        <v>6642</v>
      </c>
      <c r="F3468" s="12" t="s">
        <v>7619</v>
      </c>
      <c r="G3468" s="12" t="s">
        <v>6642</v>
      </c>
      <c r="H3468" s="12" t="s">
        <v>7620</v>
      </c>
      <c r="I3468" s="12" t="s">
        <v>7767</v>
      </c>
      <c r="J3468" s="11" t="s">
        <v>1856</v>
      </c>
      <c r="K3468" s="11" t="s">
        <v>1852</v>
      </c>
      <c r="L3468" s="11" t="s">
        <v>1853</v>
      </c>
      <c r="M3468" s="11" t="s">
        <v>1854</v>
      </c>
      <c r="N3468" s="12"/>
      <c r="O3468" s="11" t="s">
        <v>1858</v>
      </c>
      <c r="P3468" s="56"/>
    </row>
    <row r="3469" spans="1:16" ht="15.75" customHeight="1" x14ac:dyDescent="0.2">
      <c r="A3469" s="48">
        <v>5941</v>
      </c>
      <c r="B3469" s="11" t="s">
        <v>1857</v>
      </c>
      <c r="C3469" s="11" t="s">
        <v>1876</v>
      </c>
      <c r="D3469" s="6" t="s">
        <v>1850</v>
      </c>
      <c r="E3469" s="11" t="s">
        <v>6642</v>
      </c>
      <c r="F3469" s="12" t="s">
        <v>7619</v>
      </c>
      <c r="G3469" s="12" t="s">
        <v>6642</v>
      </c>
      <c r="H3469" s="12" t="s">
        <v>7620</v>
      </c>
      <c r="I3469" s="12" t="s">
        <v>7768</v>
      </c>
      <c r="J3469" s="11" t="s">
        <v>1851</v>
      </c>
      <c r="K3469" s="11" t="s">
        <v>1852</v>
      </c>
      <c r="L3469" s="11" t="s">
        <v>1853</v>
      </c>
      <c r="M3469" s="11" t="s">
        <v>1854</v>
      </c>
      <c r="N3469" s="12"/>
      <c r="O3469" s="11" t="s">
        <v>1860</v>
      </c>
      <c r="P3469" s="56" t="s">
        <v>1865</v>
      </c>
    </row>
    <row r="3470" spans="1:16" ht="15.75" customHeight="1" x14ac:dyDescent="0.2">
      <c r="A3470" s="48">
        <v>7161</v>
      </c>
      <c r="B3470" s="11" t="s">
        <v>1857</v>
      </c>
      <c r="C3470" s="11" t="s">
        <v>1876</v>
      </c>
      <c r="D3470" s="6" t="s">
        <v>1850</v>
      </c>
      <c r="E3470" s="11" t="s">
        <v>6642</v>
      </c>
      <c r="F3470" s="12" t="s">
        <v>7619</v>
      </c>
      <c r="G3470" s="12" t="s">
        <v>6642</v>
      </c>
      <c r="H3470" s="12" t="s">
        <v>7620</v>
      </c>
      <c r="I3470" s="12" t="s">
        <v>7769</v>
      </c>
      <c r="J3470" s="11" t="s">
        <v>1851</v>
      </c>
      <c r="K3470" s="11" t="s">
        <v>1852</v>
      </c>
      <c r="L3470" s="11" t="s">
        <v>1853</v>
      </c>
      <c r="M3470" s="11" t="s">
        <v>1854</v>
      </c>
      <c r="N3470" s="12"/>
      <c r="O3470" s="11" t="s">
        <v>1858</v>
      </c>
      <c r="P3470" s="56"/>
    </row>
    <row r="3471" spans="1:16" ht="15.75" customHeight="1" x14ac:dyDescent="0.2">
      <c r="A3471" s="48">
        <v>7158</v>
      </c>
      <c r="B3471" s="11" t="s">
        <v>1857</v>
      </c>
      <c r="C3471" s="11" t="s">
        <v>1876</v>
      </c>
      <c r="D3471" s="6" t="s">
        <v>1850</v>
      </c>
      <c r="E3471" s="11" t="s">
        <v>6642</v>
      </c>
      <c r="F3471" s="12" t="s">
        <v>7619</v>
      </c>
      <c r="G3471" s="12" t="s">
        <v>6642</v>
      </c>
      <c r="H3471" s="12" t="s">
        <v>7620</v>
      </c>
      <c r="I3471" s="12" t="s">
        <v>7770</v>
      </c>
      <c r="J3471" s="11" t="s">
        <v>1851</v>
      </c>
      <c r="K3471" s="11" t="s">
        <v>1852</v>
      </c>
      <c r="L3471" s="11" t="s">
        <v>1853</v>
      </c>
      <c r="M3471" s="11" t="s">
        <v>1854</v>
      </c>
      <c r="N3471" s="12"/>
      <c r="O3471" s="11" t="s">
        <v>1860</v>
      </c>
      <c r="P3471" s="56"/>
    </row>
    <row r="3472" spans="1:16" ht="15.75" customHeight="1" x14ac:dyDescent="0.2">
      <c r="A3472" s="49">
        <v>5937</v>
      </c>
      <c r="B3472" s="11" t="s">
        <v>1857</v>
      </c>
      <c r="C3472" s="11" t="s">
        <v>1876</v>
      </c>
      <c r="D3472" s="6" t="s">
        <v>1850</v>
      </c>
      <c r="E3472" s="11" t="s">
        <v>6642</v>
      </c>
      <c r="F3472" s="12" t="s">
        <v>7619</v>
      </c>
      <c r="G3472" s="12" t="s">
        <v>6642</v>
      </c>
      <c r="H3472" s="12" t="s">
        <v>7626</v>
      </c>
      <c r="I3472" s="12" t="s">
        <v>7771</v>
      </c>
      <c r="J3472" s="11" t="s">
        <v>1856</v>
      </c>
      <c r="K3472" s="11" t="s">
        <v>1852</v>
      </c>
      <c r="L3472" s="11" t="s">
        <v>1853</v>
      </c>
      <c r="M3472" s="11" t="s">
        <v>1854</v>
      </c>
      <c r="N3472" s="12"/>
      <c r="O3472" s="11" t="s">
        <v>1867</v>
      </c>
      <c r="P3472" s="56" t="s">
        <v>3343</v>
      </c>
    </row>
    <row r="3473" spans="1:16" ht="15.75" customHeight="1" x14ac:dyDescent="0.2">
      <c r="A3473" s="49">
        <v>15073</v>
      </c>
      <c r="B3473" s="11" t="s">
        <v>1857</v>
      </c>
      <c r="C3473" s="11" t="s">
        <v>1876</v>
      </c>
      <c r="D3473" s="6" t="s">
        <v>1850</v>
      </c>
      <c r="E3473" s="11" t="s">
        <v>6642</v>
      </c>
      <c r="F3473" s="12" t="s">
        <v>7619</v>
      </c>
      <c r="G3473" s="12" t="s">
        <v>6642</v>
      </c>
      <c r="H3473" s="12" t="s">
        <v>7620</v>
      </c>
      <c r="I3473" s="12" t="s">
        <v>7772</v>
      </c>
      <c r="J3473" s="11" t="s">
        <v>1851</v>
      </c>
      <c r="K3473" s="11" t="s">
        <v>1852</v>
      </c>
      <c r="L3473" s="11" t="s">
        <v>1853</v>
      </c>
      <c r="M3473" s="11" t="s">
        <v>1854</v>
      </c>
      <c r="N3473" s="12"/>
      <c r="O3473" s="11" t="s">
        <v>1867</v>
      </c>
      <c r="P3473" s="56" t="s">
        <v>1865</v>
      </c>
    </row>
    <row r="3474" spans="1:16" ht="15.75" customHeight="1" x14ac:dyDescent="0.2">
      <c r="A3474" s="49">
        <v>5945</v>
      </c>
      <c r="B3474" s="11" t="s">
        <v>1857</v>
      </c>
      <c r="C3474" s="11" t="s">
        <v>1876</v>
      </c>
      <c r="D3474" s="6" t="s">
        <v>1850</v>
      </c>
      <c r="E3474" s="11" t="s">
        <v>6642</v>
      </c>
      <c r="F3474" s="12" t="s">
        <v>7619</v>
      </c>
      <c r="G3474" s="12" t="s">
        <v>6642</v>
      </c>
      <c r="H3474" s="12" t="s">
        <v>7620</v>
      </c>
      <c r="I3474" s="12" t="s">
        <v>7773</v>
      </c>
      <c r="J3474" s="11" t="s">
        <v>1851</v>
      </c>
      <c r="K3474" s="11" t="s">
        <v>1852</v>
      </c>
      <c r="L3474" s="11" t="s">
        <v>1853</v>
      </c>
      <c r="M3474" s="11" t="s">
        <v>1854</v>
      </c>
      <c r="N3474" s="12"/>
      <c r="O3474" s="11" t="s">
        <v>1860</v>
      </c>
      <c r="P3474" s="56" t="s">
        <v>4994</v>
      </c>
    </row>
    <row r="3475" spans="1:16" ht="15.75" customHeight="1" x14ac:dyDescent="0.2">
      <c r="A3475" s="49">
        <v>7170</v>
      </c>
      <c r="B3475" s="11" t="s">
        <v>1857</v>
      </c>
      <c r="C3475" s="11" t="s">
        <v>1876</v>
      </c>
      <c r="D3475" s="6" t="s">
        <v>1850</v>
      </c>
      <c r="E3475" s="11" t="s">
        <v>6642</v>
      </c>
      <c r="F3475" s="12" t="s">
        <v>7619</v>
      </c>
      <c r="G3475" s="12" t="s">
        <v>6642</v>
      </c>
      <c r="H3475" s="12" t="s">
        <v>7620</v>
      </c>
      <c r="I3475" s="12" t="s">
        <v>7774</v>
      </c>
      <c r="J3475" s="11" t="s">
        <v>1851</v>
      </c>
      <c r="K3475" s="11" t="s">
        <v>1852</v>
      </c>
      <c r="L3475" s="11" t="s">
        <v>1853</v>
      </c>
      <c r="M3475" s="11" t="s">
        <v>1854</v>
      </c>
      <c r="N3475" s="12"/>
      <c r="O3475" s="11" t="s">
        <v>2307</v>
      </c>
      <c r="P3475" s="56" t="s">
        <v>7775</v>
      </c>
    </row>
    <row r="3476" spans="1:16" ht="15.75" customHeight="1" x14ac:dyDescent="0.2">
      <c r="A3476" s="48">
        <v>7162</v>
      </c>
      <c r="B3476" s="11" t="s">
        <v>1857</v>
      </c>
      <c r="C3476" s="11" t="s">
        <v>1876</v>
      </c>
      <c r="D3476" s="6" t="s">
        <v>1850</v>
      </c>
      <c r="E3476" s="11" t="s">
        <v>6642</v>
      </c>
      <c r="F3476" s="12" t="s">
        <v>7619</v>
      </c>
      <c r="G3476" s="12" t="s">
        <v>6642</v>
      </c>
      <c r="H3476" s="12" t="s">
        <v>7620</v>
      </c>
      <c r="I3476" s="12" t="s">
        <v>7776</v>
      </c>
      <c r="J3476" s="11" t="s">
        <v>1851</v>
      </c>
      <c r="K3476" s="11" t="s">
        <v>1852</v>
      </c>
      <c r="L3476" s="11" t="s">
        <v>1853</v>
      </c>
      <c r="M3476" s="11" t="s">
        <v>1854</v>
      </c>
      <c r="N3476" s="12"/>
      <c r="O3476" s="11" t="s">
        <v>1858</v>
      </c>
      <c r="P3476" s="56"/>
    </row>
    <row r="3477" spans="1:16" ht="15.75" customHeight="1" x14ac:dyDescent="0.2">
      <c r="A3477" s="49">
        <v>5952</v>
      </c>
      <c r="B3477" s="11" t="s">
        <v>1857</v>
      </c>
      <c r="C3477" s="11" t="s">
        <v>1876</v>
      </c>
      <c r="D3477" s="6" t="s">
        <v>1850</v>
      </c>
      <c r="E3477" s="11" t="s">
        <v>6642</v>
      </c>
      <c r="F3477" s="12" t="s">
        <v>7619</v>
      </c>
      <c r="G3477" s="12" t="s">
        <v>6642</v>
      </c>
      <c r="H3477" s="12" t="s">
        <v>7620</v>
      </c>
      <c r="I3477" s="12" t="s">
        <v>7777</v>
      </c>
      <c r="J3477" s="11" t="s">
        <v>1851</v>
      </c>
      <c r="K3477" s="11" t="s">
        <v>1852</v>
      </c>
      <c r="L3477" s="11" t="s">
        <v>1853</v>
      </c>
      <c r="M3477" s="11" t="s">
        <v>1854</v>
      </c>
      <c r="N3477" s="12"/>
      <c r="O3477" s="11" t="s">
        <v>1867</v>
      </c>
      <c r="P3477" s="56" t="s">
        <v>1865</v>
      </c>
    </row>
    <row r="3478" spans="1:16" ht="15.75" customHeight="1" x14ac:dyDescent="0.2">
      <c r="A3478" s="49">
        <v>7150</v>
      </c>
      <c r="B3478" s="11" t="s">
        <v>1857</v>
      </c>
      <c r="C3478" s="11" t="s">
        <v>1876</v>
      </c>
      <c r="D3478" s="6" t="s">
        <v>1850</v>
      </c>
      <c r="E3478" s="11" t="s">
        <v>6642</v>
      </c>
      <c r="F3478" s="12" t="s">
        <v>7619</v>
      </c>
      <c r="G3478" s="12" t="s">
        <v>6642</v>
      </c>
      <c r="H3478" s="12" t="s">
        <v>7620</v>
      </c>
      <c r="I3478" s="12" t="s">
        <v>7778</v>
      </c>
      <c r="J3478" s="11" t="s">
        <v>1851</v>
      </c>
      <c r="K3478" s="11" t="s">
        <v>1852</v>
      </c>
      <c r="L3478" s="11" t="s">
        <v>1853</v>
      </c>
      <c r="M3478" s="11" t="s">
        <v>1854</v>
      </c>
      <c r="N3478" s="12"/>
      <c r="O3478" s="11" t="s">
        <v>1867</v>
      </c>
      <c r="P3478" s="56" t="s">
        <v>1865</v>
      </c>
    </row>
    <row r="3479" spans="1:16" ht="15.75" customHeight="1" x14ac:dyDescent="0.2">
      <c r="A3479" s="49">
        <v>7460</v>
      </c>
      <c r="B3479" s="11" t="s">
        <v>1857</v>
      </c>
      <c r="C3479" s="11" t="s">
        <v>1876</v>
      </c>
      <c r="D3479" s="6" t="s">
        <v>1850</v>
      </c>
      <c r="E3479" s="11" t="s">
        <v>6642</v>
      </c>
      <c r="F3479" s="12" t="s">
        <v>7619</v>
      </c>
      <c r="G3479" s="12" t="s">
        <v>6642</v>
      </c>
      <c r="H3479" s="12" t="s">
        <v>7622</v>
      </c>
      <c r="I3479" s="12" t="s">
        <v>7779</v>
      </c>
      <c r="J3479" s="11" t="s">
        <v>1851</v>
      </c>
      <c r="K3479" s="11" t="s">
        <v>1852</v>
      </c>
      <c r="L3479" s="11" t="s">
        <v>1853</v>
      </c>
      <c r="M3479" s="11" t="s">
        <v>1854</v>
      </c>
      <c r="N3479" s="12"/>
      <c r="O3479" s="11" t="s">
        <v>1858</v>
      </c>
      <c r="P3479" s="56"/>
    </row>
    <row r="3480" spans="1:16" ht="15.75" customHeight="1" x14ac:dyDescent="0.2">
      <c r="A3480" s="48">
        <v>15676</v>
      </c>
      <c r="B3480" s="11" t="s">
        <v>1871</v>
      </c>
      <c r="C3480" s="11" t="s">
        <v>1876</v>
      </c>
      <c r="D3480" s="6" t="s">
        <v>1850</v>
      </c>
      <c r="E3480" s="11" t="s">
        <v>6642</v>
      </c>
      <c r="F3480" s="12" t="s">
        <v>7619</v>
      </c>
      <c r="G3480" s="12" t="s">
        <v>6642</v>
      </c>
      <c r="H3480" s="12" t="s">
        <v>7630</v>
      </c>
      <c r="I3480" s="12" t="s">
        <v>7780</v>
      </c>
      <c r="J3480" s="11" t="s">
        <v>1851</v>
      </c>
      <c r="K3480" s="11" t="s">
        <v>1852</v>
      </c>
      <c r="L3480" s="11" t="s">
        <v>1853</v>
      </c>
      <c r="M3480" s="11" t="s">
        <v>1854</v>
      </c>
      <c r="N3480" s="12"/>
      <c r="O3480" s="11" t="s">
        <v>1854</v>
      </c>
      <c r="P3480" s="56"/>
    </row>
    <row r="3481" spans="1:16" ht="15.75" customHeight="1" x14ac:dyDescent="0.2">
      <c r="A3481" s="48">
        <v>7165</v>
      </c>
      <c r="B3481" s="11" t="s">
        <v>1871</v>
      </c>
      <c r="C3481" s="11" t="s">
        <v>1876</v>
      </c>
      <c r="D3481" s="6" t="s">
        <v>1850</v>
      </c>
      <c r="E3481" s="11" t="s">
        <v>6642</v>
      </c>
      <c r="F3481" s="12" t="s">
        <v>7619</v>
      </c>
      <c r="G3481" s="12" t="s">
        <v>6642</v>
      </c>
      <c r="H3481" s="12" t="s">
        <v>7626</v>
      </c>
      <c r="I3481" s="12" t="s">
        <v>7781</v>
      </c>
      <c r="J3481" s="11" t="s">
        <v>1851</v>
      </c>
      <c r="K3481" s="11" t="s">
        <v>1852</v>
      </c>
      <c r="L3481" s="11" t="s">
        <v>1853</v>
      </c>
      <c r="M3481" s="11" t="s">
        <v>1854</v>
      </c>
      <c r="N3481" s="12"/>
      <c r="O3481" s="11" t="s">
        <v>1854</v>
      </c>
      <c r="P3481" s="56"/>
    </row>
    <row r="3482" spans="1:16" ht="15.75" customHeight="1" x14ac:dyDescent="0.2">
      <c r="A3482" s="48">
        <v>15908</v>
      </c>
      <c r="B3482" s="11" t="s">
        <v>1871</v>
      </c>
      <c r="C3482" s="11" t="s">
        <v>1876</v>
      </c>
      <c r="D3482" s="6" t="s">
        <v>1850</v>
      </c>
      <c r="E3482" s="11" t="s">
        <v>6642</v>
      </c>
      <c r="F3482" s="12" t="s">
        <v>7619</v>
      </c>
      <c r="G3482" s="12" t="s">
        <v>6642</v>
      </c>
      <c r="H3482" s="12" t="s">
        <v>7626</v>
      </c>
      <c r="I3482" s="12" t="s">
        <v>7782</v>
      </c>
      <c r="J3482" s="11" t="s">
        <v>1851</v>
      </c>
      <c r="K3482" s="11" t="s">
        <v>1852</v>
      </c>
      <c r="L3482" s="11" t="s">
        <v>1853</v>
      </c>
      <c r="M3482" s="11" t="s">
        <v>1854</v>
      </c>
      <c r="N3482" s="12"/>
      <c r="O3482" s="11" t="s">
        <v>1854</v>
      </c>
      <c r="P3482" s="56"/>
    </row>
    <row r="3483" spans="1:16" ht="15.75" customHeight="1" x14ac:dyDescent="0.2">
      <c r="A3483" s="48">
        <v>15906</v>
      </c>
      <c r="B3483" s="11" t="s">
        <v>1871</v>
      </c>
      <c r="C3483" s="11" t="s">
        <v>1876</v>
      </c>
      <c r="D3483" s="6" t="s">
        <v>1850</v>
      </c>
      <c r="E3483" s="11" t="s">
        <v>6642</v>
      </c>
      <c r="F3483" s="12" t="s">
        <v>7619</v>
      </c>
      <c r="G3483" s="12" t="s">
        <v>6642</v>
      </c>
      <c r="H3483" s="12" t="s">
        <v>7620</v>
      </c>
      <c r="I3483" s="12" t="s">
        <v>7774</v>
      </c>
      <c r="J3483" s="11" t="s">
        <v>1851</v>
      </c>
      <c r="K3483" s="11" t="s">
        <v>1852</v>
      </c>
      <c r="L3483" s="11" t="s">
        <v>1853</v>
      </c>
      <c r="M3483" s="11" t="s">
        <v>1854</v>
      </c>
      <c r="N3483" s="12"/>
      <c r="O3483" s="11" t="s">
        <v>1866</v>
      </c>
      <c r="P3483" s="56"/>
    </row>
    <row r="3484" spans="1:16" ht="15.75" customHeight="1" x14ac:dyDescent="0.2">
      <c r="A3484" s="48">
        <v>15907</v>
      </c>
      <c r="B3484" s="11" t="s">
        <v>1871</v>
      </c>
      <c r="C3484" s="11" t="s">
        <v>1876</v>
      </c>
      <c r="D3484" s="6" t="s">
        <v>1850</v>
      </c>
      <c r="E3484" s="11" t="s">
        <v>6642</v>
      </c>
      <c r="F3484" s="12" t="s">
        <v>7619</v>
      </c>
      <c r="G3484" s="12" t="s">
        <v>6642</v>
      </c>
      <c r="H3484" s="12" t="s">
        <v>7620</v>
      </c>
      <c r="I3484" s="12" t="s">
        <v>7783</v>
      </c>
      <c r="J3484" s="11" t="s">
        <v>1851</v>
      </c>
      <c r="K3484" s="11" t="s">
        <v>1852</v>
      </c>
      <c r="L3484" s="11" t="s">
        <v>1853</v>
      </c>
      <c r="M3484" s="11" t="s">
        <v>1854</v>
      </c>
      <c r="N3484" s="12"/>
      <c r="O3484" s="11" t="s">
        <v>1854</v>
      </c>
      <c r="P3484" s="56"/>
    </row>
    <row r="3485" spans="1:16" ht="15.75" customHeight="1" x14ac:dyDescent="0.2">
      <c r="A3485" s="48">
        <v>15488</v>
      </c>
      <c r="B3485" s="11" t="s">
        <v>1848</v>
      </c>
      <c r="C3485" s="11" t="s">
        <v>1849</v>
      </c>
      <c r="D3485" s="6" t="s">
        <v>1850</v>
      </c>
      <c r="E3485" s="12" t="s">
        <v>7784</v>
      </c>
      <c r="F3485" s="12" t="s">
        <v>7785</v>
      </c>
      <c r="G3485" s="12" t="s">
        <v>7786</v>
      </c>
      <c r="H3485" s="12" t="s">
        <v>7787</v>
      </c>
      <c r="I3485" s="12" t="s">
        <v>7788</v>
      </c>
      <c r="J3485" s="11" t="s">
        <v>1851</v>
      </c>
      <c r="K3485" s="11" t="s">
        <v>1852</v>
      </c>
      <c r="L3485" s="11" t="s">
        <v>1853</v>
      </c>
      <c r="M3485" s="11" t="s">
        <v>1854</v>
      </c>
      <c r="N3485" s="12"/>
      <c r="O3485" s="11" t="s">
        <v>1855</v>
      </c>
      <c r="P3485" s="56"/>
    </row>
    <row r="3486" spans="1:16" ht="15.75" customHeight="1" x14ac:dyDescent="0.2">
      <c r="A3486" s="48">
        <v>15448</v>
      </c>
      <c r="B3486" s="11" t="s">
        <v>1848</v>
      </c>
      <c r="C3486" s="11" t="s">
        <v>1849</v>
      </c>
      <c r="D3486" s="6" t="s">
        <v>1850</v>
      </c>
      <c r="E3486" s="12" t="s">
        <v>7784</v>
      </c>
      <c r="F3486" s="12" t="s">
        <v>7785</v>
      </c>
      <c r="G3486" s="12" t="s">
        <v>7789</v>
      </c>
      <c r="H3486" s="12" t="s">
        <v>7790</v>
      </c>
      <c r="I3486" s="12" t="s">
        <v>7791</v>
      </c>
      <c r="J3486" s="11" t="s">
        <v>1851</v>
      </c>
      <c r="K3486" s="11" t="s">
        <v>1852</v>
      </c>
      <c r="L3486" s="11" t="s">
        <v>1853</v>
      </c>
      <c r="M3486" s="11" t="s">
        <v>1854</v>
      </c>
      <c r="N3486" s="12"/>
      <c r="O3486" s="11" t="s">
        <v>1855</v>
      </c>
      <c r="P3486" s="56"/>
    </row>
    <row r="3487" spans="1:16" ht="15.75" customHeight="1" x14ac:dyDescent="0.2">
      <c r="A3487" s="48">
        <v>15281</v>
      </c>
      <c r="B3487" s="11" t="s">
        <v>1848</v>
      </c>
      <c r="C3487" s="11" t="s">
        <v>1849</v>
      </c>
      <c r="D3487" s="6" t="s">
        <v>1850</v>
      </c>
      <c r="E3487" s="12" t="s">
        <v>7784</v>
      </c>
      <c r="F3487" s="12" t="s">
        <v>7785</v>
      </c>
      <c r="G3487" s="12" t="s">
        <v>7786</v>
      </c>
      <c r="H3487" s="12" t="s">
        <v>7787</v>
      </c>
      <c r="I3487" s="12" t="s">
        <v>7792</v>
      </c>
      <c r="J3487" s="11" t="s">
        <v>1851</v>
      </c>
      <c r="K3487" s="11" t="s">
        <v>1852</v>
      </c>
      <c r="L3487" s="11" t="s">
        <v>1853</v>
      </c>
      <c r="M3487" s="11" t="s">
        <v>1854</v>
      </c>
      <c r="N3487" s="12"/>
      <c r="O3487" s="11" t="s">
        <v>1855</v>
      </c>
      <c r="P3487" s="56"/>
    </row>
    <row r="3488" spans="1:16" ht="15.75" customHeight="1" x14ac:dyDescent="0.2">
      <c r="A3488" s="48">
        <v>15944</v>
      </c>
      <c r="B3488" s="11" t="s">
        <v>1848</v>
      </c>
      <c r="C3488" s="11" t="s">
        <v>1849</v>
      </c>
      <c r="D3488" s="6" t="s">
        <v>1850</v>
      </c>
      <c r="E3488" s="12" t="s">
        <v>7784</v>
      </c>
      <c r="F3488" s="12" t="s">
        <v>7785</v>
      </c>
      <c r="G3488" s="12" t="s">
        <v>7789</v>
      </c>
      <c r="H3488" s="12" t="s">
        <v>7793</v>
      </c>
      <c r="I3488" s="12" t="s">
        <v>7794</v>
      </c>
      <c r="J3488" s="11" t="s">
        <v>1856</v>
      </c>
      <c r="K3488" s="11" t="s">
        <v>1852</v>
      </c>
      <c r="L3488" s="11" t="s">
        <v>1853</v>
      </c>
      <c r="M3488" s="11" t="s">
        <v>1854</v>
      </c>
      <c r="N3488" s="12"/>
      <c r="O3488" s="11" t="s">
        <v>1855</v>
      </c>
      <c r="P3488" s="56"/>
    </row>
    <row r="3489" spans="1:16" ht="15.75" customHeight="1" x14ac:dyDescent="0.2">
      <c r="A3489" s="48">
        <v>15277</v>
      </c>
      <c r="B3489" s="11" t="s">
        <v>1848</v>
      </c>
      <c r="C3489" s="11" t="s">
        <v>1849</v>
      </c>
      <c r="D3489" s="6" t="s">
        <v>1850</v>
      </c>
      <c r="E3489" s="12" t="s">
        <v>7784</v>
      </c>
      <c r="F3489" s="12" t="s">
        <v>7785</v>
      </c>
      <c r="G3489" s="12" t="s">
        <v>7786</v>
      </c>
      <c r="H3489" s="12" t="s">
        <v>3567</v>
      </c>
      <c r="I3489" s="12" t="s">
        <v>7795</v>
      </c>
      <c r="J3489" s="11" t="s">
        <v>1856</v>
      </c>
      <c r="K3489" s="11" t="s">
        <v>1852</v>
      </c>
      <c r="L3489" s="11" t="s">
        <v>1853</v>
      </c>
      <c r="M3489" s="11" t="s">
        <v>1854</v>
      </c>
      <c r="N3489" s="12"/>
      <c r="O3489" s="11" t="s">
        <v>1855</v>
      </c>
      <c r="P3489" s="56"/>
    </row>
    <row r="3490" spans="1:16" ht="15.75" customHeight="1" x14ac:dyDescent="0.2">
      <c r="A3490" s="48">
        <v>15292</v>
      </c>
      <c r="B3490" s="11" t="s">
        <v>1848</v>
      </c>
      <c r="C3490" s="11" t="s">
        <v>1849</v>
      </c>
      <c r="D3490" s="6" t="s">
        <v>1850</v>
      </c>
      <c r="E3490" s="12" t="s">
        <v>7784</v>
      </c>
      <c r="F3490" s="12" t="s">
        <v>7785</v>
      </c>
      <c r="G3490" s="12" t="s">
        <v>7786</v>
      </c>
      <c r="H3490" s="12" t="s">
        <v>7796</v>
      </c>
      <c r="I3490" s="12" t="s">
        <v>7797</v>
      </c>
      <c r="J3490" s="11" t="s">
        <v>1851</v>
      </c>
      <c r="K3490" s="11" t="s">
        <v>1852</v>
      </c>
      <c r="L3490" s="11" t="s">
        <v>1853</v>
      </c>
      <c r="M3490" s="11" t="s">
        <v>1854</v>
      </c>
      <c r="N3490" s="12"/>
      <c r="O3490" s="11" t="s">
        <v>1855</v>
      </c>
      <c r="P3490" s="56"/>
    </row>
    <row r="3491" spans="1:16" ht="15.75" customHeight="1" x14ac:dyDescent="0.2">
      <c r="A3491" s="48">
        <v>6820</v>
      </c>
      <c r="B3491" s="11" t="s">
        <v>2240</v>
      </c>
      <c r="C3491" s="11" t="s">
        <v>1849</v>
      </c>
      <c r="D3491" s="6" t="s">
        <v>1850</v>
      </c>
      <c r="E3491" s="12" t="s">
        <v>7784</v>
      </c>
      <c r="F3491" s="12" t="s">
        <v>7785</v>
      </c>
      <c r="G3491" s="12" t="s">
        <v>7786</v>
      </c>
      <c r="H3491" s="12" t="s">
        <v>7798</v>
      </c>
      <c r="I3491" s="12" t="s">
        <v>7799</v>
      </c>
      <c r="J3491" s="11" t="s">
        <v>1851</v>
      </c>
      <c r="K3491" s="11" t="s">
        <v>1852</v>
      </c>
      <c r="L3491" s="11" t="s">
        <v>1853</v>
      </c>
      <c r="M3491" s="11" t="s">
        <v>1854</v>
      </c>
      <c r="N3491" s="12"/>
      <c r="O3491" s="11" t="s">
        <v>1855</v>
      </c>
      <c r="P3491" s="56"/>
    </row>
    <row r="3492" spans="1:16" ht="15.75" customHeight="1" x14ac:dyDescent="0.2">
      <c r="A3492" s="49">
        <v>3370</v>
      </c>
      <c r="B3492" s="11" t="s">
        <v>2240</v>
      </c>
      <c r="C3492" s="11" t="s">
        <v>1849</v>
      </c>
      <c r="D3492" s="6" t="s">
        <v>1850</v>
      </c>
      <c r="E3492" s="12" t="s">
        <v>7784</v>
      </c>
      <c r="F3492" s="12" t="s">
        <v>7785</v>
      </c>
      <c r="G3492" s="12" t="s">
        <v>7786</v>
      </c>
      <c r="H3492" s="12" t="s">
        <v>7798</v>
      </c>
      <c r="I3492" s="12" t="s">
        <v>7800</v>
      </c>
      <c r="J3492" s="11" t="s">
        <v>1851</v>
      </c>
      <c r="K3492" s="11" t="s">
        <v>1852</v>
      </c>
      <c r="L3492" s="11" t="s">
        <v>1853</v>
      </c>
      <c r="M3492" s="11" t="s">
        <v>1854</v>
      </c>
      <c r="N3492" s="12"/>
      <c r="O3492" s="11" t="s">
        <v>1855</v>
      </c>
      <c r="P3492" s="56"/>
    </row>
    <row r="3493" spans="1:16" ht="15.75" customHeight="1" x14ac:dyDescent="0.2">
      <c r="A3493" s="49">
        <v>3368</v>
      </c>
      <c r="B3493" s="11" t="s">
        <v>2240</v>
      </c>
      <c r="C3493" s="11" t="s">
        <v>1849</v>
      </c>
      <c r="D3493" s="6" t="s">
        <v>1850</v>
      </c>
      <c r="E3493" s="12" t="s">
        <v>7784</v>
      </c>
      <c r="F3493" s="12" t="s">
        <v>7785</v>
      </c>
      <c r="G3493" s="12" t="s">
        <v>7786</v>
      </c>
      <c r="H3493" s="12" t="s">
        <v>7798</v>
      </c>
      <c r="I3493" s="12" t="s">
        <v>7801</v>
      </c>
      <c r="J3493" s="11" t="s">
        <v>1851</v>
      </c>
      <c r="K3493" s="11" t="s">
        <v>1852</v>
      </c>
      <c r="L3493" s="11" t="s">
        <v>1853</v>
      </c>
      <c r="M3493" s="11" t="s">
        <v>1854</v>
      </c>
      <c r="N3493" s="12"/>
      <c r="O3493" s="11" t="s">
        <v>1855</v>
      </c>
      <c r="P3493" s="56"/>
    </row>
    <row r="3494" spans="1:16" ht="15.75" customHeight="1" x14ac:dyDescent="0.2">
      <c r="A3494" s="49">
        <v>3149</v>
      </c>
      <c r="B3494" s="11" t="s">
        <v>1857</v>
      </c>
      <c r="C3494" s="11" t="s">
        <v>1849</v>
      </c>
      <c r="D3494" s="6" t="s">
        <v>1850</v>
      </c>
      <c r="E3494" s="12" t="s">
        <v>7784</v>
      </c>
      <c r="F3494" s="12" t="s">
        <v>7785</v>
      </c>
      <c r="G3494" s="12" t="s">
        <v>7802</v>
      </c>
      <c r="H3494" s="12" t="s">
        <v>7803</v>
      </c>
      <c r="I3494" s="12" t="s">
        <v>7804</v>
      </c>
      <c r="J3494" s="11" t="s">
        <v>1856</v>
      </c>
      <c r="K3494" s="11" t="s">
        <v>1852</v>
      </c>
      <c r="L3494" s="11" t="s">
        <v>1853</v>
      </c>
      <c r="M3494" s="11" t="s">
        <v>6858</v>
      </c>
      <c r="N3494" s="12" t="s">
        <v>7805</v>
      </c>
      <c r="O3494" s="11" t="s">
        <v>1859</v>
      </c>
      <c r="P3494" s="56"/>
    </row>
    <row r="3495" spans="1:16" ht="15.75" customHeight="1" x14ac:dyDescent="0.2">
      <c r="A3495" s="49">
        <v>3169</v>
      </c>
      <c r="B3495" s="11" t="s">
        <v>1857</v>
      </c>
      <c r="C3495" s="11" t="s">
        <v>1849</v>
      </c>
      <c r="D3495" s="6" t="s">
        <v>1850</v>
      </c>
      <c r="E3495" s="12" t="s">
        <v>7784</v>
      </c>
      <c r="F3495" s="12" t="s">
        <v>7785</v>
      </c>
      <c r="G3495" s="12" t="s">
        <v>7802</v>
      </c>
      <c r="H3495" s="12" t="s">
        <v>2728</v>
      </c>
      <c r="I3495" s="12" t="s">
        <v>7806</v>
      </c>
      <c r="J3495" s="11" t="s">
        <v>1856</v>
      </c>
      <c r="K3495" s="11" t="s">
        <v>1852</v>
      </c>
      <c r="L3495" s="11" t="s">
        <v>1853</v>
      </c>
      <c r="M3495" s="11" t="s">
        <v>1854</v>
      </c>
      <c r="N3495" s="12"/>
      <c r="O3495" s="11" t="s">
        <v>1858</v>
      </c>
      <c r="P3495" s="56"/>
    </row>
    <row r="3496" spans="1:16" ht="15.75" customHeight="1" x14ac:dyDescent="0.2">
      <c r="A3496" s="49">
        <v>3131</v>
      </c>
      <c r="B3496" s="11" t="s">
        <v>1857</v>
      </c>
      <c r="C3496" s="11" t="s">
        <v>1849</v>
      </c>
      <c r="D3496" s="6" t="s">
        <v>1850</v>
      </c>
      <c r="E3496" s="12" t="s">
        <v>7784</v>
      </c>
      <c r="F3496" s="12" t="s">
        <v>7785</v>
      </c>
      <c r="G3496" s="12" t="s">
        <v>7802</v>
      </c>
      <c r="H3496" s="12" t="s">
        <v>5715</v>
      </c>
      <c r="I3496" s="12" t="s">
        <v>3269</v>
      </c>
      <c r="J3496" s="11" t="s">
        <v>1856</v>
      </c>
      <c r="K3496" s="11" t="s">
        <v>1852</v>
      </c>
      <c r="L3496" s="11" t="s">
        <v>1853</v>
      </c>
      <c r="M3496" s="11" t="s">
        <v>1854</v>
      </c>
      <c r="N3496" s="12"/>
      <c r="O3496" s="11" t="s">
        <v>1859</v>
      </c>
      <c r="P3496" s="56"/>
    </row>
    <row r="3497" spans="1:16" ht="15.75" customHeight="1" x14ac:dyDescent="0.2">
      <c r="A3497" s="49">
        <v>3430</v>
      </c>
      <c r="B3497" s="11" t="s">
        <v>1857</v>
      </c>
      <c r="C3497" s="11" t="s">
        <v>1849</v>
      </c>
      <c r="D3497" s="6" t="s">
        <v>1850</v>
      </c>
      <c r="E3497" s="12" t="s">
        <v>7784</v>
      </c>
      <c r="F3497" s="12" t="s">
        <v>7785</v>
      </c>
      <c r="G3497" s="12" t="s">
        <v>7786</v>
      </c>
      <c r="H3497" s="12" t="s">
        <v>7807</v>
      </c>
      <c r="I3497" s="12" t="s">
        <v>7808</v>
      </c>
      <c r="J3497" s="11" t="s">
        <v>1851</v>
      </c>
      <c r="K3497" s="11" t="s">
        <v>1852</v>
      </c>
      <c r="L3497" s="11" t="s">
        <v>1853</v>
      </c>
      <c r="M3497" s="11" t="s">
        <v>7809</v>
      </c>
      <c r="N3497" s="12" t="s">
        <v>7810</v>
      </c>
      <c r="O3497" s="11" t="s">
        <v>1867</v>
      </c>
      <c r="P3497" s="56"/>
    </row>
    <row r="3498" spans="1:16" ht="15.75" customHeight="1" x14ac:dyDescent="0.2">
      <c r="A3498" s="49">
        <v>3445</v>
      </c>
      <c r="B3498" s="11" t="s">
        <v>1857</v>
      </c>
      <c r="C3498" s="11" t="s">
        <v>1849</v>
      </c>
      <c r="D3498" s="6" t="s">
        <v>1850</v>
      </c>
      <c r="E3498" s="12" t="s">
        <v>7784</v>
      </c>
      <c r="F3498" s="12" t="s">
        <v>7785</v>
      </c>
      <c r="G3498" s="12" t="s">
        <v>7786</v>
      </c>
      <c r="H3498" s="12" t="s">
        <v>5168</v>
      </c>
      <c r="I3498" s="12" t="s">
        <v>7811</v>
      </c>
      <c r="J3498" s="11" t="s">
        <v>1856</v>
      </c>
      <c r="K3498" s="11" t="s">
        <v>1852</v>
      </c>
      <c r="L3498" s="11" t="s">
        <v>1853</v>
      </c>
      <c r="M3498" s="11" t="s">
        <v>7812</v>
      </c>
      <c r="N3498" s="12" t="s">
        <v>7813</v>
      </c>
      <c r="O3498" s="11" t="s">
        <v>1858</v>
      </c>
      <c r="P3498" s="56"/>
    </row>
    <row r="3499" spans="1:16" ht="15.75" customHeight="1" x14ac:dyDescent="0.2">
      <c r="A3499" s="49">
        <v>3116</v>
      </c>
      <c r="B3499" s="11" t="s">
        <v>1857</v>
      </c>
      <c r="C3499" s="11" t="s">
        <v>1849</v>
      </c>
      <c r="D3499" s="6" t="s">
        <v>1850</v>
      </c>
      <c r="E3499" s="12" t="s">
        <v>7784</v>
      </c>
      <c r="F3499" s="12" t="s">
        <v>7785</v>
      </c>
      <c r="G3499" s="12" t="s">
        <v>7802</v>
      </c>
      <c r="H3499" s="12" t="s">
        <v>2728</v>
      </c>
      <c r="I3499" s="12" t="s">
        <v>7814</v>
      </c>
      <c r="J3499" s="11" t="s">
        <v>1856</v>
      </c>
      <c r="K3499" s="11" t="s">
        <v>1852</v>
      </c>
      <c r="L3499" s="11" t="s">
        <v>1853</v>
      </c>
      <c r="M3499" s="11" t="s">
        <v>1854</v>
      </c>
      <c r="N3499" s="12"/>
      <c r="O3499" s="11" t="s">
        <v>1858</v>
      </c>
      <c r="P3499" s="56"/>
    </row>
    <row r="3500" spans="1:16" ht="15.75" customHeight="1" x14ac:dyDescent="0.2">
      <c r="A3500" s="49">
        <v>3404</v>
      </c>
      <c r="B3500" s="11" t="s">
        <v>1857</v>
      </c>
      <c r="C3500" s="11" t="s">
        <v>1849</v>
      </c>
      <c r="D3500" s="6" t="s">
        <v>1850</v>
      </c>
      <c r="E3500" s="12" t="s">
        <v>7784</v>
      </c>
      <c r="F3500" s="12" t="s">
        <v>7785</v>
      </c>
      <c r="G3500" s="12" t="s">
        <v>7786</v>
      </c>
      <c r="H3500" s="12" t="s">
        <v>7815</v>
      </c>
      <c r="I3500" s="12" t="s">
        <v>7816</v>
      </c>
      <c r="J3500" s="11" t="s">
        <v>1856</v>
      </c>
      <c r="K3500" s="11" t="s">
        <v>1852</v>
      </c>
      <c r="L3500" s="11" t="s">
        <v>1853</v>
      </c>
      <c r="M3500" s="11" t="s">
        <v>7817</v>
      </c>
      <c r="N3500" s="12" t="s">
        <v>7818</v>
      </c>
      <c r="O3500" s="11" t="s">
        <v>1860</v>
      </c>
      <c r="P3500" s="56"/>
    </row>
    <row r="3501" spans="1:16" ht="15.75" customHeight="1" x14ac:dyDescent="0.2">
      <c r="A3501" s="49">
        <v>3143</v>
      </c>
      <c r="B3501" s="11" t="s">
        <v>1857</v>
      </c>
      <c r="C3501" s="11" t="s">
        <v>1849</v>
      </c>
      <c r="D3501" s="6" t="s">
        <v>1850</v>
      </c>
      <c r="E3501" s="12" t="s">
        <v>7784</v>
      </c>
      <c r="F3501" s="12" t="s">
        <v>7785</v>
      </c>
      <c r="G3501" s="12" t="s">
        <v>7802</v>
      </c>
      <c r="H3501" s="12" t="s">
        <v>5715</v>
      </c>
      <c r="I3501" s="12" t="s">
        <v>4323</v>
      </c>
      <c r="J3501" s="11" t="s">
        <v>1856</v>
      </c>
      <c r="K3501" s="11" t="s">
        <v>1852</v>
      </c>
      <c r="L3501" s="11" t="s">
        <v>1853</v>
      </c>
      <c r="M3501" s="11" t="s">
        <v>6913</v>
      </c>
      <c r="N3501" s="12" t="s">
        <v>7819</v>
      </c>
      <c r="O3501" s="11" t="s">
        <v>2334</v>
      </c>
      <c r="P3501" s="56" t="s">
        <v>1863</v>
      </c>
    </row>
    <row r="3502" spans="1:16" ht="15.75" customHeight="1" x14ac:dyDescent="0.2">
      <c r="A3502" s="49">
        <v>3474</v>
      </c>
      <c r="B3502" s="11" t="s">
        <v>1857</v>
      </c>
      <c r="C3502" s="11" t="s">
        <v>1849</v>
      </c>
      <c r="D3502" s="6" t="s">
        <v>1850</v>
      </c>
      <c r="E3502" s="12" t="s">
        <v>7784</v>
      </c>
      <c r="F3502" s="12" t="s">
        <v>7785</v>
      </c>
      <c r="G3502" s="12" t="s">
        <v>7786</v>
      </c>
      <c r="H3502" s="12" t="s">
        <v>3533</v>
      </c>
      <c r="I3502" s="12" t="s">
        <v>2875</v>
      </c>
      <c r="J3502" s="11" t="s">
        <v>1856</v>
      </c>
      <c r="K3502" s="11" t="s">
        <v>1852</v>
      </c>
      <c r="L3502" s="11" t="s">
        <v>1853</v>
      </c>
      <c r="M3502" s="11" t="s">
        <v>7820</v>
      </c>
      <c r="N3502" s="12" t="s">
        <v>7821</v>
      </c>
      <c r="O3502" s="11" t="s">
        <v>1858</v>
      </c>
      <c r="P3502" s="56"/>
    </row>
    <row r="3503" spans="1:16" ht="15.75" customHeight="1" x14ac:dyDescent="0.2">
      <c r="A3503" s="49">
        <v>3426</v>
      </c>
      <c r="B3503" s="11" t="s">
        <v>1857</v>
      </c>
      <c r="C3503" s="11" t="s">
        <v>1849</v>
      </c>
      <c r="D3503" s="6" t="s">
        <v>1850</v>
      </c>
      <c r="E3503" s="12" t="s">
        <v>7784</v>
      </c>
      <c r="F3503" s="12" t="s">
        <v>7785</v>
      </c>
      <c r="G3503" s="12" t="s">
        <v>7786</v>
      </c>
      <c r="H3503" s="12" t="s">
        <v>3567</v>
      </c>
      <c r="I3503" s="12" t="s">
        <v>7822</v>
      </c>
      <c r="J3503" s="11" t="s">
        <v>1851</v>
      </c>
      <c r="K3503" s="11" t="s">
        <v>1852</v>
      </c>
      <c r="L3503" s="11" t="s">
        <v>1853</v>
      </c>
      <c r="M3503" s="11" t="s">
        <v>7823</v>
      </c>
      <c r="N3503" s="12"/>
      <c r="O3503" s="11" t="s">
        <v>1860</v>
      </c>
      <c r="P3503" s="56"/>
    </row>
    <row r="3504" spans="1:16" ht="15.75" customHeight="1" x14ac:dyDescent="0.2">
      <c r="A3504" s="49">
        <v>3026</v>
      </c>
      <c r="B3504" s="11" t="s">
        <v>1857</v>
      </c>
      <c r="C3504" s="11" t="s">
        <v>1849</v>
      </c>
      <c r="D3504" s="6" t="s">
        <v>1850</v>
      </c>
      <c r="E3504" s="12" t="s">
        <v>7784</v>
      </c>
      <c r="F3504" s="12" t="s">
        <v>7785</v>
      </c>
      <c r="G3504" s="12" t="s">
        <v>7789</v>
      </c>
      <c r="H3504" s="12" t="s">
        <v>7824</v>
      </c>
      <c r="I3504" s="12" t="s">
        <v>1316</v>
      </c>
      <c r="J3504" s="11" t="s">
        <v>1856</v>
      </c>
      <c r="K3504" s="11" t="s">
        <v>1852</v>
      </c>
      <c r="L3504" s="11" t="s">
        <v>1853</v>
      </c>
      <c r="M3504" s="11" t="s">
        <v>7685</v>
      </c>
      <c r="N3504" s="12" t="s">
        <v>7825</v>
      </c>
      <c r="O3504" s="11" t="s">
        <v>1860</v>
      </c>
      <c r="P3504" s="56"/>
    </row>
    <row r="3505" spans="1:16" ht="15.75" customHeight="1" x14ac:dyDescent="0.2">
      <c r="A3505" s="49">
        <v>3111</v>
      </c>
      <c r="B3505" s="11" t="s">
        <v>1857</v>
      </c>
      <c r="C3505" s="11" t="s">
        <v>1849</v>
      </c>
      <c r="D3505" s="6" t="s">
        <v>1850</v>
      </c>
      <c r="E3505" s="12" t="s">
        <v>7784</v>
      </c>
      <c r="F3505" s="12" t="s">
        <v>7785</v>
      </c>
      <c r="G3505" s="12" t="s">
        <v>7802</v>
      </c>
      <c r="H3505" s="12" t="s">
        <v>7826</v>
      </c>
      <c r="I3505" s="12" t="s">
        <v>7827</v>
      </c>
      <c r="J3505" s="11" t="s">
        <v>1856</v>
      </c>
      <c r="K3505" s="11" t="s">
        <v>1852</v>
      </c>
      <c r="L3505" s="11" t="s">
        <v>1853</v>
      </c>
      <c r="M3505" s="11" t="s">
        <v>7828</v>
      </c>
      <c r="N3505" s="12" t="s">
        <v>7829</v>
      </c>
      <c r="O3505" s="11" t="s">
        <v>1858</v>
      </c>
      <c r="P3505" s="56"/>
    </row>
    <row r="3506" spans="1:16" ht="15.75" customHeight="1" x14ac:dyDescent="0.2">
      <c r="A3506" s="49">
        <v>3054</v>
      </c>
      <c r="B3506" s="11" t="s">
        <v>1857</v>
      </c>
      <c r="C3506" s="11" t="s">
        <v>1849</v>
      </c>
      <c r="D3506" s="6" t="s">
        <v>1850</v>
      </c>
      <c r="E3506" s="12" t="s">
        <v>7784</v>
      </c>
      <c r="F3506" s="12" t="s">
        <v>7785</v>
      </c>
      <c r="G3506" s="12" t="s">
        <v>7789</v>
      </c>
      <c r="H3506" s="12" t="s">
        <v>7830</v>
      </c>
      <c r="I3506" s="12" t="s">
        <v>7831</v>
      </c>
      <c r="J3506" s="11" t="s">
        <v>1851</v>
      </c>
      <c r="K3506" s="11" t="s">
        <v>1852</v>
      </c>
      <c r="L3506" s="11" t="s">
        <v>1853</v>
      </c>
      <c r="M3506" s="11" t="s">
        <v>7520</v>
      </c>
      <c r="N3506" s="12" t="s">
        <v>7832</v>
      </c>
      <c r="O3506" s="11" t="s">
        <v>1860</v>
      </c>
      <c r="P3506" s="56"/>
    </row>
    <row r="3507" spans="1:16" ht="15.75" customHeight="1" x14ac:dyDescent="0.2">
      <c r="A3507" s="49">
        <v>3095</v>
      </c>
      <c r="B3507" s="11" t="s">
        <v>1857</v>
      </c>
      <c r="C3507" s="11" t="s">
        <v>1849</v>
      </c>
      <c r="D3507" s="6" t="s">
        <v>1850</v>
      </c>
      <c r="E3507" s="12" t="s">
        <v>7784</v>
      </c>
      <c r="F3507" s="12" t="s">
        <v>7785</v>
      </c>
      <c r="G3507" s="12" t="s">
        <v>7802</v>
      </c>
      <c r="H3507" s="12" t="s">
        <v>7833</v>
      </c>
      <c r="I3507" s="12" t="s">
        <v>7834</v>
      </c>
      <c r="J3507" s="11" t="s">
        <v>1856</v>
      </c>
      <c r="K3507" s="11" t="s">
        <v>1852</v>
      </c>
      <c r="L3507" s="11" t="s">
        <v>1853</v>
      </c>
      <c r="M3507" s="11" t="s">
        <v>6039</v>
      </c>
      <c r="N3507" s="12"/>
      <c r="O3507" s="11" t="s">
        <v>2587</v>
      </c>
      <c r="P3507" s="56" t="s">
        <v>4665</v>
      </c>
    </row>
    <row r="3508" spans="1:16" ht="15.75" customHeight="1" x14ac:dyDescent="0.2">
      <c r="A3508" s="49">
        <v>3057</v>
      </c>
      <c r="B3508" s="11" t="s">
        <v>1857</v>
      </c>
      <c r="C3508" s="11" t="s">
        <v>1849</v>
      </c>
      <c r="D3508" s="6" t="s">
        <v>1850</v>
      </c>
      <c r="E3508" s="12" t="s">
        <v>7784</v>
      </c>
      <c r="F3508" s="12" t="s">
        <v>7785</v>
      </c>
      <c r="G3508" s="12" t="s">
        <v>7789</v>
      </c>
      <c r="H3508" s="12" t="s">
        <v>7830</v>
      </c>
      <c r="I3508" s="12" t="s">
        <v>7835</v>
      </c>
      <c r="J3508" s="11" t="s">
        <v>1851</v>
      </c>
      <c r="K3508" s="11" t="s">
        <v>1852</v>
      </c>
      <c r="L3508" s="11" t="s">
        <v>1853</v>
      </c>
      <c r="M3508" s="11" t="s">
        <v>7836</v>
      </c>
      <c r="N3508" s="12" t="s">
        <v>2281</v>
      </c>
      <c r="O3508" s="11" t="s">
        <v>1860</v>
      </c>
      <c r="P3508" s="56"/>
    </row>
    <row r="3509" spans="1:16" ht="15.75" customHeight="1" x14ac:dyDescent="0.2">
      <c r="A3509" s="49">
        <v>3438</v>
      </c>
      <c r="B3509" s="11" t="s">
        <v>1857</v>
      </c>
      <c r="C3509" s="11" t="s">
        <v>1849</v>
      </c>
      <c r="D3509" s="6" t="s">
        <v>1850</v>
      </c>
      <c r="E3509" s="12" t="s">
        <v>7784</v>
      </c>
      <c r="F3509" s="12" t="s">
        <v>7785</v>
      </c>
      <c r="G3509" s="12" t="s">
        <v>7786</v>
      </c>
      <c r="H3509" s="12" t="s">
        <v>7807</v>
      </c>
      <c r="I3509" s="12" t="s">
        <v>7837</v>
      </c>
      <c r="J3509" s="11" t="s">
        <v>1851</v>
      </c>
      <c r="K3509" s="11" t="s">
        <v>1852</v>
      </c>
      <c r="L3509" s="11" t="s">
        <v>1853</v>
      </c>
      <c r="M3509" s="11" t="s">
        <v>7838</v>
      </c>
      <c r="N3509" s="12" t="s">
        <v>7839</v>
      </c>
      <c r="O3509" s="11" t="s">
        <v>1858</v>
      </c>
      <c r="P3509" s="56"/>
    </row>
    <row r="3510" spans="1:16" ht="15.75" customHeight="1" x14ac:dyDescent="0.2">
      <c r="A3510" s="49">
        <v>7303</v>
      </c>
      <c r="B3510" s="11" t="s">
        <v>1857</v>
      </c>
      <c r="C3510" s="11" t="s">
        <v>1849</v>
      </c>
      <c r="D3510" s="6" t="s">
        <v>1850</v>
      </c>
      <c r="E3510" s="12" t="s">
        <v>7784</v>
      </c>
      <c r="F3510" s="12" t="s">
        <v>7785</v>
      </c>
      <c r="G3510" s="12" t="s">
        <v>7789</v>
      </c>
      <c r="H3510" s="12" t="s">
        <v>7830</v>
      </c>
      <c r="I3510" s="12" t="s">
        <v>7840</v>
      </c>
      <c r="J3510" s="11" t="s">
        <v>1851</v>
      </c>
      <c r="K3510" s="11" t="s">
        <v>1852</v>
      </c>
      <c r="L3510" s="11" t="s">
        <v>1853</v>
      </c>
      <c r="M3510" s="11" t="s">
        <v>1854</v>
      </c>
      <c r="N3510" s="12"/>
      <c r="O3510" s="11" t="s">
        <v>1858</v>
      </c>
      <c r="P3510" s="56"/>
    </row>
    <row r="3511" spans="1:16" ht="15.75" customHeight="1" x14ac:dyDescent="0.2">
      <c r="A3511" s="49">
        <v>3159</v>
      </c>
      <c r="B3511" s="11" t="s">
        <v>1857</v>
      </c>
      <c r="C3511" s="11" t="s">
        <v>1849</v>
      </c>
      <c r="D3511" s="6" t="s">
        <v>1850</v>
      </c>
      <c r="E3511" s="12" t="s">
        <v>7784</v>
      </c>
      <c r="F3511" s="12" t="s">
        <v>7785</v>
      </c>
      <c r="G3511" s="12" t="s">
        <v>7802</v>
      </c>
      <c r="H3511" s="12" t="s">
        <v>7841</v>
      </c>
      <c r="I3511" s="12" t="s">
        <v>7842</v>
      </c>
      <c r="J3511" s="11" t="s">
        <v>1856</v>
      </c>
      <c r="K3511" s="11" t="s">
        <v>1852</v>
      </c>
      <c r="L3511" s="11" t="s">
        <v>1853</v>
      </c>
      <c r="M3511" s="11" t="s">
        <v>7843</v>
      </c>
      <c r="N3511" s="12" t="s">
        <v>7844</v>
      </c>
      <c r="O3511" s="11" t="s">
        <v>1858</v>
      </c>
      <c r="P3511" s="56"/>
    </row>
    <row r="3512" spans="1:16" ht="15.75" customHeight="1" x14ac:dyDescent="0.2">
      <c r="A3512" s="49">
        <v>3461</v>
      </c>
      <c r="B3512" s="11" t="s">
        <v>1857</v>
      </c>
      <c r="C3512" s="11" t="s">
        <v>1849</v>
      </c>
      <c r="D3512" s="6" t="s">
        <v>1850</v>
      </c>
      <c r="E3512" s="12" t="s">
        <v>7784</v>
      </c>
      <c r="F3512" s="12" t="s">
        <v>7785</v>
      </c>
      <c r="G3512" s="12" t="s">
        <v>7786</v>
      </c>
      <c r="H3512" s="12" t="s">
        <v>7845</v>
      </c>
      <c r="I3512" s="12" t="s">
        <v>7846</v>
      </c>
      <c r="J3512" s="11" t="s">
        <v>1856</v>
      </c>
      <c r="K3512" s="11" t="s">
        <v>1852</v>
      </c>
      <c r="L3512" s="11" t="s">
        <v>1853</v>
      </c>
      <c r="M3512" s="11" t="s">
        <v>6885</v>
      </c>
      <c r="N3512" s="12" t="s">
        <v>7847</v>
      </c>
      <c r="O3512" s="11" t="s">
        <v>1859</v>
      </c>
      <c r="P3512" s="56"/>
    </row>
    <row r="3513" spans="1:16" ht="15.75" customHeight="1" x14ac:dyDescent="0.2">
      <c r="A3513" s="49">
        <v>6824</v>
      </c>
      <c r="B3513" s="11" t="s">
        <v>1857</v>
      </c>
      <c r="C3513" s="11" t="s">
        <v>1849</v>
      </c>
      <c r="D3513" s="6" t="s">
        <v>1850</v>
      </c>
      <c r="E3513" s="12" t="s">
        <v>7784</v>
      </c>
      <c r="F3513" s="12" t="s">
        <v>7785</v>
      </c>
      <c r="G3513" s="12" t="s">
        <v>7786</v>
      </c>
      <c r="H3513" s="12" t="s">
        <v>7848</v>
      </c>
      <c r="I3513" s="12" t="s">
        <v>7849</v>
      </c>
      <c r="J3513" s="11" t="s">
        <v>1851</v>
      </c>
      <c r="K3513" s="11" t="s">
        <v>1852</v>
      </c>
      <c r="L3513" s="11" t="s">
        <v>1853</v>
      </c>
      <c r="M3513" s="11" t="s">
        <v>1861</v>
      </c>
      <c r="N3513" s="12" t="s">
        <v>7850</v>
      </c>
      <c r="O3513" s="11" t="s">
        <v>1867</v>
      </c>
      <c r="P3513" s="56" t="s">
        <v>2184</v>
      </c>
    </row>
    <row r="3514" spans="1:16" ht="15.75" customHeight="1" x14ac:dyDescent="0.2">
      <c r="A3514" s="49">
        <v>3048</v>
      </c>
      <c r="B3514" s="11" t="s">
        <v>1857</v>
      </c>
      <c r="C3514" s="11" t="s">
        <v>1849</v>
      </c>
      <c r="D3514" s="6" t="s">
        <v>1850</v>
      </c>
      <c r="E3514" s="12" t="s">
        <v>7784</v>
      </c>
      <c r="F3514" s="12" t="s">
        <v>7785</v>
      </c>
      <c r="G3514" s="12" t="s">
        <v>7789</v>
      </c>
      <c r="H3514" s="12" t="s">
        <v>7790</v>
      </c>
      <c r="I3514" s="12" t="s">
        <v>7851</v>
      </c>
      <c r="J3514" s="11" t="s">
        <v>1851</v>
      </c>
      <c r="K3514" s="11" t="s">
        <v>1852</v>
      </c>
      <c r="L3514" s="11" t="s">
        <v>1853</v>
      </c>
      <c r="M3514" s="11" t="s">
        <v>7836</v>
      </c>
      <c r="N3514" s="12" t="s">
        <v>2281</v>
      </c>
      <c r="O3514" s="11" t="s">
        <v>1858</v>
      </c>
      <c r="P3514" s="56"/>
    </row>
    <row r="3515" spans="1:16" ht="15.75" customHeight="1" x14ac:dyDescent="0.2">
      <c r="A3515" s="49">
        <v>3025</v>
      </c>
      <c r="B3515" s="11" t="s">
        <v>1857</v>
      </c>
      <c r="C3515" s="11" t="s">
        <v>1849</v>
      </c>
      <c r="D3515" s="6" t="s">
        <v>1850</v>
      </c>
      <c r="E3515" s="12" t="s">
        <v>7784</v>
      </c>
      <c r="F3515" s="12" t="s">
        <v>7785</v>
      </c>
      <c r="G3515" s="12" t="s">
        <v>7789</v>
      </c>
      <c r="H3515" s="12" t="s">
        <v>7852</v>
      </c>
      <c r="I3515" s="12" t="s">
        <v>7853</v>
      </c>
      <c r="J3515" s="11" t="s">
        <v>1851</v>
      </c>
      <c r="K3515" s="11" t="s">
        <v>1852</v>
      </c>
      <c r="L3515" s="11" t="s">
        <v>1853</v>
      </c>
      <c r="M3515" s="11" t="s">
        <v>1861</v>
      </c>
      <c r="N3515" s="12"/>
      <c r="O3515" s="11" t="s">
        <v>1858</v>
      </c>
      <c r="P3515" s="56"/>
    </row>
    <row r="3516" spans="1:16" ht="15.75" customHeight="1" x14ac:dyDescent="0.2">
      <c r="A3516" s="49">
        <v>5266</v>
      </c>
      <c r="B3516" s="11" t="s">
        <v>1857</v>
      </c>
      <c r="C3516" s="11" t="s">
        <v>1849</v>
      </c>
      <c r="D3516" s="6" t="s">
        <v>1850</v>
      </c>
      <c r="E3516" s="12" t="s">
        <v>7784</v>
      </c>
      <c r="F3516" s="12" t="s">
        <v>7785</v>
      </c>
      <c r="G3516" s="12" t="s">
        <v>7789</v>
      </c>
      <c r="H3516" s="12" t="s">
        <v>7852</v>
      </c>
      <c r="I3516" s="12" t="s">
        <v>7854</v>
      </c>
      <c r="J3516" s="11" t="s">
        <v>1851</v>
      </c>
      <c r="K3516" s="11" t="s">
        <v>1852</v>
      </c>
      <c r="L3516" s="11" t="s">
        <v>1853</v>
      </c>
      <c r="M3516" s="11" t="s">
        <v>7855</v>
      </c>
      <c r="N3516" s="12" t="s">
        <v>7856</v>
      </c>
      <c r="O3516" s="11" t="s">
        <v>1860</v>
      </c>
      <c r="P3516" s="56"/>
    </row>
    <row r="3517" spans="1:16" ht="15.75" customHeight="1" x14ac:dyDescent="0.2">
      <c r="A3517" s="49">
        <v>6826</v>
      </c>
      <c r="B3517" s="11" t="s">
        <v>1857</v>
      </c>
      <c r="C3517" s="11" t="s">
        <v>1849</v>
      </c>
      <c r="D3517" s="6" t="s">
        <v>1850</v>
      </c>
      <c r="E3517" s="12" t="s">
        <v>7784</v>
      </c>
      <c r="F3517" s="12" t="s">
        <v>7785</v>
      </c>
      <c r="G3517" s="12" t="s">
        <v>7789</v>
      </c>
      <c r="H3517" s="12" t="s">
        <v>7852</v>
      </c>
      <c r="I3517" s="12" t="s">
        <v>7857</v>
      </c>
      <c r="J3517" s="11" t="s">
        <v>1851</v>
      </c>
      <c r="K3517" s="11" t="s">
        <v>1852</v>
      </c>
      <c r="L3517" s="11" t="s">
        <v>1853</v>
      </c>
      <c r="M3517" s="11" t="s">
        <v>7858</v>
      </c>
      <c r="N3517" s="12" t="s">
        <v>2281</v>
      </c>
      <c r="O3517" s="11" t="s">
        <v>1859</v>
      </c>
      <c r="P3517" s="56"/>
    </row>
    <row r="3518" spans="1:16" ht="15.75" customHeight="1" x14ac:dyDescent="0.2">
      <c r="A3518" s="49">
        <v>3084</v>
      </c>
      <c r="B3518" s="11" t="s">
        <v>1857</v>
      </c>
      <c r="C3518" s="11" t="s">
        <v>1849</v>
      </c>
      <c r="D3518" s="6" t="s">
        <v>1850</v>
      </c>
      <c r="E3518" s="12" t="s">
        <v>7784</v>
      </c>
      <c r="F3518" s="12" t="s">
        <v>7785</v>
      </c>
      <c r="G3518" s="12" t="s">
        <v>7802</v>
      </c>
      <c r="H3518" s="12" t="s">
        <v>7859</v>
      </c>
      <c r="I3518" s="12" t="s">
        <v>7860</v>
      </c>
      <c r="J3518" s="11" t="s">
        <v>1856</v>
      </c>
      <c r="K3518" s="11" t="s">
        <v>1852</v>
      </c>
      <c r="L3518" s="11" t="s">
        <v>1853</v>
      </c>
      <c r="M3518" s="11" t="s">
        <v>6799</v>
      </c>
      <c r="N3518" s="12" t="s">
        <v>7861</v>
      </c>
      <c r="O3518" s="11" t="s">
        <v>1859</v>
      </c>
      <c r="P3518" s="56"/>
    </row>
    <row r="3519" spans="1:16" ht="15.75" customHeight="1" x14ac:dyDescent="0.2">
      <c r="A3519" s="49">
        <v>2981</v>
      </c>
      <c r="B3519" s="11" t="s">
        <v>1857</v>
      </c>
      <c r="C3519" s="11" t="s">
        <v>1849</v>
      </c>
      <c r="D3519" s="6" t="s">
        <v>1850</v>
      </c>
      <c r="E3519" s="12" t="s">
        <v>7784</v>
      </c>
      <c r="F3519" s="12" t="s">
        <v>7785</v>
      </c>
      <c r="G3519" s="12" t="s">
        <v>7789</v>
      </c>
      <c r="H3519" s="12" t="s">
        <v>7824</v>
      </c>
      <c r="I3519" s="12" t="s">
        <v>7862</v>
      </c>
      <c r="J3519" s="11" t="s">
        <v>1851</v>
      </c>
      <c r="K3519" s="11" t="s">
        <v>1852</v>
      </c>
      <c r="L3519" s="11" t="s">
        <v>1853</v>
      </c>
      <c r="M3519" s="11" t="s">
        <v>7863</v>
      </c>
      <c r="N3519" s="12" t="s">
        <v>7864</v>
      </c>
      <c r="O3519" s="11" t="s">
        <v>1860</v>
      </c>
      <c r="P3519" s="56"/>
    </row>
    <row r="3520" spans="1:16" ht="15.75" customHeight="1" x14ac:dyDescent="0.2">
      <c r="A3520" s="49">
        <v>3037</v>
      </c>
      <c r="B3520" s="11" t="s">
        <v>1857</v>
      </c>
      <c r="C3520" s="11" t="s">
        <v>1849</v>
      </c>
      <c r="D3520" s="6" t="s">
        <v>1850</v>
      </c>
      <c r="E3520" s="12" t="s">
        <v>7784</v>
      </c>
      <c r="F3520" s="12" t="s">
        <v>7785</v>
      </c>
      <c r="G3520" s="12" t="s">
        <v>7789</v>
      </c>
      <c r="H3520" s="12" t="s">
        <v>7865</v>
      </c>
      <c r="I3520" s="12" t="s">
        <v>7866</v>
      </c>
      <c r="J3520" s="11" t="s">
        <v>1851</v>
      </c>
      <c r="K3520" s="11" t="s">
        <v>1852</v>
      </c>
      <c r="L3520" s="11" t="s">
        <v>1853</v>
      </c>
      <c r="M3520" s="11" t="s">
        <v>4326</v>
      </c>
      <c r="N3520" s="12" t="s">
        <v>7867</v>
      </c>
      <c r="O3520" s="11" t="s">
        <v>1860</v>
      </c>
      <c r="P3520" s="56"/>
    </row>
    <row r="3521" spans="1:16" ht="15.75" customHeight="1" x14ac:dyDescent="0.2">
      <c r="A3521" s="49">
        <v>3970</v>
      </c>
      <c r="B3521" s="11" t="s">
        <v>1857</v>
      </c>
      <c r="C3521" s="11" t="s">
        <v>1849</v>
      </c>
      <c r="D3521" s="6" t="s">
        <v>1850</v>
      </c>
      <c r="E3521" s="12" t="s">
        <v>7784</v>
      </c>
      <c r="F3521" s="12" t="s">
        <v>7785</v>
      </c>
      <c r="G3521" s="12" t="s">
        <v>2723</v>
      </c>
      <c r="H3521" s="12" t="s">
        <v>7868</v>
      </c>
      <c r="I3521" s="12" t="s">
        <v>7869</v>
      </c>
      <c r="J3521" s="11" t="s">
        <v>1856</v>
      </c>
      <c r="K3521" s="11" t="s">
        <v>1852</v>
      </c>
      <c r="L3521" s="11" t="s">
        <v>1853</v>
      </c>
      <c r="M3521" s="11" t="s">
        <v>1854</v>
      </c>
      <c r="N3521" s="12"/>
      <c r="O3521" s="11" t="s">
        <v>1860</v>
      </c>
      <c r="P3521" s="56"/>
    </row>
    <row r="3522" spans="1:16" ht="15.75" customHeight="1" x14ac:dyDescent="0.2">
      <c r="A3522" s="49">
        <v>3099</v>
      </c>
      <c r="B3522" s="11" t="s">
        <v>1857</v>
      </c>
      <c r="C3522" s="11" t="s">
        <v>1849</v>
      </c>
      <c r="D3522" s="6" t="s">
        <v>1850</v>
      </c>
      <c r="E3522" s="12" t="s">
        <v>7784</v>
      </c>
      <c r="F3522" s="12" t="s">
        <v>7785</v>
      </c>
      <c r="G3522" s="12" t="s">
        <v>7802</v>
      </c>
      <c r="H3522" s="12" t="s">
        <v>7870</v>
      </c>
      <c r="I3522" s="12" t="s">
        <v>7871</v>
      </c>
      <c r="J3522" s="11" t="s">
        <v>1856</v>
      </c>
      <c r="K3522" s="11" t="s">
        <v>1852</v>
      </c>
      <c r="L3522" s="11" t="s">
        <v>1853</v>
      </c>
      <c r="M3522" s="11" t="s">
        <v>7402</v>
      </c>
      <c r="N3522" s="12" t="s">
        <v>7872</v>
      </c>
      <c r="O3522" s="11" t="s">
        <v>1860</v>
      </c>
      <c r="P3522" s="56"/>
    </row>
    <row r="3523" spans="1:16" ht="15.75" customHeight="1" x14ac:dyDescent="0.2">
      <c r="A3523" s="49">
        <v>6773</v>
      </c>
      <c r="B3523" s="11" t="s">
        <v>1857</v>
      </c>
      <c r="C3523" s="11" t="s">
        <v>1849</v>
      </c>
      <c r="D3523" s="6" t="s">
        <v>1850</v>
      </c>
      <c r="E3523" s="12" t="s">
        <v>7784</v>
      </c>
      <c r="F3523" s="12" t="s">
        <v>7785</v>
      </c>
      <c r="G3523" s="12" t="s">
        <v>7789</v>
      </c>
      <c r="H3523" s="12" t="s">
        <v>7790</v>
      </c>
      <c r="I3523" s="12" t="s">
        <v>7873</v>
      </c>
      <c r="J3523" s="11" t="s">
        <v>1851</v>
      </c>
      <c r="K3523" s="11" t="s">
        <v>1852</v>
      </c>
      <c r="L3523" s="11" t="s">
        <v>1853</v>
      </c>
      <c r="M3523" s="11" t="s">
        <v>4326</v>
      </c>
      <c r="N3523" s="12" t="s">
        <v>7874</v>
      </c>
      <c r="O3523" s="11" t="s">
        <v>1872</v>
      </c>
      <c r="P3523" s="56"/>
    </row>
    <row r="3524" spans="1:16" ht="15.75" customHeight="1" x14ac:dyDescent="0.2">
      <c r="A3524" s="49">
        <v>2982</v>
      </c>
      <c r="B3524" s="11" t="s">
        <v>1857</v>
      </c>
      <c r="C3524" s="11" t="s">
        <v>1849</v>
      </c>
      <c r="D3524" s="6" t="s">
        <v>1850</v>
      </c>
      <c r="E3524" s="12" t="s">
        <v>7784</v>
      </c>
      <c r="F3524" s="12" t="s">
        <v>7785</v>
      </c>
      <c r="G3524" s="12" t="s">
        <v>7789</v>
      </c>
      <c r="H3524" s="12" t="s">
        <v>7789</v>
      </c>
      <c r="I3524" s="12" t="s">
        <v>7875</v>
      </c>
      <c r="J3524" s="11" t="s">
        <v>1851</v>
      </c>
      <c r="K3524" s="11" t="s">
        <v>1852</v>
      </c>
      <c r="L3524" s="11" t="s">
        <v>1853</v>
      </c>
      <c r="M3524" s="11" t="s">
        <v>7876</v>
      </c>
      <c r="N3524" s="12" t="s">
        <v>7877</v>
      </c>
      <c r="O3524" s="11" t="s">
        <v>1860</v>
      </c>
      <c r="P3524" s="56"/>
    </row>
    <row r="3525" spans="1:16" ht="15.75" customHeight="1" x14ac:dyDescent="0.2">
      <c r="A3525" s="49">
        <v>3191</v>
      </c>
      <c r="B3525" s="11" t="s">
        <v>1857</v>
      </c>
      <c r="C3525" s="11" t="s">
        <v>1849</v>
      </c>
      <c r="D3525" s="6" t="s">
        <v>1850</v>
      </c>
      <c r="E3525" s="12" t="s">
        <v>7784</v>
      </c>
      <c r="F3525" s="12" t="s">
        <v>7785</v>
      </c>
      <c r="G3525" s="12" t="s">
        <v>7878</v>
      </c>
      <c r="H3525" s="12" t="s">
        <v>7879</v>
      </c>
      <c r="I3525" s="12" t="s">
        <v>7880</v>
      </c>
      <c r="J3525" s="11" t="s">
        <v>1856</v>
      </c>
      <c r="K3525" s="11" t="s">
        <v>1852</v>
      </c>
      <c r="L3525" s="11" t="s">
        <v>1853</v>
      </c>
      <c r="M3525" s="11" t="s">
        <v>7881</v>
      </c>
      <c r="N3525" s="12" t="s">
        <v>7882</v>
      </c>
      <c r="O3525" s="11" t="s">
        <v>1858</v>
      </c>
      <c r="P3525" s="56"/>
    </row>
    <row r="3526" spans="1:16" ht="15.75" customHeight="1" x14ac:dyDescent="0.2">
      <c r="A3526" s="49">
        <v>3447</v>
      </c>
      <c r="B3526" s="11" t="s">
        <v>1857</v>
      </c>
      <c r="C3526" s="11" t="s">
        <v>1849</v>
      </c>
      <c r="D3526" s="6" t="s">
        <v>1850</v>
      </c>
      <c r="E3526" s="12" t="s">
        <v>7784</v>
      </c>
      <c r="F3526" s="12" t="s">
        <v>7785</v>
      </c>
      <c r="G3526" s="12" t="s">
        <v>7786</v>
      </c>
      <c r="H3526" s="12" t="s">
        <v>7883</v>
      </c>
      <c r="I3526" s="12" t="s">
        <v>7884</v>
      </c>
      <c r="J3526" s="11" t="s">
        <v>1856</v>
      </c>
      <c r="K3526" s="11" t="s">
        <v>1852</v>
      </c>
      <c r="L3526" s="11" t="s">
        <v>1853</v>
      </c>
      <c r="M3526" s="11" t="s">
        <v>1854</v>
      </c>
      <c r="N3526" s="12"/>
      <c r="O3526" s="11" t="s">
        <v>1858</v>
      </c>
      <c r="P3526" s="56"/>
    </row>
    <row r="3527" spans="1:16" ht="15.75" customHeight="1" x14ac:dyDescent="0.2">
      <c r="A3527" s="49">
        <v>3050</v>
      </c>
      <c r="B3527" s="11" t="s">
        <v>1857</v>
      </c>
      <c r="C3527" s="11" t="s">
        <v>1849</v>
      </c>
      <c r="D3527" s="6" t="s">
        <v>1850</v>
      </c>
      <c r="E3527" s="12" t="s">
        <v>7784</v>
      </c>
      <c r="F3527" s="12" t="s">
        <v>7785</v>
      </c>
      <c r="G3527" s="12" t="s">
        <v>7789</v>
      </c>
      <c r="H3527" s="12" t="s">
        <v>7790</v>
      </c>
      <c r="I3527" s="12" t="s">
        <v>7885</v>
      </c>
      <c r="J3527" s="11" t="s">
        <v>1851</v>
      </c>
      <c r="K3527" s="11" t="s">
        <v>1852</v>
      </c>
      <c r="L3527" s="11" t="s">
        <v>1853</v>
      </c>
      <c r="M3527" s="11" t="s">
        <v>7520</v>
      </c>
      <c r="N3527" s="12" t="s">
        <v>7886</v>
      </c>
      <c r="O3527" s="11" t="s">
        <v>1858</v>
      </c>
      <c r="P3527" s="56"/>
    </row>
    <row r="3528" spans="1:16" ht="15.75" customHeight="1" x14ac:dyDescent="0.2">
      <c r="A3528" s="49">
        <v>2990</v>
      </c>
      <c r="B3528" s="11" t="s">
        <v>1857</v>
      </c>
      <c r="C3528" s="11" t="s">
        <v>1849</v>
      </c>
      <c r="D3528" s="6" t="s">
        <v>1850</v>
      </c>
      <c r="E3528" s="12" t="s">
        <v>7784</v>
      </c>
      <c r="F3528" s="12" t="s">
        <v>7785</v>
      </c>
      <c r="G3528" s="12" t="s">
        <v>7789</v>
      </c>
      <c r="H3528" s="12" t="s">
        <v>7789</v>
      </c>
      <c r="I3528" s="12" t="s">
        <v>7887</v>
      </c>
      <c r="J3528" s="11" t="s">
        <v>1851</v>
      </c>
      <c r="K3528" s="11" t="s">
        <v>1852</v>
      </c>
      <c r="L3528" s="11" t="s">
        <v>1853</v>
      </c>
      <c r="M3528" s="11" t="s">
        <v>7888</v>
      </c>
      <c r="N3528" s="12" t="s">
        <v>7889</v>
      </c>
      <c r="O3528" s="11" t="s">
        <v>2412</v>
      </c>
      <c r="P3528" s="56" t="s">
        <v>7890</v>
      </c>
    </row>
    <row r="3529" spans="1:16" ht="15.75" customHeight="1" x14ac:dyDescent="0.2">
      <c r="A3529" s="49">
        <v>3165</v>
      </c>
      <c r="B3529" s="11" t="s">
        <v>1857</v>
      </c>
      <c r="C3529" s="11" t="s">
        <v>1849</v>
      </c>
      <c r="D3529" s="6" t="s">
        <v>1850</v>
      </c>
      <c r="E3529" s="12" t="s">
        <v>7784</v>
      </c>
      <c r="F3529" s="12" t="s">
        <v>7785</v>
      </c>
      <c r="G3529" s="12" t="s">
        <v>7802</v>
      </c>
      <c r="H3529" s="12" t="s">
        <v>7891</v>
      </c>
      <c r="I3529" s="12" t="s">
        <v>7892</v>
      </c>
      <c r="J3529" s="11" t="s">
        <v>1851</v>
      </c>
      <c r="K3529" s="11" t="s">
        <v>1852</v>
      </c>
      <c r="L3529" s="11" t="s">
        <v>1853</v>
      </c>
      <c r="M3529" s="11" t="s">
        <v>7893</v>
      </c>
      <c r="N3529" s="12" t="s">
        <v>7894</v>
      </c>
      <c r="O3529" s="11" t="s">
        <v>1858</v>
      </c>
      <c r="P3529" s="56"/>
    </row>
    <row r="3530" spans="1:16" ht="15.75" customHeight="1" x14ac:dyDescent="0.2">
      <c r="A3530" s="49">
        <v>3106</v>
      </c>
      <c r="B3530" s="11" t="s">
        <v>1857</v>
      </c>
      <c r="C3530" s="11" t="s">
        <v>1849</v>
      </c>
      <c r="D3530" s="6" t="s">
        <v>1850</v>
      </c>
      <c r="E3530" s="12" t="s">
        <v>7784</v>
      </c>
      <c r="F3530" s="12" t="s">
        <v>7785</v>
      </c>
      <c r="G3530" s="12" t="s">
        <v>7802</v>
      </c>
      <c r="H3530" s="12" t="s">
        <v>7870</v>
      </c>
      <c r="I3530" s="12" t="s">
        <v>7895</v>
      </c>
      <c r="J3530" s="11" t="s">
        <v>1856</v>
      </c>
      <c r="K3530" s="11" t="s">
        <v>1852</v>
      </c>
      <c r="L3530" s="11" t="s">
        <v>1853</v>
      </c>
      <c r="M3530" s="11" t="s">
        <v>6887</v>
      </c>
      <c r="N3530" s="12" t="s">
        <v>7896</v>
      </c>
      <c r="O3530" s="11" t="s">
        <v>1859</v>
      </c>
      <c r="P3530" s="56"/>
    </row>
    <row r="3531" spans="1:16" ht="15.75" customHeight="1" x14ac:dyDescent="0.2">
      <c r="A3531" s="49">
        <v>3417</v>
      </c>
      <c r="B3531" s="11" t="s">
        <v>1857</v>
      </c>
      <c r="C3531" s="11" t="s">
        <v>1849</v>
      </c>
      <c r="D3531" s="6" t="s">
        <v>1850</v>
      </c>
      <c r="E3531" s="12" t="s">
        <v>7784</v>
      </c>
      <c r="F3531" s="12" t="s">
        <v>7785</v>
      </c>
      <c r="G3531" s="12" t="s">
        <v>7786</v>
      </c>
      <c r="H3531" s="12" t="s">
        <v>7897</v>
      </c>
      <c r="I3531" s="12" t="s">
        <v>7898</v>
      </c>
      <c r="J3531" s="11" t="s">
        <v>1851</v>
      </c>
      <c r="K3531" s="11" t="s">
        <v>1852</v>
      </c>
      <c r="L3531" s="11" t="s">
        <v>1853</v>
      </c>
      <c r="M3531" s="11" t="s">
        <v>1854</v>
      </c>
      <c r="N3531" s="12"/>
      <c r="O3531" s="11" t="s">
        <v>1860</v>
      </c>
      <c r="P3531" s="56"/>
    </row>
    <row r="3532" spans="1:16" ht="15.75" customHeight="1" x14ac:dyDescent="0.2">
      <c r="A3532" s="49">
        <v>3136</v>
      </c>
      <c r="B3532" s="11" t="s">
        <v>1857</v>
      </c>
      <c r="C3532" s="11" t="s">
        <v>1849</v>
      </c>
      <c r="D3532" s="6" t="s">
        <v>1850</v>
      </c>
      <c r="E3532" s="12" t="s">
        <v>7784</v>
      </c>
      <c r="F3532" s="12" t="s">
        <v>7785</v>
      </c>
      <c r="G3532" s="12" t="s">
        <v>7802</v>
      </c>
      <c r="H3532" s="12" t="s">
        <v>5715</v>
      </c>
      <c r="I3532" s="12" t="s">
        <v>7899</v>
      </c>
      <c r="J3532" s="11" t="s">
        <v>1856</v>
      </c>
      <c r="K3532" s="11" t="s">
        <v>1852</v>
      </c>
      <c r="L3532" s="11" t="s">
        <v>1853</v>
      </c>
      <c r="M3532" s="11" t="s">
        <v>2407</v>
      </c>
      <c r="N3532" s="12" t="s">
        <v>7900</v>
      </c>
      <c r="O3532" s="11" t="s">
        <v>2307</v>
      </c>
      <c r="P3532" s="56" t="s">
        <v>7764</v>
      </c>
    </row>
    <row r="3533" spans="1:16" ht="15.75" customHeight="1" x14ac:dyDescent="0.2">
      <c r="A3533" s="49">
        <v>4985</v>
      </c>
      <c r="B3533" s="11" t="s">
        <v>1857</v>
      </c>
      <c r="C3533" s="11" t="s">
        <v>1849</v>
      </c>
      <c r="D3533" s="6" t="s">
        <v>1850</v>
      </c>
      <c r="E3533" s="12" t="s">
        <v>7784</v>
      </c>
      <c r="F3533" s="12" t="s">
        <v>7785</v>
      </c>
      <c r="G3533" s="12" t="s">
        <v>7802</v>
      </c>
      <c r="H3533" s="12" t="s">
        <v>7826</v>
      </c>
      <c r="I3533" s="12" t="s">
        <v>7901</v>
      </c>
      <c r="J3533" s="11" t="s">
        <v>1856</v>
      </c>
      <c r="K3533" s="11" t="s">
        <v>1852</v>
      </c>
      <c r="L3533" s="11" t="s">
        <v>1853</v>
      </c>
      <c r="M3533" s="11" t="s">
        <v>1854</v>
      </c>
      <c r="N3533" s="12"/>
      <c r="O3533" s="11" t="s">
        <v>1858</v>
      </c>
      <c r="P3533" s="56"/>
    </row>
    <row r="3534" spans="1:16" ht="15.75" customHeight="1" x14ac:dyDescent="0.2">
      <c r="A3534" s="49">
        <v>3151</v>
      </c>
      <c r="B3534" s="11" t="s">
        <v>1857</v>
      </c>
      <c r="C3534" s="11" t="s">
        <v>1849</v>
      </c>
      <c r="D3534" s="6" t="s">
        <v>1850</v>
      </c>
      <c r="E3534" s="12" t="s">
        <v>7784</v>
      </c>
      <c r="F3534" s="12" t="s">
        <v>7785</v>
      </c>
      <c r="G3534" s="12" t="s">
        <v>7802</v>
      </c>
      <c r="H3534" s="12" t="s">
        <v>7803</v>
      </c>
      <c r="I3534" s="12" t="s">
        <v>7902</v>
      </c>
      <c r="J3534" s="11" t="s">
        <v>1856</v>
      </c>
      <c r="K3534" s="11" t="s">
        <v>1852</v>
      </c>
      <c r="L3534" s="11" t="s">
        <v>1853</v>
      </c>
      <c r="M3534" s="11" t="s">
        <v>7486</v>
      </c>
      <c r="N3534" s="12" t="s">
        <v>7903</v>
      </c>
      <c r="O3534" s="11" t="s">
        <v>1858</v>
      </c>
      <c r="P3534" s="56"/>
    </row>
    <row r="3535" spans="1:16" ht="15.75" customHeight="1" x14ac:dyDescent="0.2">
      <c r="A3535" s="49">
        <v>3950</v>
      </c>
      <c r="B3535" s="11" t="s">
        <v>1857</v>
      </c>
      <c r="C3535" s="11" t="s">
        <v>1849</v>
      </c>
      <c r="D3535" s="6" t="s">
        <v>1850</v>
      </c>
      <c r="E3535" s="12" t="s">
        <v>7784</v>
      </c>
      <c r="F3535" s="12" t="s">
        <v>7785</v>
      </c>
      <c r="G3535" s="12" t="s">
        <v>2723</v>
      </c>
      <c r="H3535" s="12" t="s">
        <v>7904</v>
      </c>
      <c r="I3535" s="12" t="s">
        <v>7905</v>
      </c>
      <c r="J3535" s="11" t="s">
        <v>1856</v>
      </c>
      <c r="K3535" s="11" t="s">
        <v>1852</v>
      </c>
      <c r="L3535" s="11" t="s">
        <v>1853</v>
      </c>
      <c r="M3535" s="11" t="s">
        <v>1854</v>
      </c>
      <c r="N3535" s="12"/>
      <c r="O3535" s="11" t="s">
        <v>1858</v>
      </c>
      <c r="P3535" s="56"/>
    </row>
    <row r="3536" spans="1:16" ht="15.75" customHeight="1" x14ac:dyDescent="0.2">
      <c r="A3536" s="49">
        <v>3194</v>
      </c>
      <c r="B3536" s="11" t="s">
        <v>1857</v>
      </c>
      <c r="C3536" s="11" t="s">
        <v>1849</v>
      </c>
      <c r="D3536" s="6" t="s">
        <v>1850</v>
      </c>
      <c r="E3536" s="12" t="s">
        <v>7784</v>
      </c>
      <c r="F3536" s="12" t="s">
        <v>7785</v>
      </c>
      <c r="G3536" s="12" t="s">
        <v>7878</v>
      </c>
      <c r="H3536" s="12" t="s">
        <v>7906</v>
      </c>
      <c r="I3536" s="12" t="s">
        <v>5645</v>
      </c>
      <c r="J3536" s="11" t="s">
        <v>1856</v>
      </c>
      <c r="K3536" s="11" t="s">
        <v>1852</v>
      </c>
      <c r="L3536" s="11" t="s">
        <v>1853</v>
      </c>
      <c r="M3536" s="11" t="s">
        <v>7486</v>
      </c>
      <c r="N3536" s="12" t="s">
        <v>7907</v>
      </c>
      <c r="O3536" s="11" t="s">
        <v>1860</v>
      </c>
      <c r="P3536" s="56"/>
    </row>
    <row r="3537" spans="1:16" ht="15.75" customHeight="1" x14ac:dyDescent="0.2">
      <c r="A3537" s="49">
        <v>3958</v>
      </c>
      <c r="B3537" s="11" t="s">
        <v>1857</v>
      </c>
      <c r="C3537" s="11" t="s">
        <v>1849</v>
      </c>
      <c r="D3537" s="6" t="s">
        <v>1850</v>
      </c>
      <c r="E3537" s="12" t="s">
        <v>7784</v>
      </c>
      <c r="F3537" s="12" t="s">
        <v>7785</v>
      </c>
      <c r="G3537" s="12" t="s">
        <v>2723</v>
      </c>
      <c r="H3537" s="12" t="s">
        <v>6556</v>
      </c>
      <c r="I3537" s="12" t="s">
        <v>5288</v>
      </c>
      <c r="J3537" s="11" t="s">
        <v>1856</v>
      </c>
      <c r="K3537" s="11" t="s">
        <v>1852</v>
      </c>
      <c r="L3537" s="11" t="s">
        <v>1853</v>
      </c>
      <c r="M3537" s="11" t="s">
        <v>7908</v>
      </c>
      <c r="N3537" s="12" t="s">
        <v>7909</v>
      </c>
      <c r="O3537" s="11" t="s">
        <v>1859</v>
      </c>
      <c r="P3537" s="56"/>
    </row>
    <row r="3538" spans="1:16" ht="15.75" customHeight="1" x14ac:dyDescent="0.2">
      <c r="A3538" s="49">
        <v>3954</v>
      </c>
      <c r="B3538" s="11" t="s">
        <v>1857</v>
      </c>
      <c r="C3538" s="11" t="s">
        <v>1849</v>
      </c>
      <c r="D3538" s="6" t="s">
        <v>1850</v>
      </c>
      <c r="E3538" s="12" t="s">
        <v>7784</v>
      </c>
      <c r="F3538" s="12" t="s">
        <v>7785</v>
      </c>
      <c r="G3538" s="12" t="s">
        <v>2723</v>
      </c>
      <c r="H3538" s="12" t="s">
        <v>7910</v>
      </c>
      <c r="I3538" s="12" t="s">
        <v>3309</v>
      </c>
      <c r="J3538" s="11" t="s">
        <v>1856</v>
      </c>
      <c r="K3538" s="11" t="s">
        <v>1852</v>
      </c>
      <c r="L3538" s="11" t="s">
        <v>1853</v>
      </c>
      <c r="M3538" s="11" t="s">
        <v>7911</v>
      </c>
      <c r="N3538" s="12" t="s">
        <v>7912</v>
      </c>
      <c r="O3538" s="11" t="s">
        <v>1860</v>
      </c>
      <c r="P3538" s="56"/>
    </row>
    <row r="3539" spans="1:16" ht="15.75" customHeight="1" x14ac:dyDescent="0.2">
      <c r="A3539" s="49">
        <v>6794</v>
      </c>
      <c r="B3539" s="11" t="s">
        <v>1857</v>
      </c>
      <c r="C3539" s="11" t="s">
        <v>1849</v>
      </c>
      <c r="D3539" s="6" t="s">
        <v>1850</v>
      </c>
      <c r="E3539" s="12" t="s">
        <v>7784</v>
      </c>
      <c r="F3539" s="12" t="s">
        <v>7785</v>
      </c>
      <c r="G3539" s="12" t="s">
        <v>7789</v>
      </c>
      <c r="H3539" s="12" t="s">
        <v>7790</v>
      </c>
      <c r="I3539" s="12" t="s">
        <v>7913</v>
      </c>
      <c r="J3539" s="11" t="s">
        <v>1851</v>
      </c>
      <c r="K3539" s="11" t="s">
        <v>1852</v>
      </c>
      <c r="L3539" s="11" t="s">
        <v>1853</v>
      </c>
      <c r="M3539" s="11" t="s">
        <v>7836</v>
      </c>
      <c r="N3539" s="12"/>
      <c r="O3539" s="11" t="s">
        <v>2755</v>
      </c>
      <c r="P3539" s="56"/>
    </row>
    <row r="3540" spans="1:16" ht="15.75" customHeight="1" x14ac:dyDescent="0.2">
      <c r="A3540" s="49">
        <v>3138</v>
      </c>
      <c r="B3540" s="11" t="s">
        <v>1857</v>
      </c>
      <c r="C3540" s="11" t="s">
        <v>1849</v>
      </c>
      <c r="D3540" s="6" t="s">
        <v>1850</v>
      </c>
      <c r="E3540" s="12" t="s">
        <v>7784</v>
      </c>
      <c r="F3540" s="12" t="s">
        <v>7785</v>
      </c>
      <c r="G3540" s="12" t="s">
        <v>7802</v>
      </c>
      <c r="H3540" s="12" t="s">
        <v>5715</v>
      </c>
      <c r="I3540" s="12" t="s">
        <v>7914</v>
      </c>
      <c r="J3540" s="11" t="s">
        <v>1856</v>
      </c>
      <c r="K3540" s="11" t="s">
        <v>1852</v>
      </c>
      <c r="L3540" s="11" t="s">
        <v>1853</v>
      </c>
      <c r="M3540" s="11" t="s">
        <v>1854</v>
      </c>
      <c r="N3540" s="12"/>
      <c r="O3540" s="11" t="s">
        <v>1859</v>
      </c>
      <c r="P3540" s="56"/>
    </row>
    <row r="3541" spans="1:16" ht="15.75" customHeight="1" x14ac:dyDescent="0.2">
      <c r="A3541" s="49">
        <v>3197</v>
      </c>
      <c r="B3541" s="11" t="s">
        <v>1857</v>
      </c>
      <c r="C3541" s="11" t="s">
        <v>1849</v>
      </c>
      <c r="D3541" s="6" t="s">
        <v>1850</v>
      </c>
      <c r="E3541" s="12" t="s">
        <v>7784</v>
      </c>
      <c r="F3541" s="12" t="s">
        <v>7785</v>
      </c>
      <c r="G3541" s="12" t="s">
        <v>7878</v>
      </c>
      <c r="H3541" s="12" t="s">
        <v>7915</v>
      </c>
      <c r="I3541" s="12" t="s">
        <v>4106</v>
      </c>
      <c r="J3541" s="11" t="s">
        <v>1856</v>
      </c>
      <c r="K3541" s="11" t="s">
        <v>1852</v>
      </c>
      <c r="L3541" s="11" t="s">
        <v>1853</v>
      </c>
      <c r="M3541" s="11" t="s">
        <v>7916</v>
      </c>
      <c r="N3541" s="12" t="s">
        <v>7917</v>
      </c>
      <c r="O3541" s="11" t="s">
        <v>1858</v>
      </c>
      <c r="P3541" s="56"/>
    </row>
    <row r="3542" spans="1:16" ht="15.75" customHeight="1" x14ac:dyDescent="0.2">
      <c r="A3542" s="49">
        <v>3186</v>
      </c>
      <c r="B3542" s="11" t="s">
        <v>1857</v>
      </c>
      <c r="C3542" s="11" t="s">
        <v>1849</v>
      </c>
      <c r="D3542" s="6" t="s">
        <v>1850</v>
      </c>
      <c r="E3542" s="12" t="s">
        <v>7784</v>
      </c>
      <c r="F3542" s="12" t="s">
        <v>7785</v>
      </c>
      <c r="G3542" s="12" t="s">
        <v>7878</v>
      </c>
      <c r="H3542" s="12" t="s">
        <v>7918</v>
      </c>
      <c r="I3542" s="12" t="s">
        <v>7919</v>
      </c>
      <c r="J3542" s="11" t="s">
        <v>1856</v>
      </c>
      <c r="K3542" s="11" t="s">
        <v>1852</v>
      </c>
      <c r="L3542" s="11" t="s">
        <v>1853</v>
      </c>
      <c r="M3542" s="11" t="s">
        <v>1854</v>
      </c>
      <c r="N3542" s="12"/>
      <c r="O3542" s="11" t="s">
        <v>1859</v>
      </c>
      <c r="P3542" s="56"/>
    </row>
    <row r="3543" spans="1:16" ht="15.75" customHeight="1" x14ac:dyDescent="0.2">
      <c r="A3543" s="49">
        <v>3393</v>
      </c>
      <c r="B3543" s="11" t="s">
        <v>1857</v>
      </c>
      <c r="C3543" s="11" t="s">
        <v>1849</v>
      </c>
      <c r="D3543" s="6" t="s">
        <v>1850</v>
      </c>
      <c r="E3543" s="12" t="s">
        <v>7784</v>
      </c>
      <c r="F3543" s="12" t="s">
        <v>7785</v>
      </c>
      <c r="G3543" s="12" t="s">
        <v>7786</v>
      </c>
      <c r="H3543" s="12" t="s">
        <v>7787</v>
      </c>
      <c r="I3543" s="12" t="s">
        <v>4392</v>
      </c>
      <c r="J3543" s="11" t="s">
        <v>1851</v>
      </c>
      <c r="K3543" s="11" t="s">
        <v>1852</v>
      </c>
      <c r="L3543" s="11" t="s">
        <v>1853</v>
      </c>
      <c r="M3543" s="11" t="s">
        <v>7920</v>
      </c>
      <c r="N3543" s="12" t="s">
        <v>7921</v>
      </c>
      <c r="O3543" s="11" t="s">
        <v>1858</v>
      </c>
      <c r="P3543" s="56"/>
    </row>
    <row r="3544" spans="1:16" ht="15.75" customHeight="1" x14ac:dyDescent="0.2">
      <c r="A3544" s="49">
        <v>3415</v>
      </c>
      <c r="B3544" s="11" t="s">
        <v>1857</v>
      </c>
      <c r="C3544" s="11" t="s">
        <v>1849</v>
      </c>
      <c r="D3544" s="6" t="s">
        <v>1850</v>
      </c>
      <c r="E3544" s="12" t="s">
        <v>7784</v>
      </c>
      <c r="F3544" s="12" t="s">
        <v>7785</v>
      </c>
      <c r="G3544" s="12" t="s">
        <v>7786</v>
      </c>
      <c r="H3544" s="12" t="s">
        <v>7897</v>
      </c>
      <c r="I3544" s="12" t="s">
        <v>7922</v>
      </c>
      <c r="J3544" s="11" t="s">
        <v>1856</v>
      </c>
      <c r="K3544" s="11" t="s">
        <v>1852</v>
      </c>
      <c r="L3544" s="11" t="s">
        <v>1853</v>
      </c>
      <c r="M3544" s="11" t="s">
        <v>1854</v>
      </c>
      <c r="N3544" s="12"/>
      <c r="O3544" s="11" t="s">
        <v>1858</v>
      </c>
      <c r="P3544" s="56"/>
    </row>
    <row r="3545" spans="1:16" ht="15.75" customHeight="1" x14ac:dyDescent="0.2">
      <c r="A3545" s="49">
        <v>3199</v>
      </c>
      <c r="B3545" s="11" t="s">
        <v>1857</v>
      </c>
      <c r="C3545" s="11" t="s">
        <v>1849</v>
      </c>
      <c r="D3545" s="6" t="s">
        <v>1850</v>
      </c>
      <c r="E3545" s="12" t="s">
        <v>7784</v>
      </c>
      <c r="F3545" s="12" t="s">
        <v>7785</v>
      </c>
      <c r="G3545" s="12" t="s">
        <v>7878</v>
      </c>
      <c r="H3545" s="12" t="s">
        <v>7915</v>
      </c>
      <c r="I3545" s="12" t="s">
        <v>7923</v>
      </c>
      <c r="J3545" s="11" t="s">
        <v>1856</v>
      </c>
      <c r="K3545" s="11" t="s">
        <v>1852</v>
      </c>
      <c r="L3545" s="11" t="s">
        <v>1853</v>
      </c>
      <c r="M3545" s="11" t="s">
        <v>6780</v>
      </c>
      <c r="N3545" s="12" t="s">
        <v>7924</v>
      </c>
      <c r="O3545" s="11" t="s">
        <v>1858</v>
      </c>
      <c r="P3545" s="56"/>
    </row>
    <row r="3546" spans="1:16" ht="15.75" customHeight="1" x14ac:dyDescent="0.2">
      <c r="A3546" s="49">
        <v>3198</v>
      </c>
      <c r="B3546" s="11" t="s">
        <v>1857</v>
      </c>
      <c r="C3546" s="11" t="s">
        <v>1849</v>
      </c>
      <c r="D3546" s="6" t="s">
        <v>1850</v>
      </c>
      <c r="E3546" s="12" t="s">
        <v>7784</v>
      </c>
      <c r="F3546" s="12" t="s">
        <v>7785</v>
      </c>
      <c r="G3546" s="12" t="s">
        <v>7878</v>
      </c>
      <c r="H3546" s="12" t="s">
        <v>7915</v>
      </c>
      <c r="I3546" s="12" t="s">
        <v>5479</v>
      </c>
      <c r="J3546" s="11" t="s">
        <v>1856</v>
      </c>
      <c r="K3546" s="11" t="s">
        <v>1852</v>
      </c>
      <c r="L3546" s="11" t="s">
        <v>1853</v>
      </c>
      <c r="M3546" s="11" t="s">
        <v>6812</v>
      </c>
      <c r="N3546" s="12" t="s">
        <v>7925</v>
      </c>
      <c r="O3546" s="11" t="s">
        <v>1858</v>
      </c>
      <c r="P3546" s="56"/>
    </row>
    <row r="3547" spans="1:16" ht="15.75" customHeight="1" x14ac:dyDescent="0.2">
      <c r="A3547" s="49">
        <v>3437</v>
      </c>
      <c r="B3547" s="11" t="s">
        <v>1857</v>
      </c>
      <c r="C3547" s="11" t="s">
        <v>1849</v>
      </c>
      <c r="D3547" s="6" t="s">
        <v>1850</v>
      </c>
      <c r="E3547" s="12" t="s">
        <v>7784</v>
      </c>
      <c r="F3547" s="12" t="s">
        <v>7785</v>
      </c>
      <c r="G3547" s="12" t="s">
        <v>7786</v>
      </c>
      <c r="H3547" s="12" t="s">
        <v>7807</v>
      </c>
      <c r="I3547" s="12" t="s">
        <v>7926</v>
      </c>
      <c r="J3547" s="11" t="s">
        <v>1856</v>
      </c>
      <c r="K3547" s="11" t="s">
        <v>1852</v>
      </c>
      <c r="L3547" s="11" t="s">
        <v>1853</v>
      </c>
      <c r="M3547" s="11" t="s">
        <v>4326</v>
      </c>
      <c r="N3547" s="12" t="s">
        <v>7927</v>
      </c>
      <c r="O3547" s="11" t="s">
        <v>1858</v>
      </c>
      <c r="P3547" s="56"/>
    </row>
    <row r="3548" spans="1:16" ht="15.75" customHeight="1" x14ac:dyDescent="0.2">
      <c r="A3548" s="49">
        <v>3962</v>
      </c>
      <c r="B3548" s="11" t="s">
        <v>1857</v>
      </c>
      <c r="C3548" s="11" t="s">
        <v>1849</v>
      </c>
      <c r="D3548" s="6" t="s">
        <v>1850</v>
      </c>
      <c r="E3548" s="12" t="s">
        <v>7784</v>
      </c>
      <c r="F3548" s="12" t="s">
        <v>7785</v>
      </c>
      <c r="G3548" s="12" t="s">
        <v>2723</v>
      </c>
      <c r="H3548" s="12" t="s">
        <v>7928</v>
      </c>
      <c r="I3548" s="12" t="s">
        <v>3736</v>
      </c>
      <c r="J3548" s="11" t="s">
        <v>1856</v>
      </c>
      <c r="K3548" s="11" t="s">
        <v>1852</v>
      </c>
      <c r="L3548" s="11" t="s">
        <v>1853</v>
      </c>
      <c r="M3548" s="11" t="s">
        <v>7929</v>
      </c>
      <c r="N3548" s="12" t="s">
        <v>7930</v>
      </c>
      <c r="O3548" s="11" t="s">
        <v>7931</v>
      </c>
      <c r="P3548" s="56"/>
    </row>
    <row r="3549" spans="1:16" ht="15.75" customHeight="1" x14ac:dyDescent="0.2">
      <c r="A3549" s="49">
        <v>3469</v>
      </c>
      <c r="B3549" s="11" t="s">
        <v>1857</v>
      </c>
      <c r="C3549" s="11" t="s">
        <v>1849</v>
      </c>
      <c r="D3549" s="6" t="s">
        <v>1850</v>
      </c>
      <c r="E3549" s="12" t="s">
        <v>7784</v>
      </c>
      <c r="F3549" s="12" t="s">
        <v>7785</v>
      </c>
      <c r="G3549" s="12" t="s">
        <v>7786</v>
      </c>
      <c r="H3549" s="12" t="s">
        <v>7796</v>
      </c>
      <c r="I3549" s="12" t="s">
        <v>4399</v>
      </c>
      <c r="J3549" s="11" t="s">
        <v>1851</v>
      </c>
      <c r="K3549" s="11" t="s">
        <v>1852</v>
      </c>
      <c r="L3549" s="11" t="s">
        <v>1853</v>
      </c>
      <c r="M3549" s="11" t="s">
        <v>7462</v>
      </c>
      <c r="N3549" s="12" t="s">
        <v>7932</v>
      </c>
      <c r="O3549" s="11" t="s">
        <v>1860</v>
      </c>
      <c r="P3549" s="56"/>
    </row>
    <row r="3550" spans="1:16" ht="15.75" customHeight="1" x14ac:dyDescent="0.2">
      <c r="A3550" s="49">
        <v>6766</v>
      </c>
      <c r="B3550" s="11" t="s">
        <v>1857</v>
      </c>
      <c r="C3550" s="11" t="s">
        <v>1849</v>
      </c>
      <c r="D3550" s="6" t="s">
        <v>1850</v>
      </c>
      <c r="E3550" s="12" t="s">
        <v>7784</v>
      </c>
      <c r="F3550" s="12" t="s">
        <v>7785</v>
      </c>
      <c r="G3550" s="12" t="s">
        <v>7786</v>
      </c>
      <c r="H3550" s="12" t="s">
        <v>7787</v>
      </c>
      <c r="I3550" s="12" t="s">
        <v>7933</v>
      </c>
      <c r="J3550" s="11" t="s">
        <v>1851</v>
      </c>
      <c r="K3550" s="11" t="s">
        <v>1852</v>
      </c>
      <c r="L3550" s="11" t="s">
        <v>1853</v>
      </c>
      <c r="M3550" s="11" t="s">
        <v>7934</v>
      </c>
      <c r="N3550" s="12"/>
      <c r="O3550" s="11" t="s">
        <v>1860</v>
      </c>
      <c r="P3550" s="56"/>
    </row>
    <row r="3551" spans="1:16" ht="15.75" customHeight="1" x14ac:dyDescent="0.2">
      <c r="A3551" s="49">
        <v>3174</v>
      </c>
      <c r="B3551" s="11" t="s">
        <v>1857</v>
      </c>
      <c r="C3551" s="11" t="s">
        <v>1849</v>
      </c>
      <c r="D3551" s="6" t="s">
        <v>1850</v>
      </c>
      <c r="E3551" s="12" t="s">
        <v>7784</v>
      </c>
      <c r="F3551" s="12" t="s">
        <v>7785</v>
      </c>
      <c r="G3551" s="12" t="s">
        <v>7878</v>
      </c>
      <c r="H3551" s="12" t="s">
        <v>7935</v>
      </c>
      <c r="I3551" s="12" t="s">
        <v>7936</v>
      </c>
      <c r="J3551" s="11" t="s">
        <v>1851</v>
      </c>
      <c r="K3551" s="11" t="s">
        <v>1852</v>
      </c>
      <c r="L3551" s="11" t="s">
        <v>1853</v>
      </c>
      <c r="M3551" s="11" t="s">
        <v>7937</v>
      </c>
      <c r="N3551" s="12" t="s">
        <v>7938</v>
      </c>
      <c r="O3551" s="11" t="s">
        <v>1858</v>
      </c>
      <c r="P3551" s="56"/>
    </row>
    <row r="3552" spans="1:16" ht="15.75" customHeight="1" x14ac:dyDescent="0.2">
      <c r="A3552" s="49">
        <v>3419</v>
      </c>
      <c r="B3552" s="11" t="s">
        <v>1857</v>
      </c>
      <c r="C3552" s="11" t="s">
        <v>1849</v>
      </c>
      <c r="D3552" s="6" t="s">
        <v>1850</v>
      </c>
      <c r="E3552" s="12" t="s">
        <v>7784</v>
      </c>
      <c r="F3552" s="12" t="s">
        <v>7785</v>
      </c>
      <c r="G3552" s="12" t="s">
        <v>7786</v>
      </c>
      <c r="H3552" s="12" t="s">
        <v>3567</v>
      </c>
      <c r="I3552" s="12" t="s">
        <v>7939</v>
      </c>
      <c r="J3552" s="11" t="s">
        <v>1851</v>
      </c>
      <c r="K3552" s="11" t="s">
        <v>1852</v>
      </c>
      <c r="L3552" s="11" t="s">
        <v>1853</v>
      </c>
      <c r="M3552" s="11" t="s">
        <v>4326</v>
      </c>
      <c r="N3552" s="12" t="s">
        <v>7940</v>
      </c>
      <c r="O3552" s="11" t="s">
        <v>1858</v>
      </c>
      <c r="P3552" s="56"/>
    </row>
    <row r="3553" spans="1:16" ht="15.75" customHeight="1" x14ac:dyDescent="0.2">
      <c r="A3553" s="49">
        <v>3081</v>
      </c>
      <c r="B3553" s="11" t="s">
        <v>1857</v>
      </c>
      <c r="C3553" s="11" t="s">
        <v>1849</v>
      </c>
      <c r="D3553" s="6" t="s">
        <v>1850</v>
      </c>
      <c r="E3553" s="12" t="s">
        <v>7784</v>
      </c>
      <c r="F3553" s="12" t="s">
        <v>7785</v>
      </c>
      <c r="G3553" s="12" t="s">
        <v>7802</v>
      </c>
      <c r="H3553" s="12" t="s">
        <v>7859</v>
      </c>
      <c r="I3553" s="12" t="s">
        <v>7941</v>
      </c>
      <c r="J3553" s="11" t="s">
        <v>1851</v>
      </c>
      <c r="K3553" s="11" t="s">
        <v>1852</v>
      </c>
      <c r="L3553" s="11" t="s">
        <v>1853</v>
      </c>
      <c r="M3553" s="11" t="s">
        <v>7942</v>
      </c>
      <c r="N3553" s="12" t="s">
        <v>7943</v>
      </c>
      <c r="O3553" s="11" t="s">
        <v>1858</v>
      </c>
      <c r="P3553" s="56"/>
    </row>
    <row r="3554" spans="1:16" ht="15.75" customHeight="1" x14ac:dyDescent="0.2">
      <c r="A3554" s="49">
        <v>3023</v>
      </c>
      <c r="B3554" s="11" t="s">
        <v>1857</v>
      </c>
      <c r="C3554" s="11" t="s">
        <v>1849</v>
      </c>
      <c r="D3554" s="6" t="s">
        <v>1850</v>
      </c>
      <c r="E3554" s="12" t="s">
        <v>7784</v>
      </c>
      <c r="F3554" s="12" t="s">
        <v>7785</v>
      </c>
      <c r="G3554" s="12" t="s">
        <v>7789</v>
      </c>
      <c r="H3554" s="12" t="s">
        <v>7789</v>
      </c>
      <c r="I3554" s="12" t="s">
        <v>7944</v>
      </c>
      <c r="J3554" s="11" t="s">
        <v>1851</v>
      </c>
      <c r="K3554" s="11" t="s">
        <v>1852</v>
      </c>
      <c r="L3554" s="11" t="s">
        <v>1853</v>
      </c>
      <c r="M3554" s="11" t="s">
        <v>7945</v>
      </c>
      <c r="N3554" s="12" t="s">
        <v>7946</v>
      </c>
      <c r="O3554" s="11" t="s">
        <v>1858</v>
      </c>
      <c r="P3554" s="56"/>
    </row>
    <row r="3555" spans="1:16" ht="15.75" customHeight="1" x14ac:dyDescent="0.2">
      <c r="A3555" s="49">
        <v>3168</v>
      </c>
      <c r="B3555" s="11" t="s">
        <v>1857</v>
      </c>
      <c r="C3555" s="11" t="s">
        <v>1849</v>
      </c>
      <c r="D3555" s="6" t="s">
        <v>1850</v>
      </c>
      <c r="E3555" s="12" t="s">
        <v>7784</v>
      </c>
      <c r="F3555" s="12" t="s">
        <v>7785</v>
      </c>
      <c r="G3555" s="12" t="s">
        <v>7802</v>
      </c>
      <c r="H3555" s="12" t="s">
        <v>7947</v>
      </c>
      <c r="I3555" s="12" t="s">
        <v>7948</v>
      </c>
      <c r="J3555" s="11" t="s">
        <v>1851</v>
      </c>
      <c r="K3555" s="11" t="s">
        <v>1852</v>
      </c>
      <c r="L3555" s="11" t="s">
        <v>1853</v>
      </c>
      <c r="M3555" s="11" t="s">
        <v>7949</v>
      </c>
      <c r="N3555" s="12" t="s">
        <v>7950</v>
      </c>
      <c r="O3555" s="11" t="s">
        <v>1858</v>
      </c>
      <c r="P3555" s="56"/>
    </row>
    <row r="3556" spans="1:16" ht="15.75" customHeight="1" x14ac:dyDescent="0.2">
      <c r="A3556" s="49">
        <v>3027</v>
      </c>
      <c r="B3556" s="11" t="s">
        <v>1857</v>
      </c>
      <c r="C3556" s="11" t="s">
        <v>1849</v>
      </c>
      <c r="D3556" s="6" t="s">
        <v>1850</v>
      </c>
      <c r="E3556" s="12" t="s">
        <v>7784</v>
      </c>
      <c r="F3556" s="12" t="s">
        <v>7785</v>
      </c>
      <c r="G3556" s="12" t="s">
        <v>7789</v>
      </c>
      <c r="H3556" s="12" t="s">
        <v>7789</v>
      </c>
      <c r="I3556" s="12" t="s">
        <v>7951</v>
      </c>
      <c r="J3556" s="11" t="s">
        <v>1851</v>
      </c>
      <c r="K3556" s="11" t="s">
        <v>1852</v>
      </c>
      <c r="L3556" s="11" t="s">
        <v>1853</v>
      </c>
      <c r="M3556" s="11" t="s">
        <v>6780</v>
      </c>
      <c r="N3556" s="12" t="s">
        <v>7952</v>
      </c>
      <c r="O3556" s="11" t="s">
        <v>1858</v>
      </c>
      <c r="P3556" s="56"/>
    </row>
    <row r="3557" spans="1:16" ht="15.75" customHeight="1" x14ac:dyDescent="0.2">
      <c r="A3557" s="49">
        <v>3402</v>
      </c>
      <c r="B3557" s="11" t="s">
        <v>1857</v>
      </c>
      <c r="C3557" s="11" t="s">
        <v>1849</v>
      </c>
      <c r="D3557" s="6" t="s">
        <v>1850</v>
      </c>
      <c r="E3557" s="12" t="s">
        <v>7784</v>
      </c>
      <c r="F3557" s="12" t="s">
        <v>7785</v>
      </c>
      <c r="G3557" s="12" t="s">
        <v>7786</v>
      </c>
      <c r="H3557" s="12" t="s">
        <v>7787</v>
      </c>
      <c r="I3557" s="12" t="s">
        <v>7953</v>
      </c>
      <c r="J3557" s="11" t="s">
        <v>1851</v>
      </c>
      <c r="K3557" s="11" t="s">
        <v>1852</v>
      </c>
      <c r="L3557" s="11" t="s">
        <v>1853</v>
      </c>
      <c r="M3557" s="11" t="s">
        <v>6881</v>
      </c>
      <c r="N3557" s="12" t="s">
        <v>7954</v>
      </c>
      <c r="O3557" s="11" t="s">
        <v>1858</v>
      </c>
      <c r="P3557" s="56"/>
    </row>
    <row r="3558" spans="1:16" ht="15.75" customHeight="1" x14ac:dyDescent="0.2">
      <c r="A3558" s="49">
        <v>3029</v>
      </c>
      <c r="B3558" s="11" t="s">
        <v>1857</v>
      </c>
      <c r="C3558" s="11" t="s">
        <v>1849</v>
      </c>
      <c r="D3558" s="6" t="s">
        <v>1850</v>
      </c>
      <c r="E3558" s="12" t="s">
        <v>7784</v>
      </c>
      <c r="F3558" s="12" t="s">
        <v>7785</v>
      </c>
      <c r="G3558" s="12" t="s">
        <v>7789</v>
      </c>
      <c r="H3558" s="12" t="s">
        <v>7824</v>
      </c>
      <c r="I3558" s="12" t="s">
        <v>7955</v>
      </c>
      <c r="J3558" s="11" t="s">
        <v>1856</v>
      </c>
      <c r="K3558" s="11" t="s">
        <v>1852</v>
      </c>
      <c r="L3558" s="11" t="s">
        <v>1853</v>
      </c>
      <c r="M3558" s="11" t="s">
        <v>7956</v>
      </c>
      <c r="N3558" s="12" t="s">
        <v>7957</v>
      </c>
      <c r="O3558" s="11" t="s">
        <v>1860</v>
      </c>
      <c r="P3558" s="56"/>
    </row>
    <row r="3559" spans="1:16" ht="15.75" customHeight="1" x14ac:dyDescent="0.2">
      <c r="A3559" s="49">
        <v>3043</v>
      </c>
      <c r="B3559" s="11" t="s">
        <v>1857</v>
      </c>
      <c r="C3559" s="11" t="s">
        <v>1849</v>
      </c>
      <c r="D3559" s="6" t="s">
        <v>1850</v>
      </c>
      <c r="E3559" s="12" t="s">
        <v>7784</v>
      </c>
      <c r="F3559" s="12" t="s">
        <v>7785</v>
      </c>
      <c r="G3559" s="12" t="s">
        <v>7789</v>
      </c>
      <c r="H3559" s="12" t="s">
        <v>7793</v>
      </c>
      <c r="I3559" s="12" t="s">
        <v>7958</v>
      </c>
      <c r="J3559" s="11" t="s">
        <v>1851</v>
      </c>
      <c r="K3559" s="11" t="s">
        <v>1852</v>
      </c>
      <c r="L3559" s="11" t="s">
        <v>1853</v>
      </c>
      <c r="M3559" s="11" t="s">
        <v>7836</v>
      </c>
      <c r="N3559" s="12" t="s">
        <v>2281</v>
      </c>
      <c r="O3559" s="11" t="s">
        <v>1860</v>
      </c>
      <c r="P3559" s="56"/>
    </row>
    <row r="3560" spans="1:16" ht="15.75" customHeight="1" x14ac:dyDescent="0.2">
      <c r="A3560" s="49">
        <v>7618</v>
      </c>
      <c r="B3560" s="11" t="s">
        <v>1857</v>
      </c>
      <c r="C3560" s="11" t="s">
        <v>1849</v>
      </c>
      <c r="D3560" s="6" t="s">
        <v>1850</v>
      </c>
      <c r="E3560" s="12" t="s">
        <v>7784</v>
      </c>
      <c r="F3560" s="12" t="s">
        <v>7785</v>
      </c>
      <c r="G3560" s="12" t="s">
        <v>7789</v>
      </c>
      <c r="H3560" s="12" t="s">
        <v>7793</v>
      </c>
      <c r="I3560" s="12" t="s">
        <v>7959</v>
      </c>
      <c r="J3560" s="11" t="s">
        <v>1851</v>
      </c>
      <c r="K3560" s="11" t="s">
        <v>1852</v>
      </c>
      <c r="L3560" s="11" t="s">
        <v>1853</v>
      </c>
      <c r="M3560" s="11" t="s">
        <v>7960</v>
      </c>
      <c r="N3560" s="12" t="s">
        <v>7961</v>
      </c>
      <c r="O3560" s="11" t="s">
        <v>2307</v>
      </c>
      <c r="P3560" s="56"/>
    </row>
    <row r="3561" spans="1:16" ht="15.75" customHeight="1" x14ac:dyDescent="0.2">
      <c r="A3561" s="49">
        <v>3170</v>
      </c>
      <c r="B3561" s="11" t="s">
        <v>1857</v>
      </c>
      <c r="C3561" s="11" t="s">
        <v>1849</v>
      </c>
      <c r="D3561" s="6" t="s">
        <v>1850</v>
      </c>
      <c r="E3561" s="12" t="s">
        <v>7784</v>
      </c>
      <c r="F3561" s="12" t="s">
        <v>7785</v>
      </c>
      <c r="G3561" s="12" t="s">
        <v>7878</v>
      </c>
      <c r="H3561" s="12" t="s">
        <v>7878</v>
      </c>
      <c r="I3561" s="12" t="s">
        <v>7962</v>
      </c>
      <c r="J3561" s="11" t="s">
        <v>1851</v>
      </c>
      <c r="K3561" s="11" t="s">
        <v>1852</v>
      </c>
      <c r="L3561" s="11" t="s">
        <v>1853</v>
      </c>
      <c r="M3561" s="11" t="s">
        <v>7963</v>
      </c>
      <c r="N3561" s="12" t="s">
        <v>7964</v>
      </c>
      <c r="O3561" s="11" t="s">
        <v>1858</v>
      </c>
      <c r="P3561" s="56"/>
    </row>
    <row r="3562" spans="1:16" ht="15.75" customHeight="1" x14ac:dyDescent="0.2">
      <c r="A3562" s="49">
        <v>3389</v>
      </c>
      <c r="B3562" s="11" t="s">
        <v>1857</v>
      </c>
      <c r="C3562" s="11" t="s">
        <v>1849</v>
      </c>
      <c r="D3562" s="6" t="s">
        <v>1850</v>
      </c>
      <c r="E3562" s="12" t="s">
        <v>7784</v>
      </c>
      <c r="F3562" s="12" t="s">
        <v>7785</v>
      </c>
      <c r="G3562" s="12" t="s">
        <v>7786</v>
      </c>
      <c r="H3562" s="12" t="s">
        <v>7798</v>
      </c>
      <c r="I3562" s="12" t="s">
        <v>7965</v>
      </c>
      <c r="J3562" s="11" t="s">
        <v>1851</v>
      </c>
      <c r="K3562" s="11" t="s">
        <v>1852</v>
      </c>
      <c r="L3562" s="11" t="s">
        <v>1853</v>
      </c>
      <c r="M3562" s="11" t="s">
        <v>7966</v>
      </c>
      <c r="N3562" s="12" t="s">
        <v>7967</v>
      </c>
      <c r="O3562" s="11" t="s">
        <v>1858</v>
      </c>
      <c r="P3562" s="56"/>
    </row>
    <row r="3563" spans="1:16" ht="15.75" customHeight="1" x14ac:dyDescent="0.2">
      <c r="A3563" s="49">
        <v>3001</v>
      </c>
      <c r="B3563" s="11" t="s">
        <v>1857</v>
      </c>
      <c r="C3563" s="11" t="s">
        <v>1849</v>
      </c>
      <c r="D3563" s="6" t="s">
        <v>1850</v>
      </c>
      <c r="E3563" s="12" t="s">
        <v>7784</v>
      </c>
      <c r="F3563" s="12" t="s">
        <v>7785</v>
      </c>
      <c r="G3563" s="12" t="s">
        <v>7789</v>
      </c>
      <c r="H3563" s="12" t="s">
        <v>7830</v>
      </c>
      <c r="I3563" s="12" t="s">
        <v>7968</v>
      </c>
      <c r="J3563" s="11" t="s">
        <v>1851</v>
      </c>
      <c r="K3563" s="11" t="s">
        <v>1852</v>
      </c>
      <c r="L3563" s="11" t="s">
        <v>1853</v>
      </c>
      <c r="M3563" s="11" t="s">
        <v>4326</v>
      </c>
      <c r="N3563" s="12" t="s">
        <v>7969</v>
      </c>
      <c r="O3563" s="11" t="s">
        <v>1858</v>
      </c>
      <c r="P3563" s="56"/>
    </row>
    <row r="3564" spans="1:16" ht="15.75" customHeight="1" x14ac:dyDescent="0.2">
      <c r="A3564" s="49">
        <v>3187</v>
      </c>
      <c r="B3564" s="11" t="s">
        <v>1857</v>
      </c>
      <c r="C3564" s="11" t="s">
        <v>1849</v>
      </c>
      <c r="D3564" s="6" t="s">
        <v>1850</v>
      </c>
      <c r="E3564" s="12" t="s">
        <v>7784</v>
      </c>
      <c r="F3564" s="12" t="s">
        <v>7785</v>
      </c>
      <c r="G3564" s="12" t="s">
        <v>7878</v>
      </c>
      <c r="H3564" s="12" t="s">
        <v>2628</v>
      </c>
      <c r="I3564" s="12" t="s">
        <v>7970</v>
      </c>
      <c r="J3564" s="11" t="s">
        <v>1851</v>
      </c>
      <c r="K3564" s="11" t="s">
        <v>1852</v>
      </c>
      <c r="L3564" s="11" t="s">
        <v>1853</v>
      </c>
      <c r="M3564" s="11" t="s">
        <v>7971</v>
      </c>
      <c r="N3564" s="12" t="s">
        <v>7972</v>
      </c>
      <c r="O3564" s="11" t="s">
        <v>1858</v>
      </c>
      <c r="P3564" s="56"/>
    </row>
    <row r="3565" spans="1:16" ht="15.75" customHeight="1" x14ac:dyDescent="0.2">
      <c r="A3565" s="49">
        <v>3053</v>
      </c>
      <c r="B3565" s="11" t="s">
        <v>1857</v>
      </c>
      <c r="C3565" s="11" t="s">
        <v>1849</v>
      </c>
      <c r="D3565" s="6" t="s">
        <v>1850</v>
      </c>
      <c r="E3565" s="12" t="s">
        <v>7784</v>
      </c>
      <c r="F3565" s="12" t="s">
        <v>7785</v>
      </c>
      <c r="G3565" s="12" t="s">
        <v>7789</v>
      </c>
      <c r="H3565" s="12" t="s">
        <v>7830</v>
      </c>
      <c r="I3565" s="12" t="s">
        <v>7973</v>
      </c>
      <c r="J3565" s="11" t="s">
        <v>1851</v>
      </c>
      <c r="K3565" s="11" t="s">
        <v>1852</v>
      </c>
      <c r="L3565" s="11" t="s">
        <v>1853</v>
      </c>
      <c r="M3565" s="11" t="s">
        <v>7974</v>
      </c>
      <c r="N3565" s="12" t="s">
        <v>7975</v>
      </c>
      <c r="O3565" s="11" t="s">
        <v>1858</v>
      </c>
      <c r="P3565" s="56"/>
    </row>
    <row r="3566" spans="1:16" ht="15.75" customHeight="1" x14ac:dyDescent="0.2">
      <c r="A3566" s="49">
        <v>2987</v>
      </c>
      <c r="B3566" s="11" t="s">
        <v>1857</v>
      </c>
      <c r="C3566" s="11" t="s">
        <v>1849</v>
      </c>
      <c r="D3566" s="6" t="s">
        <v>1850</v>
      </c>
      <c r="E3566" s="12" t="s">
        <v>7784</v>
      </c>
      <c r="F3566" s="12" t="s">
        <v>7785</v>
      </c>
      <c r="G3566" s="12" t="s">
        <v>7789</v>
      </c>
      <c r="H3566" s="12" t="s">
        <v>7789</v>
      </c>
      <c r="I3566" s="12" t="s">
        <v>7976</v>
      </c>
      <c r="J3566" s="11" t="s">
        <v>1851</v>
      </c>
      <c r="K3566" s="11" t="s">
        <v>1852</v>
      </c>
      <c r="L3566" s="11" t="s">
        <v>1853</v>
      </c>
      <c r="M3566" s="11" t="s">
        <v>7977</v>
      </c>
      <c r="N3566" s="12" t="s">
        <v>7978</v>
      </c>
      <c r="O3566" s="11" t="s">
        <v>1858</v>
      </c>
      <c r="P3566" s="56" t="s">
        <v>7979</v>
      </c>
    </row>
    <row r="3567" spans="1:16" ht="15.75" customHeight="1" x14ac:dyDescent="0.2">
      <c r="A3567" s="49">
        <v>3470</v>
      </c>
      <c r="B3567" s="11" t="s">
        <v>1857</v>
      </c>
      <c r="C3567" s="11" t="s">
        <v>1849</v>
      </c>
      <c r="D3567" s="6" t="s">
        <v>1850</v>
      </c>
      <c r="E3567" s="12" t="s">
        <v>7784</v>
      </c>
      <c r="F3567" s="12" t="s">
        <v>7785</v>
      </c>
      <c r="G3567" s="12" t="s">
        <v>7786</v>
      </c>
      <c r="H3567" s="12" t="s">
        <v>7796</v>
      </c>
      <c r="I3567" s="12" t="s">
        <v>7980</v>
      </c>
      <c r="J3567" s="11" t="s">
        <v>1851</v>
      </c>
      <c r="K3567" s="11" t="s">
        <v>1852</v>
      </c>
      <c r="L3567" s="11" t="s">
        <v>1853</v>
      </c>
      <c r="M3567" s="11" t="s">
        <v>7981</v>
      </c>
      <c r="N3567" s="12" t="s">
        <v>7982</v>
      </c>
      <c r="O3567" s="11" t="s">
        <v>1858</v>
      </c>
      <c r="P3567" s="56"/>
    </row>
    <row r="3568" spans="1:16" ht="15.75" customHeight="1" x14ac:dyDescent="0.2">
      <c r="A3568" s="49">
        <v>2984</v>
      </c>
      <c r="B3568" s="11" t="s">
        <v>1857</v>
      </c>
      <c r="C3568" s="11" t="s">
        <v>1849</v>
      </c>
      <c r="D3568" s="6" t="s">
        <v>1850</v>
      </c>
      <c r="E3568" s="12" t="s">
        <v>7784</v>
      </c>
      <c r="F3568" s="12" t="s">
        <v>7785</v>
      </c>
      <c r="G3568" s="12" t="s">
        <v>7789</v>
      </c>
      <c r="H3568" s="12" t="s">
        <v>7789</v>
      </c>
      <c r="I3568" s="12" t="s">
        <v>7983</v>
      </c>
      <c r="J3568" s="11" t="s">
        <v>1851</v>
      </c>
      <c r="K3568" s="11" t="s">
        <v>1852</v>
      </c>
      <c r="L3568" s="11" t="s">
        <v>1853</v>
      </c>
      <c r="M3568" s="11" t="s">
        <v>7984</v>
      </c>
      <c r="N3568" s="12" t="s">
        <v>7985</v>
      </c>
      <c r="O3568" s="11" t="s">
        <v>1858</v>
      </c>
      <c r="P3568" s="56"/>
    </row>
    <row r="3569" spans="1:16" ht="15.75" customHeight="1" x14ac:dyDescent="0.2">
      <c r="A3569" s="49">
        <v>3388</v>
      </c>
      <c r="B3569" s="11" t="s">
        <v>1857</v>
      </c>
      <c r="C3569" s="11" t="s">
        <v>1849</v>
      </c>
      <c r="D3569" s="6" t="s">
        <v>1850</v>
      </c>
      <c r="E3569" s="12" t="s">
        <v>7784</v>
      </c>
      <c r="F3569" s="12" t="s">
        <v>7785</v>
      </c>
      <c r="G3569" s="12" t="s">
        <v>7786</v>
      </c>
      <c r="H3569" s="12" t="s">
        <v>7798</v>
      </c>
      <c r="I3569" s="12" t="s">
        <v>7986</v>
      </c>
      <c r="J3569" s="11" t="s">
        <v>1856</v>
      </c>
      <c r="K3569" s="11" t="s">
        <v>1852</v>
      </c>
      <c r="L3569" s="11" t="s">
        <v>1853</v>
      </c>
      <c r="M3569" s="11" t="s">
        <v>7987</v>
      </c>
      <c r="N3569" s="12" t="s">
        <v>7988</v>
      </c>
      <c r="O3569" s="11" t="s">
        <v>1858</v>
      </c>
      <c r="P3569" s="56"/>
    </row>
    <row r="3570" spans="1:16" ht="15.75" customHeight="1" x14ac:dyDescent="0.2">
      <c r="A3570" s="49">
        <v>3196</v>
      </c>
      <c r="B3570" s="11" t="s">
        <v>1857</v>
      </c>
      <c r="C3570" s="11" t="s">
        <v>1849</v>
      </c>
      <c r="D3570" s="6" t="s">
        <v>1850</v>
      </c>
      <c r="E3570" s="12" t="s">
        <v>7784</v>
      </c>
      <c r="F3570" s="12" t="s">
        <v>7785</v>
      </c>
      <c r="G3570" s="12" t="s">
        <v>7878</v>
      </c>
      <c r="H3570" s="12" t="s">
        <v>7915</v>
      </c>
      <c r="I3570" s="12" t="s">
        <v>7989</v>
      </c>
      <c r="J3570" s="11" t="s">
        <v>1856</v>
      </c>
      <c r="K3570" s="11" t="s">
        <v>1852</v>
      </c>
      <c r="L3570" s="11" t="s">
        <v>1853</v>
      </c>
      <c r="M3570" s="11" t="s">
        <v>1854</v>
      </c>
      <c r="N3570" s="12"/>
      <c r="O3570" s="11" t="s">
        <v>1859</v>
      </c>
      <c r="P3570" s="56"/>
    </row>
    <row r="3571" spans="1:16" ht="15.75" customHeight="1" x14ac:dyDescent="0.2">
      <c r="A3571" s="49">
        <v>3020</v>
      </c>
      <c r="B3571" s="11" t="s">
        <v>1857</v>
      </c>
      <c r="C3571" s="11" t="s">
        <v>1849</v>
      </c>
      <c r="D3571" s="6" t="s">
        <v>1850</v>
      </c>
      <c r="E3571" s="12" t="s">
        <v>7784</v>
      </c>
      <c r="F3571" s="12" t="s">
        <v>7785</v>
      </c>
      <c r="G3571" s="12" t="s">
        <v>7789</v>
      </c>
      <c r="H3571" s="12" t="s">
        <v>7852</v>
      </c>
      <c r="I3571" s="12" t="s">
        <v>7990</v>
      </c>
      <c r="J3571" s="11" t="s">
        <v>1851</v>
      </c>
      <c r="K3571" s="11" t="s">
        <v>1852</v>
      </c>
      <c r="L3571" s="11" t="s">
        <v>1853</v>
      </c>
      <c r="M3571" s="11" t="s">
        <v>1854</v>
      </c>
      <c r="N3571" s="12"/>
      <c r="O3571" s="11" t="s">
        <v>1858</v>
      </c>
      <c r="P3571" s="56"/>
    </row>
    <row r="3572" spans="1:16" ht="15.75" customHeight="1" x14ac:dyDescent="0.2">
      <c r="A3572" s="49">
        <v>3401</v>
      </c>
      <c r="B3572" s="11" t="s">
        <v>1857</v>
      </c>
      <c r="C3572" s="11" t="s">
        <v>1849</v>
      </c>
      <c r="D3572" s="6" t="s">
        <v>1850</v>
      </c>
      <c r="E3572" s="12" t="s">
        <v>7784</v>
      </c>
      <c r="F3572" s="12" t="s">
        <v>7785</v>
      </c>
      <c r="G3572" s="12" t="s">
        <v>7786</v>
      </c>
      <c r="H3572" s="12" t="s">
        <v>7787</v>
      </c>
      <c r="I3572" s="12" t="s">
        <v>7991</v>
      </c>
      <c r="J3572" s="11" t="s">
        <v>1851</v>
      </c>
      <c r="K3572" s="11" t="s">
        <v>1852</v>
      </c>
      <c r="L3572" s="11" t="s">
        <v>1853</v>
      </c>
      <c r="M3572" s="11" t="s">
        <v>7992</v>
      </c>
      <c r="N3572" s="12" t="s">
        <v>7993</v>
      </c>
      <c r="O3572" s="11" t="s">
        <v>1858</v>
      </c>
      <c r="P3572" s="56"/>
    </row>
    <row r="3573" spans="1:16" ht="15.75" customHeight="1" x14ac:dyDescent="0.2">
      <c r="A3573" s="49">
        <v>3127</v>
      </c>
      <c r="B3573" s="11" t="s">
        <v>1857</v>
      </c>
      <c r="C3573" s="11" t="s">
        <v>1849</v>
      </c>
      <c r="D3573" s="6" t="s">
        <v>1850</v>
      </c>
      <c r="E3573" s="12" t="s">
        <v>7784</v>
      </c>
      <c r="F3573" s="12" t="s">
        <v>7785</v>
      </c>
      <c r="G3573" s="12" t="s">
        <v>7802</v>
      </c>
      <c r="H3573" s="12" t="s">
        <v>2728</v>
      </c>
      <c r="I3573" s="12" t="s">
        <v>7994</v>
      </c>
      <c r="J3573" s="11" t="s">
        <v>1856</v>
      </c>
      <c r="K3573" s="11" t="s">
        <v>1852</v>
      </c>
      <c r="L3573" s="11" t="s">
        <v>1853</v>
      </c>
      <c r="M3573" s="11" t="s">
        <v>7995</v>
      </c>
      <c r="N3573" s="12" t="s">
        <v>7996</v>
      </c>
      <c r="O3573" s="11" t="s">
        <v>2408</v>
      </c>
      <c r="P3573" s="56"/>
    </row>
    <row r="3574" spans="1:16" ht="15.75" customHeight="1" x14ac:dyDescent="0.2">
      <c r="A3574" s="49">
        <v>3172</v>
      </c>
      <c r="B3574" s="11" t="s">
        <v>1857</v>
      </c>
      <c r="C3574" s="11" t="s">
        <v>1849</v>
      </c>
      <c r="D3574" s="6" t="s">
        <v>1850</v>
      </c>
      <c r="E3574" s="12" t="s">
        <v>7784</v>
      </c>
      <c r="F3574" s="12" t="s">
        <v>7785</v>
      </c>
      <c r="G3574" s="12" t="s">
        <v>7878</v>
      </c>
      <c r="H3574" s="12" t="s">
        <v>7878</v>
      </c>
      <c r="I3574" s="12" t="s">
        <v>7997</v>
      </c>
      <c r="J3574" s="11" t="s">
        <v>1851</v>
      </c>
      <c r="K3574" s="11" t="s">
        <v>1852</v>
      </c>
      <c r="L3574" s="11" t="s">
        <v>1853</v>
      </c>
      <c r="M3574" s="11" t="s">
        <v>7998</v>
      </c>
      <c r="N3574" s="12" t="s">
        <v>7999</v>
      </c>
      <c r="O3574" s="11" t="s">
        <v>1866</v>
      </c>
      <c r="P3574" s="56" t="s">
        <v>8000</v>
      </c>
    </row>
    <row r="3575" spans="1:16" ht="15.75" customHeight="1" x14ac:dyDescent="0.2">
      <c r="A3575" s="49">
        <v>3160</v>
      </c>
      <c r="B3575" s="11" t="s">
        <v>1857</v>
      </c>
      <c r="C3575" s="11" t="s">
        <v>1849</v>
      </c>
      <c r="D3575" s="6" t="s">
        <v>1850</v>
      </c>
      <c r="E3575" s="12" t="s">
        <v>7784</v>
      </c>
      <c r="F3575" s="12" t="s">
        <v>7785</v>
      </c>
      <c r="G3575" s="12" t="s">
        <v>7802</v>
      </c>
      <c r="H3575" s="12" t="s">
        <v>7841</v>
      </c>
      <c r="I3575" s="12" t="s">
        <v>8001</v>
      </c>
      <c r="J3575" s="11" t="s">
        <v>1851</v>
      </c>
      <c r="K3575" s="11" t="s">
        <v>1852</v>
      </c>
      <c r="L3575" s="11" t="s">
        <v>1853</v>
      </c>
      <c r="M3575" s="11" t="s">
        <v>8002</v>
      </c>
      <c r="N3575" s="12" t="s">
        <v>8003</v>
      </c>
      <c r="O3575" s="11" t="s">
        <v>1860</v>
      </c>
      <c r="P3575" s="56"/>
    </row>
    <row r="3576" spans="1:16" ht="15.75" customHeight="1" x14ac:dyDescent="0.2">
      <c r="A3576" s="49">
        <v>3135</v>
      </c>
      <c r="B3576" s="11" t="s">
        <v>1857</v>
      </c>
      <c r="C3576" s="11" t="s">
        <v>1849</v>
      </c>
      <c r="D3576" s="6" t="s">
        <v>1850</v>
      </c>
      <c r="E3576" s="12" t="s">
        <v>7784</v>
      </c>
      <c r="F3576" s="12" t="s">
        <v>7785</v>
      </c>
      <c r="G3576" s="12" t="s">
        <v>7802</v>
      </c>
      <c r="H3576" s="12" t="s">
        <v>5715</v>
      </c>
      <c r="I3576" s="12" t="s">
        <v>8004</v>
      </c>
      <c r="J3576" s="11" t="s">
        <v>1856</v>
      </c>
      <c r="K3576" s="11" t="s">
        <v>1852</v>
      </c>
      <c r="L3576" s="11" t="s">
        <v>1853</v>
      </c>
      <c r="M3576" s="11" t="s">
        <v>1854</v>
      </c>
      <c r="N3576" s="12"/>
      <c r="O3576" s="11" t="s">
        <v>1859</v>
      </c>
      <c r="P3576" s="56"/>
    </row>
    <row r="3577" spans="1:16" ht="15.75" customHeight="1" x14ac:dyDescent="0.2">
      <c r="A3577" s="49">
        <v>3046</v>
      </c>
      <c r="B3577" s="11" t="s">
        <v>1857</v>
      </c>
      <c r="C3577" s="11" t="s">
        <v>1849</v>
      </c>
      <c r="D3577" s="6" t="s">
        <v>1850</v>
      </c>
      <c r="E3577" s="12" t="s">
        <v>7784</v>
      </c>
      <c r="F3577" s="12" t="s">
        <v>7785</v>
      </c>
      <c r="G3577" s="12" t="s">
        <v>7789</v>
      </c>
      <c r="H3577" s="12" t="s">
        <v>3151</v>
      </c>
      <c r="I3577" s="12" t="s">
        <v>8005</v>
      </c>
      <c r="J3577" s="11" t="s">
        <v>1856</v>
      </c>
      <c r="K3577" s="11" t="s">
        <v>1852</v>
      </c>
      <c r="L3577" s="11" t="s">
        <v>1853</v>
      </c>
      <c r="M3577" s="11" t="s">
        <v>1854</v>
      </c>
      <c r="N3577" s="12"/>
      <c r="O3577" s="11" t="s">
        <v>1858</v>
      </c>
      <c r="P3577" s="56"/>
    </row>
    <row r="3578" spans="1:16" ht="15.75" customHeight="1" x14ac:dyDescent="0.2">
      <c r="A3578" s="49">
        <v>3409</v>
      </c>
      <c r="B3578" s="11" t="s">
        <v>1857</v>
      </c>
      <c r="C3578" s="11" t="s">
        <v>1849</v>
      </c>
      <c r="D3578" s="6" t="s">
        <v>1850</v>
      </c>
      <c r="E3578" s="12" t="s">
        <v>7784</v>
      </c>
      <c r="F3578" s="12" t="s">
        <v>7785</v>
      </c>
      <c r="G3578" s="12" t="s">
        <v>7786</v>
      </c>
      <c r="H3578" s="12" t="s">
        <v>7815</v>
      </c>
      <c r="I3578" s="12" t="s">
        <v>8006</v>
      </c>
      <c r="J3578" s="11" t="s">
        <v>1856</v>
      </c>
      <c r="K3578" s="11" t="s">
        <v>1852</v>
      </c>
      <c r="L3578" s="11" t="s">
        <v>1853</v>
      </c>
      <c r="M3578" s="11" t="s">
        <v>7486</v>
      </c>
      <c r="N3578" s="12" t="s">
        <v>8007</v>
      </c>
      <c r="O3578" s="11" t="s">
        <v>1858</v>
      </c>
      <c r="P3578" s="56"/>
    </row>
    <row r="3579" spans="1:16" ht="15.75" customHeight="1" x14ac:dyDescent="0.2">
      <c r="A3579" s="49">
        <v>3082</v>
      </c>
      <c r="B3579" s="11" t="s">
        <v>1857</v>
      </c>
      <c r="C3579" s="11" t="s">
        <v>1849</v>
      </c>
      <c r="D3579" s="6" t="s">
        <v>1850</v>
      </c>
      <c r="E3579" s="12" t="s">
        <v>7784</v>
      </c>
      <c r="F3579" s="12" t="s">
        <v>7785</v>
      </c>
      <c r="G3579" s="12" t="s">
        <v>7802</v>
      </c>
      <c r="H3579" s="12" t="s">
        <v>7859</v>
      </c>
      <c r="I3579" s="12" t="s">
        <v>8008</v>
      </c>
      <c r="J3579" s="11" t="s">
        <v>1851</v>
      </c>
      <c r="K3579" s="11" t="s">
        <v>1852</v>
      </c>
      <c r="L3579" s="11" t="s">
        <v>1853</v>
      </c>
      <c r="M3579" s="11" t="s">
        <v>2407</v>
      </c>
      <c r="N3579" s="12" t="s">
        <v>8009</v>
      </c>
      <c r="O3579" s="11" t="s">
        <v>1866</v>
      </c>
      <c r="P3579" s="56" t="s">
        <v>8010</v>
      </c>
    </row>
    <row r="3580" spans="1:16" ht="15.75" customHeight="1" x14ac:dyDescent="0.2">
      <c r="A3580" s="49">
        <v>2989</v>
      </c>
      <c r="B3580" s="11" t="s">
        <v>1857</v>
      </c>
      <c r="C3580" s="11" t="s">
        <v>1849</v>
      </c>
      <c r="D3580" s="6" t="s">
        <v>1850</v>
      </c>
      <c r="E3580" s="12" t="s">
        <v>7784</v>
      </c>
      <c r="F3580" s="12" t="s">
        <v>7785</v>
      </c>
      <c r="G3580" s="12" t="s">
        <v>7789</v>
      </c>
      <c r="H3580" s="12" t="s">
        <v>7789</v>
      </c>
      <c r="I3580" s="12" t="s">
        <v>8011</v>
      </c>
      <c r="J3580" s="11" t="s">
        <v>1851</v>
      </c>
      <c r="K3580" s="11" t="s">
        <v>1852</v>
      </c>
      <c r="L3580" s="11" t="s">
        <v>1853</v>
      </c>
      <c r="M3580" s="11" t="s">
        <v>8012</v>
      </c>
      <c r="N3580" s="12" t="s">
        <v>8013</v>
      </c>
      <c r="O3580" s="11" t="s">
        <v>5055</v>
      </c>
      <c r="P3580" s="56" t="s">
        <v>8014</v>
      </c>
    </row>
    <row r="3581" spans="1:16" ht="15.75" customHeight="1" x14ac:dyDescent="0.2">
      <c r="A3581" s="49">
        <v>3432</v>
      </c>
      <c r="B3581" s="11" t="s">
        <v>1857</v>
      </c>
      <c r="C3581" s="11" t="s">
        <v>1849</v>
      </c>
      <c r="D3581" s="6" t="s">
        <v>1850</v>
      </c>
      <c r="E3581" s="12" t="s">
        <v>7784</v>
      </c>
      <c r="F3581" s="12" t="s">
        <v>7785</v>
      </c>
      <c r="G3581" s="12" t="s">
        <v>7786</v>
      </c>
      <c r="H3581" s="12" t="s">
        <v>7807</v>
      </c>
      <c r="I3581" s="12" t="s">
        <v>8015</v>
      </c>
      <c r="J3581" s="11" t="s">
        <v>1851</v>
      </c>
      <c r="K3581" s="11" t="s">
        <v>1852</v>
      </c>
      <c r="L3581" s="11" t="s">
        <v>1853</v>
      </c>
      <c r="M3581" s="11" t="s">
        <v>8016</v>
      </c>
      <c r="N3581" s="12" t="s">
        <v>8017</v>
      </c>
      <c r="O3581" s="11" t="s">
        <v>5055</v>
      </c>
      <c r="P3581" s="56" t="s">
        <v>8018</v>
      </c>
    </row>
    <row r="3582" spans="1:16" ht="15.75" customHeight="1" x14ac:dyDescent="0.2">
      <c r="A3582" s="49">
        <v>3120</v>
      </c>
      <c r="B3582" s="11" t="s">
        <v>1857</v>
      </c>
      <c r="C3582" s="11" t="s">
        <v>1849</v>
      </c>
      <c r="D3582" s="6" t="s">
        <v>1850</v>
      </c>
      <c r="E3582" s="12" t="s">
        <v>7784</v>
      </c>
      <c r="F3582" s="12" t="s">
        <v>7785</v>
      </c>
      <c r="G3582" s="12" t="s">
        <v>7802</v>
      </c>
      <c r="H3582" s="12" t="s">
        <v>2728</v>
      </c>
      <c r="I3582" s="12" t="s">
        <v>8019</v>
      </c>
      <c r="J3582" s="11" t="s">
        <v>1856</v>
      </c>
      <c r="K3582" s="11" t="s">
        <v>1852</v>
      </c>
      <c r="L3582" s="11" t="s">
        <v>1853</v>
      </c>
      <c r="M3582" s="11" t="s">
        <v>7402</v>
      </c>
      <c r="N3582" s="12" t="s">
        <v>8020</v>
      </c>
      <c r="O3582" s="11" t="s">
        <v>1859</v>
      </c>
      <c r="P3582" s="56"/>
    </row>
    <row r="3583" spans="1:16" ht="15.75" customHeight="1" x14ac:dyDescent="0.2">
      <c r="A3583" s="49">
        <v>5844</v>
      </c>
      <c r="B3583" s="11" t="s">
        <v>1857</v>
      </c>
      <c r="C3583" s="11" t="s">
        <v>1849</v>
      </c>
      <c r="D3583" s="6" t="s">
        <v>1850</v>
      </c>
      <c r="E3583" s="12" t="s">
        <v>7784</v>
      </c>
      <c r="F3583" s="12" t="s">
        <v>7785</v>
      </c>
      <c r="G3583" s="12" t="s">
        <v>7786</v>
      </c>
      <c r="H3583" s="12" t="s">
        <v>7807</v>
      </c>
      <c r="I3583" s="12" t="s">
        <v>8021</v>
      </c>
      <c r="J3583" s="11" t="s">
        <v>1851</v>
      </c>
      <c r="K3583" s="11" t="s">
        <v>1852</v>
      </c>
      <c r="L3583" s="11" t="s">
        <v>1853</v>
      </c>
      <c r="M3583" s="11" t="s">
        <v>8022</v>
      </c>
      <c r="N3583" s="12" t="s">
        <v>8023</v>
      </c>
      <c r="O3583" s="11" t="s">
        <v>2342</v>
      </c>
      <c r="P3583" s="56" t="s">
        <v>8024</v>
      </c>
    </row>
    <row r="3584" spans="1:16" ht="15.75" customHeight="1" x14ac:dyDescent="0.2">
      <c r="A3584" s="49">
        <v>3021</v>
      </c>
      <c r="B3584" s="11" t="s">
        <v>1857</v>
      </c>
      <c r="C3584" s="11" t="s">
        <v>1849</v>
      </c>
      <c r="D3584" s="6" t="s">
        <v>1850</v>
      </c>
      <c r="E3584" s="12" t="s">
        <v>7784</v>
      </c>
      <c r="F3584" s="12" t="s">
        <v>7785</v>
      </c>
      <c r="G3584" s="12" t="s">
        <v>7789</v>
      </c>
      <c r="H3584" s="12" t="s">
        <v>7789</v>
      </c>
      <c r="I3584" s="12" t="s">
        <v>8025</v>
      </c>
      <c r="J3584" s="11" t="s">
        <v>1851</v>
      </c>
      <c r="K3584" s="11" t="s">
        <v>1852</v>
      </c>
      <c r="L3584" s="11" t="s">
        <v>1853</v>
      </c>
      <c r="M3584" s="11" t="s">
        <v>7836</v>
      </c>
      <c r="N3584" s="12"/>
      <c r="O3584" s="11" t="s">
        <v>1858</v>
      </c>
      <c r="P3584" s="56"/>
    </row>
    <row r="3585" spans="1:16" ht="15.75" customHeight="1" x14ac:dyDescent="0.2">
      <c r="A3585" s="49">
        <v>3963</v>
      </c>
      <c r="B3585" s="11" t="s">
        <v>1857</v>
      </c>
      <c r="C3585" s="11" t="s">
        <v>1849</v>
      </c>
      <c r="D3585" s="6" t="s">
        <v>1850</v>
      </c>
      <c r="E3585" s="12" t="s">
        <v>7784</v>
      </c>
      <c r="F3585" s="12" t="s">
        <v>7785</v>
      </c>
      <c r="G3585" s="12" t="s">
        <v>2723</v>
      </c>
      <c r="H3585" s="12" t="s">
        <v>7928</v>
      </c>
      <c r="I3585" s="12" t="s">
        <v>8026</v>
      </c>
      <c r="J3585" s="11" t="s">
        <v>1856</v>
      </c>
      <c r="K3585" s="11" t="s">
        <v>1852</v>
      </c>
      <c r="L3585" s="11" t="s">
        <v>1853</v>
      </c>
      <c r="M3585" s="11" t="s">
        <v>1854</v>
      </c>
      <c r="N3585" s="12"/>
      <c r="O3585" s="11" t="s">
        <v>1858</v>
      </c>
      <c r="P3585" s="56"/>
    </row>
    <row r="3586" spans="1:16" ht="15.75" customHeight="1" x14ac:dyDescent="0.2">
      <c r="A3586" s="49">
        <v>3425</v>
      </c>
      <c r="B3586" s="11" t="s">
        <v>1857</v>
      </c>
      <c r="C3586" s="11" t="s">
        <v>1849</v>
      </c>
      <c r="D3586" s="6" t="s">
        <v>1850</v>
      </c>
      <c r="E3586" s="12" t="s">
        <v>7784</v>
      </c>
      <c r="F3586" s="12" t="s">
        <v>7785</v>
      </c>
      <c r="G3586" s="12" t="s">
        <v>7786</v>
      </c>
      <c r="H3586" s="12" t="s">
        <v>3533</v>
      </c>
      <c r="I3586" s="12" t="s">
        <v>8027</v>
      </c>
      <c r="J3586" s="11" t="s">
        <v>1851</v>
      </c>
      <c r="K3586" s="11" t="s">
        <v>1852</v>
      </c>
      <c r="L3586" s="11" t="s">
        <v>1853</v>
      </c>
      <c r="M3586" s="11" t="s">
        <v>8028</v>
      </c>
      <c r="N3586" s="12" t="s">
        <v>8029</v>
      </c>
      <c r="O3586" s="11" t="s">
        <v>2307</v>
      </c>
      <c r="P3586" s="56"/>
    </row>
    <row r="3587" spans="1:16" ht="15.75" customHeight="1" x14ac:dyDescent="0.2">
      <c r="A3587" s="49">
        <v>3391</v>
      </c>
      <c r="B3587" s="11" t="s">
        <v>1857</v>
      </c>
      <c r="C3587" s="11" t="s">
        <v>1849</v>
      </c>
      <c r="D3587" s="6" t="s">
        <v>1850</v>
      </c>
      <c r="E3587" s="12" t="s">
        <v>7784</v>
      </c>
      <c r="F3587" s="12" t="s">
        <v>7785</v>
      </c>
      <c r="G3587" s="12" t="s">
        <v>7786</v>
      </c>
      <c r="H3587" s="12" t="s">
        <v>7798</v>
      </c>
      <c r="I3587" s="12" t="s">
        <v>8030</v>
      </c>
      <c r="J3587" s="11" t="s">
        <v>1851</v>
      </c>
      <c r="K3587" s="11" t="s">
        <v>1852</v>
      </c>
      <c r="L3587" s="11" t="s">
        <v>1853</v>
      </c>
      <c r="M3587" s="11" t="s">
        <v>8031</v>
      </c>
      <c r="N3587" s="12" t="s">
        <v>8032</v>
      </c>
      <c r="O3587" s="11" t="s">
        <v>1860</v>
      </c>
      <c r="P3587" s="56"/>
    </row>
    <row r="3588" spans="1:16" ht="15.75" customHeight="1" x14ac:dyDescent="0.2">
      <c r="A3588" s="49">
        <v>3052</v>
      </c>
      <c r="B3588" s="11" t="s">
        <v>1857</v>
      </c>
      <c r="C3588" s="11" t="s">
        <v>1849</v>
      </c>
      <c r="D3588" s="6" t="s">
        <v>1850</v>
      </c>
      <c r="E3588" s="12" t="s">
        <v>7784</v>
      </c>
      <c r="F3588" s="12" t="s">
        <v>7785</v>
      </c>
      <c r="G3588" s="12" t="s">
        <v>7789</v>
      </c>
      <c r="H3588" s="12" t="s">
        <v>7790</v>
      </c>
      <c r="I3588" s="12" t="s">
        <v>1327</v>
      </c>
      <c r="J3588" s="11" t="s">
        <v>1851</v>
      </c>
      <c r="K3588" s="11" t="s">
        <v>1852</v>
      </c>
      <c r="L3588" s="11" t="s">
        <v>1853</v>
      </c>
      <c r="M3588" s="11" t="s">
        <v>4326</v>
      </c>
      <c r="N3588" s="12" t="s">
        <v>8033</v>
      </c>
      <c r="O3588" s="11" t="s">
        <v>1858</v>
      </c>
      <c r="P3588" s="56"/>
    </row>
    <row r="3589" spans="1:16" ht="15.75" customHeight="1" x14ac:dyDescent="0.2">
      <c r="A3589" s="49">
        <v>3017</v>
      </c>
      <c r="B3589" s="11" t="s">
        <v>1857</v>
      </c>
      <c r="C3589" s="11" t="s">
        <v>1849</v>
      </c>
      <c r="D3589" s="6" t="s">
        <v>1850</v>
      </c>
      <c r="E3589" s="12" t="s">
        <v>7784</v>
      </c>
      <c r="F3589" s="12" t="s">
        <v>7785</v>
      </c>
      <c r="G3589" s="12" t="s">
        <v>7789</v>
      </c>
      <c r="H3589" s="12" t="s">
        <v>7789</v>
      </c>
      <c r="I3589" s="12" t="s">
        <v>8034</v>
      </c>
      <c r="J3589" s="11" t="s">
        <v>1851</v>
      </c>
      <c r="K3589" s="11" t="s">
        <v>1852</v>
      </c>
      <c r="L3589" s="11" t="s">
        <v>1853</v>
      </c>
      <c r="M3589" s="11" t="s">
        <v>7836</v>
      </c>
      <c r="N3589" s="12"/>
      <c r="O3589" s="11" t="s">
        <v>1860</v>
      </c>
      <c r="P3589" s="56"/>
    </row>
    <row r="3590" spans="1:16" ht="15.75" customHeight="1" x14ac:dyDescent="0.2">
      <c r="A3590" s="49">
        <v>3450</v>
      </c>
      <c r="B3590" s="11" t="s">
        <v>1857</v>
      </c>
      <c r="C3590" s="11" t="s">
        <v>1849</v>
      </c>
      <c r="D3590" s="6" t="s">
        <v>1850</v>
      </c>
      <c r="E3590" s="12" t="s">
        <v>7784</v>
      </c>
      <c r="F3590" s="12" t="s">
        <v>7785</v>
      </c>
      <c r="G3590" s="12" t="s">
        <v>7786</v>
      </c>
      <c r="H3590" s="12" t="s">
        <v>8035</v>
      </c>
      <c r="I3590" s="12" t="s">
        <v>5862</v>
      </c>
      <c r="J3590" s="11" t="s">
        <v>1856</v>
      </c>
      <c r="K3590" s="11" t="s">
        <v>1852</v>
      </c>
      <c r="L3590" s="11" t="s">
        <v>1853</v>
      </c>
      <c r="M3590" s="11" t="s">
        <v>1854</v>
      </c>
      <c r="N3590" s="12"/>
      <c r="O3590" s="11" t="s">
        <v>1858</v>
      </c>
      <c r="P3590" s="56"/>
    </row>
    <row r="3591" spans="1:16" ht="15.75" customHeight="1" x14ac:dyDescent="0.2">
      <c r="A3591" s="49">
        <v>3112</v>
      </c>
      <c r="B3591" s="11" t="s">
        <v>1857</v>
      </c>
      <c r="C3591" s="11" t="s">
        <v>1849</v>
      </c>
      <c r="D3591" s="6" t="s">
        <v>1850</v>
      </c>
      <c r="E3591" s="12" t="s">
        <v>7784</v>
      </c>
      <c r="F3591" s="12" t="s">
        <v>7785</v>
      </c>
      <c r="G3591" s="12" t="s">
        <v>7802</v>
      </c>
      <c r="H3591" s="12" t="s">
        <v>7826</v>
      </c>
      <c r="I3591" s="12" t="s">
        <v>2416</v>
      </c>
      <c r="J3591" s="11" t="s">
        <v>1856</v>
      </c>
      <c r="K3591" s="11" t="s">
        <v>1852</v>
      </c>
      <c r="L3591" s="11" t="s">
        <v>1853</v>
      </c>
      <c r="M3591" s="11" t="s">
        <v>1854</v>
      </c>
      <c r="N3591" s="12"/>
      <c r="O3591" s="11" t="s">
        <v>1858</v>
      </c>
      <c r="P3591" s="56"/>
    </row>
    <row r="3592" spans="1:16" ht="15.75" customHeight="1" x14ac:dyDescent="0.2">
      <c r="A3592" s="49">
        <v>3412</v>
      </c>
      <c r="B3592" s="11" t="s">
        <v>1857</v>
      </c>
      <c r="C3592" s="11" t="s">
        <v>1849</v>
      </c>
      <c r="D3592" s="6" t="s">
        <v>1850</v>
      </c>
      <c r="E3592" s="12" t="s">
        <v>7784</v>
      </c>
      <c r="F3592" s="12" t="s">
        <v>7785</v>
      </c>
      <c r="G3592" s="12" t="s">
        <v>7786</v>
      </c>
      <c r="H3592" s="12" t="s">
        <v>8036</v>
      </c>
      <c r="I3592" s="12" t="s">
        <v>8037</v>
      </c>
      <c r="J3592" s="11" t="s">
        <v>1856</v>
      </c>
      <c r="K3592" s="11" t="s">
        <v>1852</v>
      </c>
      <c r="L3592" s="11" t="s">
        <v>1853</v>
      </c>
      <c r="M3592" s="11" t="s">
        <v>3894</v>
      </c>
      <c r="N3592" s="12" t="s">
        <v>8038</v>
      </c>
      <c r="O3592" s="11" t="s">
        <v>1858</v>
      </c>
      <c r="P3592" s="56"/>
    </row>
    <row r="3593" spans="1:16" ht="15.75" customHeight="1" x14ac:dyDescent="0.2">
      <c r="A3593" s="49">
        <v>3427</v>
      </c>
      <c r="B3593" s="11" t="s">
        <v>1857</v>
      </c>
      <c r="C3593" s="11" t="s">
        <v>1849</v>
      </c>
      <c r="D3593" s="6" t="s">
        <v>1850</v>
      </c>
      <c r="E3593" s="12" t="s">
        <v>7784</v>
      </c>
      <c r="F3593" s="12" t="s">
        <v>7785</v>
      </c>
      <c r="G3593" s="12" t="s">
        <v>7786</v>
      </c>
      <c r="H3593" s="12" t="s">
        <v>8039</v>
      </c>
      <c r="I3593" s="12" t="s">
        <v>8040</v>
      </c>
      <c r="J3593" s="11" t="s">
        <v>1851</v>
      </c>
      <c r="K3593" s="11" t="s">
        <v>1852</v>
      </c>
      <c r="L3593" s="11" t="s">
        <v>1853</v>
      </c>
      <c r="M3593" s="11" t="s">
        <v>1854</v>
      </c>
      <c r="N3593" s="12"/>
      <c r="O3593" s="11" t="s">
        <v>1858</v>
      </c>
      <c r="P3593" s="56"/>
    </row>
    <row r="3594" spans="1:16" ht="15.75" customHeight="1" x14ac:dyDescent="0.2">
      <c r="A3594" s="49">
        <v>3959</v>
      </c>
      <c r="B3594" s="11" t="s">
        <v>1857</v>
      </c>
      <c r="C3594" s="11" t="s">
        <v>1849</v>
      </c>
      <c r="D3594" s="6" t="s">
        <v>1850</v>
      </c>
      <c r="E3594" s="12" t="s">
        <v>7784</v>
      </c>
      <c r="F3594" s="12" t="s">
        <v>7785</v>
      </c>
      <c r="G3594" s="12" t="s">
        <v>2723</v>
      </c>
      <c r="H3594" s="12" t="s">
        <v>8041</v>
      </c>
      <c r="I3594" s="12" t="s">
        <v>8042</v>
      </c>
      <c r="J3594" s="11" t="s">
        <v>1856</v>
      </c>
      <c r="K3594" s="11" t="s">
        <v>1852</v>
      </c>
      <c r="L3594" s="11" t="s">
        <v>1853</v>
      </c>
      <c r="M3594" s="11" t="s">
        <v>8043</v>
      </c>
      <c r="N3594" s="12"/>
      <c r="O3594" s="11" t="s">
        <v>1858</v>
      </c>
      <c r="P3594" s="56"/>
    </row>
    <row r="3595" spans="1:16" ht="15.75" customHeight="1" x14ac:dyDescent="0.2">
      <c r="A3595" s="49">
        <v>5896</v>
      </c>
      <c r="B3595" s="11" t="s">
        <v>1857</v>
      </c>
      <c r="C3595" s="11" t="s">
        <v>1849</v>
      </c>
      <c r="D3595" s="6" t="s">
        <v>1850</v>
      </c>
      <c r="E3595" s="12" t="s">
        <v>7784</v>
      </c>
      <c r="F3595" s="12" t="s">
        <v>7785</v>
      </c>
      <c r="G3595" s="12" t="s">
        <v>7802</v>
      </c>
      <c r="H3595" s="12" t="s">
        <v>5715</v>
      </c>
      <c r="I3595" s="12" t="s">
        <v>8044</v>
      </c>
      <c r="J3595" s="11" t="s">
        <v>1856</v>
      </c>
      <c r="K3595" s="11" t="s">
        <v>1852</v>
      </c>
      <c r="L3595" s="11" t="s">
        <v>1853</v>
      </c>
      <c r="M3595" s="11" t="s">
        <v>8045</v>
      </c>
      <c r="N3595" s="12" t="s">
        <v>8046</v>
      </c>
      <c r="O3595" s="11" t="s">
        <v>1859</v>
      </c>
      <c r="P3595" s="56"/>
    </row>
    <row r="3596" spans="1:16" ht="15.75" customHeight="1" x14ac:dyDescent="0.2">
      <c r="A3596" s="49">
        <v>3146</v>
      </c>
      <c r="B3596" s="11" t="s">
        <v>1857</v>
      </c>
      <c r="C3596" s="11" t="s">
        <v>1849</v>
      </c>
      <c r="D3596" s="6" t="s">
        <v>1850</v>
      </c>
      <c r="E3596" s="12" t="s">
        <v>7784</v>
      </c>
      <c r="F3596" s="12" t="s">
        <v>7785</v>
      </c>
      <c r="G3596" s="12" t="s">
        <v>7802</v>
      </c>
      <c r="H3596" s="12" t="s">
        <v>7803</v>
      </c>
      <c r="I3596" s="12" t="s">
        <v>4489</v>
      </c>
      <c r="J3596" s="11" t="s">
        <v>1856</v>
      </c>
      <c r="K3596" s="11" t="s">
        <v>1852</v>
      </c>
      <c r="L3596" s="11" t="s">
        <v>1853</v>
      </c>
      <c r="M3596" s="11" t="s">
        <v>2316</v>
      </c>
      <c r="N3596" s="12" t="s">
        <v>8047</v>
      </c>
      <c r="O3596" s="11" t="s">
        <v>7931</v>
      </c>
      <c r="P3596" s="56"/>
    </row>
    <row r="3597" spans="1:16" ht="15.75" customHeight="1" x14ac:dyDescent="0.2">
      <c r="A3597" s="49">
        <v>3180</v>
      </c>
      <c r="B3597" s="11" t="s">
        <v>1857</v>
      </c>
      <c r="C3597" s="11" t="s">
        <v>1849</v>
      </c>
      <c r="D3597" s="6" t="s">
        <v>1850</v>
      </c>
      <c r="E3597" s="12" t="s">
        <v>7784</v>
      </c>
      <c r="F3597" s="12" t="s">
        <v>7785</v>
      </c>
      <c r="G3597" s="12" t="s">
        <v>7878</v>
      </c>
      <c r="H3597" s="12" t="s">
        <v>6561</v>
      </c>
      <c r="I3597" s="12" t="s">
        <v>8048</v>
      </c>
      <c r="J3597" s="11" t="s">
        <v>1856</v>
      </c>
      <c r="K3597" s="11" t="s">
        <v>1852</v>
      </c>
      <c r="L3597" s="11" t="s">
        <v>1853</v>
      </c>
      <c r="M3597" s="11" t="s">
        <v>7550</v>
      </c>
      <c r="N3597" s="12" t="s">
        <v>8049</v>
      </c>
      <c r="O3597" s="11" t="s">
        <v>1860</v>
      </c>
      <c r="P3597" s="56"/>
    </row>
    <row r="3598" spans="1:16" ht="15.75" customHeight="1" x14ac:dyDescent="0.2">
      <c r="A3598" s="49">
        <v>5293</v>
      </c>
      <c r="B3598" s="11" t="s">
        <v>1857</v>
      </c>
      <c r="C3598" s="11" t="s">
        <v>1849</v>
      </c>
      <c r="D3598" s="6" t="s">
        <v>1850</v>
      </c>
      <c r="E3598" s="12" t="s">
        <v>7784</v>
      </c>
      <c r="F3598" s="12" t="s">
        <v>7785</v>
      </c>
      <c r="G3598" s="12" t="s">
        <v>7786</v>
      </c>
      <c r="H3598" s="12" t="s">
        <v>7848</v>
      </c>
      <c r="I3598" s="12" t="s">
        <v>8050</v>
      </c>
      <c r="J3598" s="11" t="s">
        <v>1851</v>
      </c>
      <c r="K3598" s="11" t="s">
        <v>1852</v>
      </c>
      <c r="L3598" s="11" t="s">
        <v>1853</v>
      </c>
      <c r="M3598" s="11" t="s">
        <v>7371</v>
      </c>
      <c r="N3598" s="12" t="s">
        <v>8051</v>
      </c>
      <c r="O3598" s="11" t="s">
        <v>1860</v>
      </c>
      <c r="P3598" s="56"/>
    </row>
    <row r="3599" spans="1:16" ht="15.75" customHeight="1" x14ac:dyDescent="0.2">
      <c r="A3599" s="49">
        <v>3142</v>
      </c>
      <c r="B3599" s="11" t="s">
        <v>1857</v>
      </c>
      <c r="C3599" s="11" t="s">
        <v>1849</v>
      </c>
      <c r="D3599" s="6" t="s">
        <v>1850</v>
      </c>
      <c r="E3599" s="12" t="s">
        <v>7784</v>
      </c>
      <c r="F3599" s="12" t="s">
        <v>7785</v>
      </c>
      <c r="G3599" s="12" t="s">
        <v>7802</v>
      </c>
      <c r="H3599" s="12" t="s">
        <v>5715</v>
      </c>
      <c r="I3599" s="12" t="s">
        <v>8052</v>
      </c>
      <c r="J3599" s="11" t="s">
        <v>1856</v>
      </c>
      <c r="K3599" s="11" t="s">
        <v>1852</v>
      </c>
      <c r="L3599" s="11" t="s">
        <v>1853</v>
      </c>
      <c r="M3599" s="11" t="s">
        <v>6812</v>
      </c>
      <c r="N3599" s="12" t="s">
        <v>8053</v>
      </c>
      <c r="O3599" s="11" t="s">
        <v>1858</v>
      </c>
      <c r="P3599" s="56"/>
    </row>
    <row r="3600" spans="1:16" ht="15.75" customHeight="1" x14ac:dyDescent="0.2">
      <c r="A3600" s="49">
        <v>3957</v>
      </c>
      <c r="B3600" s="11" t="s">
        <v>1857</v>
      </c>
      <c r="C3600" s="11" t="s">
        <v>1849</v>
      </c>
      <c r="D3600" s="6" t="s">
        <v>1850</v>
      </c>
      <c r="E3600" s="12" t="s">
        <v>7784</v>
      </c>
      <c r="F3600" s="12" t="s">
        <v>7785</v>
      </c>
      <c r="G3600" s="12" t="s">
        <v>2723</v>
      </c>
      <c r="H3600" s="12" t="s">
        <v>6556</v>
      </c>
      <c r="I3600" s="12" t="s">
        <v>5359</v>
      </c>
      <c r="J3600" s="11" t="s">
        <v>1856</v>
      </c>
      <c r="K3600" s="11" t="s">
        <v>1852</v>
      </c>
      <c r="L3600" s="11" t="s">
        <v>1853</v>
      </c>
      <c r="M3600" s="11" t="s">
        <v>1854</v>
      </c>
      <c r="N3600" s="12"/>
      <c r="O3600" s="11" t="s">
        <v>1859</v>
      </c>
      <c r="P3600" s="56"/>
    </row>
    <row r="3601" spans="1:16" ht="15.75" customHeight="1" x14ac:dyDescent="0.2">
      <c r="A3601" s="49">
        <v>3166</v>
      </c>
      <c r="B3601" s="11" t="s">
        <v>1857</v>
      </c>
      <c r="C3601" s="11" t="s">
        <v>1849</v>
      </c>
      <c r="D3601" s="6" t="s">
        <v>1850</v>
      </c>
      <c r="E3601" s="12" t="s">
        <v>7784</v>
      </c>
      <c r="F3601" s="12" t="s">
        <v>7785</v>
      </c>
      <c r="G3601" s="12" t="s">
        <v>7802</v>
      </c>
      <c r="H3601" s="12" t="s">
        <v>7947</v>
      </c>
      <c r="I3601" s="12" t="s">
        <v>3067</v>
      </c>
      <c r="J3601" s="11" t="s">
        <v>1856</v>
      </c>
      <c r="K3601" s="11" t="s">
        <v>1852</v>
      </c>
      <c r="L3601" s="11" t="s">
        <v>1853</v>
      </c>
      <c r="M3601" s="11" t="s">
        <v>8054</v>
      </c>
      <c r="N3601" s="12" t="s">
        <v>8055</v>
      </c>
      <c r="O3601" s="11" t="s">
        <v>1858</v>
      </c>
      <c r="P3601" s="56"/>
    </row>
    <row r="3602" spans="1:16" ht="15.75" customHeight="1" x14ac:dyDescent="0.2">
      <c r="A3602" s="49">
        <v>3961</v>
      </c>
      <c r="B3602" s="11" t="s">
        <v>1857</v>
      </c>
      <c r="C3602" s="11" t="s">
        <v>1849</v>
      </c>
      <c r="D3602" s="6" t="s">
        <v>1850</v>
      </c>
      <c r="E3602" s="12" t="s">
        <v>7784</v>
      </c>
      <c r="F3602" s="12" t="s">
        <v>7785</v>
      </c>
      <c r="G3602" s="12" t="s">
        <v>2723</v>
      </c>
      <c r="H3602" s="12" t="s">
        <v>8041</v>
      </c>
      <c r="I3602" s="12" t="s">
        <v>3067</v>
      </c>
      <c r="J3602" s="11" t="s">
        <v>1856</v>
      </c>
      <c r="K3602" s="11" t="s">
        <v>1852</v>
      </c>
      <c r="L3602" s="11" t="s">
        <v>1853</v>
      </c>
      <c r="M3602" s="11" t="s">
        <v>1854</v>
      </c>
      <c r="N3602" s="12"/>
      <c r="O3602" s="11" t="s">
        <v>1858</v>
      </c>
      <c r="P3602" s="56"/>
    </row>
    <row r="3603" spans="1:16" ht="15.75" customHeight="1" x14ac:dyDescent="0.2">
      <c r="A3603" s="49">
        <v>3951</v>
      </c>
      <c r="B3603" s="11" t="s">
        <v>1857</v>
      </c>
      <c r="C3603" s="11" t="s">
        <v>1849</v>
      </c>
      <c r="D3603" s="6" t="s">
        <v>1850</v>
      </c>
      <c r="E3603" s="12" t="s">
        <v>7784</v>
      </c>
      <c r="F3603" s="12" t="s">
        <v>7785</v>
      </c>
      <c r="G3603" s="12" t="s">
        <v>2723</v>
      </c>
      <c r="H3603" s="12" t="s">
        <v>7904</v>
      </c>
      <c r="I3603" s="12" t="s">
        <v>8056</v>
      </c>
      <c r="J3603" s="11" t="s">
        <v>1856</v>
      </c>
      <c r="K3603" s="11" t="s">
        <v>1852</v>
      </c>
      <c r="L3603" s="11" t="s">
        <v>1853</v>
      </c>
      <c r="M3603" s="11" t="s">
        <v>1854</v>
      </c>
      <c r="N3603" s="12"/>
      <c r="O3603" s="11" t="s">
        <v>1858</v>
      </c>
      <c r="P3603" s="56"/>
    </row>
    <row r="3604" spans="1:16" ht="15.75" customHeight="1" x14ac:dyDescent="0.2">
      <c r="A3604" s="49">
        <v>3442</v>
      </c>
      <c r="B3604" s="11" t="s">
        <v>1857</v>
      </c>
      <c r="C3604" s="11" t="s">
        <v>1849</v>
      </c>
      <c r="D3604" s="6" t="s">
        <v>1850</v>
      </c>
      <c r="E3604" s="12" t="s">
        <v>7784</v>
      </c>
      <c r="F3604" s="12" t="s">
        <v>7785</v>
      </c>
      <c r="G3604" s="12" t="s">
        <v>7786</v>
      </c>
      <c r="H3604" s="12" t="s">
        <v>7807</v>
      </c>
      <c r="I3604" s="12" t="s">
        <v>8057</v>
      </c>
      <c r="J3604" s="11" t="s">
        <v>1851</v>
      </c>
      <c r="K3604" s="11" t="s">
        <v>1852</v>
      </c>
      <c r="L3604" s="11" t="s">
        <v>1853</v>
      </c>
      <c r="M3604" s="11" t="s">
        <v>8058</v>
      </c>
      <c r="N3604" s="12" t="s">
        <v>8059</v>
      </c>
      <c r="O3604" s="11" t="s">
        <v>1858</v>
      </c>
      <c r="P3604" s="56"/>
    </row>
    <row r="3605" spans="1:16" ht="15.75" customHeight="1" x14ac:dyDescent="0.2">
      <c r="A3605" s="49">
        <v>3407</v>
      </c>
      <c r="B3605" s="11" t="s">
        <v>1857</v>
      </c>
      <c r="C3605" s="11" t="s">
        <v>1849</v>
      </c>
      <c r="D3605" s="6" t="s">
        <v>1850</v>
      </c>
      <c r="E3605" s="12" t="s">
        <v>7784</v>
      </c>
      <c r="F3605" s="12" t="s">
        <v>7785</v>
      </c>
      <c r="G3605" s="12" t="s">
        <v>7786</v>
      </c>
      <c r="H3605" s="12" t="s">
        <v>7815</v>
      </c>
      <c r="I3605" s="12" t="s">
        <v>8060</v>
      </c>
      <c r="J3605" s="11" t="s">
        <v>1856</v>
      </c>
      <c r="K3605" s="11" t="s">
        <v>1852</v>
      </c>
      <c r="L3605" s="11" t="s">
        <v>1853</v>
      </c>
      <c r="M3605" s="11" t="s">
        <v>1854</v>
      </c>
      <c r="N3605" s="12"/>
      <c r="O3605" s="11" t="s">
        <v>1859</v>
      </c>
      <c r="P3605" s="56"/>
    </row>
    <row r="3606" spans="1:16" ht="15.75" customHeight="1" x14ac:dyDescent="0.2">
      <c r="A3606" s="49">
        <v>3406</v>
      </c>
      <c r="B3606" s="11" t="s">
        <v>1857</v>
      </c>
      <c r="C3606" s="11" t="s">
        <v>1849</v>
      </c>
      <c r="D3606" s="6" t="s">
        <v>1850</v>
      </c>
      <c r="E3606" s="12" t="s">
        <v>7784</v>
      </c>
      <c r="F3606" s="12" t="s">
        <v>7785</v>
      </c>
      <c r="G3606" s="12" t="s">
        <v>7786</v>
      </c>
      <c r="H3606" s="12" t="s">
        <v>7815</v>
      </c>
      <c r="I3606" s="12" t="s">
        <v>8061</v>
      </c>
      <c r="J3606" s="11" t="s">
        <v>1851</v>
      </c>
      <c r="K3606" s="11" t="s">
        <v>1852</v>
      </c>
      <c r="L3606" s="11" t="s">
        <v>1853</v>
      </c>
      <c r="M3606" s="11" t="s">
        <v>1854</v>
      </c>
      <c r="N3606" s="12"/>
      <c r="O3606" s="11" t="s">
        <v>1858</v>
      </c>
      <c r="P3606" s="56"/>
    </row>
    <row r="3607" spans="1:16" ht="15.75" customHeight="1" x14ac:dyDescent="0.2">
      <c r="A3607" s="49">
        <v>3163</v>
      </c>
      <c r="B3607" s="11" t="s">
        <v>1857</v>
      </c>
      <c r="C3607" s="11" t="s">
        <v>1849</v>
      </c>
      <c r="D3607" s="6" t="s">
        <v>1850</v>
      </c>
      <c r="E3607" s="12" t="s">
        <v>7784</v>
      </c>
      <c r="F3607" s="12" t="s">
        <v>7785</v>
      </c>
      <c r="G3607" s="12" t="s">
        <v>7802</v>
      </c>
      <c r="H3607" s="12" t="s">
        <v>7841</v>
      </c>
      <c r="I3607" s="12" t="s">
        <v>6596</v>
      </c>
      <c r="J3607" s="11" t="s">
        <v>1856</v>
      </c>
      <c r="K3607" s="11" t="s">
        <v>1852</v>
      </c>
      <c r="L3607" s="11" t="s">
        <v>1853</v>
      </c>
      <c r="M3607" s="11" t="s">
        <v>7836</v>
      </c>
      <c r="N3607" s="12"/>
      <c r="O3607" s="11" t="s">
        <v>1858</v>
      </c>
      <c r="P3607" s="56"/>
    </row>
    <row r="3608" spans="1:16" ht="15.75" customHeight="1" x14ac:dyDescent="0.2">
      <c r="A3608" s="49">
        <v>3121</v>
      </c>
      <c r="B3608" s="11" t="s">
        <v>1857</v>
      </c>
      <c r="C3608" s="11" t="s">
        <v>1849</v>
      </c>
      <c r="D3608" s="6" t="s">
        <v>1850</v>
      </c>
      <c r="E3608" s="12" t="s">
        <v>7784</v>
      </c>
      <c r="F3608" s="12" t="s">
        <v>7785</v>
      </c>
      <c r="G3608" s="12" t="s">
        <v>7802</v>
      </c>
      <c r="H3608" s="12" t="s">
        <v>7826</v>
      </c>
      <c r="I3608" s="12" t="s">
        <v>8062</v>
      </c>
      <c r="J3608" s="11" t="s">
        <v>1856</v>
      </c>
      <c r="K3608" s="11" t="s">
        <v>1852</v>
      </c>
      <c r="L3608" s="11" t="s">
        <v>1853</v>
      </c>
      <c r="M3608" s="11" t="s">
        <v>7520</v>
      </c>
      <c r="N3608" s="12" t="s">
        <v>8063</v>
      </c>
      <c r="O3608" s="11" t="s">
        <v>1858</v>
      </c>
      <c r="P3608" s="56"/>
    </row>
    <row r="3609" spans="1:16" ht="15.75" customHeight="1" x14ac:dyDescent="0.2">
      <c r="A3609" s="49">
        <v>3188</v>
      </c>
      <c r="B3609" s="11" t="s">
        <v>1857</v>
      </c>
      <c r="C3609" s="11" t="s">
        <v>1849</v>
      </c>
      <c r="D3609" s="6" t="s">
        <v>1850</v>
      </c>
      <c r="E3609" s="12" t="s">
        <v>7784</v>
      </c>
      <c r="F3609" s="12" t="s">
        <v>7785</v>
      </c>
      <c r="G3609" s="12" t="s">
        <v>7878</v>
      </c>
      <c r="H3609" s="12" t="s">
        <v>2628</v>
      </c>
      <c r="I3609" s="12" t="s">
        <v>3073</v>
      </c>
      <c r="J3609" s="11" t="s">
        <v>1851</v>
      </c>
      <c r="K3609" s="11" t="s">
        <v>1852</v>
      </c>
      <c r="L3609" s="11" t="s">
        <v>1853</v>
      </c>
      <c r="M3609" s="11" t="s">
        <v>7402</v>
      </c>
      <c r="N3609" s="12" t="s">
        <v>8064</v>
      </c>
      <c r="O3609" s="11" t="s">
        <v>1858</v>
      </c>
      <c r="P3609" s="56"/>
    </row>
    <row r="3610" spans="1:16" ht="15.75" customHeight="1" x14ac:dyDescent="0.2">
      <c r="A3610" s="49">
        <v>3972</v>
      </c>
      <c r="B3610" s="11" t="s">
        <v>1857</v>
      </c>
      <c r="C3610" s="11" t="s">
        <v>1849</v>
      </c>
      <c r="D3610" s="6" t="s">
        <v>1850</v>
      </c>
      <c r="E3610" s="12" t="s">
        <v>7784</v>
      </c>
      <c r="F3610" s="12" t="s">
        <v>7785</v>
      </c>
      <c r="G3610" s="12" t="s">
        <v>2723</v>
      </c>
      <c r="H3610" s="12" t="s">
        <v>7868</v>
      </c>
      <c r="I3610" s="12" t="s">
        <v>8065</v>
      </c>
      <c r="J3610" s="11" t="s">
        <v>1856</v>
      </c>
      <c r="K3610" s="11" t="s">
        <v>1852</v>
      </c>
      <c r="L3610" s="11" t="s">
        <v>1853</v>
      </c>
      <c r="M3610" s="11" t="s">
        <v>1854</v>
      </c>
      <c r="N3610" s="12"/>
      <c r="O3610" s="11" t="s">
        <v>1860</v>
      </c>
      <c r="P3610" s="56"/>
    </row>
    <row r="3611" spans="1:16" ht="15.75" customHeight="1" x14ac:dyDescent="0.2">
      <c r="A3611" s="49">
        <v>3110</v>
      </c>
      <c r="B3611" s="11" t="s">
        <v>1857</v>
      </c>
      <c r="C3611" s="11" t="s">
        <v>1849</v>
      </c>
      <c r="D3611" s="6" t="s">
        <v>1850</v>
      </c>
      <c r="E3611" s="12" t="s">
        <v>7784</v>
      </c>
      <c r="F3611" s="12" t="s">
        <v>7785</v>
      </c>
      <c r="G3611" s="12" t="s">
        <v>7802</v>
      </c>
      <c r="H3611" s="12" t="s">
        <v>2728</v>
      </c>
      <c r="I3611" s="12" t="s">
        <v>8066</v>
      </c>
      <c r="J3611" s="11" t="s">
        <v>1856</v>
      </c>
      <c r="K3611" s="11" t="s">
        <v>1852</v>
      </c>
      <c r="L3611" s="11" t="s">
        <v>1853</v>
      </c>
      <c r="M3611" s="11" t="s">
        <v>3894</v>
      </c>
      <c r="N3611" s="12" t="s">
        <v>8067</v>
      </c>
      <c r="O3611" s="11" t="s">
        <v>1858</v>
      </c>
      <c r="P3611" s="56"/>
    </row>
    <row r="3612" spans="1:16" ht="15.75" customHeight="1" x14ac:dyDescent="0.2">
      <c r="A3612" s="49">
        <v>3965</v>
      </c>
      <c r="B3612" s="11" t="s">
        <v>1857</v>
      </c>
      <c r="C3612" s="11" t="s">
        <v>1849</v>
      </c>
      <c r="D3612" s="6" t="s">
        <v>1850</v>
      </c>
      <c r="E3612" s="12" t="s">
        <v>7784</v>
      </c>
      <c r="F3612" s="12" t="s">
        <v>7785</v>
      </c>
      <c r="G3612" s="12" t="s">
        <v>2723</v>
      </c>
      <c r="H3612" s="12" t="s">
        <v>8068</v>
      </c>
      <c r="I3612" s="12" t="s">
        <v>8069</v>
      </c>
      <c r="J3612" s="11" t="s">
        <v>1851</v>
      </c>
      <c r="K3612" s="11" t="s">
        <v>1852</v>
      </c>
      <c r="L3612" s="11" t="s">
        <v>1853</v>
      </c>
      <c r="M3612" s="11" t="s">
        <v>8070</v>
      </c>
      <c r="N3612" s="12" t="s">
        <v>8071</v>
      </c>
      <c r="O3612" s="11" t="s">
        <v>1858</v>
      </c>
      <c r="P3612" s="56"/>
    </row>
    <row r="3613" spans="1:16" ht="15.75" customHeight="1" x14ac:dyDescent="0.2">
      <c r="A3613" s="49">
        <v>3443</v>
      </c>
      <c r="B3613" s="11" t="s">
        <v>1857</v>
      </c>
      <c r="C3613" s="11" t="s">
        <v>1849</v>
      </c>
      <c r="D3613" s="6" t="s">
        <v>1850</v>
      </c>
      <c r="E3613" s="12" t="s">
        <v>7784</v>
      </c>
      <c r="F3613" s="12" t="s">
        <v>7785</v>
      </c>
      <c r="G3613" s="12" t="s">
        <v>7786</v>
      </c>
      <c r="H3613" s="12" t="s">
        <v>5168</v>
      </c>
      <c r="I3613" s="12" t="s">
        <v>8072</v>
      </c>
      <c r="J3613" s="11" t="s">
        <v>1856</v>
      </c>
      <c r="K3613" s="11" t="s">
        <v>1852</v>
      </c>
      <c r="L3613" s="11" t="s">
        <v>1853</v>
      </c>
      <c r="M3613" s="11" t="s">
        <v>7863</v>
      </c>
      <c r="N3613" s="12" t="s">
        <v>8073</v>
      </c>
      <c r="O3613" s="11" t="s">
        <v>1858</v>
      </c>
      <c r="P3613" s="56"/>
    </row>
    <row r="3614" spans="1:16" ht="15.75" customHeight="1" x14ac:dyDescent="0.2">
      <c r="A3614" s="49">
        <v>3444</v>
      </c>
      <c r="B3614" s="11" t="s">
        <v>1857</v>
      </c>
      <c r="C3614" s="11" t="s">
        <v>1849</v>
      </c>
      <c r="D3614" s="6" t="s">
        <v>1850</v>
      </c>
      <c r="E3614" s="12" t="s">
        <v>7784</v>
      </c>
      <c r="F3614" s="12" t="s">
        <v>7785</v>
      </c>
      <c r="G3614" s="12" t="s">
        <v>7786</v>
      </c>
      <c r="H3614" s="12" t="s">
        <v>5168</v>
      </c>
      <c r="I3614" s="12" t="s">
        <v>8074</v>
      </c>
      <c r="J3614" s="11" t="s">
        <v>1856</v>
      </c>
      <c r="K3614" s="11" t="s">
        <v>1852</v>
      </c>
      <c r="L3614" s="11" t="s">
        <v>1853</v>
      </c>
      <c r="M3614" s="11" t="s">
        <v>1854</v>
      </c>
      <c r="N3614" s="12"/>
      <c r="O3614" s="11" t="s">
        <v>1858</v>
      </c>
      <c r="P3614" s="56"/>
    </row>
    <row r="3615" spans="1:16" ht="15.75" customHeight="1" x14ac:dyDescent="0.2">
      <c r="A3615" s="49">
        <v>3039</v>
      </c>
      <c r="B3615" s="11" t="s">
        <v>1857</v>
      </c>
      <c r="C3615" s="11" t="s">
        <v>1849</v>
      </c>
      <c r="D3615" s="6" t="s">
        <v>1850</v>
      </c>
      <c r="E3615" s="12" t="s">
        <v>7784</v>
      </c>
      <c r="F3615" s="12" t="s">
        <v>7785</v>
      </c>
      <c r="G3615" s="12" t="s">
        <v>7789</v>
      </c>
      <c r="H3615" s="12" t="s">
        <v>7865</v>
      </c>
      <c r="I3615" s="12" t="s">
        <v>8075</v>
      </c>
      <c r="J3615" s="11" t="s">
        <v>1851</v>
      </c>
      <c r="K3615" s="11" t="s">
        <v>1852</v>
      </c>
      <c r="L3615" s="11" t="s">
        <v>1853</v>
      </c>
      <c r="M3615" s="11" t="s">
        <v>6780</v>
      </c>
      <c r="N3615" s="12" t="s">
        <v>8076</v>
      </c>
      <c r="O3615" s="11" t="s">
        <v>1858</v>
      </c>
      <c r="P3615" s="56"/>
    </row>
    <row r="3616" spans="1:16" ht="15.75" customHeight="1" x14ac:dyDescent="0.2">
      <c r="A3616" s="49">
        <v>3396</v>
      </c>
      <c r="B3616" s="11" t="s">
        <v>1857</v>
      </c>
      <c r="C3616" s="11" t="s">
        <v>1849</v>
      </c>
      <c r="D3616" s="6" t="s">
        <v>1850</v>
      </c>
      <c r="E3616" s="12" t="s">
        <v>7784</v>
      </c>
      <c r="F3616" s="12" t="s">
        <v>7785</v>
      </c>
      <c r="G3616" s="12" t="s">
        <v>7786</v>
      </c>
      <c r="H3616" s="12" t="s">
        <v>7787</v>
      </c>
      <c r="I3616" s="12" t="s">
        <v>8077</v>
      </c>
      <c r="J3616" s="11" t="s">
        <v>1851</v>
      </c>
      <c r="K3616" s="11" t="s">
        <v>1852</v>
      </c>
      <c r="L3616" s="11" t="s">
        <v>1853</v>
      </c>
      <c r="M3616" s="11" t="s">
        <v>8078</v>
      </c>
      <c r="N3616" s="12" t="s">
        <v>8079</v>
      </c>
      <c r="O3616" s="11" t="s">
        <v>1860</v>
      </c>
      <c r="P3616" s="56"/>
    </row>
    <row r="3617" spans="1:16" ht="15.75" customHeight="1" x14ac:dyDescent="0.2">
      <c r="A3617" s="49">
        <v>3164</v>
      </c>
      <c r="B3617" s="11" t="s">
        <v>1857</v>
      </c>
      <c r="C3617" s="11" t="s">
        <v>1849</v>
      </c>
      <c r="D3617" s="6" t="s">
        <v>1850</v>
      </c>
      <c r="E3617" s="12" t="s">
        <v>7784</v>
      </c>
      <c r="F3617" s="12" t="s">
        <v>7785</v>
      </c>
      <c r="G3617" s="12" t="s">
        <v>7802</v>
      </c>
      <c r="H3617" s="12" t="s">
        <v>7841</v>
      </c>
      <c r="I3617" s="12" t="s">
        <v>8080</v>
      </c>
      <c r="J3617" s="11" t="s">
        <v>1856</v>
      </c>
      <c r="K3617" s="11" t="s">
        <v>1852</v>
      </c>
      <c r="L3617" s="11" t="s">
        <v>1853</v>
      </c>
      <c r="M3617" s="11" t="s">
        <v>1854</v>
      </c>
      <c r="N3617" s="12"/>
      <c r="O3617" s="11" t="s">
        <v>1858</v>
      </c>
      <c r="P3617" s="56"/>
    </row>
    <row r="3618" spans="1:16" ht="15.75" customHeight="1" x14ac:dyDescent="0.2">
      <c r="A3618" s="49">
        <v>3137</v>
      </c>
      <c r="B3618" s="11" t="s">
        <v>1857</v>
      </c>
      <c r="C3618" s="11" t="s">
        <v>1849</v>
      </c>
      <c r="D3618" s="6" t="s">
        <v>1850</v>
      </c>
      <c r="E3618" s="12" t="s">
        <v>7784</v>
      </c>
      <c r="F3618" s="12" t="s">
        <v>7785</v>
      </c>
      <c r="G3618" s="12" t="s">
        <v>7802</v>
      </c>
      <c r="H3618" s="12" t="s">
        <v>5715</v>
      </c>
      <c r="I3618" s="12" t="s">
        <v>8081</v>
      </c>
      <c r="J3618" s="11" t="s">
        <v>1856</v>
      </c>
      <c r="K3618" s="11" t="s">
        <v>1852</v>
      </c>
      <c r="L3618" s="11" t="s">
        <v>1853</v>
      </c>
      <c r="M3618" s="11" t="s">
        <v>1854</v>
      </c>
      <c r="N3618" s="12"/>
      <c r="O3618" s="11" t="s">
        <v>2755</v>
      </c>
      <c r="P3618" s="56"/>
    </row>
    <row r="3619" spans="1:16" ht="15.75" customHeight="1" x14ac:dyDescent="0.2">
      <c r="A3619" s="49">
        <v>3464</v>
      </c>
      <c r="B3619" s="11" t="s">
        <v>1857</v>
      </c>
      <c r="C3619" s="11" t="s">
        <v>1849</v>
      </c>
      <c r="D3619" s="6" t="s">
        <v>1850</v>
      </c>
      <c r="E3619" s="12" t="s">
        <v>7784</v>
      </c>
      <c r="F3619" s="12" t="s">
        <v>7785</v>
      </c>
      <c r="G3619" s="12" t="s">
        <v>7786</v>
      </c>
      <c r="H3619" s="12" t="s">
        <v>7848</v>
      </c>
      <c r="I3619" s="12" t="s">
        <v>5390</v>
      </c>
      <c r="J3619" s="11" t="s">
        <v>1851</v>
      </c>
      <c r="K3619" s="11" t="s">
        <v>1852</v>
      </c>
      <c r="L3619" s="11" t="s">
        <v>1853</v>
      </c>
      <c r="M3619" s="11" t="s">
        <v>8082</v>
      </c>
      <c r="N3619" s="12" t="s">
        <v>8083</v>
      </c>
      <c r="O3619" s="11" t="s">
        <v>1860</v>
      </c>
      <c r="P3619" s="56"/>
    </row>
    <row r="3620" spans="1:16" ht="15.75" customHeight="1" x14ac:dyDescent="0.2">
      <c r="A3620" s="49">
        <v>3019</v>
      </c>
      <c r="B3620" s="11" t="s">
        <v>1857</v>
      </c>
      <c r="C3620" s="11" t="s">
        <v>1849</v>
      </c>
      <c r="D3620" s="6" t="s">
        <v>1850</v>
      </c>
      <c r="E3620" s="12" t="s">
        <v>7784</v>
      </c>
      <c r="F3620" s="12" t="s">
        <v>7785</v>
      </c>
      <c r="G3620" s="12" t="s">
        <v>7789</v>
      </c>
      <c r="H3620" s="12" t="s">
        <v>7852</v>
      </c>
      <c r="I3620" s="12" t="s">
        <v>1309</v>
      </c>
      <c r="J3620" s="11" t="s">
        <v>1851</v>
      </c>
      <c r="K3620" s="11" t="s">
        <v>1852</v>
      </c>
      <c r="L3620" s="11" t="s">
        <v>1853</v>
      </c>
      <c r="M3620" s="11" t="s">
        <v>7836</v>
      </c>
      <c r="N3620" s="12"/>
      <c r="O3620" s="11" t="s">
        <v>1858</v>
      </c>
      <c r="P3620" s="56"/>
    </row>
    <row r="3621" spans="1:16" ht="15.75" customHeight="1" x14ac:dyDescent="0.2">
      <c r="A3621" s="49">
        <v>3066</v>
      </c>
      <c r="B3621" s="11" t="s">
        <v>1857</v>
      </c>
      <c r="C3621" s="11" t="s">
        <v>1849</v>
      </c>
      <c r="D3621" s="6" t="s">
        <v>1850</v>
      </c>
      <c r="E3621" s="12" t="s">
        <v>7784</v>
      </c>
      <c r="F3621" s="12" t="s">
        <v>7785</v>
      </c>
      <c r="G3621" s="12" t="s">
        <v>7789</v>
      </c>
      <c r="H3621" s="12" t="s">
        <v>7830</v>
      </c>
      <c r="I3621" s="12" t="s">
        <v>2535</v>
      </c>
      <c r="J3621" s="11" t="s">
        <v>1851</v>
      </c>
      <c r="K3621" s="11" t="s">
        <v>1852</v>
      </c>
      <c r="L3621" s="11" t="s">
        <v>1853</v>
      </c>
      <c r="M3621" s="11" t="s">
        <v>8084</v>
      </c>
      <c r="N3621" s="12" t="s">
        <v>8085</v>
      </c>
      <c r="O3621" s="11" t="s">
        <v>1858</v>
      </c>
      <c r="P3621" s="56"/>
    </row>
    <row r="3622" spans="1:16" ht="15.75" customHeight="1" x14ac:dyDescent="0.2">
      <c r="A3622" s="49">
        <v>3148</v>
      </c>
      <c r="B3622" s="11" t="s">
        <v>1857</v>
      </c>
      <c r="C3622" s="11" t="s">
        <v>1849</v>
      </c>
      <c r="D3622" s="6" t="s">
        <v>1850</v>
      </c>
      <c r="E3622" s="12" t="s">
        <v>7784</v>
      </c>
      <c r="F3622" s="12" t="s">
        <v>7785</v>
      </c>
      <c r="G3622" s="12" t="s">
        <v>7802</v>
      </c>
      <c r="H3622" s="12" t="s">
        <v>7803</v>
      </c>
      <c r="I3622" s="12" t="s">
        <v>8086</v>
      </c>
      <c r="J3622" s="11" t="s">
        <v>1856</v>
      </c>
      <c r="K3622" s="11" t="s">
        <v>1852</v>
      </c>
      <c r="L3622" s="11" t="s">
        <v>1853</v>
      </c>
      <c r="M3622" s="11" t="s">
        <v>6858</v>
      </c>
      <c r="N3622" s="12" t="s">
        <v>8087</v>
      </c>
      <c r="O3622" s="11" t="s">
        <v>1858</v>
      </c>
      <c r="P3622" s="56"/>
    </row>
    <row r="3623" spans="1:16" ht="15.75" customHeight="1" x14ac:dyDescent="0.2">
      <c r="A3623" s="49">
        <v>3103</v>
      </c>
      <c r="B3623" s="11" t="s">
        <v>1857</v>
      </c>
      <c r="C3623" s="11" t="s">
        <v>1849</v>
      </c>
      <c r="D3623" s="6" t="s">
        <v>1850</v>
      </c>
      <c r="E3623" s="12" t="s">
        <v>7784</v>
      </c>
      <c r="F3623" s="12" t="s">
        <v>7785</v>
      </c>
      <c r="G3623" s="12" t="s">
        <v>7802</v>
      </c>
      <c r="H3623" s="12" t="s">
        <v>7870</v>
      </c>
      <c r="I3623" s="12" t="s">
        <v>8088</v>
      </c>
      <c r="J3623" s="11" t="s">
        <v>1856</v>
      </c>
      <c r="K3623" s="11" t="s">
        <v>1852</v>
      </c>
      <c r="L3623" s="11" t="s">
        <v>1853</v>
      </c>
      <c r="M3623" s="11" t="s">
        <v>6799</v>
      </c>
      <c r="N3623" s="12" t="s">
        <v>8089</v>
      </c>
      <c r="O3623" s="11" t="s">
        <v>1860</v>
      </c>
      <c r="P3623" s="56"/>
    </row>
    <row r="3624" spans="1:16" ht="15.75" customHeight="1" x14ac:dyDescent="0.2">
      <c r="A3624" s="49">
        <v>3147</v>
      </c>
      <c r="B3624" s="11" t="s">
        <v>1857</v>
      </c>
      <c r="C3624" s="11" t="s">
        <v>1849</v>
      </c>
      <c r="D3624" s="6" t="s">
        <v>1850</v>
      </c>
      <c r="E3624" s="12" t="s">
        <v>7784</v>
      </c>
      <c r="F3624" s="12" t="s">
        <v>7785</v>
      </c>
      <c r="G3624" s="12" t="s">
        <v>7802</v>
      </c>
      <c r="H3624" s="12" t="s">
        <v>7803</v>
      </c>
      <c r="I3624" s="12" t="s">
        <v>8090</v>
      </c>
      <c r="J3624" s="11" t="s">
        <v>1856</v>
      </c>
      <c r="K3624" s="11" t="s">
        <v>1852</v>
      </c>
      <c r="L3624" s="11" t="s">
        <v>1853</v>
      </c>
      <c r="M3624" s="11" t="s">
        <v>8091</v>
      </c>
      <c r="N3624" s="12" t="s">
        <v>8092</v>
      </c>
      <c r="O3624" s="11" t="s">
        <v>1858</v>
      </c>
      <c r="P3624" s="56"/>
    </row>
    <row r="3625" spans="1:16" ht="15.75" customHeight="1" x14ac:dyDescent="0.2">
      <c r="A3625" s="49">
        <v>6842</v>
      </c>
      <c r="B3625" s="11" t="s">
        <v>1857</v>
      </c>
      <c r="C3625" s="11" t="s">
        <v>1849</v>
      </c>
      <c r="D3625" s="6" t="s">
        <v>1850</v>
      </c>
      <c r="E3625" s="12" t="s">
        <v>7784</v>
      </c>
      <c r="F3625" s="12" t="s">
        <v>7785</v>
      </c>
      <c r="G3625" s="12" t="s">
        <v>7802</v>
      </c>
      <c r="H3625" s="12" t="s">
        <v>5715</v>
      </c>
      <c r="I3625" s="12" t="s">
        <v>8093</v>
      </c>
      <c r="J3625" s="11" t="s">
        <v>1856</v>
      </c>
      <c r="K3625" s="11" t="s">
        <v>1852</v>
      </c>
      <c r="L3625" s="11" t="s">
        <v>1853</v>
      </c>
      <c r="M3625" s="11" t="s">
        <v>8094</v>
      </c>
      <c r="N3625" s="12"/>
      <c r="O3625" s="11" t="s">
        <v>1858</v>
      </c>
      <c r="P3625" s="56"/>
    </row>
    <row r="3626" spans="1:16" ht="15.75" customHeight="1" x14ac:dyDescent="0.2">
      <c r="A3626" s="49">
        <v>3184</v>
      </c>
      <c r="B3626" s="11" t="s">
        <v>1857</v>
      </c>
      <c r="C3626" s="11" t="s">
        <v>1849</v>
      </c>
      <c r="D3626" s="6" t="s">
        <v>1850</v>
      </c>
      <c r="E3626" s="12" t="s">
        <v>7784</v>
      </c>
      <c r="F3626" s="12" t="s">
        <v>7785</v>
      </c>
      <c r="G3626" s="12" t="s">
        <v>7878</v>
      </c>
      <c r="H3626" s="12" t="s">
        <v>3637</v>
      </c>
      <c r="I3626" s="12" t="s">
        <v>8095</v>
      </c>
      <c r="J3626" s="11" t="s">
        <v>1856</v>
      </c>
      <c r="K3626" s="11" t="s">
        <v>1852</v>
      </c>
      <c r="L3626" s="11" t="s">
        <v>1853</v>
      </c>
      <c r="M3626" s="11" t="s">
        <v>1854</v>
      </c>
      <c r="N3626" s="12"/>
      <c r="O3626" s="11" t="s">
        <v>1858</v>
      </c>
      <c r="P3626" s="56"/>
    </row>
    <row r="3627" spans="1:16" ht="15.75" customHeight="1" x14ac:dyDescent="0.2">
      <c r="A3627" s="49">
        <v>3098</v>
      </c>
      <c r="B3627" s="11" t="s">
        <v>1857</v>
      </c>
      <c r="C3627" s="11" t="s">
        <v>1849</v>
      </c>
      <c r="D3627" s="6" t="s">
        <v>1850</v>
      </c>
      <c r="E3627" s="12" t="s">
        <v>7784</v>
      </c>
      <c r="F3627" s="12" t="s">
        <v>7785</v>
      </c>
      <c r="G3627" s="12" t="s">
        <v>7802</v>
      </c>
      <c r="H3627" s="12" t="s">
        <v>7870</v>
      </c>
      <c r="I3627" s="12" t="s">
        <v>4503</v>
      </c>
      <c r="J3627" s="11" t="s">
        <v>1856</v>
      </c>
      <c r="K3627" s="11" t="s">
        <v>1852</v>
      </c>
      <c r="L3627" s="11" t="s">
        <v>1853</v>
      </c>
      <c r="M3627" s="11" t="s">
        <v>8096</v>
      </c>
      <c r="N3627" s="12" t="s">
        <v>8097</v>
      </c>
      <c r="O3627" s="11" t="s">
        <v>1860</v>
      </c>
      <c r="P3627" s="56"/>
    </row>
    <row r="3628" spans="1:16" ht="15.75" customHeight="1" x14ac:dyDescent="0.2">
      <c r="A3628" s="49">
        <v>3967</v>
      </c>
      <c r="B3628" s="11" t="s">
        <v>1857</v>
      </c>
      <c r="C3628" s="11" t="s">
        <v>1849</v>
      </c>
      <c r="D3628" s="6" t="s">
        <v>1850</v>
      </c>
      <c r="E3628" s="12" t="s">
        <v>7784</v>
      </c>
      <c r="F3628" s="12" t="s">
        <v>7785</v>
      </c>
      <c r="G3628" s="12" t="s">
        <v>2723</v>
      </c>
      <c r="H3628" s="12" t="s">
        <v>7868</v>
      </c>
      <c r="I3628" s="12" t="s">
        <v>8098</v>
      </c>
      <c r="J3628" s="11" t="s">
        <v>1856</v>
      </c>
      <c r="K3628" s="11" t="s">
        <v>1852</v>
      </c>
      <c r="L3628" s="11" t="s">
        <v>1853</v>
      </c>
      <c r="M3628" s="11" t="s">
        <v>1854</v>
      </c>
      <c r="N3628" s="12"/>
      <c r="O3628" s="11" t="s">
        <v>1858</v>
      </c>
      <c r="P3628" s="56"/>
    </row>
    <row r="3629" spans="1:16" ht="15.75" customHeight="1" x14ac:dyDescent="0.2">
      <c r="A3629" s="49">
        <v>5278</v>
      </c>
      <c r="B3629" s="11" t="s">
        <v>1857</v>
      </c>
      <c r="C3629" s="11" t="s">
        <v>1849</v>
      </c>
      <c r="D3629" s="6" t="s">
        <v>1850</v>
      </c>
      <c r="E3629" s="12" t="s">
        <v>7784</v>
      </c>
      <c r="F3629" s="12" t="s">
        <v>7785</v>
      </c>
      <c r="G3629" s="12" t="s">
        <v>2723</v>
      </c>
      <c r="H3629" s="12" t="s">
        <v>2723</v>
      </c>
      <c r="I3629" s="12" t="s">
        <v>8099</v>
      </c>
      <c r="J3629" s="11" t="s">
        <v>1851</v>
      </c>
      <c r="K3629" s="11" t="s">
        <v>1852</v>
      </c>
      <c r="L3629" s="11" t="s">
        <v>1853</v>
      </c>
      <c r="M3629" s="11" t="s">
        <v>8100</v>
      </c>
      <c r="N3629" s="12" t="s">
        <v>8101</v>
      </c>
      <c r="O3629" s="11" t="s">
        <v>1858</v>
      </c>
      <c r="P3629" s="56"/>
    </row>
    <row r="3630" spans="1:16" ht="15.75" customHeight="1" x14ac:dyDescent="0.2">
      <c r="A3630" s="49">
        <v>5548</v>
      </c>
      <c r="B3630" s="11" t="s">
        <v>1857</v>
      </c>
      <c r="C3630" s="11" t="s">
        <v>1849</v>
      </c>
      <c r="D3630" s="6" t="s">
        <v>1850</v>
      </c>
      <c r="E3630" s="12" t="s">
        <v>7784</v>
      </c>
      <c r="F3630" s="12" t="s">
        <v>7785</v>
      </c>
      <c r="G3630" s="12" t="s">
        <v>7802</v>
      </c>
      <c r="H3630" s="12" t="s">
        <v>7826</v>
      </c>
      <c r="I3630" s="12" t="s">
        <v>8102</v>
      </c>
      <c r="J3630" s="11" t="s">
        <v>1856</v>
      </c>
      <c r="K3630" s="11" t="s">
        <v>1852</v>
      </c>
      <c r="L3630" s="11" t="s">
        <v>1853</v>
      </c>
      <c r="M3630" s="11" t="s">
        <v>1854</v>
      </c>
      <c r="N3630" s="12"/>
      <c r="O3630" s="11" t="s">
        <v>1858</v>
      </c>
      <c r="P3630" s="56"/>
    </row>
    <row r="3631" spans="1:16" ht="15.75" customHeight="1" x14ac:dyDescent="0.2">
      <c r="A3631" s="49">
        <v>3974</v>
      </c>
      <c r="B3631" s="11" t="s">
        <v>1857</v>
      </c>
      <c r="C3631" s="11" t="s">
        <v>1849</v>
      </c>
      <c r="D3631" s="6" t="s">
        <v>1850</v>
      </c>
      <c r="E3631" s="12" t="s">
        <v>7784</v>
      </c>
      <c r="F3631" s="12" t="s">
        <v>7785</v>
      </c>
      <c r="G3631" s="12" t="s">
        <v>2723</v>
      </c>
      <c r="H3631" s="12" t="s">
        <v>7868</v>
      </c>
      <c r="I3631" s="12" t="s">
        <v>8103</v>
      </c>
      <c r="J3631" s="11" t="s">
        <v>1856</v>
      </c>
      <c r="K3631" s="11" t="s">
        <v>1852</v>
      </c>
      <c r="L3631" s="11" t="s">
        <v>1853</v>
      </c>
      <c r="M3631" s="11" t="s">
        <v>8104</v>
      </c>
      <c r="N3631" s="12" t="s">
        <v>8105</v>
      </c>
      <c r="O3631" s="11" t="s">
        <v>1860</v>
      </c>
      <c r="P3631" s="56"/>
    </row>
    <row r="3632" spans="1:16" ht="15.75" customHeight="1" x14ac:dyDescent="0.2">
      <c r="A3632" s="49">
        <v>3457</v>
      </c>
      <c r="B3632" s="11" t="s">
        <v>1857</v>
      </c>
      <c r="C3632" s="11" t="s">
        <v>1849</v>
      </c>
      <c r="D3632" s="6" t="s">
        <v>1850</v>
      </c>
      <c r="E3632" s="12" t="s">
        <v>7784</v>
      </c>
      <c r="F3632" s="12" t="s">
        <v>7785</v>
      </c>
      <c r="G3632" s="12" t="s">
        <v>7786</v>
      </c>
      <c r="H3632" s="12" t="s">
        <v>8106</v>
      </c>
      <c r="I3632" s="12" t="s">
        <v>8107</v>
      </c>
      <c r="J3632" s="11" t="s">
        <v>1851</v>
      </c>
      <c r="K3632" s="11" t="s">
        <v>1852</v>
      </c>
      <c r="L3632" s="11" t="s">
        <v>1853</v>
      </c>
      <c r="M3632" s="11" t="s">
        <v>1854</v>
      </c>
      <c r="N3632" s="12"/>
      <c r="O3632" s="11" t="s">
        <v>1860</v>
      </c>
      <c r="P3632" s="56"/>
    </row>
    <row r="3633" spans="1:16" ht="15.75" customHeight="1" x14ac:dyDescent="0.2">
      <c r="A3633" s="49">
        <v>3398</v>
      </c>
      <c r="B3633" s="11" t="s">
        <v>1857</v>
      </c>
      <c r="C3633" s="11" t="s">
        <v>1849</v>
      </c>
      <c r="D3633" s="6" t="s">
        <v>1850</v>
      </c>
      <c r="E3633" s="12" t="s">
        <v>7784</v>
      </c>
      <c r="F3633" s="12" t="s">
        <v>7785</v>
      </c>
      <c r="G3633" s="12" t="s">
        <v>7786</v>
      </c>
      <c r="H3633" s="12" t="s">
        <v>7807</v>
      </c>
      <c r="I3633" s="12" t="s">
        <v>8108</v>
      </c>
      <c r="J3633" s="11" t="s">
        <v>1851</v>
      </c>
      <c r="K3633" s="11" t="s">
        <v>1852</v>
      </c>
      <c r="L3633" s="11" t="s">
        <v>1853</v>
      </c>
      <c r="M3633" s="11" t="s">
        <v>8109</v>
      </c>
      <c r="N3633" s="12" t="s">
        <v>8110</v>
      </c>
      <c r="O3633" s="11" t="s">
        <v>2412</v>
      </c>
      <c r="P3633" s="56" t="s">
        <v>6750</v>
      </c>
    </row>
    <row r="3634" spans="1:16" ht="15.75" customHeight="1" x14ac:dyDescent="0.2">
      <c r="A3634" s="49">
        <v>3022</v>
      </c>
      <c r="B3634" s="11" t="s">
        <v>1857</v>
      </c>
      <c r="C3634" s="11" t="s">
        <v>1849</v>
      </c>
      <c r="D3634" s="6" t="s">
        <v>1850</v>
      </c>
      <c r="E3634" s="12" t="s">
        <v>7784</v>
      </c>
      <c r="F3634" s="12" t="s">
        <v>7785</v>
      </c>
      <c r="G3634" s="12" t="s">
        <v>7789</v>
      </c>
      <c r="H3634" s="12" t="s">
        <v>7824</v>
      </c>
      <c r="I3634" s="12" t="s">
        <v>8111</v>
      </c>
      <c r="J3634" s="11" t="s">
        <v>1856</v>
      </c>
      <c r="K3634" s="11" t="s">
        <v>1852</v>
      </c>
      <c r="L3634" s="11" t="s">
        <v>1853</v>
      </c>
      <c r="M3634" s="11" t="s">
        <v>7836</v>
      </c>
      <c r="N3634" s="12"/>
      <c r="O3634" s="11" t="s">
        <v>1858</v>
      </c>
      <c r="P3634" s="56"/>
    </row>
    <row r="3635" spans="1:16" ht="15.75" customHeight="1" x14ac:dyDescent="0.2">
      <c r="A3635" s="49">
        <v>5099</v>
      </c>
      <c r="B3635" s="11" t="s">
        <v>1857</v>
      </c>
      <c r="C3635" s="11" t="s">
        <v>1849</v>
      </c>
      <c r="D3635" s="6" t="s">
        <v>1850</v>
      </c>
      <c r="E3635" s="12" t="s">
        <v>7784</v>
      </c>
      <c r="F3635" s="12" t="s">
        <v>7785</v>
      </c>
      <c r="G3635" s="12" t="s">
        <v>7802</v>
      </c>
      <c r="H3635" s="12" t="s">
        <v>7833</v>
      </c>
      <c r="I3635" s="12" t="s">
        <v>8112</v>
      </c>
      <c r="J3635" s="11" t="s">
        <v>1856</v>
      </c>
      <c r="K3635" s="11" t="s">
        <v>1852</v>
      </c>
      <c r="L3635" s="11" t="s">
        <v>1853</v>
      </c>
      <c r="M3635" s="11" t="s">
        <v>8113</v>
      </c>
      <c r="N3635" s="12" t="s">
        <v>8114</v>
      </c>
      <c r="O3635" s="11" t="s">
        <v>1858</v>
      </c>
      <c r="P3635" s="56"/>
    </row>
    <row r="3636" spans="1:16" ht="15.75" customHeight="1" x14ac:dyDescent="0.2">
      <c r="A3636" s="49">
        <v>3133</v>
      </c>
      <c r="B3636" s="11" t="s">
        <v>1857</v>
      </c>
      <c r="C3636" s="11" t="s">
        <v>1849</v>
      </c>
      <c r="D3636" s="6" t="s">
        <v>1850</v>
      </c>
      <c r="E3636" s="12" t="s">
        <v>7784</v>
      </c>
      <c r="F3636" s="12" t="s">
        <v>7785</v>
      </c>
      <c r="G3636" s="12" t="s">
        <v>7802</v>
      </c>
      <c r="H3636" s="12" t="s">
        <v>5715</v>
      </c>
      <c r="I3636" s="12" t="s">
        <v>8115</v>
      </c>
      <c r="J3636" s="11" t="s">
        <v>1856</v>
      </c>
      <c r="K3636" s="11" t="s">
        <v>1852</v>
      </c>
      <c r="L3636" s="11" t="s">
        <v>1853</v>
      </c>
      <c r="M3636" s="11" t="s">
        <v>7571</v>
      </c>
      <c r="N3636" s="12" t="s">
        <v>8116</v>
      </c>
      <c r="O3636" s="11" t="s">
        <v>1860</v>
      </c>
      <c r="P3636" s="56"/>
    </row>
    <row r="3637" spans="1:16" ht="15.75" customHeight="1" x14ac:dyDescent="0.2">
      <c r="A3637" s="49">
        <v>3153</v>
      </c>
      <c r="B3637" s="11" t="s">
        <v>1857</v>
      </c>
      <c r="C3637" s="11" t="s">
        <v>1849</v>
      </c>
      <c r="D3637" s="6" t="s">
        <v>1850</v>
      </c>
      <c r="E3637" s="12" t="s">
        <v>7784</v>
      </c>
      <c r="F3637" s="12" t="s">
        <v>7785</v>
      </c>
      <c r="G3637" s="12" t="s">
        <v>7802</v>
      </c>
      <c r="H3637" s="12" t="s">
        <v>7803</v>
      </c>
      <c r="I3637" s="12" t="s">
        <v>4517</v>
      </c>
      <c r="J3637" s="11" t="s">
        <v>1856</v>
      </c>
      <c r="K3637" s="11" t="s">
        <v>1852</v>
      </c>
      <c r="L3637" s="11" t="s">
        <v>1853</v>
      </c>
      <c r="M3637" s="11" t="s">
        <v>1854</v>
      </c>
      <c r="N3637" s="12"/>
      <c r="O3637" s="11" t="s">
        <v>1860</v>
      </c>
      <c r="P3637" s="56"/>
    </row>
    <row r="3638" spans="1:16" ht="15.75" customHeight="1" x14ac:dyDescent="0.2">
      <c r="A3638" s="49">
        <v>3189</v>
      </c>
      <c r="B3638" s="11" t="s">
        <v>1857</v>
      </c>
      <c r="C3638" s="11" t="s">
        <v>1849</v>
      </c>
      <c r="D3638" s="6" t="s">
        <v>1850</v>
      </c>
      <c r="E3638" s="12" t="s">
        <v>7784</v>
      </c>
      <c r="F3638" s="12" t="s">
        <v>7785</v>
      </c>
      <c r="G3638" s="12" t="s">
        <v>7878</v>
      </c>
      <c r="H3638" s="12" t="s">
        <v>7879</v>
      </c>
      <c r="I3638" s="12" t="s">
        <v>8117</v>
      </c>
      <c r="J3638" s="11" t="s">
        <v>1851</v>
      </c>
      <c r="K3638" s="11" t="s">
        <v>1852</v>
      </c>
      <c r="L3638" s="11" t="s">
        <v>1853</v>
      </c>
      <c r="M3638" s="11" t="s">
        <v>8118</v>
      </c>
      <c r="N3638" s="12" t="s">
        <v>8119</v>
      </c>
      <c r="O3638" s="11" t="s">
        <v>1858</v>
      </c>
      <c r="P3638" s="56"/>
    </row>
    <row r="3639" spans="1:16" ht="15.75" customHeight="1" x14ac:dyDescent="0.2">
      <c r="A3639" s="49">
        <v>3068</v>
      </c>
      <c r="B3639" s="11" t="s">
        <v>1857</v>
      </c>
      <c r="C3639" s="11" t="s">
        <v>1849</v>
      </c>
      <c r="D3639" s="6" t="s">
        <v>1850</v>
      </c>
      <c r="E3639" s="12" t="s">
        <v>7784</v>
      </c>
      <c r="F3639" s="12" t="s">
        <v>7785</v>
      </c>
      <c r="G3639" s="12" t="s">
        <v>7789</v>
      </c>
      <c r="H3639" s="12" t="s">
        <v>7852</v>
      </c>
      <c r="I3639" s="12" t="s">
        <v>8120</v>
      </c>
      <c r="J3639" s="11" t="s">
        <v>1851</v>
      </c>
      <c r="K3639" s="11" t="s">
        <v>1852</v>
      </c>
      <c r="L3639" s="11" t="s">
        <v>1853</v>
      </c>
      <c r="M3639" s="11" t="s">
        <v>7836</v>
      </c>
      <c r="N3639" s="12"/>
      <c r="O3639" s="11" t="s">
        <v>1858</v>
      </c>
      <c r="P3639" s="56"/>
    </row>
    <row r="3640" spans="1:16" ht="15.75" customHeight="1" x14ac:dyDescent="0.2">
      <c r="A3640" s="49">
        <v>3041</v>
      </c>
      <c r="B3640" s="11" t="s">
        <v>1857</v>
      </c>
      <c r="C3640" s="11" t="s">
        <v>1849</v>
      </c>
      <c r="D3640" s="6" t="s">
        <v>1850</v>
      </c>
      <c r="E3640" s="12" t="s">
        <v>7784</v>
      </c>
      <c r="F3640" s="12" t="s">
        <v>7785</v>
      </c>
      <c r="G3640" s="12" t="s">
        <v>7789</v>
      </c>
      <c r="H3640" s="12" t="s">
        <v>7865</v>
      </c>
      <c r="I3640" s="12" t="s">
        <v>8121</v>
      </c>
      <c r="J3640" s="11" t="s">
        <v>1851</v>
      </c>
      <c r="K3640" s="11" t="s">
        <v>1852</v>
      </c>
      <c r="L3640" s="11" t="s">
        <v>1853</v>
      </c>
      <c r="M3640" s="11" t="s">
        <v>4326</v>
      </c>
      <c r="N3640" s="12" t="s">
        <v>8122</v>
      </c>
      <c r="O3640" s="11" t="s">
        <v>1860</v>
      </c>
      <c r="P3640" s="56"/>
    </row>
    <row r="3641" spans="1:16" ht="15.75" customHeight="1" x14ac:dyDescent="0.2">
      <c r="A3641" s="49">
        <v>3104</v>
      </c>
      <c r="B3641" s="11" t="s">
        <v>1857</v>
      </c>
      <c r="C3641" s="11" t="s">
        <v>1849</v>
      </c>
      <c r="D3641" s="6" t="s">
        <v>1850</v>
      </c>
      <c r="E3641" s="12" t="s">
        <v>7784</v>
      </c>
      <c r="F3641" s="12" t="s">
        <v>7785</v>
      </c>
      <c r="G3641" s="12" t="s">
        <v>7802</v>
      </c>
      <c r="H3641" s="12" t="s">
        <v>7870</v>
      </c>
      <c r="I3641" s="12" t="s">
        <v>8123</v>
      </c>
      <c r="J3641" s="11" t="s">
        <v>1856</v>
      </c>
      <c r="K3641" s="11" t="s">
        <v>1852</v>
      </c>
      <c r="L3641" s="11" t="s">
        <v>1853</v>
      </c>
      <c r="M3641" s="11" t="s">
        <v>6881</v>
      </c>
      <c r="N3641" s="12" t="s">
        <v>8124</v>
      </c>
      <c r="O3641" s="11" t="s">
        <v>2755</v>
      </c>
      <c r="P3641" s="56"/>
    </row>
    <row r="3642" spans="1:16" ht="15.75" customHeight="1" x14ac:dyDescent="0.2">
      <c r="A3642" s="49">
        <v>3100</v>
      </c>
      <c r="B3642" s="11" t="s">
        <v>1857</v>
      </c>
      <c r="C3642" s="11" t="s">
        <v>1849</v>
      </c>
      <c r="D3642" s="6" t="s">
        <v>1850</v>
      </c>
      <c r="E3642" s="12" t="s">
        <v>7784</v>
      </c>
      <c r="F3642" s="12" t="s">
        <v>7785</v>
      </c>
      <c r="G3642" s="12" t="s">
        <v>7802</v>
      </c>
      <c r="H3642" s="12" t="s">
        <v>7870</v>
      </c>
      <c r="I3642" s="12" t="s">
        <v>8125</v>
      </c>
      <c r="J3642" s="11" t="s">
        <v>1856</v>
      </c>
      <c r="K3642" s="11" t="s">
        <v>1852</v>
      </c>
      <c r="L3642" s="11" t="s">
        <v>1853</v>
      </c>
      <c r="M3642" s="11" t="s">
        <v>1854</v>
      </c>
      <c r="N3642" s="12"/>
      <c r="O3642" s="11" t="s">
        <v>1859</v>
      </c>
      <c r="P3642" s="56"/>
    </row>
    <row r="3643" spans="1:16" ht="15.75" customHeight="1" x14ac:dyDescent="0.2">
      <c r="A3643" s="49">
        <v>3155</v>
      </c>
      <c r="B3643" s="11" t="s">
        <v>1857</v>
      </c>
      <c r="C3643" s="11" t="s">
        <v>1849</v>
      </c>
      <c r="D3643" s="6" t="s">
        <v>1850</v>
      </c>
      <c r="E3643" s="12" t="s">
        <v>7784</v>
      </c>
      <c r="F3643" s="12" t="s">
        <v>7785</v>
      </c>
      <c r="G3643" s="12" t="s">
        <v>7802</v>
      </c>
      <c r="H3643" s="12" t="s">
        <v>8126</v>
      </c>
      <c r="I3643" s="12" t="s">
        <v>8127</v>
      </c>
      <c r="J3643" s="11" t="s">
        <v>1856</v>
      </c>
      <c r="K3643" s="11" t="s">
        <v>1852</v>
      </c>
      <c r="L3643" s="11" t="s">
        <v>1853</v>
      </c>
      <c r="M3643" s="11" t="s">
        <v>8128</v>
      </c>
      <c r="N3643" s="12" t="s">
        <v>8129</v>
      </c>
      <c r="O3643" s="11" t="s">
        <v>1858</v>
      </c>
      <c r="P3643" s="56"/>
    </row>
    <row r="3644" spans="1:16" ht="15.75" customHeight="1" x14ac:dyDescent="0.2">
      <c r="A3644" s="49">
        <v>3018</v>
      </c>
      <c r="B3644" s="11" t="s">
        <v>1857</v>
      </c>
      <c r="C3644" s="11" t="s">
        <v>1849</v>
      </c>
      <c r="D3644" s="6" t="s">
        <v>1850</v>
      </c>
      <c r="E3644" s="12" t="s">
        <v>7784</v>
      </c>
      <c r="F3644" s="12" t="s">
        <v>7785</v>
      </c>
      <c r="G3644" s="12" t="s">
        <v>7789</v>
      </c>
      <c r="H3644" s="12" t="s">
        <v>7852</v>
      </c>
      <c r="I3644" s="12" t="s">
        <v>1310</v>
      </c>
      <c r="J3644" s="11" t="s">
        <v>1851</v>
      </c>
      <c r="K3644" s="11" t="s">
        <v>1852</v>
      </c>
      <c r="L3644" s="11" t="s">
        <v>1853</v>
      </c>
      <c r="M3644" s="11" t="s">
        <v>7836</v>
      </c>
      <c r="N3644" s="12"/>
      <c r="O3644" s="11" t="s">
        <v>1860</v>
      </c>
      <c r="P3644" s="56"/>
    </row>
    <row r="3645" spans="1:16" ht="15.75" customHeight="1" x14ac:dyDescent="0.2">
      <c r="A3645" s="49">
        <v>3377</v>
      </c>
      <c r="B3645" s="11" t="s">
        <v>1857</v>
      </c>
      <c r="C3645" s="11" t="s">
        <v>1849</v>
      </c>
      <c r="D3645" s="6" t="s">
        <v>1850</v>
      </c>
      <c r="E3645" s="12" t="s">
        <v>7784</v>
      </c>
      <c r="F3645" s="12" t="s">
        <v>7785</v>
      </c>
      <c r="G3645" s="12" t="s">
        <v>7786</v>
      </c>
      <c r="H3645" s="12" t="s">
        <v>7798</v>
      </c>
      <c r="I3645" s="12" t="s">
        <v>8130</v>
      </c>
      <c r="J3645" s="11" t="s">
        <v>1851</v>
      </c>
      <c r="K3645" s="11" t="s">
        <v>1852</v>
      </c>
      <c r="L3645" s="11" t="s">
        <v>1853</v>
      </c>
      <c r="M3645" s="11" t="s">
        <v>8016</v>
      </c>
      <c r="N3645" s="12" t="s">
        <v>8131</v>
      </c>
      <c r="O3645" s="11" t="s">
        <v>1864</v>
      </c>
      <c r="P3645" s="56" t="s">
        <v>2819</v>
      </c>
    </row>
    <row r="3646" spans="1:16" ht="15.75" customHeight="1" x14ac:dyDescent="0.2">
      <c r="A3646" s="49">
        <v>3130</v>
      </c>
      <c r="B3646" s="11" t="s">
        <v>1857</v>
      </c>
      <c r="C3646" s="11" t="s">
        <v>1849</v>
      </c>
      <c r="D3646" s="6" t="s">
        <v>1850</v>
      </c>
      <c r="E3646" s="12" t="s">
        <v>7784</v>
      </c>
      <c r="F3646" s="12" t="s">
        <v>7785</v>
      </c>
      <c r="G3646" s="12" t="s">
        <v>7802</v>
      </c>
      <c r="H3646" s="12" t="s">
        <v>5715</v>
      </c>
      <c r="I3646" s="12" t="s">
        <v>6186</v>
      </c>
      <c r="J3646" s="11" t="s">
        <v>1856</v>
      </c>
      <c r="K3646" s="11" t="s">
        <v>1852</v>
      </c>
      <c r="L3646" s="11" t="s">
        <v>1853</v>
      </c>
      <c r="M3646" s="11" t="s">
        <v>1854</v>
      </c>
      <c r="N3646" s="12"/>
      <c r="O3646" s="11" t="s">
        <v>1858</v>
      </c>
      <c r="P3646" s="56"/>
    </row>
    <row r="3647" spans="1:16" ht="15.75" customHeight="1" x14ac:dyDescent="0.2">
      <c r="A3647" s="49">
        <v>5282</v>
      </c>
      <c r="B3647" s="11" t="s">
        <v>1857</v>
      </c>
      <c r="C3647" s="11" t="s">
        <v>1849</v>
      </c>
      <c r="D3647" s="6" t="s">
        <v>1850</v>
      </c>
      <c r="E3647" s="12" t="s">
        <v>7784</v>
      </c>
      <c r="F3647" s="12" t="s">
        <v>7785</v>
      </c>
      <c r="G3647" s="12" t="s">
        <v>7786</v>
      </c>
      <c r="H3647" s="12" t="s">
        <v>7796</v>
      </c>
      <c r="I3647" s="12" t="s">
        <v>4638</v>
      </c>
      <c r="J3647" s="11" t="s">
        <v>1856</v>
      </c>
      <c r="K3647" s="11" t="s">
        <v>1852</v>
      </c>
      <c r="L3647" s="11" t="s">
        <v>1853</v>
      </c>
      <c r="M3647" s="11" t="s">
        <v>8132</v>
      </c>
      <c r="N3647" s="12" t="s">
        <v>8133</v>
      </c>
      <c r="O3647" s="11" t="s">
        <v>1869</v>
      </c>
      <c r="P3647" s="56"/>
    </row>
    <row r="3648" spans="1:16" ht="15.75" customHeight="1" x14ac:dyDescent="0.2">
      <c r="A3648" s="49">
        <v>3466</v>
      </c>
      <c r="B3648" s="11" t="s">
        <v>1857</v>
      </c>
      <c r="C3648" s="11" t="s">
        <v>1849</v>
      </c>
      <c r="D3648" s="6" t="s">
        <v>1850</v>
      </c>
      <c r="E3648" s="12" t="s">
        <v>7784</v>
      </c>
      <c r="F3648" s="12" t="s">
        <v>7785</v>
      </c>
      <c r="G3648" s="12" t="s">
        <v>7786</v>
      </c>
      <c r="H3648" s="12" t="s">
        <v>7848</v>
      </c>
      <c r="I3648" s="12" t="s">
        <v>8134</v>
      </c>
      <c r="J3648" s="11" t="s">
        <v>1856</v>
      </c>
      <c r="K3648" s="11" t="s">
        <v>1852</v>
      </c>
      <c r="L3648" s="11" t="s">
        <v>1853</v>
      </c>
      <c r="M3648" s="11" t="s">
        <v>8135</v>
      </c>
      <c r="N3648" s="12" t="s">
        <v>8136</v>
      </c>
      <c r="O3648" s="11" t="s">
        <v>1869</v>
      </c>
      <c r="P3648" s="56"/>
    </row>
    <row r="3649" spans="1:16" ht="15.75" customHeight="1" x14ac:dyDescent="0.2">
      <c r="A3649" s="49">
        <v>3424</v>
      </c>
      <c r="B3649" s="11" t="s">
        <v>1857</v>
      </c>
      <c r="C3649" s="11" t="s">
        <v>1849</v>
      </c>
      <c r="D3649" s="6" t="s">
        <v>1850</v>
      </c>
      <c r="E3649" s="12" t="s">
        <v>7784</v>
      </c>
      <c r="F3649" s="12" t="s">
        <v>7785</v>
      </c>
      <c r="G3649" s="12" t="s">
        <v>7786</v>
      </c>
      <c r="H3649" s="12" t="s">
        <v>3567</v>
      </c>
      <c r="I3649" s="12" t="s">
        <v>8137</v>
      </c>
      <c r="J3649" s="11" t="s">
        <v>1851</v>
      </c>
      <c r="K3649" s="11" t="s">
        <v>1852</v>
      </c>
      <c r="L3649" s="11" t="s">
        <v>1853</v>
      </c>
      <c r="M3649" s="11" t="s">
        <v>6890</v>
      </c>
      <c r="N3649" s="12" t="s">
        <v>8138</v>
      </c>
      <c r="O3649" s="11" t="s">
        <v>1858</v>
      </c>
      <c r="P3649" s="56"/>
    </row>
    <row r="3650" spans="1:16" ht="15.75" customHeight="1" x14ac:dyDescent="0.2">
      <c r="A3650" s="49">
        <v>3421</v>
      </c>
      <c r="B3650" s="11" t="s">
        <v>1857</v>
      </c>
      <c r="C3650" s="11" t="s">
        <v>1849</v>
      </c>
      <c r="D3650" s="6" t="s">
        <v>1850</v>
      </c>
      <c r="E3650" s="12" t="s">
        <v>7784</v>
      </c>
      <c r="F3650" s="12" t="s">
        <v>7785</v>
      </c>
      <c r="G3650" s="12" t="s">
        <v>7786</v>
      </c>
      <c r="H3650" s="12" t="s">
        <v>3567</v>
      </c>
      <c r="I3650" s="12" t="s">
        <v>8139</v>
      </c>
      <c r="J3650" s="11" t="s">
        <v>1851</v>
      </c>
      <c r="K3650" s="11" t="s">
        <v>1852</v>
      </c>
      <c r="L3650" s="11" t="s">
        <v>1853</v>
      </c>
      <c r="M3650" s="11" t="s">
        <v>8140</v>
      </c>
      <c r="N3650" s="12" t="s">
        <v>8141</v>
      </c>
      <c r="O3650" s="11" t="s">
        <v>1872</v>
      </c>
      <c r="P3650" s="56"/>
    </row>
    <row r="3651" spans="1:16" ht="15.75" customHeight="1" x14ac:dyDescent="0.2">
      <c r="A3651" s="49">
        <v>6779</v>
      </c>
      <c r="B3651" s="11" t="s">
        <v>1857</v>
      </c>
      <c r="C3651" s="11" t="s">
        <v>1849</v>
      </c>
      <c r="D3651" s="6" t="s">
        <v>1850</v>
      </c>
      <c r="E3651" s="12" t="s">
        <v>7784</v>
      </c>
      <c r="F3651" s="12" t="s">
        <v>7785</v>
      </c>
      <c r="G3651" s="12" t="s">
        <v>7802</v>
      </c>
      <c r="H3651" s="12" t="s">
        <v>2728</v>
      </c>
      <c r="I3651" s="12" t="s">
        <v>3173</v>
      </c>
      <c r="J3651" s="11" t="s">
        <v>1856</v>
      </c>
      <c r="K3651" s="11" t="s">
        <v>1852</v>
      </c>
      <c r="L3651" s="11" t="s">
        <v>1853</v>
      </c>
      <c r="M3651" s="11" t="s">
        <v>8142</v>
      </c>
      <c r="N3651" s="12" t="s">
        <v>8143</v>
      </c>
      <c r="O3651" s="11" t="s">
        <v>1859</v>
      </c>
      <c r="P3651" s="56"/>
    </row>
    <row r="3652" spans="1:16" ht="15.75" customHeight="1" x14ac:dyDescent="0.2">
      <c r="A3652" s="49">
        <v>3192</v>
      </c>
      <c r="B3652" s="11" t="s">
        <v>1857</v>
      </c>
      <c r="C3652" s="11" t="s">
        <v>1849</v>
      </c>
      <c r="D3652" s="6" t="s">
        <v>1850</v>
      </c>
      <c r="E3652" s="12" t="s">
        <v>7784</v>
      </c>
      <c r="F3652" s="12" t="s">
        <v>7785</v>
      </c>
      <c r="G3652" s="12" t="s">
        <v>7878</v>
      </c>
      <c r="H3652" s="12" t="s">
        <v>8144</v>
      </c>
      <c r="I3652" s="12" t="s">
        <v>8145</v>
      </c>
      <c r="J3652" s="11" t="s">
        <v>1856</v>
      </c>
      <c r="K3652" s="11" t="s">
        <v>1852</v>
      </c>
      <c r="L3652" s="11" t="s">
        <v>1853</v>
      </c>
      <c r="M3652" s="11" t="s">
        <v>2316</v>
      </c>
      <c r="N3652" s="12" t="s">
        <v>8146</v>
      </c>
      <c r="O3652" s="11" t="s">
        <v>1858</v>
      </c>
      <c r="P3652" s="56"/>
    </row>
    <row r="3653" spans="1:16" ht="15.75" customHeight="1" x14ac:dyDescent="0.2">
      <c r="A3653" s="49">
        <v>2991</v>
      </c>
      <c r="B3653" s="11" t="s">
        <v>1857</v>
      </c>
      <c r="C3653" s="11" t="s">
        <v>1849</v>
      </c>
      <c r="D3653" s="6" t="s">
        <v>1850</v>
      </c>
      <c r="E3653" s="12" t="s">
        <v>7784</v>
      </c>
      <c r="F3653" s="12" t="s">
        <v>7785</v>
      </c>
      <c r="G3653" s="12" t="s">
        <v>7789</v>
      </c>
      <c r="H3653" s="12" t="s">
        <v>7852</v>
      </c>
      <c r="I3653" s="12" t="s">
        <v>8147</v>
      </c>
      <c r="J3653" s="11" t="s">
        <v>1851</v>
      </c>
      <c r="K3653" s="11" t="s">
        <v>1852</v>
      </c>
      <c r="L3653" s="11" t="s">
        <v>1853</v>
      </c>
      <c r="M3653" s="11" t="s">
        <v>8148</v>
      </c>
      <c r="N3653" s="12" t="s">
        <v>8149</v>
      </c>
      <c r="O3653" s="11" t="s">
        <v>1869</v>
      </c>
      <c r="P3653" s="56"/>
    </row>
    <row r="3654" spans="1:16" ht="15.75" customHeight="1" x14ac:dyDescent="0.2">
      <c r="A3654" s="49">
        <v>3067</v>
      </c>
      <c r="B3654" s="11" t="s">
        <v>1857</v>
      </c>
      <c r="C3654" s="11" t="s">
        <v>1849</v>
      </c>
      <c r="D3654" s="6" t="s">
        <v>1850</v>
      </c>
      <c r="E3654" s="12" t="s">
        <v>7784</v>
      </c>
      <c r="F3654" s="12" t="s">
        <v>7785</v>
      </c>
      <c r="G3654" s="12" t="s">
        <v>7789</v>
      </c>
      <c r="H3654" s="12" t="s">
        <v>7830</v>
      </c>
      <c r="I3654" s="12" t="s">
        <v>8150</v>
      </c>
      <c r="J3654" s="11" t="s">
        <v>1851</v>
      </c>
      <c r="K3654" s="11" t="s">
        <v>1852</v>
      </c>
      <c r="L3654" s="11" t="s">
        <v>1853</v>
      </c>
      <c r="M3654" s="11" t="s">
        <v>8151</v>
      </c>
      <c r="N3654" s="12" t="s">
        <v>8152</v>
      </c>
      <c r="O3654" s="11" t="s">
        <v>1860</v>
      </c>
      <c r="P3654" s="56"/>
    </row>
    <row r="3655" spans="1:16" ht="15.75" customHeight="1" x14ac:dyDescent="0.2">
      <c r="A3655" s="49">
        <v>3129</v>
      </c>
      <c r="B3655" s="11" t="s">
        <v>1857</v>
      </c>
      <c r="C3655" s="11" t="s">
        <v>1849</v>
      </c>
      <c r="D3655" s="6" t="s">
        <v>1850</v>
      </c>
      <c r="E3655" s="12" t="s">
        <v>7784</v>
      </c>
      <c r="F3655" s="12" t="s">
        <v>7785</v>
      </c>
      <c r="G3655" s="12" t="s">
        <v>7802</v>
      </c>
      <c r="H3655" s="12" t="s">
        <v>2728</v>
      </c>
      <c r="I3655" s="12" t="s">
        <v>8153</v>
      </c>
      <c r="J3655" s="11" t="s">
        <v>1856</v>
      </c>
      <c r="K3655" s="11" t="s">
        <v>1852</v>
      </c>
      <c r="L3655" s="11" t="s">
        <v>1853</v>
      </c>
      <c r="M3655" s="11" t="s">
        <v>1854</v>
      </c>
      <c r="N3655" s="12"/>
      <c r="O3655" s="11" t="s">
        <v>1859</v>
      </c>
      <c r="P3655" s="56"/>
    </row>
    <row r="3656" spans="1:16" ht="15.75" customHeight="1" x14ac:dyDescent="0.2">
      <c r="A3656" s="49">
        <v>3949</v>
      </c>
      <c r="B3656" s="11" t="s">
        <v>1857</v>
      </c>
      <c r="C3656" s="11" t="s">
        <v>1849</v>
      </c>
      <c r="D3656" s="6" t="s">
        <v>1850</v>
      </c>
      <c r="E3656" s="12" t="s">
        <v>7784</v>
      </c>
      <c r="F3656" s="12" t="s">
        <v>7785</v>
      </c>
      <c r="G3656" s="12" t="s">
        <v>2723</v>
      </c>
      <c r="H3656" s="12" t="s">
        <v>7868</v>
      </c>
      <c r="I3656" s="12" t="s">
        <v>8154</v>
      </c>
      <c r="J3656" s="11" t="s">
        <v>1856</v>
      </c>
      <c r="K3656" s="11" t="s">
        <v>1852</v>
      </c>
      <c r="L3656" s="11" t="s">
        <v>1853</v>
      </c>
      <c r="M3656" s="11" t="s">
        <v>8155</v>
      </c>
      <c r="N3656" s="12" t="s">
        <v>8156</v>
      </c>
      <c r="O3656" s="11" t="s">
        <v>1858</v>
      </c>
      <c r="P3656" s="56"/>
    </row>
    <row r="3657" spans="1:16" ht="15.75" customHeight="1" x14ac:dyDescent="0.2">
      <c r="A3657" s="49">
        <v>3182</v>
      </c>
      <c r="B3657" s="11" t="s">
        <v>1857</v>
      </c>
      <c r="C3657" s="11" t="s">
        <v>1849</v>
      </c>
      <c r="D3657" s="6" t="s">
        <v>1850</v>
      </c>
      <c r="E3657" s="12" t="s">
        <v>7784</v>
      </c>
      <c r="F3657" s="12" t="s">
        <v>7785</v>
      </c>
      <c r="G3657" s="12" t="s">
        <v>7878</v>
      </c>
      <c r="H3657" s="12" t="s">
        <v>3637</v>
      </c>
      <c r="I3657" s="12" t="s">
        <v>8157</v>
      </c>
      <c r="J3657" s="11" t="s">
        <v>1856</v>
      </c>
      <c r="K3657" s="11" t="s">
        <v>1852</v>
      </c>
      <c r="L3657" s="11" t="s">
        <v>1853</v>
      </c>
      <c r="M3657" s="11" t="s">
        <v>8158</v>
      </c>
      <c r="N3657" s="12" t="s">
        <v>8159</v>
      </c>
      <c r="O3657" s="11" t="s">
        <v>1858</v>
      </c>
      <c r="P3657" s="56"/>
    </row>
    <row r="3658" spans="1:16" ht="15.75" customHeight="1" x14ac:dyDescent="0.2">
      <c r="A3658" s="49">
        <v>3193</v>
      </c>
      <c r="B3658" s="11" t="s">
        <v>1857</v>
      </c>
      <c r="C3658" s="11" t="s">
        <v>1849</v>
      </c>
      <c r="D3658" s="6" t="s">
        <v>1850</v>
      </c>
      <c r="E3658" s="12" t="s">
        <v>7784</v>
      </c>
      <c r="F3658" s="12" t="s">
        <v>7785</v>
      </c>
      <c r="G3658" s="12" t="s">
        <v>7878</v>
      </c>
      <c r="H3658" s="12" t="s">
        <v>7906</v>
      </c>
      <c r="I3658" s="12" t="s">
        <v>8160</v>
      </c>
      <c r="J3658" s="11" t="s">
        <v>1856</v>
      </c>
      <c r="K3658" s="11" t="s">
        <v>1852</v>
      </c>
      <c r="L3658" s="11" t="s">
        <v>1853</v>
      </c>
      <c r="M3658" s="11" t="s">
        <v>8096</v>
      </c>
      <c r="N3658" s="12" t="s">
        <v>8161</v>
      </c>
      <c r="O3658" s="11" t="s">
        <v>1858</v>
      </c>
      <c r="P3658" s="56"/>
    </row>
    <row r="3659" spans="1:16" ht="15.75" customHeight="1" x14ac:dyDescent="0.2">
      <c r="A3659" s="49">
        <v>3375</v>
      </c>
      <c r="B3659" s="11" t="s">
        <v>1857</v>
      </c>
      <c r="C3659" s="11" t="s">
        <v>1849</v>
      </c>
      <c r="D3659" s="6" t="s">
        <v>1850</v>
      </c>
      <c r="E3659" s="12" t="s">
        <v>7784</v>
      </c>
      <c r="F3659" s="12" t="s">
        <v>7785</v>
      </c>
      <c r="G3659" s="12" t="s">
        <v>7786</v>
      </c>
      <c r="H3659" s="12" t="s">
        <v>7798</v>
      </c>
      <c r="I3659" s="12" t="s">
        <v>8162</v>
      </c>
      <c r="J3659" s="11" t="s">
        <v>1851</v>
      </c>
      <c r="K3659" s="11" t="s">
        <v>1852</v>
      </c>
      <c r="L3659" s="11" t="s">
        <v>1853</v>
      </c>
      <c r="M3659" s="11" t="s">
        <v>7448</v>
      </c>
      <c r="N3659" s="12" t="s">
        <v>8163</v>
      </c>
      <c r="O3659" s="11" t="s">
        <v>1867</v>
      </c>
      <c r="P3659" s="56"/>
    </row>
    <row r="3660" spans="1:16" ht="15.75" customHeight="1" x14ac:dyDescent="0.2">
      <c r="A3660" s="49">
        <v>3948</v>
      </c>
      <c r="B3660" s="11" t="s">
        <v>1857</v>
      </c>
      <c r="C3660" s="11" t="s">
        <v>1849</v>
      </c>
      <c r="D3660" s="6" t="s">
        <v>1850</v>
      </c>
      <c r="E3660" s="12" t="s">
        <v>7784</v>
      </c>
      <c r="F3660" s="12" t="s">
        <v>7785</v>
      </c>
      <c r="G3660" s="12" t="s">
        <v>2723</v>
      </c>
      <c r="H3660" s="12" t="s">
        <v>2723</v>
      </c>
      <c r="I3660" s="12" t="s">
        <v>8164</v>
      </c>
      <c r="J3660" s="11" t="s">
        <v>1851</v>
      </c>
      <c r="K3660" s="11" t="s">
        <v>1852</v>
      </c>
      <c r="L3660" s="11" t="s">
        <v>1853</v>
      </c>
      <c r="M3660" s="11" t="s">
        <v>1854</v>
      </c>
      <c r="N3660" s="12"/>
      <c r="O3660" s="11" t="s">
        <v>1866</v>
      </c>
      <c r="P3660" s="56" t="s">
        <v>7890</v>
      </c>
    </row>
    <row r="3661" spans="1:16" ht="15.75" customHeight="1" x14ac:dyDescent="0.2">
      <c r="A3661" s="49">
        <v>3976</v>
      </c>
      <c r="B3661" s="11" t="s">
        <v>1857</v>
      </c>
      <c r="C3661" s="11" t="s">
        <v>1849</v>
      </c>
      <c r="D3661" s="6" t="s">
        <v>1850</v>
      </c>
      <c r="E3661" s="12" t="s">
        <v>7784</v>
      </c>
      <c r="F3661" s="12" t="s">
        <v>7785</v>
      </c>
      <c r="G3661" s="12" t="s">
        <v>2723</v>
      </c>
      <c r="H3661" s="12" t="s">
        <v>5839</v>
      </c>
      <c r="I3661" s="12" t="s">
        <v>5840</v>
      </c>
      <c r="J3661" s="11" t="s">
        <v>1856</v>
      </c>
      <c r="K3661" s="11" t="s">
        <v>1852</v>
      </c>
      <c r="L3661" s="11" t="s">
        <v>1853</v>
      </c>
      <c r="M3661" s="11" t="s">
        <v>8165</v>
      </c>
      <c r="N3661" s="12" t="s">
        <v>8166</v>
      </c>
      <c r="O3661" s="11" t="s">
        <v>1858</v>
      </c>
      <c r="P3661" s="56"/>
    </row>
    <row r="3662" spans="1:16" ht="15.75" customHeight="1" x14ac:dyDescent="0.2">
      <c r="A3662" s="49">
        <v>3036</v>
      </c>
      <c r="B3662" s="11" t="s">
        <v>1857</v>
      </c>
      <c r="C3662" s="11" t="s">
        <v>1849</v>
      </c>
      <c r="D3662" s="6" t="s">
        <v>1850</v>
      </c>
      <c r="E3662" s="12" t="s">
        <v>7784</v>
      </c>
      <c r="F3662" s="12" t="s">
        <v>7785</v>
      </c>
      <c r="G3662" s="12" t="s">
        <v>7789</v>
      </c>
      <c r="H3662" s="12" t="s">
        <v>7865</v>
      </c>
      <c r="I3662" s="12" t="s">
        <v>8167</v>
      </c>
      <c r="J3662" s="11" t="s">
        <v>1851</v>
      </c>
      <c r="K3662" s="11" t="s">
        <v>1852</v>
      </c>
      <c r="L3662" s="11" t="s">
        <v>1853</v>
      </c>
      <c r="M3662" s="11" t="s">
        <v>8168</v>
      </c>
      <c r="N3662" s="12"/>
      <c r="O3662" s="11" t="s">
        <v>1858</v>
      </c>
      <c r="P3662" s="56"/>
    </row>
    <row r="3663" spans="1:16" ht="15.75" customHeight="1" x14ac:dyDescent="0.2">
      <c r="A3663" s="49">
        <v>3045</v>
      </c>
      <c r="B3663" s="11" t="s">
        <v>1857</v>
      </c>
      <c r="C3663" s="11" t="s">
        <v>1849</v>
      </c>
      <c r="D3663" s="6" t="s">
        <v>1850</v>
      </c>
      <c r="E3663" s="12" t="s">
        <v>7784</v>
      </c>
      <c r="F3663" s="12" t="s">
        <v>7785</v>
      </c>
      <c r="G3663" s="12" t="s">
        <v>7789</v>
      </c>
      <c r="H3663" s="12" t="s">
        <v>3151</v>
      </c>
      <c r="I3663" s="12" t="s">
        <v>2483</v>
      </c>
      <c r="J3663" s="11" t="s">
        <v>1851</v>
      </c>
      <c r="K3663" s="11" t="s">
        <v>1852</v>
      </c>
      <c r="L3663" s="11" t="s">
        <v>1853</v>
      </c>
      <c r="M3663" s="11" t="s">
        <v>1854</v>
      </c>
      <c r="N3663" s="12"/>
      <c r="O3663" s="11" t="s">
        <v>1858</v>
      </c>
      <c r="P3663" s="56"/>
    </row>
    <row r="3664" spans="1:16" ht="15.75" customHeight="1" x14ac:dyDescent="0.2">
      <c r="A3664" s="49">
        <v>3414</v>
      </c>
      <c r="B3664" s="11" t="s">
        <v>1857</v>
      </c>
      <c r="C3664" s="11" t="s">
        <v>1849</v>
      </c>
      <c r="D3664" s="6" t="s">
        <v>1850</v>
      </c>
      <c r="E3664" s="12" t="s">
        <v>7784</v>
      </c>
      <c r="F3664" s="12" t="s">
        <v>7785</v>
      </c>
      <c r="G3664" s="12" t="s">
        <v>7786</v>
      </c>
      <c r="H3664" s="12" t="s">
        <v>7897</v>
      </c>
      <c r="I3664" s="12" t="s">
        <v>3225</v>
      </c>
      <c r="J3664" s="11" t="s">
        <v>1856</v>
      </c>
      <c r="K3664" s="11" t="s">
        <v>1852</v>
      </c>
      <c r="L3664" s="11" t="s">
        <v>1853</v>
      </c>
      <c r="M3664" s="11" t="s">
        <v>8169</v>
      </c>
      <c r="N3664" s="12" t="s">
        <v>8170</v>
      </c>
      <c r="O3664" s="11" t="s">
        <v>1858</v>
      </c>
      <c r="P3664" s="56"/>
    </row>
    <row r="3665" spans="1:16" ht="15.75" customHeight="1" x14ac:dyDescent="0.2">
      <c r="A3665" s="49">
        <v>3173</v>
      </c>
      <c r="B3665" s="11" t="s">
        <v>1857</v>
      </c>
      <c r="C3665" s="11" t="s">
        <v>1849</v>
      </c>
      <c r="D3665" s="6" t="s">
        <v>1850</v>
      </c>
      <c r="E3665" s="12" t="s">
        <v>7784</v>
      </c>
      <c r="F3665" s="12" t="s">
        <v>7785</v>
      </c>
      <c r="G3665" s="12" t="s">
        <v>7878</v>
      </c>
      <c r="H3665" s="12" t="s">
        <v>7935</v>
      </c>
      <c r="I3665" s="12" t="s">
        <v>3225</v>
      </c>
      <c r="J3665" s="11" t="s">
        <v>1856</v>
      </c>
      <c r="K3665" s="11" t="s">
        <v>1852</v>
      </c>
      <c r="L3665" s="11" t="s">
        <v>1853</v>
      </c>
      <c r="M3665" s="11" t="s">
        <v>8171</v>
      </c>
      <c r="N3665" s="12" t="s">
        <v>8172</v>
      </c>
      <c r="O3665" s="11" t="s">
        <v>1858</v>
      </c>
      <c r="P3665" s="56"/>
    </row>
    <row r="3666" spans="1:16" ht="15.75" customHeight="1" x14ac:dyDescent="0.2">
      <c r="A3666" s="49">
        <v>3126</v>
      </c>
      <c r="B3666" s="11" t="s">
        <v>1857</v>
      </c>
      <c r="C3666" s="11" t="s">
        <v>1849</v>
      </c>
      <c r="D3666" s="6" t="s">
        <v>1850</v>
      </c>
      <c r="E3666" s="12" t="s">
        <v>7784</v>
      </c>
      <c r="F3666" s="12" t="s">
        <v>7785</v>
      </c>
      <c r="G3666" s="12" t="s">
        <v>7802</v>
      </c>
      <c r="H3666" s="12" t="s">
        <v>2728</v>
      </c>
      <c r="I3666" s="12" t="s">
        <v>4649</v>
      </c>
      <c r="J3666" s="11" t="s">
        <v>1856</v>
      </c>
      <c r="K3666" s="11" t="s">
        <v>1852</v>
      </c>
      <c r="L3666" s="11" t="s">
        <v>1853</v>
      </c>
      <c r="M3666" s="11" t="s">
        <v>7695</v>
      </c>
      <c r="N3666" s="12" t="s">
        <v>8173</v>
      </c>
      <c r="O3666" s="11" t="s">
        <v>1858</v>
      </c>
      <c r="P3666" s="56"/>
    </row>
    <row r="3667" spans="1:16" ht="15.75" customHeight="1" x14ac:dyDescent="0.2">
      <c r="A3667" s="49">
        <v>3176</v>
      </c>
      <c r="B3667" s="11" t="s">
        <v>1857</v>
      </c>
      <c r="C3667" s="11" t="s">
        <v>1849</v>
      </c>
      <c r="D3667" s="6" t="s">
        <v>1850</v>
      </c>
      <c r="E3667" s="12" t="s">
        <v>7784</v>
      </c>
      <c r="F3667" s="12" t="s">
        <v>7785</v>
      </c>
      <c r="G3667" s="12" t="s">
        <v>7878</v>
      </c>
      <c r="H3667" s="12" t="s">
        <v>7935</v>
      </c>
      <c r="I3667" s="12" t="s">
        <v>8174</v>
      </c>
      <c r="J3667" s="11" t="s">
        <v>1856</v>
      </c>
      <c r="K3667" s="11" t="s">
        <v>1852</v>
      </c>
      <c r="L3667" s="11" t="s">
        <v>1853</v>
      </c>
      <c r="M3667" s="11" t="s">
        <v>8175</v>
      </c>
      <c r="N3667" s="12"/>
      <c r="O3667" s="11" t="s">
        <v>1858</v>
      </c>
      <c r="P3667" s="56"/>
    </row>
    <row r="3668" spans="1:16" ht="15.75" customHeight="1" x14ac:dyDescent="0.2">
      <c r="A3668" s="49">
        <v>3108</v>
      </c>
      <c r="B3668" s="11" t="s">
        <v>1857</v>
      </c>
      <c r="C3668" s="11" t="s">
        <v>1849</v>
      </c>
      <c r="D3668" s="6" t="s">
        <v>1850</v>
      </c>
      <c r="E3668" s="12" t="s">
        <v>7784</v>
      </c>
      <c r="F3668" s="12" t="s">
        <v>7785</v>
      </c>
      <c r="G3668" s="12" t="s">
        <v>7802</v>
      </c>
      <c r="H3668" s="12" t="s">
        <v>7826</v>
      </c>
      <c r="I3668" s="12" t="s">
        <v>8176</v>
      </c>
      <c r="J3668" s="11" t="s">
        <v>1856</v>
      </c>
      <c r="K3668" s="11" t="s">
        <v>1852</v>
      </c>
      <c r="L3668" s="11" t="s">
        <v>1853</v>
      </c>
      <c r="M3668" s="11" t="s">
        <v>8177</v>
      </c>
      <c r="N3668" s="12" t="s">
        <v>8178</v>
      </c>
      <c r="O3668" s="11" t="s">
        <v>1858</v>
      </c>
      <c r="P3668" s="56"/>
    </row>
    <row r="3669" spans="1:16" ht="15.75" customHeight="1" x14ac:dyDescent="0.2">
      <c r="A3669" s="49">
        <v>3408</v>
      </c>
      <c r="B3669" s="11" t="s">
        <v>1857</v>
      </c>
      <c r="C3669" s="11" t="s">
        <v>1849</v>
      </c>
      <c r="D3669" s="6" t="s">
        <v>1850</v>
      </c>
      <c r="E3669" s="12" t="s">
        <v>7784</v>
      </c>
      <c r="F3669" s="12" t="s">
        <v>7785</v>
      </c>
      <c r="G3669" s="12" t="s">
        <v>7786</v>
      </c>
      <c r="H3669" s="12" t="s">
        <v>7815</v>
      </c>
      <c r="I3669" s="12" t="s">
        <v>8179</v>
      </c>
      <c r="J3669" s="11" t="s">
        <v>1856</v>
      </c>
      <c r="K3669" s="11" t="s">
        <v>1852</v>
      </c>
      <c r="L3669" s="11" t="s">
        <v>1853</v>
      </c>
      <c r="M3669" s="11" t="s">
        <v>8180</v>
      </c>
      <c r="N3669" s="12" t="s">
        <v>8181</v>
      </c>
      <c r="O3669" s="11" t="s">
        <v>7931</v>
      </c>
      <c r="P3669" s="56"/>
    </row>
    <row r="3670" spans="1:16" ht="15.75" customHeight="1" x14ac:dyDescent="0.2">
      <c r="A3670" s="49">
        <v>5512</v>
      </c>
      <c r="B3670" s="11" t="s">
        <v>1857</v>
      </c>
      <c r="C3670" s="11" t="s">
        <v>1849</v>
      </c>
      <c r="D3670" s="6" t="s">
        <v>1850</v>
      </c>
      <c r="E3670" s="12" t="s">
        <v>7784</v>
      </c>
      <c r="F3670" s="12" t="s">
        <v>7785</v>
      </c>
      <c r="G3670" s="12" t="s">
        <v>7786</v>
      </c>
      <c r="H3670" s="12" t="s">
        <v>7798</v>
      </c>
      <c r="I3670" s="12" t="s">
        <v>8182</v>
      </c>
      <c r="J3670" s="11" t="s">
        <v>1851</v>
      </c>
      <c r="K3670" s="11" t="s">
        <v>1852</v>
      </c>
      <c r="L3670" s="11" t="s">
        <v>1853</v>
      </c>
      <c r="M3670" s="11" t="s">
        <v>7388</v>
      </c>
      <c r="N3670" s="12" t="s">
        <v>8183</v>
      </c>
      <c r="O3670" s="11" t="s">
        <v>1858</v>
      </c>
      <c r="P3670" s="56"/>
    </row>
    <row r="3671" spans="1:16" ht="15.75" customHeight="1" x14ac:dyDescent="0.2">
      <c r="A3671" s="49">
        <v>3195</v>
      </c>
      <c r="B3671" s="11" t="s">
        <v>1857</v>
      </c>
      <c r="C3671" s="11" t="s">
        <v>1849</v>
      </c>
      <c r="D3671" s="6" t="s">
        <v>1850</v>
      </c>
      <c r="E3671" s="12" t="s">
        <v>7784</v>
      </c>
      <c r="F3671" s="12" t="s">
        <v>7785</v>
      </c>
      <c r="G3671" s="12" t="s">
        <v>7878</v>
      </c>
      <c r="H3671" s="12" t="s">
        <v>7915</v>
      </c>
      <c r="I3671" s="12" t="s">
        <v>8184</v>
      </c>
      <c r="J3671" s="11" t="s">
        <v>1856</v>
      </c>
      <c r="K3671" s="11" t="s">
        <v>1852</v>
      </c>
      <c r="L3671" s="11" t="s">
        <v>1853</v>
      </c>
      <c r="M3671" s="11" t="s">
        <v>8185</v>
      </c>
      <c r="N3671" s="12" t="s">
        <v>8186</v>
      </c>
      <c r="O3671" s="11" t="s">
        <v>1869</v>
      </c>
      <c r="P3671" s="56"/>
    </row>
    <row r="3672" spans="1:16" ht="15.75" customHeight="1" x14ac:dyDescent="0.2">
      <c r="A3672" s="49">
        <v>3107</v>
      </c>
      <c r="B3672" s="11" t="s">
        <v>1857</v>
      </c>
      <c r="C3672" s="11" t="s">
        <v>1849</v>
      </c>
      <c r="D3672" s="6" t="s">
        <v>1850</v>
      </c>
      <c r="E3672" s="12" t="s">
        <v>7784</v>
      </c>
      <c r="F3672" s="12" t="s">
        <v>7785</v>
      </c>
      <c r="G3672" s="12" t="s">
        <v>7802</v>
      </c>
      <c r="H3672" s="12" t="s">
        <v>7870</v>
      </c>
      <c r="I3672" s="12" t="s">
        <v>8187</v>
      </c>
      <c r="J3672" s="11" t="s">
        <v>1856</v>
      </c>
      <c r="K3672" s="11" t="s">
        <v>1852</v>
      </c>
      <c r="L3672" s="11" t="s">
        <v>1853</v>
      </c>
      <c r="M3672" s="11" t="s">
        <v>7594</v>
      </c>
      <c r="N3672" s="12" t="s">
        <v>8188</v>
      </c>
      <c r="O3672" s="11" t="s">
        <v>1869</v>
      </c>
      <c r="P3672" s="56"/>
    </row>
    <row r="3673" spans="1:16" ht="15.75" customHeight="1" x14ac:dyDescent="0.2">
      <c r="A3673" s="49">
        <v>3132</v>
      </c>
      <c r="B3673" s="11" t="s">
        <v>1857</v>
      </c>
      <c r="C3673" s="11" t="s">
        <v>1849</v>
      </c>
      <c r="D3673" s="6" t="s">
        <v>1850</v>
      </c>
      <c r="E3673" s="12" t="s">
        <v>7784</v>
      </c>
      <c r="F3673" s="12" t="s">
        <v>7785</v>
      </c>
      <c r="G3673" s="12" t="s">
        <v>7802</v>
      </c>
      <c r="H3673" s="12" t="s">
        <v>5715</v>
      </c>
      <c r="I3673" s="12" t="s">
        <v>8189</v>
      </c>
      <c r="J3673" s="11" t="s">
        <v>1856</v>
      </c>
      <c r="K3673" s="11" t="s">
        <v>1852</v>
      </c>
      <c r="L3673" s="11" t="s">
        <v>1853</v>
      </c>
      <c r="M3673" s="11" t="s">
        <v>8190</v>
      </c>
      <c r="N3673" s="12" t="s">
        <v>8191</v>
      </c>
      <c r="O3673" s="11" t="s">
        <v>1858</v>
      </c>
      <c r="P3673" s="56"/>
    </row>
    <row r="3674" spans="1:16" ht="15.75" customHeight="1" x14ac:dyDescent="0.2">
      <c r="A3674" s="49">
        <v>3139</v>
      </c>
      <c r="B3674" s="11" t="s">
        <v>1857</v>
      </c>
      <c r="C3674" s="11" t="s">
        <v>1849</v>
      </c>
      <c r="D3674" s="6" t="s">
        <v>1850</v>
      </c>
      <c r="E3674" s="12" t="s">
        <v>7784</v>
      </c>
      <c r="F3674" s="12" t="s">
        <v>7785</v>
      </c>
      <c r="G3674" s="12" t="s">
        <v>7802</v>
      </c>
      <c r="H3674" s="12" t="s">
        <v>5715</v>
      </c>
      <c r="I3674" s="12" t="s">
        <v>8192</v>
      </c>
      <c r="J3674" s="11" t="s">
        <v>1856</v>
      </c>
      <c r="K3674" s="11" t="s">
        <v>1852</v>
      </c>
      <c r="L3674" s="11" t="s">
        <v>1853</v>
      </c>
      <c r="M3674" s="11" t="s">
        <v>8193</v>
      </c>
      <c r="N3674" s="12" t="s">
        <v>8194</v>
      </c>
      <c r="O3674" s="11" t="s">
        <v>1858</v>
      </c>
      <c r="P3674" s="56"/>
    </row>
    <row r="3675" spans="1:16" ht="15.75" customHeight="1" x14ac:dyDescent="0.2">
      <c r="A3675" s="49">
        <v>3145</v>
      </c>
      <c r="B3675" s="11" t="s">
        <v>1857</v>
      </c>
      <c r="C3675" s="11" t="s">
        <v>1849</v>
      </c>
      <c r="D3675" s="6" t="s">
        <v>1850</v>
      </c>
      <c r="E3675" s="12" t="s">
        <v>7784</v>
      </c>
      <c r="F3675" s="12" t="s">
        <v>7785</v>
      </c>
      <c r="G3675" s="12" t="s">
        <v>7802</v>
      </c>
      <c r="H3675" s="12" t="s">
        <v>7803</v>
      </c>
      <c r="I3675" s="12" t="s">
        <v>8195</v>
      </c>
      <c r="J3675" s="11" t="s">
        <v>1856</v>
      </c>
      <c r="K3675" s="11" t="s">
        <v>1852</v>
      </c>
      <c r="L3675" s="11" t="s">
        <v>1853</v>
      </c>
      <c r="M3675" s="11" t="s">
        <v>7402</v>
      </c>
      <c r="N3675" s="12" t="s">
        <v>8196</v>
      </c>
      <c r="O3675" s="11" t="s">
        <v>1858</v>
      </c>
      <c r="P3675" s="56"/>
    </row>
    <row r="3676" spans="1:16" ht="15.75" customHeight="1" x14ac:dyDescent="0.2">
      <c r="A3676" s="49">
        <v>2997</v>
      </c>
      <c r="B3676" s="11" t="s">
        <v>1857</v>
      </c>
      <c r="C3676" s="11" t="s">
        <v>1849</v>
      </c>
      <c r="D3676" s="6" t="s">
        <v>1850</v>
      </c>
      <c r="E3676" s="12" t="s">
        <v>7784</v>
      </c>
      <c r="F3676" s="12" t="s">
        <v>7785</v>
      </c>
      <c r="G3676" s="12" t="s">
        <v>7789</v>
      </c>
      <c r="H3676" s="12" t="s">
        <v>7789</v>
      </c>
      <c r="I3676" s="12" t="s">
        <v>8197</v>
      </c>
      <c r="J3676" s="11" t="s">
        <v>1851</v>
      </c>
      <c r="K3676" s="11" t="s">
        <v>1852</v>
      </c>
      <c r="L3676" s="11" t="s">
        <v>1853</v>
      </c>
      <c r="M3676" s="11" t="s">
        <v>7836</v>
      </c>
      <c r="N3676" s="12"/>
      <c r="O3676" s="11" t="s">
        <v>1858</v>
      </c>
      <c r="P3676" s="56"/>
    </row>
    <row r="3677" spans="1:16" ht="15.75" customHeight="1" x14ac:dyDescent="0.2">
      <c r="A3677" s="49">
        <v>3369</v>
      </c>
      <c r="B3677" s="11" t="s">
        <v>1857</v>
      </c>
      <c r="C3677" s="11" t="s">
        <v>1849</v>
      </c>
      <c r="D3677" s="6" t="s">
        <v>1850</v>
      </c>
      <c r="E3677" s="12" t="s">
        <v>7784</v>
      </c>
      <c r="F3677" s="12" t="s">
        <v>7785</v>
      </c>
      <c r="G3677" s="12" t="s">
        <v>7786</v>
      </c>
      <c r="H3677" s="12" t="s">
        <v>7798</v>
      </c>
      <c r="I3677" s="12" t="s">
        <v>8198</v>
      </c>
      <c r="J3677" s="11" t="s">
        <v>1851</v>
      </c>
      <c r="K3677" s="11" t="s">
        <v>1852</v>
      </c>
      <c r="L3677" s="11" t="s">
        <v>1853</v>
      </c>
      <c r="M3677" s="11" t="s">
        <v>8199</v>
      </c>
      <c r="N3677" s="12" t="s">
        <v>8200</v>
      </c>
      <c r="O3677" s="11" t="s">
        <v>1858</v>
      </c>
      <c r="P3677" s="56"/>
    </row>
    <row r="3678" spans="1:16" ht="15.75" customHeight="1" x14ac:dyDescent="0.2">
      <c r="A3678" s="49">
        <v>3441</v>
      </c>
      <c r="B3678" s="11" t="s">
        <v>1857</v>
      </c>
      <c r="C3678" s="11" t="s">
        <v>1849</v>
      </c>
      <c r="D3678" s="6" t="s">
        <v>1850</v>
      </c>
      <c r="E3678" s="12" t="s">
        <v>7784</v>
      </c>
      <c r="F3678" s="12" t="s">
        <v>7785</v>
      </c>
      <c r="G3678" s="12" t="s">
        <v>7786</v>
      </c>
      <c r="H3678" s="12" t="s">
        <v>7807</v>
      </c>
      <c r="I3678" s="12" t="s">
        <v>843</v>
      </c>
      <c r="J3678" s="11" t="s">
        <v>1851</v>
      </c>
      <c r="K3678" s="11" t="s">
        <v>1852</v>
      </c>
      <c r="L3678" s="11" t="s">
        <v>1853</v>
      </c>
      <c r="M3678" s="11" t="s">
        <v>8201</v>
      </c>
      <c r="N3678" s="12" t="s">
        <v>8202</v>
      </c>
      <c r="O3678" s="11" t="s">
        <v>1858</v>
      </c>
      <c r="P3678" s="56"/>
    </row>
    <row r="3679" spans="1:16" ht="15.75" customHeight="1" x14ac:dyDescent="0.2">
      <c r="A3679" s="49">
        <v>3140</v>
      </c>
      <c r="B3679" s="11" t="s">
        <v>1857</v>
      </c>
      <c r="C3679" s="11" t="s">
        <v>1849</v>
      </c>
      <c r="D3679" s="6" t="s">
        <v>1850</v>
      </c>
      <c r="E3679" s="12" t="s">
        <v>7784</v>
      </c>
      <c r="F3679" s="12" t="s">
        <v>7785</v>
      </c>
      <c r="G3679" s="12" t="s">
        <v>7802</v>
      </c>
      <c r="H3679" s="12" t="s">
        <v>5715</v>
      </c>
      <c r="I3679" s="12" t="s">
        <v>4967</v>
      </c>
      <c r="J3679" s="11" t="s">
        <v>1856</v>
      </c>
      <c r="K3679" s="11" t="s">
        <v>1852</v>
      </c>
      <c r="L3679" s="11" t="s">
        <v>1853</v>
      </c>
      <c r="M3679" s="11" t="s">
        <v>1854</v>
      </c>
      <c r="N3679" s="12"/>
      <c r="O3679" s="11" t="s">
        <v>1860</v>
      </c>
      <c r="P3679" s="56"/>
    </row>
    <row r="3680" spans="1:16" ht="15.75" customHeight="1" x14ac:dyDescent="0.2">
      <c r="A3680" s="49">
        <v>5442</v>
      </c>
      <c r="B3680" s="11" t="s">
        <v>1857</v>
      </c>
      <c r="C3680" s="11" t="s">
        <v>1849</v>
      </c>
      <c r="D3680" s="6" t="s">
        <v>1850</v>
      </c>
      <c r="E3680" s="12" t="s">
        <v>7784</v>
      </c>
      <c r="F3680" s="12" t="s">
        <v>7785</v>
      </c>
      <c r="G3680" s="12" t="s">
        <v>7789</v>
      </c>
      <c r="H3680" s="12" t="s">
        <v>7789</v>
      </c>
      <c r="I3680" s="12" t="s">
        <v>8203</v>
      </c>
      <c r="J3680" s="11" t="s">
        <v>1851</v>
      </c>
      <c r="K3680" s="11" t="s">
        <v>1852</v>
      </c>
      <c r="L3680" s="11" t="s">
        <v>1853</v>
      </c>
      <c r="M3680" s="11" t="s">
        <v>8204</v>
      </c>
      <c r="N3680" s="12"/>
      <c r="O3680" s="11" t="s">
        <v>1869</v>
      </c>
      <c r="P3680" s="56"/>
    </row>
    <row r="3681" spans="1:16" ht="15.75" customHeight="1" x14ac:dyDescent="0.2">
      <c r="A3681" s="49">
        <v>3439</v>
      </c>
      <c r="B3681" s="11" t="s">
        <v>1857</v>
      </c>
      <c r="C3681" s="11" t="s">
        <v>1849</v>
      </c>
      <c r="D3681" s="6" t="s">
        <v>1850</v>
      </c>
      <c r="E3681" s="12" t="s">
        <v>7784</v>
      </c>
      <c r="F3681" s="12" t="s">
        <v>7785</v>
      </c>
      <c r="G3681" s="12" t="s">
        <v>7786</v>
      </c>
      <c r="H3681" s="12" t="s">
        <v>7807</v>
      </c>
      <c r="I3681" s="12" t="s">
        <v>8205</v>
      </c>
      <c r="J3681" s="11" t="s">
        <v>1851</v>
      </c>
      <c r="K3681" s="11" t="s">
        <v>1852</v>
      </c>
      <c r="L3681" s="11" t="s">
        <v>1853</v>
      </c>
      <c r="M3681" s="11" t="s">
        <v>7371</v>
      </c>
      <c r="N3681" s="12" t="s">
        <v>8206</v>
      </c>
      <c r="O3681" s="11" t="s">
        <v>1869</v>
      </c>
      <c r="P3681" s="56"/>
    </row>
    <row r="3682" spans="1:16" ht="15.75" customHeight="1" x14ac:dyDescent="0.2">
      <c r="A3682" s="49">
        <v>6127</v>
      </c>
      <c r="B3682" s="11" t="s">
        <v>1857</v>
      </c>
      <c r="C3682" s="11" t="s">
        <v>1849</v>
      </c>
      <c r="D3682" s="6" t="s">
        <v>1850</v>
      </c>
      <c r="E3682" s="12" t="s">
        <v>7784</v>
      </c>
      <c r="F3682" s="12" t="s">
        <v>7785</v>
      </c>
      <c r="G3682" s="12" t="s">
        <v>7789</v>
      </c>
      <c r="H3682" s="12" t="s">
        <v>7865</v>
      </c>
      <c r="I3682" s="12" t="s">
        <v>8207</v>
      </c>
      <c r="J3682" s="11" t="s">
        <v>1851</v>
      </c>
      <c r="K3682" s="11" t="s">
        <v>1852</v>
      </c>
      <c r="L3682" s="11" t="s">
        <v>1853</v>
      </c>
      <c r="M3682" s="11" t="s">
        <v>1854</v>
      </c>
      <c r="N3682" s="12"/>
      <c r="O3682" s="11" t="s">
        <v>1872</v>
      </c>
      <c r="P3682" s="56"/>
    </row>
    <row r="3683" spans="1:16" ht="15.75" customHeight="1" x14ac:dyDescent="0.2">
      <c r="A3683" s="49">
        <v>3141</v>
      </c>
      <c r="B3683" s="11" t="s">
        <v>1857</v>
      </c>
      <c r="C3683" s="11" t="s">
        <v>1849</v>
      </c>
      <c r="D3683" s="6" t="s">
        <v>1850</v>
      </c>
      <c r="E3683" s="12" t="s">
        <v>7784</v>
      </c>
      <c r="F3683" s="12" t="s">
        <v>7785</v>
      </c>
      <c r="G3683" s="12" t="s">
        <v>7802</v>
      </c>
      <c r="H3683" s="12" t="s">
        <v>5715</v>
      </c>
      <c r="I3683" s="12" t="s">
        <v>8208</v>
      </c>
      <c r="J3683" s="11" t="s">
        <v>1856</v>
      </c>
      <c r="K3683" s="11" t="s">
        <v>1852</v>
      </c>
      <c r="L3683" s="11" t="s">
        <v>1853</v>
      </c>
      <c r="M3683" s="11" t="s">
        <v>8209</v>
      </c>
      <c r="N3683" s="12" t="s">
        <v>8210</v>
      </c>
      <c r="O3683" s="11" t="s">
        <v>1860</v>
      </c>
      <c r="P3683" s="56"/>
    </row>
    <row r="3684" spans="1:16" ht="15.75" customHeight="1" x14ac:dyDescent="0.2">
      <c r="A3684" s="49">
        <v>3453</v>
      </c>
      <c r="B3684" s="11" t="s">
        <v>1857</v>
      </c>
      <c r="C3684" s="11" t="s">
        <v>1849</v>
      </c>
      <c r="D3684" s="6" t="s">
        <v>1850</v>
      </c>
      <c r="E3684" s="12" t="s">
        <v>7784</v>
      </c>
      <c r="F3684" s="12" t="s">
        <v>7785</v>
      </c>
      <c r="G3684" s="12" t="s">
        <v>7786</v>
      </c>
      <c r="H3684" s="12" t="s">
        <v>8211</v>
      </c>
      <c r="I3684" s="12" t="s">
        <v>8212</v>
      </c>
      <c r="J3684" s="11" t="s">
        <v>1856</v>
      </c>
      <c r="K3684" s="11" t="s">
        <v>1852</v>
      </c>
      <c r="L3684" s="11" t="s">
        <v>1853</v>
      </c>
      <c r="M3684" s="11" t="s">
        <v>8213</v>
      </c>
      <c r="N3684" s="12" t="s">
        <v>8214</v>
      </c>
      <c r="O3684" s="11" t="s">
        <v>1858</v>
      </c>
      <c r="P3684" s="56"/>
    </row>
    <row r="3685" spans="1:16" ht="15.75" customHeight="1" x14ac:dyDescent="0.2">
      <c r="A3685" s="49">
        <v>3411</v>
      </c>
      <c r="B3685" s="11" t="s">
        <v>1857</v>
      </c>
      <c r="C3685" s="11" t="s">
        <v>1849</v>
      </c>
      <c r="D3685" s="6" t="s">
        <v>1850</v>
      </c>
      <c r="E3685" s="12" t="s">
        <v>7784</v>
      </c>
      <c r="F3685" s="12" t="s">
        <v>7785</v>
      </c>
      <c r="G3685" s="12" t="s">
        <v>7786</v>
      </c>
      <c r="H3685" s="12" t="s">
        <v>8036</v>
      </c>
      <c r="I3685" s="12" t="s">
        <v>8215</v>
      </c>
      <c r="J3685" s="11" t="s">
        <v>1856</v>
      </c>
      <c r="K3685" s="11" t="s">
        <v>1852</v>
      </c>
      <c r="L3685" s="11" t="s">
        <v>1853</v>
      </c>
      <c r="M3685" s="11" t="s">
        <v>8213</v>
      </c>
      <c r="N3685" s="12" t="s">
        <v>8216</v>
      </c>
      <c r="O3685" s="11" t="s">
        <v>1860</v>
      </c>
      <c r="P3685" s="56"/>
    </row>
    <row r="3686" spans="1:16" ht="15.75" customHeight="1" x14ac:dyDescent="0.2">
      <c r="A3686" s="49">
        <v>3179</v>
      </c>
      <c r="B3686" s="11" t="s">
        <v>1857</v>
      </c>
      <c r="C3686" s="11" t="s">
        <v>1849</v>
      </c>
      <c r="D3686" s="6" t="s">
        <v>1850</v>
      </c>
      <c r="E3686" s="12" t="s">
        <v>7784</v>
      </c>
      <c r="F3686" s="12" t="s">
        <v>7785</v>
      </c>
      <c r="G3686" s="12" t="s">
        <v>7878</v>
      </c>
      <c r="H3686" s="12" t="s">
        <v>6561</v>
      </c>
      <c r="I3686" s="12" t="s">
        <v>8217</v>
      </c>
      <c r="J3686" s="11" t="s">
        <v>1856</v>
      </c>
      <c r="K3686" s="11" t="s">
        <v>1852</v>
      </c>
      <c r="L3686" s="11" t="s">
        <v>1853</v>
      </c>
      <c r="M3686" s="11" t="s">
        <v>7448</v>
      </c>
      <c r="N3686" s="12" t="s">
        <v>8218</v>
      </c>
      <c r="O3686" s="11" t="s">
        <v>1858</v>
      </c>
      <c r="P3686" s="56"/>
    </row>
    <row r="3687" spans="1:16" ht="15.75" customHeight="1" x14ac:dyDescent="0.2">
      <c r="A3687" s="49">
        <v>3122</v>
      </c>
      <c r="B3687" s="11" t="s">
        <v>1857</v>
      </c>
      <c r="C3687" s="11" t="s">
        <v>1849</v>
      </c>
      <c r="D3687" s="6" t="s">
        <v>1850</v>
      </c>
      <c r="E3687" s="12" t="s">
        <v>7784</v>
      </c>
      <c r="F3687" s="12" t="s">
        <v>7785</v>
      </c>
      <c r="G3687" s="12" t="s">
        <v>7802</v>
      </c>
      <c r="H3687" s="12" t="s">
        <v>2728</v>
      </c>
      <c r="I3687" s="12" t="s">
        <v>1915</v>
      </c>
      <c r="J3687" s="11" t="s">
        <v>1856</v>
      </c>
      <c r="K3687" s="11" t="s">
        <v>1852</v>
      </c>
      <c r="L3687" s="11" t="s">
        <v>1853</v>
      </c>
      <c r="M3687" s="11" t="s">
        <v>7828</v>
      </c>
      <c r="N3687" s="12" t="s">
        <v>8219</v>
      </c>
      <c r="O3687" s="11" t="s">
        <v>1858</v>
      </c>
      <c r="P3687" s="56"/>
    </row>
    <row r="3688" spans="1:16" ht="15.75" customHeight="1" x14ac:dyDescent="0.2">
      <c r="A3688" s="49">
        <v>3085</v>
      </c>
      <c r="B3688" s="11" t="s">
        <v>1857</v>
      </c>
      <c r="C3688" s="11" t="s">
        <v>1849</v>
      </c>
      <c r="D3688" s="6" t="s">
        <v>1850</v>
      </c>
      <c r="E3688" s="12" t="s">
        <v>7784</v>
      </c>
      <c r="F3688" s="12" t="s">
        <v>7785</v>
      </c>
      <c r="G3688" s="12" t="s">
        <v>7802</v>
      </c>
      <c r="H3688" s="12" t="s">
        <v>7826</v>
      </c>
      <c r="I3688" s="12" t="s">
        <v>8220</v>
      </c>
      <c r="J3688" s="11" t="s">
        <v>1856</v>
      </c>
      <c r="K3688" s="11" t="s">
        <v>1852</v>
      </c>
      <c r="L3688" s="11" t="s">
        <v>1853</v>
      </c>
      <c r="M3688" s="11" t="s">
        <v>1854</v>
      </c>
      <c r="N3688" s="12"/>
      <c r="O3688" s="11" t="s">
        <v>1858</v>
      </c>
      <c r="P3688" s="56"/>
    </row>
    <row r="3689" spans="1:16" ht="15.75" customHeight="1" x14ac:dyDescent="0.2">
      <c r="A3689" s="49">
        <v>3178</v>
      </c>
      <c r="B3689" s="11" t="s">
        <v>1857</v>
      </c>
      <c r="C3689" s="11" t="s">
        <v>1849</v>
      </c>
      <c r="D3689" s="6" t="s">
        <v>1850</v>
      </c>
      <c r="E3689" s="12" t="s">
        <v>7784</v>
      </c>
      <c r="F3689" s="12" t="s">
        <v>7785</v>
      </c>
      <c r="G3689" s="12" t="s">
        <v>7878</v>
      </c>
      <c r="H3689" s="12" t="s">
        <v>6561</v>
      </c>
      <c r="I3689" s="12" t="s">
        <v>3624</v>
      </c>
      <c r="J3689" s="11" t="s">
        <v>1856</v>
      </c>
      <c r="K3689" s="11" t="s">
        <v>1852</v>
      </c>
      <c r="L3689" s="11" t="s">
        <v>1853</v>
      </c>
      <c r="M3689" s="11" t="s">
        <v>8199</v>
      </c>
      <c r="N3689" s="12" t="s">
        <v>8221</v>
      </c>
      <c r="O3689" s="11" t="s">
        <v>1858</v>
      </c>
      <c r="P3689" s="56"/>
    </row>
    <row r="3690" spans="1:16" ht="15.75" customHeight="1" x14ac:dyDescent="0.2">
      <c r="A3690" s="49">
        <v>3088</v>
      </c>
      <c r="B3690" s="11" t="s">
        <v>1857</v>
      </c>
      <c r="C3690" s="11" t="s">
        <v>1849</v>
      </c>
      <c r="D3690" s="6" t="s">
        <v>1850</v>
      </c>
      <c r="E3690" s="12" t="s">
        <v>7784</v>
      </c>
      <c r="F3690" s="12" t="s">
        <v>7785</v>
      </c>
      <c r="G3690" s="12" t="s">
        <v>7802</v>
      </c>
      <c r="H3690" s="12" t="s">
        <v>8222</v>
      </c>
      <c r="I3690" s="12" t="s">
        <v>6046</v>
      </c>
      <c r="J3690" s="11" t="s">
        <v>1856</v>
      </c>
      <c r="K3690" s="11" t="s">
        <v>1852</v>
      </c>
      <c r="L3690" s="11" t="s">
        <v>1853</v>
      </c>
      <c r="M3690" s="11" t="s">
        <v>1854</v>
      </c>
      <c r="N3690" s="12"/>
      <c r="O3690" s="11" t="s">
        <v>1858</v>
      </c>
      <c r="P3690" s="56"/>
    </row>
    <row r="3691" spans="1:16" ht="15.75" customHeight="1" x14ac:dyDescent="0.2">
      <c r="A3691" s="49">
        <v>3091</v>
      </c>
      <c r="B3691" s="11" t="s">
        <v>1857</v>
      </c>
      <c r="C3691" s="11" t="s">
        <v>1849</v>
      </c>
      <c r="D3691" s="6" t="s">
        <v>1850</v>
      </c>
      <c r="E3691" s="12" t="s">
        <v>7784</v>
      </c>
      <c r="F3691" s="12" t="s">
        <v>7785</v>
      </c>
      <c r="G3691" s="12" t="s">
        <v>7802</v>
      </c>
      <c r="H3691" s="12" t="s">
        <v>8223</v>
      </c>
      <c r="I3691" s="12" t="s">
        <v>8224</v>
      </c>
      <c r="J3691" s="11" t="s">
        <v>1856</v>
      </c>
      <c r="K3691" s="11" t="s">
        <v>1852</v>
      </c>
      <c r="L3691" s="11" t="s">
        <v>1853</v>
      </c>
      <c r="M3691" s="11" t="s">
        <v>1854</v>
      </c>
      <c r="N3691" s="12"/>
      <c r="O3691" s="11" t="s">
        <v>1858</v>
      </c>
      <c r="P3691" s="56"/>
    </row>
    <row r="3692" spans="1:16" ht="15.75" customHeight="1" x14ac:dyDescent="0.2">
      <c r="A3692" s="49">
        <v>3185</v>
      </c>
      <c r="B3692" s="11" t="s">
        <v>1857</v>
      </c>
      <c r="C3692" s="11" t="s">
        <v>1849</v>
      </c>
      <c r="D3692" s="6" t="s">
        <v>1850</v>
      </c>
      <c r="E3692" s="12" t="s">
        <v>7784</v>
      </c>
      <c r="F3692" s="12" t="s">
        <v>7785</v>
      </c>
      <c r="G3692" s="12" t="s">
        <v>7878</v>
      </c>
      <c r="H3692" s="12" t="s">
        <v>8225</v>
      </c>
      <c r="I3692" s="12" t="s">
        <v>8226</v>
      </c>
      <c r="J3692" s="11" t="s">
        <v>1856</v>
      </c>
      <c r="K3692" s="11" t="s">
        <v>1852</v>
      </c>
      <c r="L3692" s="11" t="s">
        <v>1853</v>
      </c>
      <c r="M3692" s="11" t="s">
        <v>1854</v>
      </c>
      <c r="N3692" s="12"/>
      <c r="O3692" s="11" t="s">
        <v>1860</v>
      </c>
      <c r="P3692" s="56"/>
    </row>
    <row r="3693" spans="1:16" ht="15.75" customHeight="1" x14ac:dyDescent="0.2">
      <c r="A3693" s="49">
        <v>3102</v>
      </c>
      <c r="B3693" s="11" t="s">
        <v>1857</v>
      </c>
      <c r="C3693" s="11" t="s">
        <v>1849</v>
      </c>
      <c r="D3693" s="6" t="s">
        <v>1850</v>
      </c>
      <c r="E3693" s="12" t="s">
        <v>7784</v>
      </c>
      <c r="F3693" s="12" t="s">
        <v>7785</v>
      </c>
      <c r="G3693" s="12" t="s">
        <v>7802</v>
      </c>
      <c r="H3693" s="12" t="s">
        <v>7826</v>
      </c>
      <c r="I3693" s="12" t="s">
        <v>8227</v>
      </c>
      <c r="J3693" s="11" t="s">
        <v>1856</v>
      </c>
      <c r="K3693" s="11" t="s">
        <v>1852</v>
      </c>
      <c r="L3693" s="11" t="s">
        <v>1853</v>
      </c>
      <c r="M3693" s="11" t="s">
        <v>8228</v>
      </c>
      <c r="N3693" s="12" t="s">
        <v>8229</v>
      </c>
      <c r="O3693" s="11" t="s">
        <v>1867</v>
      </c>
      <c r="P3693" s="56" t="s">
        <v>1865</v>
      </c>
    </row>
    <row r="3694" spans="1:16" ht="15.75" customHeight="1" x14ac:dyDescent="0.2">
      <c r="A3694" s="49">
        <v>3114</v>
      </c>
      <c r="B3694" s="11" t="s">
        <v>1857</v>
      </c>
      <c r="C3694" s="11" t="s">
        <v>1849</v>
      </c>
      <c r="D3694" s="6" t="s">
        <v>1850</v>
      </c>
      <c r="E3694" s="12" t="s">
        <v>7784</v>
      </c>
      <c r="F3694" s="12" t="s">
        <v>7785</v>
      </c>
      <c r="G3694" s="12" t="s">
        <v>7802</v>
      </c>
      <c r="H3694" s="12" t="s">
        <v>2728</v>
      </c>
      <c r="I3694" s="12" t="s">
        <v>8230</v>
      </c>
      <c r="J3694" s="11" t="s">
        <v>1856</v>
      </c>
      <c r="K3694" s="11" t="s">
        <v>1852</v>
      </c>
      <c r="L3694" s="11" t="s">
        <v>1853</v>
      </c>
      <c r="M3694" s="11" t="s">
        <v>8231</v>
      </c>
      <c r="N3694" s="12" t="s">
        <v>8232</v>
      </c>
      <c r="O3694" s="11" t="s">
        <v>1860</v>
      </c>
      <c r="P3694" s="56"/>
    </row>
    <row r="3695" spans="1:16" ht="15.75" customHeight="1" x14ac:dyDescent="0.2">
      <c r="A3695" s="49">
        <v>3113</v>
      </c>
      <c r="B3695" s="11" t="s">
        <v>1857</v>
      </c>
      <c r="C3695" s="11" t="s">
        <v>1849</v>
      </c>
      <c r="D3695" s="6" t="s">
        <v>1850</v>
      </c>
      <c r="E3695" s="12" t="s">
        <v>7784</v>
      </c>
      <c r="F3695" s="12" t="s">
        <v>7785</v>
      </c>
      <c r="G3695" s="12" t="s">
        <v>7802</v>
      </c>
      <c r="H3695" s="12" t="s">
        <v>7826</v>
      </c>
      <c r="I3695" s="12" t="s">
        <v>8233</v>
      </c>
      <c r="J3695" s="11" t="s">
        <v>1856</v>
      </c>
      <c r="K3695" s="11" t="s">
        <v>1852</v>
      </c>
      <c r="L3695" s="11" t="s">
        <v>1853</v>
      </c>
      <c r="M3695" s="11" t="s">
        <v>8180</v>
      </c>
      <c r="N3695" s="12" t="s">
        <v>8234</v>
      </c>
      <c r="O3695" s="11" t="s">
        <v>1860</v>
      </c>
      <c r="P3695" s="56"/>
    </row>
    <row r="3696" spans="1:16" ht="15.75" customHeight="1" x14ac:dyDescent="0.2">
      <c r="A3696" s="49">
        <v>3946</v>
      </c>
      <c r="B3696" s="11" t="s">
        <v>1857</v>
      </c>
      <c r="C3696" s="11" t="s">
        <v>1849</v>
      </c>
      <c r="D3696" s="6" t="s">
        <v>1850</v>
      </c>
      <c r="E3696" s="12" t="s">
        <v>7784</v>
      </c>
      <c r="F3696" s="12" t="s">
        <v>7785</v>
      </c>
      <c r="G3696" s="12" t="s">
        <v>2723</v>
      </c>
      <c r="H3696" s="12" t="s">
        <v>2723</v>
      </c>
      <c r="I3696" s="12" t="s">
        <v>8235</v>
      </c>
      <c r="J3696" s="11" t="s">
        <v>1856</v>
      </c>
      <c r="K3696" s="11" t="s">
        <v>1852</v>
      </c>
      <c r="L3696" s="11" t="s">
        <v>1853</v>
      </c>
      <c r="M3696" s="11" t="s">
        <v>8236</v>
      </c>
      <c r="N3696" s="12"/>
      <c r="O3696" s="11" t="s">
        <v>1858</v>
      </c>
      <c r="P3696" s="56"/>
    </row>
    <row r="3697" spans="1:16" ht="15.75" customHeight="1" x14ac:dyDescent="0.2">
      <c r="A3697" s="49">
        <v>3448</v>
      </c>
      <c r="B3697" s="11" t="s">
        <v>1857</v>
      </c>
      <c r="C3697" s="11" t="s">
        <v>1849</v>
      </c>
      <c r="D3697" s="6" t="s">
        <v>1850</v>
      </c>
      <c r="E3697" s="12" t="s">
        <v>7784</v>
      </c>
      <c r="F3697" s="12" t="s">
        <v>7785</v>
      </c>
      <c r="G3697" s="12" t="s">
        <v>7786</v>
      </c>
      <c r="H3697" s="12" t="s">
        <v>7883</v>
      </c>
      <c r="I3697" s="12" t="s">
        <v>8237</v>
      </c>
      <c r="J3697" s="11" t="s">
        <v>1856</v>
      </c>
      <c r="K3697" s="11" t="s">
        <v>1852</v>
      </c>
      <c r="L3697" s="11" t="s">
        <v>1853</v>
      </c>
      <c r="M3697" s="11" t="s">
        <v>1854</v>
      </c>
      <c r="N3697" s="12"/>
      <c r="O3697" s="11" t="s">
        <v>1858</v>
      </c>
      <c r="P3697" s="56"/>
    </row>
    <row r="3698" spans="1:16" ht="15.75" customHeight="1" x14ac:dyDescent="0.2">
      <c r="A3698" s="49">
        <v>3093</v>
      </c>
      <c r="B3698" s="11" t="s">
        <v>1857</v>
      </c>
      <c r="C3698" s="11" t="s">
        <v>1849</v>
      </c>
      <c r="D3698" s="6" t="s">
        <v>1850</v>
      </c>
      <c r="E3698" s="12" t="s">
        <v>7784</v>
      </c>
      <c r="F3698" s="12" t="s">
        <v>7785</v>
      </c>
      <c r="G3698" s="12" t="s">
        <v>7802</v>
      </c>
      <c r="H3698" s="12" t="s">
        <v>7833</v>
      </c>
      <c r="I3698" s="12" t="s">
        <v>8238</v>
      </c>
      <c r="J3698" s="11" t="s">
        <v>1851</v>
      </c>
      <c r="K3698" s="11" t="s">
        <v>1852</v>
      </c>
      <c r="L3698" s="11" t="s">
        <v>1853</v>
      </c>
      <c r="M3698" s="11" t="s">
        <v>8239</v>
      </c>
      <c r="N3698" s="12" t="s">
        <v>8240</v>
      </c>
      <c r="O3698" s="11" t="s">
        <v>1858</v>
      </c>
      <c r="P3698" s="56"/>
    </row>
    <row r="3699" spans="1:16" ht="15.75" customHeight="1" x14ac:dyDescent="0.2">
      <c r="A3699" s="49">
        <v>3089</v>
      </c>
      <c r="B3699" s="11" t="s">
        <v>1857</v>
      </c>
      <c r="C3699" s="11" t="s">
        <v>1849</v>
      </c>
      <c r="D3699" s="6" t="s">
        <v>1850</v>
      </c>
      <c r="E3699" s="12" t="s">
        <v>7784</v>
      </c>
      <c r="F3699" s="12" t="s">
        <v>7785</v>
      </c>
      <c r="G3699" s="12" t="s">
        <v>7802</v>
      </c>
      <c r="H3699" s="12" t="s">
        <v>8222</v>
      </c>
      <c r="I3699" s="12" t="s">
        <v>8241</v>
      </c>
      <c r="J3699" s="11" t="s">
        <v>1856</v>
      </c>
      <c r="K3699" s="11" t="s">
        <v>1852</v>
      </c>
      <c r="L3699" s="11" t="s">
        <v>1853</v>
      </c>
      <c r="M3699" s="11" t="s">
        <v>1854</v>
      </c>
      <c r="N3699" s="12"/>
      <c r="O3699" s="11" t="s">
        <v>1869</v>
      </c>
      <c r="P3699" s="56"/>
    </row>
    <row r="3700" spans="1:16" ht="15.75" customHeight="1" x14ac:dyDescent="0.2">
      <c r="A3700" s="49">
        <v>3955</v>
      </c>
      <c r="B3700" s="11" t="s">
        <v>1857</v>
      </c>
      <c r="C3700" s="11" t="s">
        <v>1849</v>
      </c>
      <c r="D3700" s="6" t="s">
        <v>1850</v>
      </c>
      <c r="E3700" s="12" t="s">
        <v>7784</v>
      </c>
      <c r="F3700" s="12" t="s">
        <v>7785</v>
      </c>
      <c r="G3700" s="12" t="s">
        <v>2723</v>
      </c>
      <c r="H3700" s="12" t="s">
        <v>7910</v>
      </c>
      <c r="I3700" s="12" t="s">
        <v>4182</v>
      </c>
      <c r="J3700" s="11" t="s">
        <v>1856</v>
      </c>
      <c r="K3700" s="11" t="s">
        <v>1852</v>
      </c>
      <c r="L3700" s="11" t="s">
        <v>1853</v>
      </c>
      <c r="M3700" s="11" t="s">
        <v>1854</v>
      </c>
      <c r="N3700" s="12"/>
      <c r="O3700" s="11" t="s">
        <v>1858</v>
      </c>
      <c r="P3700" s="56"/>
    </row>
    <row r="3701" spans="1:16" ht="15.75" customHeight="1" x14ac:dyDescent="0.2">
      <c r="A3701" s="49">
        <v>3953</v>
      </c>
      <c r="B3701" s="11" t="s">
        <v>1857</v>
      </c>
      <c r="C3701" s="11" t="s">
        <v>1849</v>
      </c>
      <c r="D3701" s="6" t="s">
        <v>1850</v>
      </c>
      <c r="E3701" s="12" t="s">
        <v>7784</v>
      </c>
      <c r="F3701" s="12" t="s">
        <v>7785</v>
      </c>
      <c r="G3701" s="12" t="s">
        <v>2723</v>
      </c>
      <c r="H3701" s="12" t="s">
        <v>7904</v>
      </c>
      <c r="I3701" s="12" t="s">
        <v>8242</v>
      </c>
      <c r="J3701" s="11" t="s">
        <v>1856</v>
      </c>
      <c r="K3701" s="11" t="s">
        <v>1852</v>
      </c>
      <c r="L3701" s="11" t="s">
        <v>1853</v>
      </c>
      <c r="M3701" s="11" t="s">
        <v>1854</v>
      </c>
      <c r="N3701" s="12"/>
      <c r="O3701" s="11" t="s">
        <v>1858</v>
      </c>
      <c r="P3701" s="56"/>
    </row>
    <row r="3702" spans="1:16" ht="15.75" customHeight="1" x14ac:dyDescent="0.2">
      <c r="A3702" s="49">
        <v>3086</v>
      </c>
      <c r="B3702" s="11" t="s">
        <v>1857</v>
      </c>
      <c r="C3702" s="11" t="s">
        <v>1849</v>
      </c>
      <c r="D3702" s="6" t="s">
        <v>1850</v>
      </c>
      <c r="E3702" s="12" t="s">
        <v>7784</v>
      </c>
      <c r="F3702" s="12" t="s">
        <v>7785</v>
      </c>
      <c r="G3702" s="12" t="s">
        <v>7802</v>
      </c>
      <c r="H3702" s="12" t="s">
        <v>7826</v>
      </c>
      <c r="I3702" s="12" t="s">
        <v>8243</v>
      </c>
      <c r="J3702" s="11" t="s">
        <v>1856</v>
      </c>
      <c r="K3702" s="11" t="s">
        <v>1852</v>
      </c>
      <c r="L3702" s="11" t="s">
        <v>1853</v>
      </c>
      <c r="M3702" s="11" t="s">
        <v>1854</v>
      </c>
      <c r="N3702" s="12"/>
      <c r="O3702" s="11" t="s">
        <v>1860</v>
      </c>
      <c r="P3702" s="56"/>
    </row>
    <row r="3703" spans="1:16" ht="15.75" customHeight="1" x14ac:dyDescent="0.2">
      <c r="A3703" s="49">
        <v>3463</v>
      </c>
      <c r="B3703" s="11" t="s">
        <v>1857</v>
      </c>
      <c r="C3703" s="11" t="s">
        <v>1849</v>
      </c>
      <c r="D3703" s="6" t="s">
        <v>1850</v>
      </c>
      <c r="E3703" s="12" t="s">
        <v>7784</v>
      </c>
      <c r="F3703" s="12" t="s">
        <v>7785</v>
      </c>
      <c r="G3703" s="12" t="s">
        <v>7786</v>
      </c>
      <c r="H3703" s="12" t="s">
        <v>7845</v>
      </c>
      <c r="I3703" s="12" t="s">
        <v>8244</v>
      </c>
      <c r="J3703" s="11" t="s">
        <v>1856</v>
      </c>
      <c r="K3703" s="11" t="s">
        <v>1852</v>
      </c>
      <c r="L3703" s="11" t="s">
        <v>1853</v>
      </c>
      <c r="M3703" s="11" t="s">
        <v>1854</v>
      </c>
      <c r="N3703" s="12"/>
      <c r="O3703" s="11" t="s">
        <v>1858</v>
      </c>
      <c r="P3703" s="56"/>
    </row>
    <row r="3704" spans="1:16" ht="15.75" customHeight="1" x14ac:dyDescent="0.2">
      <c r="A3704" s="49">
        <v>3459</v>
      </c>
      <c r="B3704" s="11" t="s">
        <v>1857</v>
      </c>
      <c r="C3704" s="11" t="s">
        <v>1849</v>
      </c>
      <c r="D3704" s="6" t="s">
        <v>1850</v>
      </c>
      <c r="E3704" s="12" t="s">
        <v>7784</v>
      </c>
      <c r="F3704" s="12" t="s">
        <v>7785</v>
      </c>
      <c r="G3704" s="12" t="s">
        <v>7786</v>
      </c>
      <c r="H3704" s="12" t="s">
        <v>7845</v>
      </c>
      <c r="I3704" s="12" t="s">
        <v>8245</v>
      </c>
      <c r="J3704" s="11" t="s">
        <v>1851</v>
      </c>
      <c r="K3704" s="11" t="s">
        <v>1852</v>
      </c>
      <c r="L3704" s="11" t="s">
        <v>1853</v>
      </c>
      <c r="M3704" s="11" t="s">
        <v>8246</v>
      </c>
      <c r="N3704" s="12" t="s">
        <v>8247</v>
      </c>
      <c r="O3704" s="11" t="s">
        <v>1860</v>
      </c>
      <c r="P3704" s="56"/>
    </row>
    <row r="3705" spans="1:16" ht="15.75" customHeight="1" x14ac:dyDescent="0.2">
      <c r="A3705" s="49">
        <v>3971</v>
      </c>
      <c r="B3705" s="11" t="s">
        <v>1857</v>
      </c>
      <c r="C3705" s="11" t="s">
        <v>1849</v>
      </c>
      <c r="D3705" s="6" t="s">
        <v>1850</v>
      </c>
      <c r="E3705" s="12" t="s">
        <v>7784</v>
      </c>
      <c r="F3705" s="12" t="s">
        <v>7785</v>
      </c>
      <c r="G3705" s="12" t="s">
        <v>2723</v>
      </c>
      <c r="H3705" s="12" t="s">
        <v>7868</v>
      </c>
      <c r="I3705" s="12" t="s">
        <v>3312</v>
      </c>
      <c r="J3705" s="11" t="s">
        <v>1856</v>
      </c>
      <c r="K3705" s="11" t="s">
        <v>1852</v>
      </c>
      <c r="L3705" s="11" t="s">
        <v>1853</v>
      </c>
      <c r="M3705" s="11" t="s">
        <v>8248</v>
      </c>
      <c r="N3705" s="12" t="s">
        <v>8249</v>
      </c>
      <c r="O3705" s="11" t="s">
        <v>1859</v>
      </c>
      <c r="P3705" s="56"/>
    </row>
    <row r="3706" spans="1:16" ht="15.75" customHeight="1" x14ac:dyDescent="0.2">
      <c r="A3706" s="49">
        <v>3090</v>
      </c>
      <c r="B3706" s="11" t="s">
        <v>1857</v>
      </c>
      <c r="C3706" s="11" t="s">
        <v>1849</v>
      </c>
      <c r="D3706" s="6" t="s">
        <v>1850</v>
      </c>
      <c r="E3706" s="12" t="s">
        <v>7784</v>
      </c>
      <c r="F3706" s="12" t="s">
        <v>7785</v>
      </c>
      <c r="G3706" s="12" t="s">
        <v>7802</v>
      </c>
      <c r="H3706" s="12" t="s">
        <v>8223</v>
      </c>
      <c r="I3706" s="12" t="s">
        <v>8250</v>
      </c>
      <c r="J3706" s="11" t="s">
        <v>1856</v>
      </c>
      <c r="K3706" s="11" t="s">
        <v>1852</v>
      </c>
      <c r="L3706" s="11" t="s">
        <v>1853</v>
      </c>
      <c r="M3706" s="11" t="s">
        <v>8251</v>
      </c>
      <c r="N3706" s="12" t="s">
        <v>8252</v>
      </c>
      <c r="O3706" s="11" t="s">
        <v>1858</v>
      </c>
      <c r="P3706" s="56"/>
    </row>
    <row r="3707" spans="1:16" ht="15.75" customHeight="1" x14ac:dyDescent="0.2">
      <c r="A3707" s="49">
        <v>3181</v>
      </c>
      <c r="B3707" s="11" t="s">
        <v>1857</v>
      </c>
      <c r="C3707" s="11" t="s">
        <v>1849</v>
      </c>
      <c r="D3707" s="6" t="s">
        <v>1850</v>
      </c>
      <c r="E3707" s="12" t="s">
        <v>7784</v>
      </c>
      <c r="F3707" s="12" t="s">
        <v>7785</v>
      </c>
      <c r="G3707" s="12" t="s">
        <v>7878</v>
      </c>
      <c r="H3707" s="12" t="s">
        <v>6561</v>
      </c>
      <c r="I3707" s="12" t="s">
        <v>8253</v>
      </c>
      <c r="J3707" s="11" t="s">
        <v>1856</v>
      </c>
      <c r="K3707" s="11" t="s">
        <v>1852</v>
      </c>
      <c r="L3707" s="11" t="s">
        <v>1853</v>
      </c>
      <c r="M3707" s="11" t="s">
        <v>1854</v>
      </c>
      <c r="N3707" s="12"/>
      <c r="O3707" s="11" t="s">
        <v>1860</v>
      </c>
      <c r="P3707" s="56"/>
    </row>
    <row r="3708" spans="1:16" ht="15.75" customHeight="1" x14ac:dyDescent="0.2">
      <c r="A3708" s="49">
        <v>3123</v>
      </c>
      <c r="B3708" s="11" t="s">
        <v>1857</v>
      </c>
      <c r="C3708" s="11" t="s">
        <v>1849</v>
      </c>
      <c r="D3708" s="6" t="s">
        <v>1850</v>
      </c>
      <c r="E3708" s="12" t="s">
        <v>7784</v>
      </c>
      <c r="F3708" s="12" t="s">
        <v>7785</v>
      </c>
      <c r="G3708" s="12" t="s">
        <v>7802</v>
      </c>
      <c r="H3708" s="12" t="s">
        <v>7826</v>
      </c>
      <c r="I3708" s="12" t="s">
        <v>8254</v>
      </c>
      <c r="J3708" s="11" t="s">
        <v>1856</v>
      </c>
      <c r="K3708" s="11" t="s">
        <v>1852</v>
      </c>
      <c r="L3708" s="11" t="s">
        <v>1853</v>
      </c>
      <c r="M3708" s="11" t="s">
        <v>8255</v>
      </c>
      <c r="N3708" s="12" t="s">
        <v>8256</v>
      </c>
      <c r="O3708" s="11" t="s">
        <v>2334</v>
      </c>
      <c r="P3708" s="56" t="s">
        <v>1863</v>
      </c>
    </row>
    <row r="3709" spans="1:16" ht="15.75" customHeight="1" x14ac:dyDescent="0.2">
      <c r="A3709" s="49">
        <v>6801</v>
      </c>
      <c r="B3709" s="11" t="s">
        <v>1857</v>
      </c>
      <c r="C3709" s="11" t="s">
        <v>1849</v>
      </c>
      <c r="D3709" s="6" t="s">
        <v>1850</v>
      </c>
      <c r="E3709" s="12" t="s">
        <v>7784</v>
      </c>
      <c r="F3709" s="12" t="s">
        <v>7785</v>
      </c>
      <c r="G3709" s="12" t="s">
        <v>7802</v>
      </c>
      <c r="H3709" s="12" t="s">
        <v>7826</v>
      </c>
      <c r="I3709" s="12" t="s">
        <v>8257</v>
      </c>
      <c r="J3709" s="11" t="s">
        <v>1856</v>
      </c>
      <c r="K3709" s="11" t="s">
        <v>1852</v>
      </c>
      <c r="L3709" s="11" t="s">
        <v>1853</v>
      </c>
      <c r="M3709" s="11" t="s">
        <v>8258</v>
      </c>
      <c r="N3709" s="12"/>
      <c r="O3709" s="11" t="s">
        <v>1858</v>
      </c>
      <c r="P3709" s="56"/>
    </row>
    <row r="3710" spans="1:16" ht="15.75" customHeight="1" x14ac:dyDescent="0.2">
      <c r="A3710" s="49">
        <v>3117</v>
      </c>
      <c r="B3710" s="11" t="s">
        <v>1857</v>
      </c>
      <c r="C3710" s="11" t="s">
        <v>1849</v>
      </c>
      <c r="D3710" s="6" t="s">
        <v>1850</v>
      </c>
      <c r="E3710" s="12" t="s">
        <v>7784</v>
      </c>
      <c r="F3710" s="12" t="s">
        <v>7785</v>
      </c>
      <c r="G3710" s="12" t="s">
        <v>7802</v>
      </c>
      <c r="H3710" s="12" t="s">
        <v>7826</v>
      </c>
      <c r="I3710" s="12" t="s">
        <v>8259</v>
      </c>
      <c r="J3710" s="11" t="s">
        <v>1856</v>
      </c>
      <c r="K3710" s="11" t="s">
        <v>1852</v>
      </c>
      <c r="L3710" s="11" t="s">
        <v>1853</v>
      </c>
      <c r="M3710" s="11" t="s">
        <v>2407</v>
      </c>
      <c r="N3710" s="12" t="s">
        <v>8260</v>
      </c>
      <c r="O3710" s="11" t="s">
        <v>1860</v>
      </c>
      <c r="P3710" s="56"/>
    </row>
    <row r="3711" spans="1:16" ht="15.75" customHeight="1" x14ac:dyDescent="0.2">
      <c r="A3711" s="49">
        <v>3152</v>
      </c>
      <c r="B3711" s="11" t="s">
        <v>1857</v>
      </c>
      <c r="C3711" s="11" t="s">
        <v>1849</v>
      </c>
      <c r="D3711" s="6" t="s">
        <v>1850</v>
      </c>
      <c r="E3711" s="12" t="s">
        <v>7784</v>
      </c>
      <c r="F3711" s="12" t="s">
        <v>7785</v>
      </c>
      <c r="G3711" s="12" t="s">
        <v>7802</v>
      </c>
      <c r="H3711" s="12" t="s">
        <v>7803</v>
      </c>
      <c r="I3711" s="12" t="s">
        <v>8261</v>
      </c>
      <c r="J3711" s="11" t="s">
        <v>1856</v>
      </c>
      <c r="K3711" s="11" t="s">
        <v>1852</v>
      </c>
      <c r="L3711" s="11" t="s">
        <v>1853</v>
      </c>
      <c r="M3711" s="11" t="s">
        <v>8262</v>
      </c>
      <c r="N3711" s="12" t="s">
        <v>8263</v>
      </c>
      <c r="O3711" s="11" t="s">
        <v>1860</v>
      </c>
      <c r="P3711" s="56"/>
    </row>
    <row r="3712" spans="1:16" ht="15.75" customHeight="1" x14ac:dyDescent="0.2">
      <c r="A3712" s="49">
        <v>3154</v>
      </c>
      <c r="B3712" s="11" t="s">
        <v>1857</v>
      </c>
      <c r="C3712" s="11" t="s">
        <v>1849</v>
      </c>
      <c r="D3712" s="6" t="s">
        <v>1850</v>
      </c>
      <c r="E3712" s="12" t="s">
        <v>7784</v>
      </c>
      <c r="F3712" s="12" t="s">
        <v>7785</v>
      </c>
      <c r="G3712" s="12" t="s">
        <v>7802</v>
      </c>
      <c r="H3712" s="12" t="s">
        <v>7803</v>
      </c>
      <c r="I3712" s="12" t="s">
        <v>8264</v>
      </c>
      <c r="J3712" s="11" t="s">
        <v>1856</v>
      </c>
      <c r="K3712" s="11" t="s">
        <v>1852</v>
      </c>
      <c r="L3712" s="11" t="s">
        <v>1853</v>
      </c>
      <c r="M3712" s="11" t="s">
        <v>8265</v>
      </c>
      <c r="N3712" s="12" t="s">
        <v>8266</v>
      </c>
      <c r="O3712" s="11" t="s">
        <v>1860</v>
      </c>
      <c r="P3712" s="56"/>
    </row>
    <row r="3713" spans="1:16" ht="15.75" customHeight="1" x14ac:dyDescent="0.2">
      <c r="A3713" s="49">
        <v>3964</v>
      </c>
      <c r="B3713" s="11" t="s">
        <v>1857</v>
      </c>
      <c r="C3713" s="11" t="s">
        <v>1849</v>
      </c>
      <c r="D3713" s="6" t="s">
        <v>1850</v>
      </c>
      <c r="E3713" s="12" t="s">
        <v>7784</v>
      </c>
      <c r="F3713" s="12" t="s">
        <v>7785</v>
      </c>
      <c r="G3713" s="12" t="s">
        <v>2723</v>
      </c>
      <c r="H3713" s="12" t="s">
        <v>7928</v>
      </c>
      <c r="I3713" s="12" t="s">
        <v>8267</v>
      </c>
      <c r="J3713" s="11" t="s">
        <v>1856</v>
      </c>
      <c r="K3713" s="11" t="s">
        <v>1852</v>
      </c>
      <c r="L3713" s="11" t="s">
        <v>1853</v>
      </c>
      <c r="M3713" s="11" t="s">
        <v>7863</v>
      </c>
      <c r="N3713" s="12" t="s">
        <v>8268</v>
      </c>
      <c r="O3713" s="11" t="s">
        <v>1860</v>
      </c>
      <c r="P3713" s="56"/>
    </row>
    <row r="3714" spans="1:16" ht="15.75" customHeight="1" x14ac:dyDescent="0.2">
      <c r="A3714" s="49">
        <v>2998</v>
      </c>
      <c r="B3714" s="11" t="s">
        <v>1857</v>
      </c>
      <c r="C3714" s="11" t="s">
        <v>1849</v>
      </c>
      <c r="D3714" s="6" t="s">
        <v>1850</v>
      </c>
      <c r="E3714" s="12" t="s">
        <v>7784</v>
      </c>
      <c r="F3714" s="12" t="s">
        <v>7785</v>
      </c>
      <c r="G3714" s="12" t="s">
        <v>7789</v>
      </c>
      <c r="H3714" s="12" t="s">
        <v>7824</v>
      </c>
      <c r="I3714" s="12" t="s">
        <v>8269</v>
      </c>
      <c r="J3714" s="11" t="s">
        <v>1856</v>
      </c>
      <c r="K3714" s="11" t="s">
        <v>1852</v>
      </c>
      <c r="L3714" s="11" t="s">
        <v>1853</v>
      </c>
      <c r="M3714" s="11" t="s">
        <v>7836</v>
      </c>
      <c r="N3714" s="12"/>
      <c r="O3714" s="11" t="s">
        <v>1858</v>
      </c>
      <c r="P3714" s="56"/>
    </row>
    <row r="3715" spans="1:16" ht="15.75" customHeight="1" x14ac:dyDescent="0.2">
      <c r="A3715" s="49">
        <v>3452</v>
      </c>
      <c r="B3715" s="11" t="s">
        <v>1857</v>
      </c>
      <c r="C3715" s="11" t="s">
        <v>1849</v>
      </c>
      <c r="D3715" s="6" t="s">
        <v>1850</v>
      </c>
      <c r="E3715" s="12" t="s">
        <v>7784</v>
      </c>
      <c r="F3715" s="12" t="s">
        <v>7785</v>
      </c>
      <c r="G3715" s="12" t="s">
        <v>7786</v>
      </c>
      <c r="H3715" s="12" t="s">
        <v>8211</v>
      </c>
      <c r="I3715" s="12" t="s">
        <v>4492</v>
      </c>
      <c r="J3715" s="11" t="s">
        <v>1856</v>
      </c>
      <c r="K3715" s="11" t="s">
        <v>1852</v>
      </c>
      <c r="L3715" s="11" t="s">
        <v>1853</v>
      </c>
      <c r="M3715" s="11" t="s">
        <v>1854</v>
      </c>
      <c r="N3715" s="12"/>
      <c r="O3715" s="11" t="s">
        <v>1858</v>
      </c>
      <c r="P3715" s="56"/>
    </row>
    <row r="3716" spans="1:16" ht="15.75" customHeight="1" x14ac:dyDescent="0.2">
      <c r="A3716" s="49">
        <v>3087</v>
      </c>
      <c r="B3716" s="11" t="s">
        <v>1857</v>
      </c>
      <c r="C3716" s="11" t="s">
        <v>1849</v>
      </c>
      <c r="D3716" s="6" t="s">
        <v>1850</v>
      </c>
      <c r="E3716" s="12" t="s">
        <v>7784</v>
      </c>
      <c r="F3716" s="12" t="s">
        <v>7785</v>
      </c>
      <c r="G3716" s="12" t="s">
        <v>7802</v>
      </c>
      <c r="H3716" s="12" t="s">
        <v>8222</v>
      </c>
      <c r="I3716" s="12" t="s">
        <v>8057</v>
      </c>
      <c r="J3716" s="11" t="s">
        <v>1856</v>
      </c>
      <c r="K3716" s="11" t="s">
        <v>1852</v>
      </c>
      <c r="L3716" s="11" t="s">
        <v>1853</v>
      </c>
      <c r="M3716" s="11" t="s">
        <v>1854</v>
      </c>
      <c r="N3716" s="12"/>
      <c r="O3716" s="11" t="s">
        <v>1860</v>
      </c>
      <c r="P3716" s="56"/>
    </row>
    <row r="3717" spans="1:16" ht="15.75" customHeight="1" x14ac:dyDescent="0.2">
      <c r="A3717" s="49">
        <v>3462</v>
      </c>
      <c r="B3717" s="11" t="s">
        <v>1857</v>
      </c>
      <c r="C3717" s="11" t="s">
        <v>1849</v>
      </c>
      <c r="D3717" s="6" t="s">
        <v>1850</v>
      </c>
      <c r="E3717" s="12" t="s">
        <v>7784</v>
      </c>
      <c r="F3717" s="12" t="s">
        <v>7785</v>
      </c>
      <c r="G3717" s="12" t="s">
        <v>7786</v>
      </c>
      <c r="H3717" s="12" t="s">
        <v>7845</v>
      </c>
      <c r="I3717" s="12" t="s">
        <v>3073</v>
      </c>
      <c r="J3717" s="11" t="s">
        <v>1856</v>
      </c>
      <c r="K3717" s="11" t="s">
        <v>1852</v>
      </c>
      <c r="L3717" s="11" t="s">
        <v>1853</v>
      </c>
      <c r="M3717" s="11" t="s">
        <v>7376</v>
      </c>
      <c r="N3717" s="12" t="s">
        <v>8270</v>
      </c>
      <c r="O3717" s="11" t="s">
        <v>1858</v>
      </c>
      <c r="P3717" s="56"/>
    </row>
    <row r="3718" spans="1:16" ht="15.75" customHeight="1" x14ac:dyDescent="0.2">
      <c r="A3718" s="49">
        <v>3428</v>
      </c>
      <c r="B3718" s="11" t="s">
        <v>1857</v>
      </c>
      <c r="C3718" s="11" t="s">
        <v>1849</v>
      </c>
      <c r="D3718" s="6" t="s">
        <v>1850</v>
      </c>
      <c r="E3718" s="12" t="s">
        <v>7784</v>
      </c>
      <c r="F3718" s="12" t="s">
        <v>7785</v>
      </c>
      <c r="G3718" s="12" t="s">
        <v>7786</v>
      </c>
      <c r="H3718" s="12" t="s">
        <v>8039</v>
      </c>
      <c r="I3718" s="12" t="s">
        <v>7472</v>
      </c>
      <c r="J3718" s="11" t="s">
        <v>1856</v>
      </c>
      <c r="K3718" s="11" t="s">
        <v>1852</v>
      </c>
      <c r="L3718" s="11" t="s">
        <v>1853</v>
      </c>
      <c r="M3718" s="11" t="s">
        <v>1854</v>
      </c>
      <c r="N3718" s="12"/>
      <c r="O3718" s="11" t="s">
        <v>1858</v>
      </c>
      <c r="P3718" s="56"/>
    </row>
    <row r="3719" spans="1:16" ht="15.75" customHeight="1" x14ac:dyDescent="0.2">
      <c r="A3719" s="49">
        <v>3101</v>
      </c>
      <c r="B3719" s="11" t="s">
        <v>1857</v>
      </c>
      <c r="C3719" s="11" t="s">
        <v>1849</v>
      </c>
      <c r="D3719" s="6" t="s">
        <v>1850</v>
      </c>
      <c r="E3719" s="12" t="s">
        <v>7784</v>
      </c>
      <c r="F3719" s="12" t="s">
        <v>7785</v>
      </c>
      <c r="G3719" s="12" t="s">
        <v>7802</v>
      </c>
      <c r="H3719" s="12" t="s">
        <v>7870</v>
      </c>
      <c r="I3719" s="12" t="s">
        <v>7472</v>
      </c>
      <c r="J3719" s="11" t="s">
        <v>1856</v>
      </c>
      <c r="K3719" s="11" t="s">
        <v>1852</v>
      </c>
      <c r="L3719" s="11" t="s">
        <v>1853</v>
      </c>
      <c r="M3719" s="11" t="s">
        <v>8177</v>
      </c>
      <c r="N3719" s="12" t="s">
        <v>8271</v>
      </c>
      <c r="O3719" s="11" t="s">
        <v>1858</v>
      </c>
      <c r="P3719" s="56"/>
    </row>
    <row r="3720" spans="1:16" ht="15.75" customHeight="1" x14ac:dyDescent="0.2">
      <c r="A3720" s="49">
        <v>3410</v>
      </c>
      <c r="B3720" s="11" t="s">
        <v>1857</v>
      </c>
      <c r="C3720" s="11" t="s">
        <v>1849</v>
      </c>
      <c r="D3720" s="6" t="s">
        <v>1850</v>
      </c>
      <c r="E3720" s="12" t="s">
        <v>7784</v>
      </c>
      <c r="F3720" s="12" t="s">
        <v>7785</v>
      </c>
      <c r="G3720" s="12" t="s">
        <v>7786</v>
      </c>
      <c r="H3720" s="12" t="s">
        <v>7815</v>
      </c>
      <c r="I3720" s="12" t="s">
        <v>8272</v>
      </c>
      <c r="J3720" s="11" t="s">
        <v>1856</v>
      </c>
      <c r="K3720" s="11" t="s">
        <v>1852</v>
      </c>
      <c r="L3720" s="11" t="s">
        <v>1853</v>
      </c>
      <c r="M3720" s="11" t="s">
        <v>8273</v>
      </c>
      <c r="N3720" s="12" t="s">
        <v>8274</v>
      </c>
      <c r="O3720" s="11" t="s">
        <v>1858</v>
      </c>
      <c r="P3720" s="56"/>
    </row>
    <row r="3721" spans="1:16" ht="15.75" customHeight="1" x14ac:dyDescent="0.2">
      <c r="A3721" s="49">
        <v>3449</v>
      </c>
      <c r="B3721" s="11" t="s">
        <v>1857</v>
      </c>
      <c r="C3721" s="11" t="s">
        <v>1849</v>
      </c>
      <c r="D3721" s="6" t="s">
        <v>1850</v>
      </c>
      <c r="E3721" s="12" t="s">
        <v>7784</v>
      </c>
      <c r="F3721" s="12" t="s">
        <v>7785</v>
      </c>
      <c r="G3721" s="12" t="s">
        <v>7786</v>
      </c>
      <c r="H3721" s="12" t="s">
        <v>8035</v>
      </c>
      <c r="I3721" s="12" t="s">
        <v>8275</v>
      </c>
      <c r="J3721" s="11" t="s">
        <v>1851</v>
      </c>
      <c r="K3721" s="11" t="s">
        <v>1852</v>
      </c>
      <c r="L3721" s="11" t="s">
        <v>1853</v>
      </c>
      <c r="M3721" s="11" t="s">
        <v>8276</v>
      </c>
      <c r="N3721" s="12" t="s">
        <v>8277</v>
      </c>
      <c r="O3721" s="11" t="s">
        <v>1858</v>
      </c>
      <c r="P3721" s="56"/>
    </row>
    <row r="3722" spans="1:16" ht="15.75" customHeight="1" x14ac:dyDescent="0.2">
      <c r="A3722" s="49">
        <v>3177</v>
      </c>
      <c r="B3722" s="11" t="s">
        <v>1857</v>
      </c>
      <c r="C3722" s="11" t="s">
        <v>1849</v>
      </c>
      <c r="D3722" s="6" t="s">
        <v>1850</v>
      </c>
      <c r="E3722" s="12" t="s">
        <v>7784</v>
      </c>
      <c r="F3722" s="12" t="s">
        <v>7785</v>
      </c>
      <c r="G3722" s="12" t="s">
        <v>7878</v>
      </c>
      <c r="H3722" s="12" t="s">
        <v>6561</v>
      </c>
      <c r="I3722" s="12" t="s">
        <v>3319</v>
      </c>
      <c r="J3722" s="11" t="s">
        <v>1856</v>
      </c>
      <c r="K3722" s="11" t="s">
        <v>1852</v>
      </c>
      <c r="L3722" s="11" t="s">
        <v>1853</v>
      </c>
      <c r="M3722" s="11" t="s">
        <v>7455</v>
      </c>
      <c r="N3722" s="12" t="s">
        <v>8278</v>
      </c>
      <c r="O3722" s="11" t="s">
        <v>1858</v>
      </c>
      <c r="P3722" s="56"/>
    </row>
    <row r="3723" spans="1:16" ht="15.75" customHeight="1" x14ac:dyDescent="0.2">
      <c r="A3723" s="49">
        <v>3455</v>
      </c>
      <c r="B3723" s="11" t="s">
        <v>1857</v>
      </c>
      <c r="C3723" s="11" t="s">
        <v>1849</v>
      </c>
      <c r="D3723" s="6" t="s">
        <v>1850</v>
      </c>
      <c r="E3723" s="12" t="s">
        <v>7784</v>
      </c>
      <c r="F3723" s="12" t="s">
        <v>7785</v>
      </c>
      <c r="G3723" s="12" t="s">
        <v>7786</v>
      </c>
      <c r="H3723" s="12" t="s">
        <v>8279</v>
      </c>
      <c r="I3723" s="12" t="s">
        <v>8280</v>
      </c>
      <c r="J3723" s="11" t="s">
        <v>1851</v>
      </c>
      <c r="K3723" s="11" t="s">
        <v>1852</v>
      </c>
      <c r="L3723" s="11" t="s">
        <v>1853</v>
      </c>
      <c r="M3723" s="11" t="s">
        <v>1854</v>
      </c>
      <c r="N3723" s="12"/>
      <c r="O3723" s="11" t="s">
        <v>1858</v>
      </c>
      <c r="P3723" s="56"/>
    </row>
    <row r="3724" spans="1:16" ht="15.75" customHeight="1" x14ac:dyDescent="0.2">
      <c r="A3724" s="49">
        <v>3973</v>
      </c>
      <c r="B3724" s="11" t="s">
        <v>1857</v>
      </c>
      <c r="C3724" s="11" t="s">
        <v>1849</v>
      </c>
      <c r="D3724" s="6" t="s">
        <v>1850</v>
      </c>
      <c r="E3724" s="12" t="s">
        <v>7784</v>
      </c>
      <c r="F3724" s="12" t="s">
        <v>7785</v>
      </c>
      <c r="G3724" s="12" t="s">
        <v>2723</v>
      </c>
      <c r="H3724" s="12" t="s">
        <v>7868</v>
      </c>
      <c r="I3724" s="12" t="s">
        <v>8281</v>
      </c>
      <c r="J3724" s="11" t="s">
        <v>1856</v>
      </c>
      <c r="K3724" s="11" t="s">
        <v>1852</v>
      </c>
      <c r="L3724" s="11" t="s">
        <v>1853</v>
      </c>
      <c r="M3724" s="11" t="s">
        <v>1854</v>
      </c>
      <c r="N3724" s="12"/>
      <c r="O3724" s="11" t="s">
        <v>1858</v>
      </c>
      <c r="P3724" s="56"/>
    </row>
    <row r="3725" spans="1:16" ht="15.75" customHeight="1" x14ac:dyDescent="0.2">
      <c r="A3725" s="49">
        <v>3158</v>
      </c>
      <c r="B3725" s="11" t="s">
        <v>1857</v>
      </c>
      <c r="C3725" s="11" t="s">
        <v>1849</v>
      </c>
      <c r="D3725" s="6" t="s">
        <v>1850</v>
      </c>
      <c r="E3725" s="12" t="s">
        <v>7784</v>
      </c>
      <c r="F3725" s="12" t="s">
        <v>7785</v>
      </c>
      <c r="G3725" s="12" t="s">
        <v>7802</v>
      </c>
      <c r="H3725" s="12" t="s">
        <v>7841</v>
      </c>
      <c r="I3725" s="12" t="s">
        <v>8282</v>
      </c>
      <c r="J3725" s="11" t="s">
        <v>1856</v>
      </c>
      <c r="K3725" s="11" t="s">
        <v>1852</v>
      </c>
      <c r="L3725" s="11" t="s">
        <v>1853</v>
      </c>
      <c r="M3725" s="11" t="s">
        <v>1854</v>
      </c>
      <c r="N3725" s="12"/>
      <c r="O3725" s="11" t="s">
        <v>1858</v>
      </c>
      <c r="P3725" s="56"/>
    </row>
    <row r="3726" spans="1:16" ht="15.75" customHeight="1" x14ac:dyDescent="0.2">
      <c r="A3726" s="49">
        <v>3109</v>
      </c>
      <c r="B3726" s="11" t="s">
        <v>1857</v>
      </c>
      <c r="C3726" s="11" t="s">
        <v>1849</v>
      </c>
      <c r="D3726" s="6" t="s">
        <v>1850</v>
      </c>
      <c r="E3726" s="12" t="s">
        <v>7784</v>
      </c>
      <c r="F3726" s="12" t="s">
        <v>7785</v>
      </c>
      <c r="G3726" s="12" t="s">
        <v>7802</v>
      </c>
      <c r="H3726" s="12" t="s">
        <v>7826</v>
      </c>
      <c r="I3726" s="12" t="s">
        <v>8283</v>
      </c>
      <c r="J3726" s="11" t="s">
        <v>1856</v>
      </c>
      <c r="K3726" s="11" t="s">
        <v>1852</v>
      </c>
      <c r="L3726" s="11" t="s">
        <v>1853</v>
      </c>
      <c r="M3726" s="11" t="s">
        <v>8284</v>
      </c>
      <c r="N3726" s="12" t="s">
        <v>8285</v>
      </c>
      <c r="O3726" s="11" t="s">
        <v>1860</v>
      </c>
      <c r="P3726" s="56"/>
    </row>
    <row r="3727" spans="1:16" ht="15.75" customHeight="1" x14ac:dyDescent="0.2">
      <c r="A3727" s="49">
        <v>3456</v>
      </c>
      <c r="B3727" s="11" t="s">
        <v>1857</v>
      </c>
      <c r="C3727" s="11" t="s">
        <v>1849</v>
      </c>
      <c r="D3727" s="6" t="s">
        <v>1850</v>
      </c>
      <c r="E3727" s="12" t="s">
        <v>7784</v>
      </c>
      <c r="F3727" s="12" t="s">
        <v>7785</v>
      </c>
      <c r="G3727" s="12" t="s">
        <v>7786</v>
      </c>
      <c r="H3727" s="12" t="s">
        <v>8279</v>
      </c>
      <c r="I3727" s="12" t="s">
        <v>8286</v>
      </c>
      <c r="J3727" s="11" t="s">
        <v>1856</v>
      </c>
      <c r="K3727" s="11" t="s">
        <v>1852</v>
      </c>
      <c r="L3727" s="11" t="s">
        <v>1853</v>
      </c>
      <c r="M3727" s="11" t="s">
        <v>1854</v>
      </c>
      <c r="N3727" s="12"/>
      <c r="O3727" s="11" t="s">
        <v>1858</v>
      </c>
      <c r="P3727" s="56"/>
    </row>
    <row r="3728" spans="1:16" ht="15.75" customHeight="1" x14ac:dyDescent="0.2">
      <c r="A3728" s="49">
        <v>3468</v>
      </c>
      <c r="B3728" s="11" t="s">
        <v>1857</v>
      </c>
      <c r="C3728" s="11" t="s">
        <v>1849</v>
      </c>
      <c r="D3728" s="6" t="s">
        <v>1850</v>
      </c>
      <c r="E3728" s="12" t="s">
        <v>7784</v>
      </c>
      <c r="F3728" s="12" t="s">
        <v>7785</v>
      </c>
      <c r="G3728" s="12" t="s">
        <v>7786</v>
      </c>
      <c r="H3728" s="12" t="s">
        <v>7848</v>
      </c>
      <c r="I3728" s="12" t="s">
        <v>8287</v>
      </c>
      <c r="J3728" s="11" t="s">
        <v>1856</v>
      </c>
      <c r="K3728" s="11" t="s">
        <v>1852</v>
      </c>
      <c r="L3728" s="11" t="s">
        <v>1853</v>
      </c>
      <c r="M3728" s="11" t="s">
        <v>8135</v>
      </c>
      <c r="N3728" s="12" t="s">
        <v>8288</v>
      </c>
      <c r="O3728" s="11" t="s">
        <v>1858</v>
      </c>
      <c r="P3728" s="56"/>
    </row>
    <row r="3729" spans="1:16" ht="15.75" customHeight="1" x14ac:dyDescent="0.2">
      <c r="A3729" s="49">
        <v>3092</v>
      </c>
      <c r="B3729" s="11" t="s">
        <v>1857</v>
      </c>
      <c r="C3729" s="11" t="s">
        <v>1849</v>
      </c>
      <c r="D3729" s="6" t="s">
        <v>1850</v>
      </c>
      <c r="E3729" s="12" t="s">
        <v>7784</v>
      </c>
      <c r="F3729" s="12" t="s">
        <v>7785</v>
      </c>
      <c r="G3729" s="12" t="s">
        <v>7802</v>
      </c>
      <c r="H3729" s="12" t="s">
        <v>7833</v>
      </c>
      <c r="I3729" s="12" t="s">
        <v>8289</v>
      </c>
      <c r="J3729" s="11" t="s">
        <v>1856</v>
      </c>
      <c r="K3729" s="11" t="s">
        <v>1852</v>
      </c>
      <c r="L3729" s="11" t="s">
        <v>1853</v>
      </c>
      <c r="M3729" s="11" t="s">
        <v>7376</v>
      </c>
      <c r="N3729" s="12" t="s">
        <v>8290</v>
      </c>
      <c r="O3729" s="11" t="s">
        <v>1858</v>
      </c>
      <c r="P3729" s="56"/>
    </row>
    <row r="3730" spans="1:16" ht="15.75" customHeight="1" x14ac:dyDescent="0.2">
      <c r="A3730" s="48">
        <v>7332</v>
      </c>
      <c r="B3730" s="11" t="s">
        <v>1857</v>
      </c>
      <c r="C3730" s="11" t="s">
        <v>1849</v>
      </c>
      <c r="D3730" s="6" t="s">
        <v>1850</v>
      </c>
      <c r="E3730" s="12" t="s">
        <v>7784</v>
      </c>
      <c r="F3730" s="12" t="s">
        <v>7785</v>
      </c>
      <c r="G3730" s="12" t="s">
        <v>7789</v>
      </c>
      <c r="H3730" s="12" t="s">
        <v>7790</v>
      </c>
      <c r="I3730" s="12" t="s">
        <v>8291</v>
      </c>
      <c r="J3730" s="11" t="s">
        <v>1856</v>
      </c>
      <c r="K3730" s="11" t="s">
        <v>1852</v>
      </c>
      <c r="L3730" s="11" t="s">
        <v>1853</v>
      </c>
      <c r="M3730" s="11" t="s">
        <v>1854</v>
      </c>
      <c r="N3730" s="12"/>
      <c r="O3730" s="11" t="s">
        <v>1873</v>
      </c>
      <c r="P3730" s="56"/>
    </row>
    <row r="3731" spans="1:16" ht="15.75" customHeight="1" x14ac:dyDescent="0.2">
      <c r="A3731" s="49">
        <v>3124</v>
      </c>
      <c r="B3731" s="11" t="s">
        <v>1857</v>
      </c>
      <c r="C3731" s="11" t="s">
        <v>1849</v>
      </c>
      <c r="D3731" s="6" t="s">
        <v>1850</v>
      </c>
      <c r="E3731" s="12" t="s">
        <v>7784</v>
      </c>
      <c r="F3731" s="12" t="s">
        <v>7785</v>
      </c>
      <c r="G3731" s="12" t="s">
        <v>7802</v>
      </c>
      <c r="H3731" s="12" t="s">
        <v>7826</v>
      </c>
      <c r="I3731" s="12" t="s">
        <v>3994</v>
      </c>
      <c r="J3731" s="11" t="s">
        <v>1856</v>
      </c>
      <c r="K3731" s="11" t="s">
        <v>1852</v>
      </c>
      <c r="L3731" s="11" t="s">
        <v>1853</v>
      </c>
      <c r="M3731" s="11" t="s">
        <v>8292</v>
      </c>
      <c r="N3731" s="12" t="s">
        <v>8293</v>
      </c>
      <c r="O3731" s="11" t="s">
        <v>1860</v>
      </c>
      <c r="P3731" s="56"/>
    </row>
    <row r="3732" spans="1:16" ht="15.75" customHeight="1" x14ac:dyDescent="0.2">
      <c r="A3732" s="49">
        <v>3128</v>
      </c>
      <c r="B3732" s="11" t="s">
        <v>1857</v>
      </c>
      <c r="C3732" s="11" t="s">
        <v>1849</v>
      </c>
      <c r="D3732" s="6" t="s">
        <v>1850</v>
      </c>
      <c r="E3732" s="12" t="s">
        <v>7784</v>
      </c>
      <c r="F3732" s="12" t="s">
        <v>7785</v>
      </c>
      <c r="G3732" s="12" t="s">
        <v>7802</v>
      </c>
      <c r="H3732" s="12" t="s">
        <v>7826</v>
      </c>
      <c r="I3732" s="12" t="s">
        <v>8294</v>
      </c>
      <c r="J3732" s="11" t="s">
        <v>1856</v>
      </c>
      <c r="K3732" s="11" t="s">
        <v>1852</v>
      </c>
      <c r="L3732" s="11" t="s">
        <v>1853</v>
      </c>
      <c r="M3732" s="11" t="s">
        <v>1854</v>
      </c>
      <c r="N3732" s="12"/>
      <c r="O3732" s="11" t="s">
        <v>1860</v>
      </c>
      <c r="P3732" s="56"/>
    </row>
    <row r="3733" spans="1:16" ht="15.75" customHeight="1" x14ac:dyDescent="0.2">
      <c r="A3733" s="49">
        <v>3125</v>
      </c>
      <c r="B3733" s="11" t="s">
        <v>1857</v>
      </c>
      <c r="C3733" s="11" t="s">
        <v>1849</v>
      </c>
      <c r="D3733" s="6" t="s">
        <v>1850</v>
      </c>
      <c r="E3733" s="12" t="s">
        <v>7784</v>
      </c>
      <c r="F3733" s="12" t="s">
        <v>7785</v>
      </c>
      <c r="G3733" s="12" t="s">
        <v>7802</v>
      </c>
      <c r="H3733" s="12" t="s">
        <v>7826</v>
      </c>
      <c r="I3733" s="12" t="s">
        <v>8295</v>
      </c>
      <c r="J3733" s="11" t="s">
        <v>1856</v>
      </c>
      <c r="K3733" s="11" t="s">
        <v>1852</v>
      </c>
      <c r="L3733" s="11" t="s">
        <v>1853</v>
      </c>
      <c r="M3733" s="11" t="s">
        <v>1854</v>
      </c>
      <c r="N3733" s="12"/>
      <c r="O3733" s="11" t="s">
        <v>1860</v>
      </c>
      <c r="P3733" s="56"/>
    </row>
    <row r="3734" spans="1:16" ht="15.75" customHeight="1" x14ac:dyDescent="0.2">
      <c r="A3734" s="49">
        <v>3975</v>
      </c>
      <c r="B3734" s="11" t="s">
        <v>1857</v>
      </c>
      <c r="C3734" s="11" t="s">
        <v>1849</v>
      </c>
      <c r="D3734" s="6" t="s">
        <v>1850</v>
      </c>
      <c r="E3734" s="12" t="s">
        <v>7784</v>
      </c>
      <c r="F3734" s="12" t="s">
        <v>7785</v>
      </c>
      <c r="G3734" s="12" t="s">
        <v>2723</v>
      </c>
      <c r="H3734" s="12" t="s">
        <v>5839</v>
      </c>
      <c r="I3734" s="12" t="s">
        <v>8296</v>
      </c>
      <c r="J3734" s="11" t="s">
        <v>1856</v>
      </c>
      <c r="K3734" s="11" t="s">
        <v>1852</v>
      </c>
      <c r="L3734" s="11" t="s">
        <v>1853</v>
      </c>
      <c r="M3734" s="11" t="s">
        <v>8297</v>
      </c>
      <c r="N3734" s="12" t="s">
        <v>8298</v>
      </c>
      <c r="O3734" s="11" t="s">
        <v>1860</v>
      </c>
      <c r="P3734" s="56"/>
    </row>
    <row r="3735" spans="1:16" ht="15.75" customHeight="1" x14ac:dyDescent="0.2">
      <c r="A3735" s="49">
        <v>3134</v>
      </c>
      <c r="B3735" s="11" t="s">
        <v>1857</v>
      </c>
      <c r="C3735" s="11" t="s">
        <v>1849</v>
      </c>
      <c r="D3735" s="6" t="s">
        <v>1850</v>
      </c>
      <c r="E3735" s="12" t="s">
        <v>7784</v>
      </c>
      <c r="F3735" s="12" t="s">
        <v>7785</v>
      </c>
      <c r="G3735" s="12" t="s">
        <v>7802</v>
      </c>
      <c r="H3735" s="12" t="s">
        <v>5715</v>
      </c>
      <c r="I3735" s="12" t="s">
        <v>8299</v>
      </c>
      <c r="J3735" s="11" t="s">
        <v>1856</v>
      </c>
      <c r="K3735" s="11" t="s">
        <v>1852</v>
      </c>
      <c r="L3735" s="11" t="s">
        <v>1853</v>
      </c>
      <c r="M3735" s="11" t="s">
        <v>3821</v>
      </c>
      <c r="N3735" s="12" t="s">
        <v>8300</v>
      </c>
      <c r="O3735" s="11" t="s">
        <v>1860</v>
      </c>
      <c r="P3735" s="56"/>
    </row>
    <row r="3736" spans="1:16" ht="15.75" customHeight="1" x14ac:dyDescent="0.2">
      <c r="A3736" s="49">
        <v>3458</v>
      </c>
      <c r="B3736" s="11" t="s">
        <v>1857</v>
      </c>
      <c r="C3736" s="11" t="s">
        <v>1849</v>
      </c>
      <c r="D3736" s="6" t="s">
        <v>1850</v>
      </c>
      <c r="E3736" s="12" t="s">
        <v>7784</v>
      </c>
      <c r="F3736" s="12" t="s">
        <v>7785</v>
      </c>
      <c r="G3736" s="12" t="s">
        <v>7786</v>
      </c>
      <c r="H3736" s="12" t="s">
        <v>8106</v>
      </c>
      <c r="I3736" s="12" t="s">
        <v>8301</v>
      </c>
      <c r="J3736" s="11" t="s">
        <v>1856</v>
      </c>
      <c r="K3736" s="11" t="s">
        <v>1852</v>
      </c>
      <c r="L3736" s="11" t="s">
        <v>1853</v>
      </c>
      <c r="M3736" s="11" t="s">
        <v>8302</v>
      </c>
      <c r="N3736" s="12" t="s">
        <v>8303</v>
      </c>
      <c r="O3736" s="11" t="s">
        <v>1858</v>
      </c>
      <c r="P3736" s="56"/>
    </row>
    <row r="3737" spans="1:16" ht="15.75" customHeight="1" x14ac:dyDescent="0.2">
      <c r="A3737" s="48">
        <v>15199</v>
      </c>
      <c r="B3737" s="11" t="s">
        <v>1871</v>
      </c>
      <c r="C3737" s="11" t="s">
        <v>1849</v>
      </c>
      <c r="D3737" s="6" t="s">
        <v>1850</v>
      </c>
      <c r="E3737" s="12" t="s">
        <v>7784</v>
      </c>
      <c r="F3737" s="12" t="s">
        <v>7785</v>
      </c>
      <c r="G3737" s="12" t="s">
        <v>7789</v>
      </c>
      <c r="H3737" s="12" t="s">
        <v>7852</v>
      </c>
      <c r="I3737" s="12" t="s">
        <v>8304</v>
      </c>
      <c r="J3737" s="11" t="s">
        <v>1851</v>
      </c>
      <c r="K3737" s="11" t="s">
        <v>1852</v>
      </c>
      <c r="L3737" s="11" t="s">
        <v>1853</v>
      </c>
      <c r="M3737" s="11" t="s">
        <v>1854</v>
      </c>
      <c r="N3737" s="12"/>
      <c r="O3737" s="11" t="s">
        <v>2022</v>
      </c>
      <c r="P3737" s="56" t="s">
        <v>2177</v>
      </c>
    </row>
    <row r="3738" spans="1:16" ht="15.75" customHeight="1" x14ac:dyDescent="0.2">
      <c r="A3738" s="48">
        <v>15202</v>
      </c>
      <c r="B3738" s="11" t="s">
        <v>1871</v>
      </c>
      <c r="C3738" s="11" t="s">
        <v>1849</v>
      </c>
      <c r="D3738" s="6" t="s">
        <v>1850</v>
      </c>
      <c r="E3738" s="12" t="s">
        <v>7784</v>
      </c>
      <c r="F3738" s="12" t="s">
        <v>7785</v>
      </c>
      <c r="G3738" s="12" t="s">
        <v>7789</v>
      </c>
      <c r="H3738" s="12" t="s">
        <v>7830</v>
      </c>
      <c r="I3738" s="12" t="s">
        <v>8305</v>
      </c>
      <c r="J3738" s="11" t="s">
        <v>1856</v>
      </c>
      <c r="K3738" s="11" t="s">
        <v>1852</v>
      </c>
      <c r="L3738" s="11" t="s">
        <v>1853</v>
      </c>
      <c r="M3738" s="11" t="s">
        <v>1854</v>
      </c>
      <c r="N3738" s="12"/>
      <c r="O3738" s="11" t="s">
        <v>1859</v>
      </c>
      <c r="P3738" s="56"/>
    </row>
    <row r="3739" spans="1:16" ht="15.75" customHeight="1" x14ac:dyDescent="0.2">
      <c r="A3739" s="48">
        <v>15253</v>
      </c>
      <c r="B3739" s="11" t="s">
        <v>1871</v>
      </c>
      <c r="C3739" s="11" t="s">
        <v>1849</v>
      </c>
      <c r="D3739" s="6" t="s">
        <v>1850</v>
      </c>
      <c r="E3739" s="12" t="s">
        <v>7784</v>
      </c>
      <c r="F3739" s="12" t="s">
        <v>7785</v>
      </c>
      <c r="G3739" s="12" t="s">
        <v>7786</v>
      </c>
      <c r="H3739" s="12" t="s">
        <v>7807</v>
      </c>
      <c r="I3739" s="12" t="s">
        <v>8306</v>
      </c>
      <c r="J3739" s="11" t="s">
        <v>1851</v>
      </c>
      <c r="K3739" s="11" t="s">
        <v>1852</v>
      </c>
      <c r="L3739" s="11" t="s">
        <v>1853</v>
      </c>
      <c r="M3739" s="11" t="s">
        <v>1854</v>
      </c>
      <c r="N3739" s="12"/>
      <c r="O3739" s="11" t="s">
        <v>1859</v>
      </c>
      <c r="P3739" s="56"/>
    </row>
    <row r="3740" spans="1:16" ht="15.75" customHeight="1" x14ac:dyDescent="0.2">
      <c r="A3740" s="48">
        <v>5514</v>
      </c>
      <c r="B3740" s="11" t="s">
        <v>1871</v>
      </c>
      <c r="C3740" s="11" t="s">
        <v>1849</v>
      </c>
      <c r="D3740" s="6" t="s">
        <v>1850</v>
      </c>
      <c r="E3740" s="12" t="s">
        <v>7784</v>
      </c>
      <c r="F3740" s="12" t="s">
        <v>7785</v>
      </c>
      <c r="G3740" s="12" t="s">
        <v>7789</v>
      </c>
      <c r="H3740" s="12" t="s">
        <v>7790</v>
      </c>
      <c r="I3740" s="12" t="s">
        <v>8307</v>
      </c>
      <c r="J3740" s="11" t="s">
        <v>1851</v>
      </c>
      <c r="K3740" s="11" t="s">
        <v>1852</v>
      </c>
      <c r="L3740" s="11" t="s">
        <v>1853</v>
      </c>
      <c r="M3740" s="11" t="s">
        <v>1854</v>
      </c>
      <c r="N3740" s="12"/>
      <c r="O3740" s="11" t="s">
        <v>2022</v>
      </c>
      <c r="P3740" s="56" t="s">
        <v>1863</v>
      </c>
    </row>
    <row r="3741" spans="1:16" ht="15.75" customHeight="1" x14ac:dyDescent="0.2">
      <c r="A3741" s="48">
        <v>5877</v>
      </c>
      <c r="B3741" s="11" t="s">
        <v>1871</v>
      </c>
      <c r="C3741" s="11" t="s">
        <v>1849</v>
      </c>
      <c r="D3741" s="6" t="s">
        <v>1850</v>
      </c>
      <c r="E3741" s="12" t="s">
        <v>7784</v>
      </c>
      <c r="F3741" s="12" t="s">
        <v>7785</v>
      </c>
      <c r="G3741" s="12" t="s">
        <v>7786</v>
      </c>
      <c r="H3741" s="12" t="s">
        <v>7807</v>
      </c>
      <c r="I3741" s="12" t="s">
        <v>8308</v>
      </c>
      <c r="J3741" s="11" t="s">
        <v>1851</v>
      </c>
      <c r="K3741" s="11" t="s">
        <v>1852</v>
      </c>
      <c r="L3741" s="11" t="s">
        <v>1853</v>
      </c>
      <c r="M3741" s="11" t="s">
        <v>8309</v>
      </c>
      <c r="N3741" s="12"/>
      <c r="O3741" s="11" t="s">
        <v>2022</v>
      </c>
      <c r="P3741" s="56" t="s">
        <v>8310</v>
      </c>
    </row>
    <row r="3742" spans="1:16" ht="15.75" customHeight="1" x14ac:dyDescent="0.2">
      <c r="A3742" s="48">
        <v>2986</v>
      </c>
      <c r="B3742" s="11" t="s">
        <v>1871</v>
      </c>
      <c r="C3742" s="11" t="s">
        <v>1849</v>
      </c>
      <c r="D3742" s="6" t="s">
        <v>1850</v>
      </c>
      <c r="E3742" s="12" t="s">
        <v>7784</v>
      </c>
      <c r="F3742" s="12" t="s">
        <v>7785</v>
      </c>
      <c r="G3742" s="12" t="s">
        <v>7789</v>
      </c>
      <c r="H3742" s="12" t="s">
        <v>7789</v>
      </c>
      <c r="I3742" s="12" t="s">
        <v>8311</v>
      </c>
      <c r="J3742" s="11" t="s">
        <v>1851</v>
      </c>
      <c r="K3742" s="11" t="s">
        <v>1852</v>
      </c>
      <c r="L3742" s="11" t="s">
        <v>1853</v>
      </c>
      <c r="M3742" s="11" t="s">
        <v>1854</v>
      </c>
      <c r="N3742" s="12"/>
      <c r="O3742" s="11" t="s">
        <v>1866</v>
      </c>
      <c r="P3742" s="56" t="s">
        <v>7156</v>
      </c>
    </row>
    <row r="3743" spans="1:16" ht="15.75" customHeight="1" x14ac:dyDescent="0.2">
      <c r="A3743" s="48">
        <v>15189</v>
      </c>
      <c r="B3743" s="11" t="s">
        <v>1871</v>
      </c>
      <c r="C3743" s="11" t="s">
        <v>1849</v>
      </c>
      <c r="D3743" s="6" t="s">
        <v>1850</v>
      </c>
      <c r="E3743" s="12" t="s">
        <v>7784</v>
      </c>
      <c r="F3743" s="12" t="s">
        <v>7785</v>
      </c>
      <c r="G3743" s="12" t="s">
        <v>7789</v>
      </c>
      <c r="H3743" s="12" t="s">
        <v>7824</v>
      </c>
      <c r="I3743" s="12" t="s">
        <v>8312</v>
      </c>
      <c r="J3743" s="11" t="s">
        <v>1851</v>
      </c>
      <c r="K3743" s="11" t="s">
        <v>1852</v>
      </c>
      <c r="L3743" s="11" t="s">
        <v>1853</v>
      </c>
      <c r="M3743" s="11" t="s">
        <v>1854</v>
      </c>
      <c r="N3743" s="12"/>
      <c r="O3743" s="11" t="s">
        <v>2022</v>
      </c>
      <c r="P3743" s="56" t="s">
        <v>4974</v>
      </c>
    </row>
    <row r="3744" spans="1:16" ht="15.75" customHeight="1" x14ac:dyDescent="0.2">
      <c r="A3744" s="48">
        <v>5836</v>
      </c>
      <c r="B3744" s="11" t="s">
        <v>1871</v>
      </c>
      <c r="C3744" s="11" t="s">
        <v>1849</v>
      </c>
      <c r="D3744" s="6" t="s">
        <v>1850</v>
      </c>
      <c r="E3744" s="12" t="s">
        <v>7784</v>
      </c>
      <c r="F3744" s="12" t="s">
        <v>7785</v>
      </c>
      <c r="G3744" s="12" t="s">
        <v>7878</v>
      </c>
      <c r="H3744" s="12" t="s">
        <v>7878</v>
      </c>
      <c r="I3744" s="12" t="s">
        <v>8313</v>
      </c>
      <c r="J3744" s="11" t="s">
        <v>1851</v>
      </c>
      <c r="K3744" s="11" t="s">
        <v>1852</v>
      </c>
      <c r="L3744" s="11" t="s">
        <v>1853</v>
      </c>
      <c r="M3744" s="11" t="s">
        <v>8314</v>
      </c>
      <c r="N3744" s="12"/>
      <c r="O3744" s="11" t="s">
        <v>1866</v>
      </c>
      <c r="P3744" s="56" t="s">
        <v>3343</v>
      </c>
    </row>
    <row r="3745" spans="1:16" ht="15.75" customHeight="1" x14ac:dyDescent="0.2">
      <c r="A3745" s="48">
        <v>3431</v>
      </c>
      <c r="B3745" s="11" t="s">
        <v>1871</v>
      </c>
      <c r="C3745" s="11" t="s">
        <v>1849</v>
      </c>
      <c r="D3745" s="6" t="s">
        <v>1850</v>
      </c>
      <c r="E3745" s="12" t="s">
        <v>7784</v>
      </c>
      <c r="F3745" s="12" t="s">
        <v>7785</v>
      </c>
      <c r="G3745" s="12" t="s">
        <v>7786</v>
      </c>
      <c r="H3745" s="12" t="s">
        <v>7807</v>
      </c>
      <c r="I3745" s="12" t="s">
        <v>8315</v>
      </c>
      <c r="J3745" s="11" t="s">
        <v>1851</v>
      </c>
      <c r="K3745" s="11" t="s">
        <v>1852</v>
      </c>
      <c r="L3745" s="11" t="s">
        <v>1853</v>
      </c>
      <c r="M3745" s="11" t="s">
        <v>1854</v>
      </c>
      <c r="N3745" s="12"/>
      <c r="O3745" s="11" t="s">
        <v>1866</v>
      </c>
      <c r="P3745" s="56" t="s">
        <v>8316</v>
      </c>
    </row>
    <row r="3746" spans="1:16" ht="15.75" customHeight="1" x14ac:dyDescent="0.2">
      <c r="A3746" s="48">
        <v>15201</v>
      </c>
      <c r="B3746" s="11" t="s">
        <v>1871</v>
      </c>
      <c r="C3746" s="11" t="s">
        <v>1849</v>
      </c>
      <c r="D3746" s="6" t="s">
        <v>1850</v>
      </c>
      <c r="E3746" s="12" t="s">
        <v>7784</v>
      </c>
      <c r="F3746" s="12" t="s">
        <v>7785</v>
      </c>
      <c r="G3746" s="12" t="s">
        <v>7786</v>
      </c>
      <c r="H3746" s="12" t="s">
        <v>7798</v>
      </c>
      <c r="I3746" s="12" t="s">
        <v>8317</v>
      </c>
      <c r="J3746" s="11" t="s">
        <v>1851</v>
      </c>
      <c r="K3746" s="11" t="s">
        <v>1852</v>
      </c>
      <c r="L3746" s="11" t="s">
        <v>1853</v>
      </c>
      <c r="M3746" s="11" t="s">
        <v>1854</v>
      </c>
      <c r="N3746" s="12"/>
      <c r="O3746" s="11" t="s">
        <v>1859</v>
      </c>
      <c r="P3746" s="56"/>
    </row>
    <row r="3747" spans="1:16" ht="15.75" customHeight="1" x14ac:dyDescent="0.2">
      <c r="A3747" s="48">
        <v>15197</v>
      </c>
      <c r="B3747" s="11" t="s">
        <v>1871</v>
      </c>
      <c r="C3747" s="11" t="s">
        <v>1849</v>
      </c>
      <c r="D3747" s="6" t="s">
        <v>1850</v>
      </c>
      <c r="E3747" s="12" t="s">
        <v>7784</v>
      </c>
      <c r="F3747" s="12" t="s">
        <v>7785</v>
      </c>
      <c r="G3747" s="12" t="s">
        <v>7802</v>
      </c>
      <c r="H3747" s="12" t="s">
        <v>7826</v>
      </c>
      <c r="I3747" s="12" t="s">
        <v>8318</v>
      </c>
      <c r="J3747" s="11" t="s">
        <v>1851</v>
      </c>
      <c r="K3747" s="11" t="s">
        <v>1852</v>
      </c>
      <c r="L3747" s="11" t="s">
        <v>1853</v>
      </c>
      <c r="M3747" s="11" t="s">
        <v>1854</v>
      </c>
      <c r="N3747" s="12"/>
      <c r="O3747" s="11" t="s">
        <v>2022</v>
      </c>
      <c r="P3747" s="56" t="s">
        <v>1863</v>
      </c>
    </row>
    <row r="3748" spans="1:16" ht="15.75" customHeight="1" x14ac:dyDescent="0.2">
      <c r="A3748" s="48">
        <v>15194</v>
      </c>
      <c r="B3748" s="11" t="s">
        <v>1871</v>
      </c>
      <c r="C3748" s="11" t="s">
        <v>1849</v>
      </c>
      <c r="D3748" s="6" t="s">
        <v>1850</v>
      </c>
      <c r="E3748" s="12" t="s">
        <v>7784</v>
      </c>
      <c r="F3748" s="12" t="s">
        <v>7785</v>
      </c>
      <c r="G3748" s="12" t="s">
        <v>7802</v>
      </c>
      <c r="H3748" s="12" t="s">
        <v>2728</v>
      </c>
      <c r="I3748" s="12" t="s">
        <v>8319</v>
      </c>
      <c r="J3748" s="11" t="s">
        <v>1851</v>
      </c>
      <c r="K3748" s="11" t="s">
        <v>1852</v>
      </c>
      <c r="L3748" s="11" t="s">
        <v>1853</v>
      </c>
      <c r="M3748" s="11" t="s">
        <v>1854</v>
      </c>
      <c r="N3748" s="12"/>
      <c r="O3748" s="11" t="s">
        <v>3016</v>
      </c>
      <c r="P3748" s="56" t="s">
        <v>1863</v>
      </c>
    </row>
    <row r="3749" spans="1:16" ht="15.75" customHeight="1" x14ac:dyDescent="0.2">
      <c r="A3749" s="48">
        <v>15191</v>
      </c>
      <c r="B3749" s="11" t="s">
        <v>1871</v>
      </c>
      <c r="C3749" s="11" t="s">
        <v>1849</v>
      </c>
      <c r="D3749" s="6" t="s">
        <v>1850</v>
      </c>
      <c r="E3749" s="12" t="s">
        <v>7784</v>
      </c>
      <c r="F3749" s="12" t="s">
        <v>7785</v>
      </c>
      <c r="G3749" s="12" t="s">
        <v>7802</v>
      </c>
      <c r="H3749" s="12" t="s">
        <v>7841</v>
      </c>
      <c r="I3749" s="12" t="s">
        <v>8320</v>
      </c>
      <c r="J3749" s="11" t="s">
        <v>1851</v>
      </c>
      <c r="K3749" s="11" t="s">
        <v>1852</v>
      </c>
      <c r="L3749" s="11" t="s">
        <v>1853</v>
      </c>
      <c r="M3749" s="11" t="s">
        <v>1854</v>
      </c>
      <c r="N3749" s="12"/>
      <c r="O3749" s="11" t="s">
        <v>2022</v>
      </c>
      <c r="P3749" s="56" t="s">
        <v>1863</v>
      </c>
    </row>
    <row r="3750" spans="1:16" ht="15.75" customHeight="1" x14ac:dyDescent="0.2">
      <c r="A3750" s="48">
        <v>15195</v>
      </c>
      <c r="B3750" s="11" t="s">
        <v>1871</v>
      </c>
      <c r="C3750" s="11" t="s">
        <v>1849</v>
      </c>
      <c r="D3750" s="6" t="s">
        <v>1850</v>
      </c>
      <c r="E3750" s="12" t="s">
        <v>7784</v>
      </c>
      <c r="F3750" s="12" t="s">
        <v>7785</v>
      </c>
      <c r="G3750" s="12" t="s">
        <v>7802</v>
      </c>
      <c r="H3750" s="12" t="s">
        <v>7826</v>
      </c>
      <c r="I3750" s="12" t="s">
        <v>8321</v>
      </c>
      <c r="J3750" s="11" t="s">
        <v>1856</v>
      </c>
      <c r="K3750" s="11" t="s">
        <v>1852</v>
      </c>
      <c r="L3750" s="11" t="s">
        <v>1853</v>
      </c>
      <c r="M3750" s="11" t="s">
        <v>1854</v>
      </c>
      <c r="N3750" s="12"/>
      <c r="O3750" s="11" t="s">
        <v>3016</v>
      </c>
      <c r="P3750" s="56" t="s">
        <v>1863</v>
      </c>
    </row>
    <row r="3751" spans="1:16" ht="15.75" customHeight="1" x14ac:dyDescent="0.2">
      <c r="A3751" s="48">
        <v>15196</v>
      </c>
      <c r="B3751" s="11" t="s">
        <v>1871</v>
      </c>
      <c r="C3751" s="11" t="s">
        <v>1849</v>
      </c>
      <c r="D3751" s="6" t="s">
        <v>1850</v>
      </c>
      <c r="E3751" s="12" t="s">
        <v>7784</v>
      </c>
      <c r="F3751" s="12" t="s">
        <v>7785</v>
      </c>
      <c r="G3751" s="12" t="s">
        <v>7802</v>
      </c>
      <c r="H3751" s="12" t="s">
        <v>7870</v>
      </c>
      <c r="I3751" s="12" t="s">
        <v>8322</v>
      </c>
      <c r="J3751" s="11" t="s">
        <v>1856</v>
      </c>
      <c r="K3751" s="11" t="s">
        <v>1852</v>
      </c>
      <c r="L3751" s="11" t="s">
        <v>1853</v>
      </c>
      <c r="M3751" s="11" t="s">
        <v>1854</v>
      </c>
      <c r="N3751" s="12"/>
      <c r="O3751" s="11" t="s">
        <v>3016</v>
      </c>
      <c r="P3751" s="56" t="s">
        <v>1863</v>
      </c>
    </row>
    <row r="3752" spans="1:16" ht="15.75" customHeight="1" x14ac:dyDescent="0.2">
      <c r="A3752" s="48">
        <v>15190</v>
      </c>
      <c r="B3752" s="11" t="s">
        <v>1871</v>
      </c>
      <c r="C3752" s="11" t="s">
        <v>1849</v>
      </c>
      <c r="D3752" s="6" t="s">
        <v>1850</v>
      </c>
      <c r="E3752" s="12" t="s">
        <v>7784</v>
      </c>
      <c r="F3752" s="12" t="s">
        <v>7785</v>
      </c>
      <c r="G3752" s="12" t="s">
        <v>7789</v>
      </c>
      <c r="H3752" s="12" t="s">
        <v>7793</v>
      </c>
      <c r="I3752" s="12" t="s">
        <v>8323</v>
      </c>
      <c r="J3752" s="11" t="s">
        <v>1856</v>
      </c>
      <c r="K3752" s="11" t="s">
        <v>1852</v>
      </c>
      <c r="L3752" s="11" t="s">
        <v>1853</v>
      </c>
      <c r="M3752" s="11" t="s">
        <v>1854</v>
      </c>
      <c r="N3752" s="12"/>
      <c r="O3752" s="11" t="s">
        <v>2022</v>
      </c>
      <c r="P3752" s="56" t="s">
        <v>4971</v>
      </c>
    </row>
    <row r="3753" spans="1:16" ht="15.75" customHeight="1" x14ac:dyDescent="0.2">
      <c r="A3753" s="48">
        <v>15193</v>
      </c>
      <c r="B3753" s="11" t="s">
        <v>1871</v>
      </c>
      <c r="C3753" s="11" t="s">
        <v>1849</v>
      </c>
      <c r="D3753" s="6" t="s">
        <v>1850</v>
      </c>
      <c r="E3753" s="12" t="s">
        <v>7784</v>
      </c>
      <c r="F3753" s="12" t="s">
        <v>7785</v>
      </c>
      <c r="G3753" s="12" t="s">
        <v>7802</v>
      </c>
      <c r="H3753" s="12" t="s">
        <v>7870</v>
      </c>
      <c r="I3753" s="12" t="s">
        <v>8324</v>
      </c>
      <c r="J3753" s="11" t="s">
        <v>1851</v>
      </c>
      <c r="K3753" s="11" t="s">
        <v>1852</v>
      </c>
      <c r="L3753" s="11" t="s">
        <v>1853</v>
      </c>
      <c r="M3753" s="11" t="s">
        <v>1854</v>
      </c>
      <c r="N3753" s="12"/>
      <c r="O3753" s="11" t="s">
        <v>5055</v>
      </c>
      <c r="P3753" s="56" t="s">
        <v>1863</v>
      </c>
    </row>
    <row r="3754" spans="1:16" ht="15.75" customHeight="1" x14ac:dyDescent="0.2">
      <c r="A3754" s="48">
        <v>15254</v>
      </c>
      <c r="B3754" s="11" t="s">
        <v>1871</v>
      </c>
      <c r="C3754" s="11" t="s">
        <v>1849</v>
      </c>
      <c r="D3754" s="6" t="s">
        <v>1850</v>
      </c>
      <c r="E3754" s="12" t="s">
        <v>7784</v>
      </c>
      <c r="F3754" s="12" t="s">
        <v>7785</v>
      </c>
      <c r="G3754" s="12" t="s">
        <v>7789</v>
      </c>
      <c r="H3754" s="12" t="s">
        <v>3151</v>
      </c>
      <c r="I3754" s="12" t="s">
        <v>8325</v>
      </c>
      <c r="J3754" s="11" t="s">
        <v>1856</v>
      </c>
      <c r="K3754" s="11" t="s">
        <v>1852</v>
      </c>
      <c r="L3754" s="11" t="s">
        <v>1853</v>
      </c>
      <c r="M3754" s="11" t="s">
        <v>1854</v>
      </c>
      <c r="N3754" s="12"/>
      <c r="O3754" s="11" t="s">
        <v>2022</v>
      </c>
      <c r="P3754" s="56" t="s">
        <v>1863</v>
      </c>
    </row>
    <row r="3755" spans="1:16" ht="15.75" customHeight="1" x14ac:dyDescent="0.2">
      <c r="A3755" s="48">
        <v>15930</v>
      </c>
      <c r="B3755" s="11" t="s">
        <v>1871</v>
      </c>
      <c r="C3755" s="11" t="s">
        <v>1849</v>
      </c>
      <c r="D3755" s="6" t="s">
        <v>1850</v>
      </c>
      <c r="E3755" s="12" t="s">
        <v>7784</v>
      </c>
      <c r="F3755" s="12" t="s">
        <v>7785</v>
      </c>
      <c r="G3755" s="12" t="s">
        <v>7789</v>
      </c>
      <c r="H3755" s="12" t="s">
        <v>7789</v>
      </c>
      <c r="I3755" s="12" t="s">
        <v>8326</v>
      </c>
      <c r="J3755" s="11" t="s">
        <v>1851</v>
      </c>
      <c r="K3755" s="11" t="s">
        <v>1852</v>
      </c>
      <c r="L3755" s="11" t="s">
        <v>1853</v>
      </c>
      <c r="M3755" s="11" t="s">
        <v>1854</v>
      </c>
      <c r="N3755" s="12"/>
      <c r="O3755" s="11" t="s">
        <v>2350</v>
      </c>
      <c r="P3755" s="56" t="s">
        <v>6280</v>
      </c>
    </row>
    <row r="3756" spans="1:16" ht="15.75" customHeight="1" x14ac:dyDescent="0.2">
      <c r="A3756" s="48">
        <v>15192</v>
      </c>
      <c r="B3756" s="11" t="s">
        <v>1871</v>
      </c>
      <c r="C3756" s="11" t="s">
        <v>1849</v>
      </c>
      <c r="D3756" s="6" t="s">
        <v>1850</v>
      </c>
      <c r="E3756" s="12" t="s">
        <v>7784</v>
      </c>
      <c r="F3756" s="12" t="s">
        <v>7785</v>
      </c>
      <c r="G3756" s="12" t="s">
        <v>7786</v>
      </c>
      <c r="H3756" s="12" t="s">
        <v>7796</v>
      </c>
      <c r="I3756" s="12" t="s">
        <v>8327</v>
      </c>
      <c r="J3756" s="11" t="s">
        <v>1851</v>
      </c>
      <c r="K3756" s="11" t="s">
        <v>1852</v>
      </c>
      <c r="L3756" s="11" t="s">
        <v>1853</v>
      </c>
      <c r="M3756" s="11" t="s">
        <v>1854</v>
      </c>
      <c r="N3756" s="12"/>
      <c r="O3756" s="11" t="s">
        <v>1874</v>
      </c>
      <c r="P3756" s="56" t="s">
        <v>1863</v>
      </c>
    </row>
    <row r="3757" spans="1:16" ht="15.75" customHeight="1" x14ac:dyDescent="0.2">
      <c r="A3757" s="49">
        <v>16127</v>
      </c>
      <c r="B3757" s="11" t="s">
        <v>1871</v>
      </c>
      <c r="C3757" s="11" t="s">
        <v>1849</v>
      </c>
      <c r="D3757" s="6" t="s">
        <v>1850</v>
      </c>
      <c r="E3757" s="12" t="s">
        <v>7784</v>
      </c>
      <c r="F3757" s="12" t="s">
        <v>7785</v>
      </c>
      <c r="G3757" s="12" t="s">
        <v>7786</v>
      </c>
      <c r="H3757" s="12" t="s">
        <v>7796</v>
      </c>
      <c r="I3757" s="12" t="s">
        <v>8328</v>
      </c>
      <c r="J3757" s="11" t="s">
        <v>1856</v>
      </c>
      <c r="K3757" s="11" t="s">
        <v>1852</v>
      </c>
      <c r="L3757" s="11" t="s">
        <v>1853</v>
      </c>
      <c r="M3757" s="11"/>
      <c r="N3757" s="12"/>
      <c r="O3757" s="11" t="s">
        <v>2022</v>
      </c>
      <c r="P3757" s="56"/>
    </row>
    <row r="3758" spans="1:16" ht="15.75" customHeight="1" x14ac:dyDescent="0.2">
      <c r="A3758" s="49">
        <v>7576</v>
      </c>
      <c r="B3758" s="11" t="s">
        <v>1857</v>
      </c>
      <c r="C3758" s="11" t="s">
        <v>1849</v>
      </c>
      <c r="D3758" s="6" t="s">
        <v>1875</v>
      </c>
      <c r="E3758" s="12" t="s">
        <v>7784</v>
      </c>
      <c r="F3758" s="12" t="s">
        <v>7785</v>
      </c>
      <c r="G3758" s="12" t="s">
        <v>7786</v>
      </c>
      <c r="H3758" s="12" t="s">
        <v>7787</v>
      </c>
      <c r="I3758" s="12" t="s">
        <v>8329</v>
      </c>
      <c r="J3758" s="11" t="s">
        <v>1856</v>
      </c>
      <c r="K3758" s="11" t="s">
        <v>1852</v>
      </c>
      <c r="L3758" s="11" t="s">
        <v>1853</v>
      </c>
      <c r="M3758" s="11" t="s">
        <v>1854</v>
      </c>
      <c r="N3758" s="12"/>
      <c r="O3758" s="11" t="s">
        <v>1854</v>
      </c>
      <c r="P3758" s="56"/>
    </row>
    <row r="3759" spans="1:16" ht="15.75" customHeight="1" x14ac:dyDescent="0.2">
      <c r="A3759" s="49">
        <v>3399</v>
      </c>
      <c r="B3759" s="11" t="s">
        <v>1857</v>
      </c>
      <c r="C3759" s="11" t="s">
        <v>1849</v>
      </c>
      <c r="D3759" s="6" t="s">
        <v>2594</v>
      </c>
      <c r="E3759" s="12" t="s">
        <v>7784</v>
      </c>
      <c r="F3759" s="12" t="s">
        <v>7785</v>
      </c>
      <c r="G3759" s="12" t="s">
        <v>7786</v>
      </c>
      <c r="H3759" s="12" t="s">
        <v>7787</v>
      </c>
      <c r="I3759" s="12" t="s">
        <v>8330</v>
      </c>
      <c r="J3759" s="11" t="s">
        <v>1856</v>
      </c>
      <c r="K3759" s="11" t="s">
        <v>1852</v>
      </c>
      <c r="L3759" s="11" t="s">
        <v>1853</v>
      </c>
      <c r="M3759" s="11" t="s">
        <v>1854</v>
      </c>
      <c r="N3759" s="12"/>
      <c r="O3759" s="11" t="s">
        <v>2334</v>
      </c>
      <c r="P3759" s="56" t="s">
        <v>8331</v>
      </c>
    </row>
    <row r="3760" spans="1:16" ht="15.75" customHeight="1" x14ac:dyDescent="0.2">
      <c r="A3760" s="49">
        <v>6117</v>
      </c>
      <c r="B3760" s="11" t="s">
        <v>1848</v>
      </c>
      <c r="C3760" s="11" t="s">
        <v>1876</v>
      </c>
      <c r="D3760" s="6" t="s">
        <v>1850</v>
      </c>
      <c r="E3760" s="12" t="s">
        <v>7784</v>
      </c>
      <c r="F3760" s="12" t="s">
        <v>7785</v>
      </c>
      <c r="G3760" s="12" t="s">
        <v>7789</v>
      </c>
      <c r="H3760" s="12" t="s">
        <v>7824</v>
      </c>
      <c r="I3760" s="12" t="s">
        <v>8332</v>
      </c>
      <c r="J3760" s="11" t="s">
        <v>1851</v>
      </c>
      <c r="K3760" s="11" t="s">
        <v>1852</v>
      </c>
      <c r="L3760" s="11" t="s">
        <v>1853</v>
      </c>
      <c r="M3760" s="11" t="s">
        <v>8333</v>
      </c>
      <c r="N3760" s="12"/>
      <c r="O3760" s="11" t="s">
        <v>1855</v>
      </c>
      <c r="P3760" s="56"/>
    </row>
    <row r="3761" spans="1:16" ht="15.75" customHeight="1" x14ac:dyDescent="0.2">
      <c r="A3761" s="49">
        <v>7503</v>
      </c>
      <c r="B3761" s="11" t="s">
        <v>1848</v>
      </c>
      <c r="C3761" s="11" t="s">
        <v>1876</v>
      </c>
      <c r="D3761" s="6" t="s">
        <v>1850</v>
      </c>
      <c r="E3761" s="12" t="s">
        <v>7784</v>
      </c>
      <c r="F3761" s="12" t="s">
        <v>7785</v>
      </c>
      <c r="G3761" s="12" t="s">
        <v>7786</v>
      </c>
      <c r="H3761" s="12" t="s">
        <v>7807</v>
      </c>
      <c r="I3761" s="12" t="s">
        <v>8334</v>
      </c>
      <c r="J3761" s="11" t="s">
        <v>1851</v>
      </c>
      <c r="K3761" s="11" t="s">
        <v>1852</v>
      </c>
      <c r="L3761" s="11" t="s">
        <v>1853</v>
      </c>
      <c r="M3761" s="11" t="s">
        <v>8335</v>
      </c>
      <c r="N3761" s="12"/>
      <c r="O3761" s="11" t="s">
        <v>1858</v>
      </c>
      <c r="P3761" s="56"/>
    </row>
    <row r="3762" spans="1:16" ht="15.75" customHeight="1" x14ac:dyDescent="0.2">
      <c r="A3762" s="49">
        <v>7487</v>
      </c>
      <c r="B3762" s="11" t="s">
        <v>1848</v>
      </c>
      <c r="C3762" s="11" t="s">
        <v>1876</v>
      </c>
      <c r="D3762" s="6" t="s">
        <v>1850</v>
      </c>
      <c r="E3762" s="12" t="s">
        <v>7784</v>
      </c>
      <c r="F3762" s="12" t="s">
        <v>7785</v>
      </c>
      <c r="G3762" s="12" t="s">
        <v>7786</v>
      </c>
      <c r="H3762" s="12" t="s">
        <v>7787</v>
      </c>
      <c r="I3762" s="12" t="s">
        <v>8336</v>
      </c>
      <c r="J3762" s="11" t="s">
        <v>1851</v>
      </c>
      <c r="K3762" s="11" t="s">
        <v>1852</v>
      </c>
      <c r="L3762" s="11" t="s">
        <v>1853</v>
      </c>
      <c r="M3762" s="11" t="s">
        <v>8337</v>
      </c>
      <c r="N3762" s="12"/>
      <c r="O3762" s="11" t="s">
        <v>1855</v>
      </c>
      <c r="P3762" s="56"/>
    </row>
    <row r="3763" spans="1:16" ht="15.75" customHeight="1" x14ac:dyDescent="0.2">
      <c r="A3763" s="49">
        <v>7490</v>
      </c>
      <c r="B3763" s="11" t="s">
        <v>1848</v>
      </c>
      <c r="C3763" s="11" t="s">
        <v>1876</v>
      </c>
      <c r="D3763" s="6" t="s">
        <v>1850</v>
      </c>
      <c r="E3763" s="12" t="s">
        <v>7784</v>
      </c>
      <c r="F3763" s="12" t="s">
        <v>7785</v>
      </c>
      <c r="G3763" s="12" t="s">
        <v>7786</v>
      </c>
      <c r="H3763" s="12" t="s">
        <v>7798</v>
      </c>
      <c r="I3763" s="12" t="s">
        <v>8338</v>
      </c>
      <c r="J3763" s="11" t="s">
        <v>1851</v>
      </c>
      <c r="K3763" s="11" t="s">
        <v>1852</v>
      </c>
      <c r="L3763" s="11" t="s">
        <v>1853</v>
      </c>
      <c r="M3763" s="11" t="s">
        <v>1854</v>
      </c>
      <c r="N3763" s="12"/>
      <c r="O3763" s="11" t="s">
        <v>1855</v>
      </c>
      <c r="P3763" s="56"/>
    </row>
    <row r="3764" spans="1:16" ht="15.75" customHeight="1" x14ac:dyDescent="0.2">
      <c r="A3764" s="49">
        <v>7480</v>
      </c>
      <c r="B3764" s="11" t="s">
        <v>1848</v>
      </c>
      <c r="C3764" s="11" t="s">
        <v>1876</v>
      </c>
      <c r="D3764" s="6" t="s">
        <v>1850</v>
      </c>
      <c r="E3764" s="12" t="s">
        <v>7784</v>
      </c>
      <c r="F3764" s="12" t="s">
        <v>7785</v>
      </c>
      <c r="G3764" s="12" t="s">
        <v>7789</v>
      </c>
      <c r="H3764" s="12" t="s">
        <v>7830</v>
      </c>
      <c r="I3764" s="12" t="s">
        <v>8339</v>
      </c>
      <c r="J3764" s="11" t="s">
        <v>1851</v>
      </c>
      <c r="K3764" s="11" t="s">
        <v>1852</v>
      </c>
      <c r="L3764" s="11" t="s">
        <v>1853</v>
      </c>
      <c r="M3764" s="11" t="s">
        <v>8340</v>
      </c>
      <c r="N3764" s="12"/>
      <c r="O3764" s="11" t="s">
        <v>1855</v>
      </c>
      <c r="P3764" s="56"/>
    </row>
    <row r="3765" spans="1:16" ht="15.75" customHeight="1" x14ac:dyDescent="0.2">
      <c r="A3765" s="49">
        <v>7494</v>
      </c>
      <c r="B3765" s="11" t="s">
        <v>1848</v>
      </c>
      <c r="C3765" s="11" t="s">
        <v>1876</v>
      </c>
      <c r="D3765" s="6" t="s">
        <v>1850</v>
      </c>
      <c r="E3765" s="12" t="s">
        <v>7784</v>
      </c>
      <c r="F3765" s="12" t="s">
        <v>7785</v>
      </c>
      <c r="G3765" s="12" t="s">
        <v>7786</v>
      </c>
      <c r="H3765" s="12" t="s">
        <v>7798</v>
      </c>
      <c r="I3765" s="12" t="s">
        <v>8341</v>
      </c>
      <c r="J3765" s="11" t="s">
        <v>1851</v>
      </c>
      <c r="K3765" s="11" t="s">
        <v>1852</v>
      </c>
      <c r="L3765" s="11" t="s">
        <v>1853</v>
      </c>
      <c r="M3765" s="11" t="s">
        <v>1854</v>
      </c>
      <c r="N3765" s="12"/>
      <c r="O3765" s="11" t="s">
        <v>1855</v>
      </c>
      <c r="P3765" s="56"/>
    </row>
    <row r="3766" spans="1:16" ht="15.75" customHeight="1" x14ac:dyDescent="0.2">
      <c r="A3766" s="49">
        <v>7493</v>
      </c>
      <c r="B3766" s="11" t="s">
        <v>1848</v>
      </c>
      <c r="C3766" s="11" t="s">
        <v>1876</v>
      </c>
      <c r="D3766" s="6" t="s">
        <v>1850</v>
      </c>
      <c r="E3766" s="12" t="s">
        <v>7784</v>
      </c>
      <c r="F3766" s="12" t="s">
        <v>7785</v>
      </c>
      <c r="G3766" s="12" t="s">
        <v>7786</v>
      </c>
      <c r="H3766" s="12" t="s">
        <v>7796</v>
      </c>
      <c r="I3766" s="12" t="s">
        <v>8342</v>
      </c>
      <c r="J3766" s="11" t="s">
        <v>1851</v>
      </c>
      <c r="K3766" s="11" t="s">
        <v>1852</v>
      </c>
      <c r="L3766" s="11" t="s">
        <v>1853</v>
      </c>
      <c r="M3766" s="11" t="s">
        <v>8343</v>
      </c>
      <c r="N3766" s="12"/>
      <c r="O3766" s="11" t="s">
        <v>1855</v>
      </c>
      <c r="P3766" s="56"/>
    </row>
    <row r="3767" spans="1:16" ht="15.75" customHeight="1" x14ac:dyDescent="0.2">
      <c r="A3767" s="49">
        <v>7498</v>
      </c>
      <c r="B3767" s="11" t="s">
        <v>1848</v>
      </c>
      <c r="C3767" s="11" t="s">
        <v>1876</v>
      </c>
      <c r="D3767" s="6" t="s">
        <v>1850</v>
      </c>
      <c r="E3767" s="12" t="s">
        <v>7784</v>
      </c>
      <c r="F3767" s="12" t="s">
        <v>7785</v>
      </c>
      <c r="G3767" s="12" t="s">
        <v>7786</v>
      </c>
      <c r="H3767" s="12" t="s">
        <v>7798</v>
      </c>
      <c r="I3767" s="12" t="s">
        <v>8344</v>
      </c>
      <c r="J3767" s="11" t="s">
        <v>1851</v>
      </c>
      <c r="K3767" s="11" t="s">
        <v>1852</v>
      </c>
      <c r="L3767" s="11" t="s">
        <v>1853</v>
      </c>
      <c r="M3767" s="11" t="s">
        <v>1854</v>
      </c>
      <c r="N3767" s="12"/>
      <c r="O3767" s="11" t="s">
        <v>1855</v>
      </c>
      <c r="P3767" s="56"/>
    </row>
    <row r="3768" spans="1:16" ht="15.75" customHeight="1" x14ac:dyDescent="0.2">
      <c r="A3768" s="49">
        <v>7221</v>
      </c>
      <c r="B3768" s="11" t="s">
        <v>1848</v>
      </c>
      <c r="C3768" s="11" t="s">
        <v>1876</v>
      </c>
      <c r="D3768" s="6" t="s">
        <v>1850</v>
      </c>
      <c r="E3768" s="12" t="s">
        <v>7784</v>
      </c>
      <c r="F3768" s="12" t="s">
        <v>7785</v>
      </c>
      <c r="G3768" s="12" t="s">
        <v>7786</v>
      </c>
      <c r="H3768" s="12" t="s">
        <v>7796</v>
      </c>
      <c r="I3768" s="12" t="s">
        <v>8345</v>
      </c>
      <c r="J3768" s="11" t="s">
        <v>1851</v>
      </c>
      <c r="K3768" s="11" t="s">
        <v>1852</v>
      </c>
      <c r="L3768" s="11" t="s">
        <v>1853</v>
      </c>
      <c r="M3768" s="11" t="s">
        <v>8346</v>
      </c>
      <c r="N3768" s="12"/>
      <c r="O3768" s="11" t="s">
        <v>1858</v>
      </c>
      <c r="P3768" s="56"/>
    </row>
    <row r="3769" spans="1:16" ht="15.75" customHeight="1" x14ac:dyDescent="0.2">
      <c r="A3769" s="49">
        <v>7559</v>
      </c>
      <c r="B3769" s="11" t="s">
        <v>1857</v>
      </c>
      <c r="C3769" s="11" t="s">
        <v>1876</v>
      </c>
      <c r="D3769" s="6" t="s">
        <v>1850</v>
      </c>
      <c r="E3769" s="12" t="s">
        <v>7784</v>
      </c>
      <c r="F3769" s="12" t="s">
        <v>7785</v>
      </c>
      <c r="G3769" s="12" t="s">
        <v>7786</v>
      </c>
      <c r="H3769" s="12" t="s">
        <v>7787</v>
      </c>
      <c r="I3769" s="12" t="s">
        <v>8347</v>
      </c>
      <c r="J3769" s="11" t="s">
        <v>1851</v>
      </c>
      <c r="K3769" s="11" t="s">
        <v>1852</v>
      </c>
      <c r="L3769" s="11" t="s">
        <v>1853</v>
      </c>
      <c r="M3769" s="11" t="s">
        <v>8348</v>
      </c>
      <c r="N3769" s="12"/>
      <c r="O3769" s="11" t="s">
        <v>1858</v>
      </c>
      <c r="P3769" s="56"/>
    </row>
    <row r="3770" spans="1:16" ht="15.75" customHeight="1" x14ac:dyDescent="0.2">
      <c r="A3770" s="49">
        <v>16075</v>
      </c>
      <c r="B3770" s="11" t="s">
        <v>1848</v>
      </c>
      <c r="C3770" s="11" t="s">
        <v>1876</v>
      </c>
      <c r="D3770" s="6" t="s">
        <v>1850</v>
      </c>
      <c r="E3770" s="12" t="s">
        <v>7784</v>
      </c>
      <c r="F3770" s="12" t="s">
        <v>7785</v>
      </c>
      <c r="G3770" s="12" t="s">
        <v>7786</v>
      </c>
      <c r="H3770" s="12" t="s">
        <v>7796</v>
      </c>
      <c r="I3770" s="12" t="s">
        <v>8349</v>
      </c>
      <c r="J3770" s="11" t="s">
        <v>1851</v>
      </c>
      <c r="K3770" s="11" t="s">
        <v>1852</v>
      </c>
      <c r="L3770" s="11" t="s">
        <v>1853</v>
      </c>
      <c r="M3770" s="11" t="s">
        <v>1854</v>
      </c>
      <c r="N3770" s="12"/>
      <c r="O3770" s="11" t="s">
        <v>1858</v>
      </c>
      <c r="P3770" s="56"/>
    </row>
    <row r="3771" spans="1:16" ht="15.75" customHeight="1" x14ac:dyDescent="0.2">
      <c r="A3771" s="49">
        <v>7547</v>
      </c>
      <c r="B3771" s="11" t="s">
        <v>1857</v>
      </c>
      <c r="C3771" s="11" t="s">
        <v>1876</v>
      </c>
      <c r="D3771" s="6" t="s">
        <v>1850</v>
      </c>
      <c r="E3771" s="12" t="s">
        <v>7784</v>
      </c>
      <c r="F3771" s="12" t="s">
        <v>7785</v>
      </c>
      <c r="G3771" s="12" t="s">
        <v>7789</v>
      </c>
      <c r="H3771" s="12" t="s">
        <v>3151</v>
      </c>
      <c r="I3771" s="12" t="s">
        <v>8350</v>
      </c>
      <c r="J3771" s="11" t="s">
        <v>1856</v>
      </c>
      <c r="K3771" s="11" t="s">
        <v>1852</v>
      </c>
      <c r="L3771" s="11" t="s">
        <v>1853</v>
      </c>
      <c r="M3771" s="11" t="s">
        <v>8351</v>
      </c>
      <c r="N3771" s="12"/>
      <c r="O3771" s="11" t="s">
        <v>1858</v>
      </c>
      <c r="P3771" s="56"/>
    </row>
    <row r="3772" spans="1:16" ht="15.75" customHeight="1" x14ac:dyDescent="0.2">
      <c r="A3772" s="49">
        <v>7620</v>
      </c>
      <c r="B3772" s="11" t="s">
        <v>1857</v>
      </c>
      <c r="C3772" s="11" t="s">
        <v>1876</v>
      </c>
      <c r="D3772" s="6" t="s">
        <v>1850</v>
      </c>
      <c r="E3772" s="12" t="s">
        <v>7784</v>
      </c>
      <c r="F3772" s="12" t="s">
        <v>7785</v>
      </c>
      <c r="G3772" s="12" t="s">
        <v>7786</v>
      </c>
      <c r="H3772" s="12" t="s">
        <v>7796</v>
      </c>
      <c r="I3772" s="12" t="s">
        <v>8352</v>
      </c>
      <c r="J3772" s="11" t="s">
        <v>1851</v>
      </c>
      <c r="K3772" s="11" t="s">
        <v>1852</v>
      </c>
      <c r="L3772" s="11" t="s">
        <v>1853</v>
      </c>
      <c r="M3772" s="11"/>
      <c r="N3772" s="12"/>
      <c r="O3772" s="11" t="s">
        <v>1858</v>
      </c>
      <c r="P3772" s="56"/>
    </row>
    <row r="3773" spans="1:16" ht="15.75" customHeight="1" x14ac:dyDescent="0.2">
      <c r="A3773" s="49">
        <v>7492</v>
      </c>
      <c r="B3773" s="11" t="s">
        <v>1857</v>
      </c>
      <c r="C3773" s="11" t="s">
        <v>1876</v>
      </c>
      <c r="D3773" s="6" t="s">
        <v>1850</v>
      </c>
      <c r="E3773" s="12" t="s">
        <v>7784</v>
      </c>
      <c r="F3773" s="12" t="s">
        <v>7785</v>
      </c>
      <c r="G3773" s="12" t="s">
        <v>7786</v>
      </c>
      <c r="H3773" s="12" t="s">
        <v>7807</v>
      </c>
      <c r="I3773" s="12" t="s">
        <v>8353</v>
      </c>
      <c r="J3773" s="11" t="s">
        <v>1851</v>
      </c>
      <c r="K3773" s="11" t="s">
        <v>1852</v>
      </c>
      <c r="L3773" s="11" t="s">
        <v>1853</v>
      </c>
      <c r="M3773" s="11" t="s">
        <v>8354</v>
      </c>
      <c r="N3773" s="12"/>
      <c r="O3773" s="11" t="s">
        <v>1858</v>
      </c>
      <c r="P3773" s="56"/>
    </row>
    <row r="3774" spans="1:16" ht="15.75" customHeight="1" x14ac:dyDescent="0.2">
      <c r="A3774" s="49">
        <v>7479</v>
      </c>
      <c r="B3774" s="11" t="s">
        <v>1857</v>
      </c>
      <c r="C3774" s="11" t="s">
        <v>1876</v>
      </c>
      <c r="D3774" s="6" t="s">
        <v>1850</v>
      </c>
      <c r="E3774" s="12" t="s">
        <v>7784</v>
      </c>
      <c r="F3774" s="12" t="s">
        <v>7785</v>
      </c>
      <c r="G3774" s="12" t="s">
        <v>7789</v>
      </c>
      <c r="H3774" s="12" t="s">
        <v>7830</v>
      </c>
      <c r="I3774" s="12" t="s">
        <v>8355</v>
      </c>
      <c r="J3774" s="11" t="s">
        <v>1851</v>
      </c>
      <c r="K3774" s="11" t="s">
        <v>1852</v>
      </c>
      <c r="L3774" s="11" t="s">
        <v>1853</v>
      </c>
      <c r="M3774" s="11" t="s">
        <v>8356</v>
      </c>
      <c r="N3774" s="12"/>
      <c r="O3774" s="11" t="s">
        <v>1858</v>
      </c>
      <c r="P3774" s="56"/>
    </row>
    <row r="3775" spans="1:16" ht="15.75" customHeight="1" x14ac:dyDescent="0.2">
      <c r="A3775" s="49">
        <v>7551</v>
      </c>
      <c r="B3775" s="11" t="s">
        <v>1857</v>
      </c>
      <c r="C3775" s="11" t="s">
        <v>1876</v>
      </c>
      <c r="D3775" s="6" t="s">
        <v>1850</v>
      </c>
      <c r="E3775" s="12" t="s">
        <v>7784</v>
      </c>
      <c r="F3775" s="12" t="s">
        <v>7785</v>
      </c>
      <c r="G3775" s="12" t="s">
        <v>7789</v>
      </c>
      <c r="H3775" s="12" t="s">
        <v>7824</v>
      </c>
      <c r="I3775" s="12" t="s">
        <v>8357</v>
      </c>
      <c r="J3775" s="11" t="s">
        <v>1851</v>
      </c>
      <c r="K3775" s="11" t="s">
        <v>1852</v>
      </c>
      <c r="L3775" s="11" t="s">
        <v>1853</v>
      </c>
      <c r="M3775" s="11" t="s">
        <v>8358</v>
      </c>
      <c r="N3775" s="12"/>
      <c r="O3775" s="11" t="s">
        <v>1858</v>
      </c>
      <c r="P3775" s="56"/>
    </row>
    <row r="3776" spans="1:16" ht="15.75" customHeight="1" x14ac:dyDescent="0.2">
      <c r="A3776" s="49">
        <v>7210</v>
      </c>
      <c r="B3776" s="11" t="s">
        <v>1857</v>
      </c>
      <c r="C3776" s="11" t="s">
        <v>1876</v>
      </c>
      <c r="D3776" s="6" t="s">
        <v>1850</v>
      </c>
      <c r="E3776" s="12" t="s">
        <v>7784</v>
      </c>
      <c r="F3776" s="12" t="s">
        <v>7785</v>
      </c>
      <c r="G3776" s="12" t="s">
        <v>7786</v>
      </c>
      <c r="H3776" s="12" t="s">
        <v>7787</v>
      </c>
      <c r="I3776" s="12" t="s">
        <v>8359</v>
      </c>
      <c r="J3776" s="11" t="s">
        <v>1851</v>
      </c>
      <c r="K3776" s="11" t="s">
        <v>1852</v>
      </c>
      <c r="L3776" s="11" t="s">
        <v>1853</v>
      </c>
      <c r="M3776" s="11" t="s">
        <v>1854</v>
      </c>
      <c r="N3776" s="12"/>
      <c r="O3776" s="11" t="s">
        <v>1867</v>
      </c>
      <c r="P3776" s="56"/>
    </row>
    <row r="3777" spans="1:16" ht="15.75" customHeight="1" x14ac:dyDescent="0.2">
      <c r="A3777" s="49">
        <v>7208</v>
      </c>
      <c r="B3777" s="11" t="s">
        <v>1857</v>
      </c>
      <c r="C3777" s="11" t="s">
        <v>1876</v>
      </c>
      <c r="D3777" s="6" t="s">
        <v>1850</v>
      </c>
      <c r="E3777" s="12" t="s">
        <v>7784</v>
      </c>
      <c r="F3777" s="12" t="s">
        <v>7785</v>
      </c>
      <c r="G3777" s="12" t="s">
        <v>7786</v>
      </c>
      <c r="H3777" s="12" t="s">
        <v>7787</v>
      </c>
      <c r="I3777" s="12" t="s">
        <v>8360</v>
      </c>
      <c r="J3777" s="11" t="s">
        <v>1851</v>
      </c>
      <c r="K3777" s="11" t="s">
        <v>1852</v>
      </c>
      <c r="L3777" s="11" t="s">
        <v>1853</v>
      </c>
      <c r="M3777" s="11" t="s">
        <v>1854</v>
      </c>
      <c r="N3777" s="12"/>
      <c r="O3777" s="11" t="s">
        <v>1867</v>
      </c>
      <c r="P3777" s="56" t="s">
        <v>1865</v>
      </c>
    </row>
    <row r="3778" spans="1:16" ht="15.75" customHeight="1" x14ac:dyDescent="0.2">
      <c r="A3778" s="49">
        <v>6163</v>
      </c>
      <c r="B3778" s="11" t="s">
        <v>1857</v>
      </c>
      <c r="C3778" s="11" t="s">
        <v>1876</v>
      </c>
      <c r="D3778" s="6" t="s">
        <v>1850</v>
      </c>
      <c r="E3778" s="12" t="s">
        <v>7784</v>
      </c>
      <c r="F3778" s="12" t="s">
        <v>7785</v>
      </c>
      <c r="G3778" s="12" t="s">
        <v>7786</v>
      </c>
      <c r="H3778" s="12" t="s">
        <v>7798</v>
      </c>
      <c r="I3778" s="12" t="s">
        <v>8361</v>
      </c>
      <c r="J3778" s="11" t="s">
        <v>1851</v>
      </c>
      <c r="K3778" s="11" t="s">
        <v>1852</v>
      </c>
      <c r="L3778" s="11" t="s">
        <v>1853</v>
      </c>
      <c r="M3778" s="11" t="s">
        <v>1854</v>
      </c>
      <c r="N3778" s="12"/>
      <c r="O3778" s="11" t="s">
        <v>1860</v>
      </c>
      <c r="P3778" s="56"/>
    </row>
    <row r="3779" spans="1:16" ht="15.75" customHeight="1" x14ac:dyDescent="0.2">
      <c r="A3779" s="49">
        <v>6181</v>
      </c>
      <c r="B3779" s="11" t="s">
        <v>1857</v>
      </c>
      <c r="C3779" s="11" t="s">
        <v>1876</v>
      </c>
      <c r="D3779" s="6" t="s">
        <v>1850</v>
      </c>
      <c r="E3779" s="12" t="s">
        <v>7784</v>
      </c>
      <c r="F3779" s="12" t="s">
        <v>7785</v>
      </c>
      <c r="G3779" s="12" t="s">
        <v>7786</v>
      </c>
      <c r="H3779" s="12" t="s">
        <v>7787</v>
      </c>
      <c r="I3779" s="12" t="s">
        <v>8362</v>
      </c>
      <c r="J3779" s="11" t="s">
        <v>1851</v>
      </c>
      <c r="K3779" s="11" t="s">
        <v>1852</v>
      </c>
      <c r="L3779" s="11" t="s">
        <v>1853</v>
      </c>
      <c r="M3779" s="11" t="s">
        <v>8363</v>
      </c>
      <c r="N3779" s="12" t="s">
        <v>8364</v>
      </c>
      <c r="O3779" s="11" t="s">
        <v>2334</v>
      </c>
      <c r="P3779" s="56" t="s">
        <v>1863</v>
      </c>
    </row>
    <row r="3780" spans="1:16" ht="15.75" customHeight="1" x14ac:dyDescent="0.2">
      <c r="A3780" s="49">
        <v>7183</v>
      </c>
      <c r="B3780" s="11" t="s">
        <v>1857</v>
      </c>
      <c r="C3780" s="11" t="s">
        <v>1876</v>
      </c>
      <c r="D3780" s="6" t="s">
        <v>1850</v>
      </c>
      <c r="E3780" s="12" t="s">
        <v>7784</v>
      </c>
      <c r="F3780" s="12" t="s">
        <v>7785</v>
      </c>
      <c r="G3780" s="12" t="s">
        <v>7789</v>
      </c>
      <c r="H3780" s="12" t="s">
        <v>7789</v>
      </c>
      <c r="I3780" s="12" t="s">
        <v>8365</v>
      </c>
      <c r="J3780" s="11" t="s">
        <v>1851</v>
      </c>
      <c r="K3780" s="11" t="s">
        <v>1852</v>
      </c>
      <c r="L3780" s="11" t="s">
        <v>1853</v>
      </c>
      <c r="M3780" s="11" t="s">
        <v>1854</v>
      </c>
      <c r="N3780" s="12"/>
      <c r="O3780" s="11" t="s">
        <v>1860</v>
      </c>
      <c r="P3780" s="56"/>
    </row>
    <row r="3781" spans="1:16" ht="15.75" customHeight="1" x14ac:dyDescent="0.2">
      <c r="A3781" s="49">
        <v>7196</v>
      </c>
      <c r="B3781" s="11" t="s">
        <v>1857</v>
      </c>
      <c r="C3781" s="11" t="s">
        <v>1876</v>
      </c>
      <c r="D3781" s="6" t="s">
        <v>1850</v>
      </c>
      <c r="E3781" s="12" t="s">
        <v>7784</v>
      </c>
      <c r="F3781" s="12" t="s">
        <v>7785</v>
      </c>
      <c r="G3781" s="12" t="s">
        <v>7802</v>
      </c>
      <c r="H3781" s="12" t="s">
        <v>7859</v>
      </c>
      <c r="I3781" s="12" t="s">
        <v>8366</v>
      </c>
      <c r="J3781" s="11" t="s">
        <v>1851</v>
      </c>
      <c r="K3781" s="11" t="s">
        <v>1852</v>
      </c>
      <c r="L3781" s="11" t="s">
        <v>1853</v>
      </c>
      <c r="M3781" s="11" t="s">
        <v>1854</v>
      </c>
      <c r="N3781" s="12"/>
      <c r="O3781" s="11" t="s">
        <v>1858</v>
      </c>
      <c r="P3781" s="56"/>
    </row>
    <row r="3782" spans="1:16" ht="15.75" customHeight="1" x14ac:dyDescent="0.2">
      <c r="A3782" s="49">
        <v>7474</v>
      </c>
      <c r="B3782" s="11" t="s">
        <v>1857</v>
      </c>
      <c r="C3782" s="11" t="s">
        <v>1876</v>
      </c>
      <c r="D3782" s="6" t="s">
        <v>1850</v>
      </c>
      <c r="E3782" s="12" t="s">
        <v>7784</v>
      </c>
      <c r="F3782" s="12" t="s">
        <v>7785</v>
      </c>
      <c r="G3782" s="12" t="s">
        <v>7789</v>
      </c>
      <c r="H3782" s="12" t="s">
        <v>7793</v>
      </c>
      <c r="I3782" s="12" t="s">
        <v>8367</v>
      </c>
      <c r="J3782" s="11" t="s">
        <v>1851</v>
      </c>
      <c r="K3782" s="11" t="s">
        <v>1852</v>
      </c>
      <c r="L3782" s="11" t="s">
        <v>1853</v>
      </c>
      <c r="M3782" s="11" t="s">
        <v>8368</v>
      </c>
      <c r="N3782" s="12"/>
      <c r="O3782" s="11" t="s">
        <v>1867</v>
      </c>
      <c r="P3782" s="56" t="s">
        <v>1865</v>
      </c>
    </row>
    <row r="3783" spans="1:16" ht="15.75" customHeight="1" x14ac:dyDescent="0.2">
      <c r="A3783" s="49">
        <v>7185</v>
      </c>
      <c r="B3783" s="11" t="s">
        <v>1857</v>
      </c>
      <c r="C3783" s="11" t="s">
        <v>1876</v>
      </c>
      <c r="D3783" s="6" t="s">
        <v>1850</v>
      </c>
      <c r="E3783" s="12" t="s">
        <v>7784</v>
      </c>
      <c r="F3783" s="12" t="s">
        <v>7785</v>
      </c>
      <c r="G3783" s="12" t="s">
        <v>7789</v>
      </c>
      <c r="H3783" s="12" t="s">
        <v>7865</v>
      </c>
      <c r="I3783" s="12" t="s">
        <v>8369</v>
      </c>
      <c r="J3783" s="11" t="s">
        <v>1851</v>
      </c>
      <c r="K3783" s="11" t="s">
        <v>1852</v>
      </c>
      <c r="L3783" s="11" t="s">
        <v>1853</v>
      </c>
      <c r="M3783" s="11" t="s">
        <v>1854</v>
      </c>
      <c r="N3783" s="12"/>
      <c r="O3783" s="11" t="s">
        <v>1860</v>
      </c>
      <c r="P3783" s="56" t="s">
        <v>4994</v>
      </c>
    </row>
    <row r="3784" spans="1:16" ht="15.75" customHeight="1" x14ac:dyDescent="0.2">
      <c r="A3784" s="49">
        <v>7505</v>
      </c>
      <c r="B3784" s="11" t="s">
        <v>1857</v>
      </c>
      <c r="C3784" s="11" t="s">
        <v>1876</v>
      </c>
      <c r="D3784" s="6" t="s">
        <v>1850</v>
      </c>
      <c r="E3784" s="12" t="s">
        <v>7784</v>
      </c>
      <c r="F3784" s="12" t="s">
        <v>7785</v>
      </c>
      <c r="G3784" s="12" t="s">
        <v>7786</v>
      </c>
      <c r="H3784" s="12" t="s">
        <v>7787</v>
      </c>
      <c r="I3784" s="12" t="s">
        <v>8370</v>
      </c>
      <c r="J3784" s="11" t="s">
        <v>1851</v>
      </c>
      <c r="K3784" s="11" t="s">
        <v>1852</v>
      </c>
      <c r="L3784" s="11" t="s">
        <v>1853</v>
      </c>
      <c r="M3784" s="11" t="s">
        <v>8371</v>
      </c>
      <c r="N3784" s="12"/>
      <c r="O3784" s="11" t="s">
        <v>1858</v>
      </c>
      <c r="P3784" s="56"/>
    </row>
    <row r="3785" spans="1:16" ht="15.75" customHeight="1" x14ac:dyDescent="0.2">
      <c r="A3785" s="49">
        <v>6176</v>
      </c>
      <c r="B3785" s="11" t="s">
        <v>1857</v>
      </c>
      <c r="C3785" s="11" t="s">
        <v>1876</v>
      </c>
      <c r="D3785" s="6" t="s">
        <v>1850</v>
      </c>
      <c r="E3785" s="12" t="s">
        <v>7784</v>
      </c>
      <c r="F3785" s="12" t="s">
        <v>7785</v>
      </c>
      <c r="G3785" s="12" t="s">
        <v>7786</v>
      </c>
      <c r="H3785" s="12" t="s">
        <v>7787</v>
      </c>
      <c r="I3785" s="12" t="s">
        <v>8372</v>
      </c>
      <c r="J3785" s="11" t="s">
        <v>1851</v>
      </c>
      <c r="K3785" s="11" t="s">
        <v>1852</v>
      </c>
      <c r="L3785" s="11" t="s">
        <v>1853</v>
      </c>
      <c r="M3785" s="11" t="s">
        <v>1854</v>
      </c>
      <c r="N3785" s="12"/>
      <c r="O3785" s="11" t="s">
        <v>2378</v>
      </c>
      <c r="P3785" s="56" t="s">
        <v>1865</v>
      </c>
    </row>
    <row r="3786" spans="1:16" ht="15.75" customHeight="1" x14ac:dyDescent="0.2">
      <c r="A3786" s="49">
        <v>6136</v>
      </c>
      <c r="B3786" s="11" t="s">
        <v>1857</v>
      </c>
      <c r="C3786" s="11" t="s">
        <v>1876</v>
      </c>
      <c r="D3786" s="6" t="s">
        <v>1850</v>
      </c>
      <c r="E3786" s="12" t="s">
        <v>7784</v>
      </c>
      <c r="F3786" s="12" t="s">
        <v>7785</v>
      </c>
      <c r="G3786" s="12" t="s">
        <v>7789</v>
      </c>
      <c r="H3786" s="12" t="s">
        <v>7830</v>
      </c>
      <c r="I3786" s="12" t="s">
        <v>8373</v>
      </c>
      <c r="J3786" s="11" t="s">
        <v>1851</v>
      </c>
      <c r="K3786" s="11" t="s">
        <v>1852</v>
      </c>
      <c r="L3786" s="11" t="s">
        <v>1853</v>
      </c>
      <c r="M3786" s="11" t="s">
        <v>1854</v>
      </c>
      <c r="N3786" s="12"/>
      <c r="O3786" s="11" t="s">
        <v>1860</v>
      </c>
      <c r="P3786" s="56"/>
    </row>
    <row r="3787" spans="1:16" ht="15.75" customHeight="1" x14ac:dyDescent="0.2">
      <c r="A3787" s="49">
        <v>6131</v>
      </c>
      <c r="B3787" s="11" t="s">
        <v>1857</v>
      </c>
      <c r="C3787" s="11" t="s">
        <v>1876</v>
      </c>
      <c r="D3787" s="6" t="s">
        <v>1850</v>
      </c>
      <c r="E3787" s="12" t="s">
        <v>7784</v>
      </c>
      <c r="F3787" s="12" t="s">
        <v>7785</v>
      </c>
      <c r="G3787" s="12" t="s">
        <v>7789</v>
      </c>
      <c r="H3787" s="12" t="s">
        <v>7790</v>
      </c>
      <c r="I3787" s="12" t="s">
        <v>8374</v>
      </c>
      <c r="J3787" s="11" t="s">
        <v>1851</v>
      </c>
      <c r="K3787" s="11" t="s">
        <v>1852</v>
      </c>
      <c r="L3787" s="11" t="s">
        <v>1853</v>
      </c>
      <c r="M3787" s="11" t="s">
        <v>8375</v>
      </c>
      <c r="N3787" s="12"/>
      <c r="O3787" s="11" t="s">
        <v>1860</v>
      </c>
      <c r="P3787" s="56"/>
    </row>
    <row r="3788" spans="1:16" ht="15.75" customHeight="1" x14ac:dyDescent="0.2">
      <c r="A3788" s="49">
        <v>6146</v>
      </c>
      <c r="B3788" s="11" t="s">
        <v>1857</v>
      </c>
      <c r="C3788" s="11" t="s">
        <v>1876</v>
      </c>
      <c r="D3788" s="6" t="s">
        <v>1850</v>
      </c>
      <c r="E3788" s="12" t="s">
        <v>7784</v>
      </c>
      <c r="F3788" s="12" t="s">
        <v>7785</v>
      </c>
      <c r="G3788" s="12" t="s">
        <v>7789</v>
      </c>
      <c r="H3788" s="12" t="s">
        <v>7852</v>
      </c>
      <c r="I3788" s="12" t="s">
        <v>8376</v>
      </c>
      <c r="J3788" s="11" t="s">
        <v>1851</v>
      </c>
      <c r="K3788" s="11" t="s">
        <v>1852</v>
      </c>
      <c r="L3788" s="11" t="s">
        <v>1853</v>
      </c>
      <c r="M3788" s="11" t="s">
        <v>1854</v>
      </c>
      <c r="N3788" s="12"/>
      <c r="O3788" s="11" t="s">
        <v>1858</v>
      </c>
      <c r="P3788" s="56"/>
    </row>
    <row r="3789" spans="1:16" ht="15.75" customHeight="1" x14ac:dyDescent="0.2">
      <c r="A3789" s="49">
        <v>7176</v>
      </c>
      <c r="B3789" s="11" t="s">
        <v>1857</v>
      </c>
      <c r="C3789" s="11" t="s">
        <v>1876</v>
      </c>
      <c r="D3789" s="6" t="s">
        <v>1850</v>
      </c>
      <c r="E3789" s="12" t="s">
        <v>7784</v>
      </c>
      <c r="F3789" s="12" t="s">
        <v>7785</v>
      </c>
      <c r="G3789" s="12" t="s">
        <v>7789</v>
      </c>
      <c r="H3789" s="12" t="s">
        <v>7789</v>
      </c>
      <c r="I3789" s="12" t="s">
        <v>8377</v>
      </c>
      <c r="J3789" s="11" t="s">
        <v>1851</v>
      </c>
      <c r="K3789" s="11" t="s">
        <v>1852</v>
      </c>
      <c r="L3789" s="11" t="s">
        <v>1853</v>
      </c>
      <c r="M3789" s="11" t="s">
        <v>8378</v>
      </c>
      <c r="N3789" s="12"/>
      <c r="O3789" s="11" t="s">
        <v>1860</v>
      </c>
      <c r="P3789" s="56"/>
    </row>
    <row r="3790" spans="1:16" ht="15.75" customHeight="1" x14ac:dyDescent="0.2">
      <c r="A3790" s="49">
        <v>6125</v>
      </c>
      <c r="B3790" s="11" t="s">
        <v>1857</v>
      </c>
      <c r="C3790" s="11" t="s">
        <v>1876</v>
      </c>
      <c r="D3790" s="6" t="s">
        <v>1850</v>
      </c>
      <c r="E3790" s="12" t="s">
        <v>7784</v>
      </c>
      <c r="F3790" s="12" t="s">
        <v>7785</v>
      </c>
      <c r="G3790" s="12" t="s">
        <v>7789</v>
      </c>
      <c r="H3790" s="12" t="s">
        <v>7865</v>
      </c>
      <c r="I3790" s="12" t="s">
        <v>8379</v>
      </c>
      <c r="J3790" s="11" t="s">
        <v>1851</v>
      </c>
      <c r="K3790" s="11" t="s">
        <v>1852</v>
      </c>
      <c r="L3790" s="11" t="s">
        <v>1853</v>
      </c>
      <c r="M3790" s="11" t="s">
        <v>8380</v>
      </c>
      <c r="N3790" s="12"/>
      <c r="O3790" s="11" t="s">
        <v>1858</v>
      </c>
      <c r="P3790" s="56"/>
    </row>
    <row r="3791" spans="1:16" ht="15.75" customHeight="1" x14ac:dyDescent="0.2">
      <c r="A3791" s="49">
        <v>7206</v>
      </c>
      <c r="B3791" s="11" t="s">
        <v>1857</v>
      </c>
      <c r="C3791" s="11" t="s">
        <v>1876</v>
      </c>
      <c r="D3791" s="6" t="s">
        <v>1850</v>
      </c>
      <c r="E3791" s="12" t="s">
        <v>7784</v>
      </c>
      <c r="F3791" s="12" t="s">
        <v>7785</v>
      </c>
      <c r="G3791" s="12" t="s">
        <v>7786</v>
      </c>
      <c r="H3791" s="12" t="s">
        <v>7798</v>
      </c>
      <c r="I3791" s="12" t="s">
        <v>8381</v>
      </c>
      <c r="J3791" s="11" t="s">
        <v>1851</v>
      </c>
      <c r="K3791" s="11" t="s">
        <v>1852</v>
      </c>
      <c r="L3791" s="11" t="s">
        <v>1853</v>
      </c>
      <c r="M3791" s="11" t="s">
        <v>1854</v>
      </c>
      <c r="N3791" s="12"/>
      <c r="O3791" s="11" t="s">
        <v>1858</v>
      </c>
      <c r="P3791" s="56"/>
    </row>
    <row r="3792" spans="1:16" ht="15.75" customHeight="1" x14ac:dyDescent="0.2">
      <c r="A3792" s="49">
        <v>6137</v>
      </c>
      <c r="B3792" s="11" t="s">
        <v>1857</v>
      </c>
      <c r="C3792" s="11" t="s">
        <v>1876</v>
      </c>
      <c r="D3792" s="6" t="s">
        <v>1850</v>
      </c>
      <c r="E3792" s="12" t="s">
        <v>7784</v>
      </c>
      <c r="F3792" s="12" t="s">
        <v>7785</v>
      </c>
      <c r="G3792" s="12" t="s">
        <v>7789</v>
      </c>
      <c r="H3792" s="12" t="s">
        <v>7830</v>
      </c>
      <c r="I3792" s="12" t="s">
        <v>8382</v>
      </c>
      <c r="J3792" s="11" t="s">
        <v>1851</v>
      </c>
      <c r="K3792" s="11" t="s">
        <v>1852</v>
      </c>
      <c r="L3792" s="11" t="s">
        <v>1853</v>
      </c>
      <c r="M3792" s="11" t="s">
        <v>1854</v>
      </c>
      <c r="N3792" s="12"/>
      <c r="O3792" s="11" t="s">
        <v>1867</v>
      </c>
      <c r="P3792" s="56" t="s">
        <v>1865</v>
      </c>
    </row>
    <row r="3793" spans="1:16" ht="15.75" customHeight="1" x14ac:dyDescent="0.2">
      <c r="A3793" s="49">
        <v>6188</v>
      </c>
      <c r="B3793" s="11" t="s">
        <v>1857</v>
      </c>
      <c r="C3793" s="11" t="s">
        <v>1876</v>
      </c>
      <c r="D3793" s="6" t="s">
        <v>1850</v>
      </c>
      <c r="E3793" s="12" t="s">
        <v>7784</v>
      </c>
      <c r="F3793" s="12" t="s">
        <v>7785</v>
      </c>
      <c r="G3793" s="12" t="s">
        <v>7786</v>
      </c>
      <c r="H3793" s="12" t="s">
        <v>7807</v>
      </c>
      <c r="I3793" s="12" t="s">
        <v>8383</v>
      </c>
      <c r="J3793" s="11" t="s">
        <v>1851</v>
      </c>
      <c r="K3793" s="11" t="s">
        <v>1852</v>
      </c>
      <c r="L3793" s="11" t="s">
        <v>1853</v>
      </c>
      <c r="M3793" s="11" t="s">
        <v>1854</v>
      </c>
      <c r="N3793" s="12"/>
      <c r="O3793" s="11" t="s">
        <v>1858</v>
      </c>
      <c r="P3793" s="56"/>
    </row>
    <row r="3794" spans="1:16" ht="15.75" customHeight="1" x14ac:dyDescent="0.2">
      <c r="A3794" s="49">
        <v>7191</v>
      </c>
      <c r="B3794" s="11" t="s">
        <v>1857</v>
      </c>
      <c r="C3794" s="11" t="s">
        <v>1876</v>
      </c>
      <c r="D3794" s="6" t="s">
        <v>1850</v>
      </c>
      <c r="E3794" s="12" t="s">
        <v>7784</v>
      </c>
      <c r="F3794" s="12" t="s">
        <v>7785</v>
      </c>
      <c r="G3794" s="12" t="s">
        <v>7789</v>
      </c>
      <c r="H3794" s="12" t="s">
        <v>7830</v>
      </c>
      <c r="I3794" s="12" t="s">
        <v>8384</v>
      </c>
      <c r="J3794" s="11" t="s">
        <v>1851</v>
      </c>
      <c r="K3794" s="11" t="s">
        <v>1852</v>
      </c>
      <c r="L3794" s="11" t="s">
        <v>1853</v>
      </c>
      <c r="M3794" s="11" t="s">
        <v>8385</v>
      </c>
      <c r="N3794" s="12"/>
      <c r="O3794" s="11" t="s">
        <v>1860</v>
      </c>
      <c r="P3794" s="56"/>
    </row>
    <row r="3795" spans="1:16" ht="15.75" customHeight="1" x14ac:dyDescent="0.2">
      <c r="A3795" s="49">
        <v>7471</v>
      </c>
      <c r="B3795" s="11" t="s">
        <v>1857</v>
      </c>
      <c r="C3795" s="11" t="s">
        <v>1876</v>
      </c>
      <c r="D3795" s="6" t="s">
        <v>1850</v>
      </c>
      <c r="E3795" s="12" t="s">
        <v>7784</v>
      </c>
      <c r="F3795" s="12" t="s">
        <v>7785</v>
      </c>
      <c r="G3795" s="12" t="s">
        <v>7789</v>
      </c>
      <c r="H3795" s="12" t="s">
        <v>7830</v>
      </c>
      <c r="I3795" s="12" t="s">
        <v>8386</v>
      </c>
      <c r="J3795" s="11" t="s">
        <v>1851</v>
      </c>
      <c r="K3795" s="11" t="s">
        <v>1852</v>
      </c>
      <c r="L3795" s="11" t="s">
        <v>1853</v>
      </c>
      <c r="M3795" s="11" t="s">
        <v>1854</v>
      </c>
      <c r="N3795" s="12"/>
      <c r="O3795" s="11" t="s">
        <v>1858</v>
      </c>
      <c r="P3795" s="56"/>
    </row>
    <row r="3796" spans="1:16" ht="15.75" customHeight="1" x14ac:dyDescent="0.2">
      <c r="A3796" s="49">
        <v>7534</v>
      </c>
      <c r="B3796" s="11" t="s">
        <v>1857</v>
      </c>
      <c r="C3796" s="11" t="s">
        <v>1876</v>
      </c>
      <c r="D3796" s="6" t="s">
        <v>1850</v>
      </c>
      <c r="E3796" s="12" t="s">
        <v>7784</v>
      </c>
      <c r="F3796" s="12" t="s">
        <v>7785</v>
      </c>
      <c r="G3796" s="12" t="s">
        <v>7789</v>
      </c>
      <c r="H3796" s="12" t="s">
        <v>7865</v>
      </c>
      <c r="I3796" s="12" t="s">
        <v>8387</v>
      </c>
      <c r="J3796" s="11" t="s">
        <v>1851</v>
      </c>
      <c r="K3796" s="11" t="s">
        <v>1852</v>
      </c>
      <c r="L3796" s="11" t="s">
        <v>1853</v>
      </c>
      <c r="M3796" s="11" t="s">
        <v>8388</v>
      </c>
      <c r="N3796" s="12"/>
      <c r="O3796" s="11" t="s">
        <v>1858</v>
      </c>
      <c r="P3796" s="56"/>
    </row>
    <row r="3797" spans="1:16" ht="15.75" customHeight="1" x14ac:dyDescent="0.2">
      <c r="A3797" s="49">
        <v>7462</v>
      </c>
      <c r="B3797" s="11" t="s">
        <v>1857</v>
      </c>
      <c r="C3797" s="11" t="s">
        <v>1876</v>
      </c>
      <c r="D3797" s="6" t="s">
        <v>1850</v>
      </c>
      <c r="E3797" s="12" t="s">
        <v>7784</v>
      </c>
      <c r="F3797" s="12" t="s">
        <v>7785</v>
      </c>
      <c r="G3797" s="12" t="s">
        <v>7789</v>
      </c>
      <c r="H3797" s="12" t="s">
        <v>7852</v>
      </c>
      <c r="I3797" s="12" t="s">
        <v>8389</v>
      </c>
      <c r="J3797" s="11" t="s">
        <v>1851</v>
      </c>
      <c r="K3797" s="11" t="s">
        <v>1852</v>
      </c>
      <c r="L3797" s="11" t="s">
        <v>1853</v>
      </c>
      <c r="M3797" s="11" t="s">
        <v>8390</v>
      </c>
      <c r="N3797" s="12"/>
      <c r="O3797" s="11" t="s">
        <v>1858</v>
      </c>
      <c r="P3797" s="56"/>
    </row>
    <row r="3798" spans="1:16" ht="15.75" customHeight="1" x14ac:dyDescent="0.2">
      <c r="A3798" s="49">
        <v>7186</v>
      </c>
      <c r="B3798" s="11" t="s">
        <v>1857</v>
      </c>
      <c r="C3798" s="11" t="s">
        <v>1876</v>
      </c>
      <c r="D3798" s="6" t="s">
        <v>1850</v>
      </c>
      <c r="E3798" s="12" t="s">
        <v>7784</v>
      </c>
      <c r="F3798" s="12" t="s">
        <v>7785</v>
      </c>
      <c r="G3798" s="12" t="s">
        <v>7789</v>
      </c>
      <c r="H3798" s="12" t="s">
        <v>7790</v>
      </c>
      <c r="I3798" s="12" t="s">
        <v>8391</v>
      </c>
      <c r="J3798" s="11" t="s">
        <v>1851</v>
      </c>
      <c r="K3798" s="11" t="s">
        <v>1852</v>
      </c>
      <c r="L3798" s="11" t="s">
        <v>1853</v>
      </c>
      <c r="M3798" s="11" t="s">
        <v>1854</v>
      </c>
      <c r="N3798" s="12"/>
      <c r="O3798" s="11" t="s">
        <v>1860</v>
      </c>
      <c r="P3798" s="56"/>
    </row>
    <row r="3799" spans="1:16" ht="15.75" customHeight="1" x14ac:dyDescent="0.2">
      <c r="A3799" s="49">
        <v>7482</v>
      </c>
      <c r="B3799" s="11" t="s">
        <v>1857</v>
      </c>
      <c r="C3799" s="11" t="s">
        <v>1876</v>
      </c>
      <c r="D3799" s="6" t="s">
        <v>1850</v>
      </c>
      <c r="E3799" s="12" t="s">
        <v>7784</v>
      </c>
      <c r="F3799" s="12" t="s">
        <v>7785</v>
      </c>
      <c r="G3799" s="12" t="s">
        <v>7789</v>
      </c>
      <c r="H3799" s="12" t="s">
        <v>3151</v>
      </c>
      <c r="I3799" s="12" t="s">
        <v>8392</v>
      </c>
      <c r="J3799" s="11" t="s">
        <v>1856</v>
      </c>
      <c r="K3799" s="11" t="s">
        <v>1852</v>
      </c>
      <c r="L3799" s="11" t="s">
        <v>1853</v>
      </c>
      <c r="M3799" s="11" t="s">
        <v>8393</v>
      </c>
      <c r="N3799" s="12"/>
      <c r="O3799" s="11" t="s">
        <v>1858</v>
      </c>
      <c r="P3799" s="56"/>
    </row>
    <row r="3800" spans="1:16" ht="15.75" customHeight="1" x14ac:dyDescent="0.2">
      <c r="A3800" s="49">
        <v>7175</v>
      </c>
      <c r="B3800" s="11" t="s">
        <v>1857</v>
      </c>
      <c r="C3800" s="11" t="s">
        <v>1876</v>
      </c>
      <c r="D3800" s="6" t="s">
        <v>1850</v>
      </c>
      <c r="E3800" s="12" t="s">
        <v>7784</v>
      </c>
      <c r="F3800" s="12" t="s">
        <v>7785</v>
      </c>
      <c r="G3800" s="12" t="s">
        <v>7789</v>
      </c>
      <c r="H3800" s="12" t="s">
        <v>7824</v>
      </c>
      <c r="I3800" s="12" t="s">
        <v>8394</v>
      </c>
      <c r="J3800" s="11" t="s">
        <v>1851</v>
      </c>
      <c r="K3800" s="11" t="s">
        <v>1852</v>
      </c>
      <c r="L3800" s="11" t="s">
        <v>1853</v>
      </c>
      <c r="M3800" s="11" t="s">
        <v>8395</v>
      </c>
      <c r="N3800" s="12"/>
      <c r="O3800" s="11" t="s">
        <v>1858</v>
      </c>
      <c r="P3800" s="56"/>
    </row>
    <row r="3801" spans="1:16" ht="15.75" customHeight="1" x14ac:dyDescent="0.2">
      <c r="A3801" s="49">
        <v>6147</v>
      </c>
      <c r="B3801" s="11" t="s">
        <v>1857</v>
      </c>
      <c r="C3801" s="11" t="s">
        <v>1876</v>
      </c>
      <c r="D3801" s="6" t="s">
        <v>1850</v>
      </c>
      <c r="E3801" s="12" t="s">
        <v>7784</v>
      </c>
      <c r="F3801" s="12" t="s">
        <v>7785</v>
      </c>
      <c r="G3801" s="12" t="s">
        <v>7789</v>
      </c>
      <c r="H3801" s="12" t="s">
        <v>7852</v>
      </c>
      <c r="I3801" s="12" t="s">
        <v>8396</v>
      </c>
      <c r="J3801" s="11" t="s">
        <v>1851</v>
      </c>
      <c r="K3801" s="11" t="s">
        <v>1852</v>
      </c>
      <c r="L3801" s="11" t="s">
        <v>1853</v>
      </c>
      <c r="M3801" s="11" t="s">
        <v>1854</v>
      </c>
      <c r="N3801" s="12"/>
      <c r="O3801" s="11" t="s">
        <v>1867</v>
      </c>
      <c r="P3801" s="56"/>
    </row>
    <row r="3802" spans="1:16" ht="15.75" customHeight="1" x14ac:dyDescent="0.2">
      <c r="A3802" s="49">
        <v>6139</v>
      </c>
      <c r="B3802" s="11" t="s">
        <v>1857</v>
      </c>
      <c r="C3802" s="11" t="s">
        <v>1876</v>
      </c>
      <c r="D3802" s="6" t="s">
        <v>1850</v>
      </c>
      <c r="E3802" s="12" t="s">
        <v>7784</v>
      </c>
      <c r="F3802" s="12" t="s">
        <v>7785</v>
      </c>
      <c r="G3802" s="12" t="s">
        <v>7789</v>
      </c>
      <c r="H3802" s="12" t="s">
        <v>7830</v>
      </c>
      <c r="I3802" s="12" t="s">
        <v>8397</v>
      </c>
      <c r="J3802" s="11" t="s">
        <v>1851</v>
      </c>
      <c r="K3802" s="11" t="s">
        <v>1852</v>
      </c>
      <c r="L3802" s="11" t="s">
        <v>1853</v>
      </c>
      <c r="M3802" s="11" t="s">
        <v>1854</v>
      </c>
      <c r="N3802" s="12"/>
      <c r="O3802" s="11" t="s">
        <v>2307</v>
      </c>
      <c r="P3802" s="56" t="s">
        <v>3343</v>
      </c>
    </row>
    <row r="3803" spans="1:16" ht="15.75" customHeight="1" x14ac:dyDescent="0.2">
      <c r="A3803" s="49">
        <v>6126</v>
      </c>
      <c r="B3803" s="11" t="s">
        <v>1857</v>
      </c>
      <c r="C3803" s="11" t="s">
        <v>1876</v>
      </c>
      <c r="D3803" s="6" t="s">
        <v>1850</v>
      </c>
      <c r="E3803" s="12" t="s">
        <v>7784</v>
      </c>
      <c r="F3803" s="12" t="s">
        <v>7785</v>
      </c>
      <c r="G3803" s="12" t="s">
        <v>7789</v>
      </c>
      <c r="H3803" s="12" t="s">
        <v>7865</v>
      </c>
      <c r="I3803" s="12" t="s">
        <v>8398</v>
      </c>
      <c r="J3803" s="11" t="s">
        <v>1851</v>
      </c>
      <c r="K3803" s="11" t="s">
        <v>1852</v>
      </c>
      <c r="L3803" s="11" t="s">
        <v>1853</v>
      </c>
      <c r="M3803" s="11" t="s">
        <v>8399</v>
      </c>
      <c r="N3803" s="12" t="s">
        <v>8400</v>
      </c>
      <c r="O3803" s="11" t="s">
        <v>1867</v>
      </c>
      <c r="P3803" s="56" t="s">
        <v>3343</v>
      </c>
    </row>
    <row r="3804" spans="1:16" ht="15.75" customHeight="1" x14ac:dyDescent="0.2">
      <c r="A3804" s="49">
        <v>7504</v>
      </c>
      <c r="B3804" s="11" t="s">
        <v>1857</v>
      </c>
      <c r="C3804" s="11" t="s">
        <v>1876</v>
      </c>
      <c r="D3804" s="6" t="s">
        <v>1850</v>
      </c>
      <c r="E3804" s="12" t="s">
        <v>7784</v>
      </c>
      <c r="F3804" s="12" t="s">
        <v>7785</v>
      </c>
      <c r="G3804" s="12" t="s">
        <v>7786</v>
      </c>
      <c r="H3804" s="12" t="s">
        <v>7787</v>
      </c>
      <c r="I3804" s="12" t="s">
        <v>8401</v>
      </c>
      <c r="J3804" s="11" t="s">
        <v>1851</v>
      </c>
      <c r="K3804" s="11" t="s">
        <v>1852</v>
      </c>
      <c r="L3804" s="11" t="s">
        <v>1853</v>
      </c>
      <c r="M3804" s="11" t="s">
        <v>8402</v>
      </c>
      <c r="N3804" s="12"/>
      <c r="O3804" s="11" t="s">
        <v>1858</v>
      </c>
      <c r="P3804" s="56"/>
    </row>
    <row r="3805" spans="1:16" ht="15.75" customHeight="1" x14ac:dyDescent="0.2">
      <c r="A3805" s="49">
        <v>6123</v>
      </c>
      <c r="B3805" s="11" t="s">
        <v>1857</v>
      </c>
      <c r="C3805" s="11" t="s">
        <v>1876</v>
      </c>
      <c r="D3805" s="6" t="s">
        <v>1850</v>
      </c>
      <c r="E3805" s="12" t="s">
        <v>7784</v>
      </c>
      <c r="F3805" s="12" t="s">
        <v>7785</v>
      </c>
      <c r="G3805" s="12" t="s">
        <v>7789</v>
      </c>
      <c r="H3805" s="12" t="s">
        <v>7865</v>
      </c>
      <c r="I3805" s="12" t="s">
        <v>8403</v>
      </c>
      <c r="J3805" s="11" t="s">
        <v>1851</v>
      </c>
      <c r="K3805" s="11" t="s">
        <v>1852</v>
      </c>
      <c r="L3805" s="11" t="s">
        <v>1853</v>
      </c>
      <c r="M3805" s="11" t="s">
        <v>1854</v>
      </c>
      <c r="N3805" s="12"/>
      <c r="O3805" s="11" t="s">
        <v>1858</v>
      </c>
      <c r="P3805" s="56"/>
    </row>
    <row r="3806" spans="1:16" ht="15.75" customHeight="1" x14ac:dyDescent="0.2">
      <c r="A3806" s="49">
        <v>6138</v>
      </c>
      <c r="B3806" s="11" t="s">
        <v>1857</v>
      </c>
      <c r="C3806" s="11" t="s">
        <v>1876</v>
      </c>
      <c r="D3806" s="6" t="s">
        <v>1850</v>
      </c>
      <c r="E3806" s="12" t="s">
        <v>7784</v>
      </c>
      <c r="F3806" s="12" t="s">
        <v>7785</v>
      </c>
      <c r="G3806" s="12" t="s">
        <v>7789</v>
      </c>
      <c r="H3806" s="12" t="s">
        <v>7830</v>
      </c>
      <c r="I3806" s="12" t="s">
        <v>8404</v>
      </c>
      <c r="J3806" s="11" t="s">
        <v>1851</v>
      </c>
      <c r="K3806" s="11" t="s">
        <v>1852</v>
      </c>
      <c r="L3806" s="11" t="s">
        <v>1853</v>
      </c>
      <c r="M3806" s="11" t="s">
        <v>1854</v>
      </c>
      <c r="N3806" s="12"/>
      <c r="O3806" s="11" t="s">
        <v>1860</v>
      </c>
      <c r="P3806" s="56"/>
    </row>
    <row r="3807" spans="1:16" ht="15.75" customHeight="1" x14ac:dyDescent="0.2">
      <c r="A3807" s="49">
        <v>7484</v>
      </c>
      <c r="B3807" s="11" t="s">
        <v>1857</v>
      </c>
      <c r="C3807" s="11" t="s">
        <v>1876</v>
      </c>
      <c r="D3807" s="6" t="s">
        <v>1850</v>
      </c>
      <c r="E3807" s="12" t="s">
        <v>7784</v>
      </c>
      <c r="F3807" s="12" t="s">
        <v>7785</v>
      </c>
      <c r="G3807" s="12" t="s">
        <v>7786</v>
      </c>
      <c r="H3807" s="12" t="s">
        <v>7787</v>
      </c>
      <c r="I3807" s="12" t="s">
        <v>8405</v>
      </c>
      <c r="J3807" s="11" t="s">
        <v>1851</v>
      </c>
      <c r="K3807" s="11" t="s">
        <v>1852</v>
      </c>
      <c r="L3807" s="11" t="s">
        <v>1853</v>
      </c>
      <c r="M3807" s="11" t="s">
        <v>8406</v>
      </c>
      <c r="N3807" s="12"/>
      <c r="O3807" s="11" t="s">
        <v>1858</v>
      </c>
      <c r="P3807" s="56"/>
    </row>
    <row r="3808" spans="1:16" ht="15.75" customHeight="1" x14ac:dyDescent="0.2">
      <c r="A3808" s="49">
        <v>6152</v>
      </c>
      <c r="B3808" s="11" t="s">
        <v>1857</v>
      </c>
      <c r="C3808" s="11" t="s">
        <v>1876</v>
      </c>
      <c r="D3808" s="6" t="s">
        <v>1850</v>
      </c>
      <c r="E3808" s="12" t="s">
        <v>7784</v>
      </c>
      <c r="F3808" s="12" t="s">
        <v>7785</v>
      </c>
      <c r="G3808" s="12" t="s">
        <v>7802</v>
      </c>
      <c r="H3808" s="12" t="s">
        <v>7859</v>
      </c>
      <c r="I3808" s="12" t="s">
        <v>8407</v>
      </c>
      <c r="J3808" s="11" t="s">
        <v>1851</v>
      </c>
      <c r="K3808" s="11" t="s">
        <v>1852</v>
      </c>
      <c r="L3808" s="11" t="s">
        <v>1853</v>
      </c>
      <c r="M3808" s="11" t="s">
        <v>1854</v>
      </c>
      <c r="N3808" s="12"/>
      <c r="O3808" s="11" t="s">
        <v>1860</v>
      </c>
      <c r="P3808" s="56"/>
    </row>
    <row r="3809" spans="1:16" ht="15.75" customHeight="1" x14ac:dyDescent="0.2">
      <c r="A3809" s="49">
        <v>6187</v>
      </c>
      <c r="B3809" s="11" t="s">
        <v>1857</v>
      </c>
      <c r="C3809" s="11" t="s">
        <v>1876</v>
      </c>
      <c r="D3809" s="6" t="s">
        <v>1850</v>
      </c>
      <c r="E3809" s="12" t="s">
        <v>7784</v>
      </c>
      <c r="F3809" s="12" t="s">
        <v>7785</v>
      </c>
      <c r="G3809" s="12" t="s">
        <v>7786</v>
      </c>
      <c r="H3809" s="12" t="s">
        <v>7807</v>
      </c>
      <c r="I3809" s="12" t="s">
        <v>8408</v>
      </c>
      <c r="J3809" s="11" t="s">
        <v>1851</v>
      </c>
      <c r="K3809" s="11" t="s">
        <v>1852</v>
      </c>
      <c r="L3809" s="11" t="s">
        <v>1853</v>
      </c>
      <c r="M3809" s="11" t="s">
        <v>1854</v>
      </c>
      <c r="N3809" s="12"/>
      <c r="O3809" s="11" t="s">
        <v>1860</v>
      </c>
      <c r="P3809" s="56"/>
    </row>
    <row r="3810" spans="1:16" ht="15.75" customHeight="1" x14ac:dyDescent="0.2">
      <c r="A3810" s="49">
        <v>7509</v>
      </c>
      <c r="B3810" s="11" t="s">
        <v>1857</v>
      </c>
      <c r="C3810" s="11" t="s">
        <v>1876</v>
      </c>
      <c r="D3810" s="6" t="s">
        <v>1850</v>
      </c>
      <c r="E3810" s="12" t="s">
        <v>7784</v>
      </c>
      <c r="F3810" s="12" t="s">
        <v>7785</v>
      </c>
      <c r="G3810" s="12" t="s">
        <v>2723</v>
      </c>
      <c r="H3810" s="12" t="s">
        <v>2723</v>
      </c>
      <c r="I3810" s="12" t="s">
        <v>8409</v>
      </c>
      <c r="J3810" s="11" t="s">
        <v>1851</v>
      </c>
      <c r="K3810" s="11" t="s">
        <v>1852</v>
      </c>
      <c r="L3810" s="11" t="s">
        <v>1853</v>
      </c>
      <c r="M3810" s="11" t="s">
        <v>1854</v>
      </c>
      <c r="N3810" s="12"/>
      <c r="O3810" s="11" t="s">
        <v>1858</v>
      </c>
      <c r="P3810" s="56"/>
    </row>
    <row r="3811" spans="1:16" ht="15.75" customHeight="1" x14ac:dyDescent="0.2">
      <c r="A3811" s="49">
        <v>7184</v>
      </c>
      <c r="B3811" s="11" t="s">
        <v>1857</v>
      </c>
      <c r="C3811" s="11" t="s">
        <v>1876</v>
      </c>
      <c r="D3811" s="6" t="s">
        <v>1850</v>
      </c>
      <c r="E3811" s="12" t="s">
        <v>7784</v>
      </c>
      <c r="F3811" s="12" t="s">
        <v>7785</v>
      </c>
      <c r="G3811" s="12" t="s">
        <v>7789</v>
      </c>
      <c r="H3811" s="12" t="s">
        <v>7824</v>
      </c>
      <c r="I3811" s="12" t="s">
        <v>8410</v>
      </c>
      <c r="J3811" s="11" t="s">
        <v>1851</v>
      </c>
      <c r="K3811" s="11" t="s">
        <v>1852</v>
      </c>
      <c r="L3811" s="11" t="s">
        <v>1853</v>
      </c>
      <c r="M3811" s="11" t="s">
        <v>1854</v>
      </c>
      <c r="N3811" s="12"/>
      <c r="O3811" s="11" t="s">
        <v>1860</v>
      </c>
      <c r="P3811" s="56"/>
    </row>
    <row r="3812" spans="1:16" ht="15.75" customHeight="1" x14ac:dyDescent="0.2">
      <c r="A3812" s="48">
        <v>7497</v>
      </c>
      <c r="B3812" s="11" t="s">
        <v>1857</v>
      </c>
      <c r="C3812" s="11" t="s">
        <v>1876</v>
      </c>
      <c r="D3812" s="6" t="s">
        <v>1850</v>
      </c>
      <c r="E3812" s="12" t="s">
        <v>7784</v>
      </c>
      <c r="F3812" s="12" t="s">
        <v>7785</v>
      </c>
      <c r="G3812" s="12" t="s">
        <v>7786</v>
      </c>
      <c r="H3812" s="12" t="s">
        <v>7787</v>
      </c>
      <c r="I3812" s="12" t="s">
        <v>8411</v>
      </c>
      <c r="J3812" s="11" t="s">
        <v>1851</v>
      </c>
      <c r="K3812" s="11" t="s">
        <v>1852</v>
      </c>
      <c r="L3812" s="11" t="s">
        <v>1853</v>
      </c>
      <c r="M3812" s="11" t="s">
        <v>8412</v>
      </c>
      <c r="N3812" s="12"/>
      <c r="O3812" s="11" t="s">
        <v>1858</v>
      </c>
      <c r="P3812" s="56"/>
    </row>
    <row r="3813" spans="1:16" ht="15.75" customHeight="1" x14ac:dyDescent="0.2">
      <c r="A3813" s="49">
        <v>6184</v>
      </c>
      <c r="B3813" s="11" t="s">
        <v>1857</v>
      </c>
      <c r="C3813" s="11" t="s">
        <v>1876</v>
      </c>
      <c r="D3813" s="6" t="s">
        <v>1850</v>
      </c>
      <c r="E3813" s="12" t="s">
        <v>7784</v>
      </c>
      <c r="F3813" s="12" t="s">
        <v>7785</v>
      </c>
      <c r="G3813" s="12" t="s">
        <v>7786</v>
      </c>
      <c r="H3813" s="12" t="s">
        <v>3567</v>
      </c>
      <c r="I3813" s="12" t="s">
        <v>8413</v>
      </c>
      <c r="J3813" s="11" t="s">
        <v>1851</v>
      </c>
      <c r="K3813" s="11" t="s">
        <v>1852</v>
      </c>
      <c r="L3813" s="11" t="s">
        <v>1853</v>
      </c>
      <c r="M3813" s="11" t="s">
        <v>8414</v>
      </c>
      <c r="N3813" s="12"/>
      <c r="O3813" s="11" t="s">
        <v>1858</v>
      </c>
      <c r="P3813" s="56"/>
    </row>
    <row r="3814" spans="1:16" ht="15.75" customHeight="1" x14ac:dyDescent="0.2">
      <c r="A3814" s="49">
        <v>7180</v>
      </c>
      <c r="B3814" s="11" t="s">
        <v>1857</v>
      </c>
      <c r="C3814" s="11" t="s">
        <v>1876</v>
      </c>
      <c r="D3814" s="6" t="s">
        <v>1850</v>
      </c>
      <c r="E3814" s="12" t="s">
        <v>7784</v>
      </c>
      <c r="F3814" s="12" t="s">
        <v>7785</v>
      </c>
      <c r="G3814" s="12" t="s">
        <v>7789</v>
      </c>
      <c r="H3814" s="12" t="s">
        <v>7789</v>
      </c>
      <c r="I3814" s="12" t="s">
        <v>8415</v>
      </c>
      <c r="J3814" s="11" t="s">
        <v>1851</v>
      </c>
      <c r="K3814" s="11" t="s">
        <v>1852</v>
      </c>
      <c r="L3814" s="11" t="s">
        <v>1853</v>
      </c>
      <c r="M3814" s="11" t="s">
        <v>1854</v>
      </c>
      <c r="N3814" s="12"/>
      <c r="O3814" s="11" t="s">
        <v>1858</v>
      </c>
      <c r="P3814" s="56"/>
    </row>
    <row r="3815" spans="1:16" ht="15.75" customHeight="1" x14ac:dyDescent="0.2">
      <c r="A3815" s="49">
        <v>7495</v>
      </c>
      <c r="B3815" s="11" t="s">
        <v>1857</v>
      </c>
      <c r="C3815" s="11" t="s">
        <v>1876</v>
      </c>
      <c r="D3815" s="6" t="s">
        <v>1850</v>
      </c>
      <c r="E3815" s="12" t="s">
        <v>7784</v>
      </c>
      <c r="F3815" s="12" t="s">
        <v>7785</v>
      </c>
      <c r="G3815" s="12" t="s">
        <v>7786</v>
      </c>
      <c r="H3815" s="12" t="s">
        <v>7787</v>
      </c>
      <c r="I3815" s="12" t="s">
        <v>8416</v>
      </c>
      <c r="J3815" s="11" t="s">
        <v>1851</v>
      </c>
      <c r="K3815" s="11" t="s">
        <v>1852</v>
      </c>
      <c r="L3815" s="11" t="s">
        <v>1853</v>
      </c>
      <c r="M3815" s="11" t="s">
        <v>8417</v>
      </c>
      <c r="N3815" s="12"/>
      <c r="O3815" s="11" t="s">
        <v>1858</v>
      </c>
      <c r="P3815" s="56"/>
    </row>
    <row r="3816" spans="1:16" ht="15.75" customHeight="1" x14ac:dyDescent="0.2">
      <c r="A3816" s="49">
        <v>7220</v>
      </c>
      <c r="B3816" s="11" t="s">
        <v>1857</v>
      </c>
      <c r="C3816" s="11" t="s">
        <v>1876</v>
      </c>
      <c r="D3816" s="6" t="s">
        <v>1850</v>
      </c>
      <c r="E3816" s="12" t="s">
        <v>7784</v>
      </c>
      <c r="F3816" s="12" t="s">
        <v>7785</v>
      </c>
      <c r="G3816" s="12" t="s">
        <v>7786</v>
      </c>
      <c r="H3816" s="12" t="s">
        <v>7796</v>
      </c>
      <c r="I3816" s="12" t="s">
        <v>8418</v>
      </c>
      <c r="J3816" s="11" t="s">
        <v>1851</v>
      </c>
      <c r="K3816" s="11" t="s">
        <v>1852</v>
      </c>
      <c r="L3816" s="11" t="s">
        <v>1853</v>
      </c>
      <c r="M3816" s="11" t="s">
        <v>1854</v>
      </c>
      <c r="N3816" s="12"/>
      <c r="O3816" s="11" t="s">
        <v>1858</v>
      </c>
      <c r="P3816" s="56"/>
    </row>
    <row r="3817" spans="1:16" ht="15.75" customHeight="1" x14ac:dyDescent="0.2">
      <c r="A3817" s="49">
        <v>6159</v>
      </c>
      <c r="B3817" s="11" t="s">
        <v>1857</v>
      </c>
      <c r="C3817" s="11" t="s">
        <v>1876</v>
      </c>
      <c r="D3817" s="6" t="s">
        <v>1850</v>
      </c>
      <c r="E3817" s="12" t="s">
        <v>7784</v>
      </c>
      <c r="F3817" s="12" t="s">
        <v>7785</v>
      </c>
      <c r="G3817" s="12" t="s">
        <v>7786</v>
      </c>
      <c r="H3817" s="12" t="s">
        <v>7798</v>
      </c>
      <c r="I3817" s="12" t="s">
        <v>8419</v>
      </c>
      <c r="J3817" s="11" t="s">
        <v>1851</v>
      </c>
      <c r="K3817" s="11" t="s">
        <v>1852</v>
      </c>
      <c r="L3817" s="11" t="s">
        <v>1853</v>
      </c>
      <c r="M3817" s="11" t="s">
        <v>1854</v>
      </c>
      <c r="N3817" s="12"/>
      <c r="O3817" s="11" t="s">
        <v>1860</v>
      </c>
      <c r="P3817" s="56"/>
    </row>
    <row r="3818" spans="1:16" ht="15.75" customHeight="1" x14ac:dyDescent="0.2">
      <c r="A3818" s="49">
        <v>6182</v>
      </c>
      <c r="B3818" s="11" t="s">
        <v>1857</v>
      </c>
      <c r="C3818" s="11" t="s">
        <v>1876</v>
      </c>
      <c r="D3818" s="6" t="s">
        <v>1850</v>
      </c>
      <c r="E3818" s="12" t="s">
        <v>7784</v>
      </c>
      <c r="F3818" s="12" t="s">
        <v>7785</v>
      </c>
      <c r="G3818" s="12" t="s">
        <v>7786</v>
      </c>
      <c r="H3818" s="12" t="s">
        <v>7787</v>
      </c>
      <c r="I3818" s="12" t="s">
        <v>8420</v>
      </c>
      <c r="J3818" s="11" t="s">
        <v>1851</v>
      </c>
      <c r="K3818" s="11" t="s">
        <v>1852</v>
      </c>
      <c r="L3818" s="11" t="s">
        <v>1853</v>
      </c>
      <c r="M3818" s="11" t="s">
        <v>1854</v>
      </c>
      <c r="N3818" s="12"/>
      <c r="O3818" s="11" t="s">
        <v>2307</v>
      </c>
      <c r="P3818" s="56" t="s">
        <v>2184</v>
      </c>
    </row>
    <row r="3819" spans="1:16" ht="15.75" customHeight="1" x14ac:dyDescent="0.2">
      <c r="A3819" s="49">
        <v>6134</v>
      </c>
      <c r="B3819" s="11" t="s">
        <v>1857</v>
      </c>
      <c r="C3819" s="11" t="s">
        <v>1876</v>
      </c>
      <c r="D3819" s="6" t="s">
        <v>1850</v>
      </c>
      <c r="E3819" s="12" t="s">
        <v>7784</v>
      </c>
      <c r="F3819" s="12" t="s">
        <v>7785</v>
      </c>
      <c r="G3819" s="12" t="s">
        <v>7789</v>
      </c>
      <c r="H3819" s="12" t="s">
        <v>7830</v>
      </c>
      <c r="I3819" s="12" t="s">
        <v>8421</v>
      </c>
      <c r="J3819" s="11" t="s">
        <v>1851</v>
      </c>
      <c r="K3819" s="11" t="s">
        <v>1852</v>
      </c>
      <c r="L3819" s="11" t="s">
        <v>1853</v>
      </c>
      <c r="M3819" s="11" t="s">
        <v>1854</v>
      </c>
      <c r="N3819" s="12"/>
      <c r="O3819" s="11" t="s">
        <v>2307</v>
      </c>
      <c r="P3819" s="56" t="s">
        <v>3343</v>
      </c>
    </row>
    <row r="3820" spans="1:16" ht="15.75" customHeight="1" x14ac:dyDescent="0.2">
      <c r="A3820" s="49">
        <v>6144</v>
      </c>
      <c r="B3820" s="11" t="s">
        <v>1857</v>
      </c>
      <c r="C3820" s="11" t="s">
        <v>1876</v>
      </c>
      <c r="D3820" s="6" t="s">
        <v>1850</v>
      </c>
      <c r="E3820" s="12" t="s">
        <v>7784</v>
      </c>
      <c r="F3820" s="12" t="s">
        <v>7785</v>
      </c>
      <c r="G3820" s="12" t="s">
        <v>7789</v>
      </c>
      <c r="H3820" s="12" t="s">
        <v>7852</v>
      </c>
      <c r="I3820" s="12" t="s">
        <v>7754</v>
      </c>
      <c r="J3820" s="11" t="s">
        <v>1851</v>
      </c>
      <c r="K3820" s="11" t="s">
        <v>1852</v>
      </c>
      <c r="L3820" s="11" t="s">
        <v>1853</v>
      </c>
      <c r="M3820" s="11" t="s">
        <v>1854</v>
      </c>
      <c r="N3820" s="12"/>
      <c r="O3820" s="11" t="s">
        <v>2307</v>
      </c>
      <c r="P3820" s="56" t="s">
        <v>3343</v>
      </c>
    </row>
    <row r="3821" spans="1:16" ht="15.75" customHeight="1" x14ac:dyDescent="0.2">
      <c r="A3821" s="49">
        <v>7501</v>
      </c>
      <c r="B3821" s="11" t="s">
        <v>1857</v>
      </c>
      <c r="C3821" s="11" t="s">
        <v>1876</v>
      </c>
      <c r="D3821" s="6" t="s">
        <v>1850</v>
      </c>
      <c r="E3821" s="12" t="s">
        <v>7784</v>
      </c>
      <c r="F3821" s="12" t="s">
        <v>7785</v>
      </c>
      <c r="G3821" s="12" t="s">
        <v>7786</v>
      </c>
      <c r="H3821" s="12" t="s">
        <v>7787</v>
      </c>
      <c r="I3821" s="12" t="s">
        <v>8422</v>
      </c>
      <c r="J3821" s="11" t="s">
        <v>1851</v>
      </c>
      <c r="K3821" s="11" t="s">
        <v>1852</v>
      </c>
      <c r="L3821" s="11" t="s">
        <v>1853</v>
      </c>
      <c r="M3821" s="11" t="s">
        <v>1854</v>
      </c>
      <c r="N3821" s="12"/>
      <c r="O3821" s="11" t="s">
        <v>1860</v>
      </c>
      <c r="P3821" s="56"/>
    </row>
    <row r="3822" spans="1:16" ht="15.75" customHeight="1" x14ac:dyDescent="0.2">
      <c r="A3822" s="49">
        <v>6122</v>
      </c>
      <c r="B3822" s="11" t="s">
        <v>1857</v>
      </c>
      <c r="C3822" s="11" t="s">
        <v>1876</v>
      </c>
      <c r="D3822" s="6" t="s">
        <v>1850</v>
      </c>
      <c r="E3822" s="12" t="s">
        <v>7784</v>
      </c>
      <c r="F3822" s="12" t="s">
        <v>7785</v>
      </c>
      <c r="G3822" s="12" t="s">
        <v>7789</v>
      </c>
      <c r="H3822" s="12" t="s">
        <v>7865</v>
      </c>
      <c r="I3822" s="12" t="s">
        <v>8423</v>
      </c>
      <c r="J3822" s="11" t="s">
        <v>1851</v>
      </c>
      <c r="K3822" s="11" t="s">
        <v>1852</v>
      </c>
      <c r="L3822" s="11" t="s">
        <v>1853</v>
      </c>
      <c r="M3822" s="11" t="s">
        <v>1854</v>
      </c>
      <c r="N3822" s="12"/>
      <c r="O3822" s="11" t="s">
        <v>1867</v>
      </c>
      <c r="P3822" s="56" t="s">
        <v>1865</v>
      </c>
    </row>
    <row r="3823" spans="1:16" ht="15.75" customHeight="1" x14ac:dyDescent="0.2">
      <c r="A3823" s="49">
        <v>6124</v>
      </c>
      <c r="B3823" s="11" t="s">
        <v>1857</v>
      </c>
      <c r="C3823" s="11" t="s">
        <v>1876</v>
      </c>
      <c r="D3823" s="6" t="s">
        <v>1850</v>
      </c>
      <c r="E3823" s="12" t="s">
        <v>7784</v>
      </c>
      <c r="F3823" s="12" t="s">
        <v>7785</v>
      </c>
      <c r="G3823" s="12" t="s">
        <v>7789</v>
      </c>
      <c r="H3823" s="12" t="s">
        <v>7865</v>
      </c>
      <c r="I3823" s="12" t="s">
        <v>8424</v>
      </c>
      <c r="J3823" s="11" t="s">
        <v>1851</v>
      </c>
      <c r="K3823" s="11" t="s">
        <v>1852</v>
      </c>
      <c r="L3823" s="11" t="s">
        <v>1853</v>
      </c>
      <c r="M3823" s="11" t="s">
        <v>1854</v>
      </c>
      <c r="N3823" s="12"/>
      <c r="O3823" s="11" t="s">
        <v>1867</v>
      </c>
      <c r="P3823" s="56" t="s">
        <v>1865</v>
      </c>
    </row>
    <row r="3824" spans="1:16" ht="15.75" customHeight="1" x14ac:dyDescent="0.2">
      <c r="A3824" s="49">
        <v>7212</v>
      </c>
      <c r="B3824" s="11" t="s">
        <v>1857</v>
      </c>
      <c r="C3824" s="11" t="s">
        <v>1876</v>
      </c>
      <c r="D3824" s="6" t="s">
        <v>1850</v>
      </c>
      <c r="E3824" s="12" t="s">
        <v>7784</v>
      </c>
      <c r="F3824" s="12" t="s">
        <v>7785</v>
      </c>
      <c r="G3824" s="12" t="s">
        <v>7786</v>
      </c>
      <c r="H3824" s="12" t="s">
        <v>7787</v>
      </c>
      <c r="I3824" s="12" t="s">
        <v>8425</v>
      </c>
      <c r="J3824" s="11" t="s">
        <v>1851</v>
      </c>
      <c r="K3824" s="11" t="s">
        <v>1852</v>
      </c>
      <c r="L3824" s="11" t="s">
        <v>1853</v>
      </c>
      <c r="M3824" s="11" t="s">
        <v>1854</v>
      </c>
      <c r="N3824" s="12"/>
      <c r="O3824" s="11" t="s">
        <v>1858</v>
      </c>
      <c r="P3824" s="56"/>
    </row>
    <row r="3825" spans="1:16" ht="15.75" customHeight="1" x14ac:dyDescent="0.2">
      <c r="A3825" s="49">
        <v>6133</v>
      </c>
      <c r="B3825" s="11" t="s">
        <v>1857</v>
      </c>
      <c r="C3825" s="11" t="s">
        <v>1876</v>
      </c>
      <c r="D3825" s="6" t="s">
        <v>1850</v>
      </c>
      <c r="E3825" s="12" t="s">
        <v>7784</v>
      </c>
      <c r="F3825" s="12" t="s">
        <v>7785</v>
      </c>
      <c r="G3825" s="12" t="s">
        <v>7789</v>
      </c>
      <c r="H3825" s="12" t="s">
        <v>7830</v>
      </c>
      <c r="I3825" s="12" t="s">
        <v>8426</v>
      </c>
      <c r="J3825" s="11" t="s">
        <v>1851</v>
      </c>
      <c r="K3825" s="11" t="s">
        <v>1852</v>
      </c>
      <c r="L3825" s="11" t="s">
        <v>1853</v>
      </c>
      <c r="M3825" s="11" t="s">
        <v>8427</v>
      </c>
      <c r="N3825" s="12" t="s">
        <v>8428</v>
      </c>
      <c r="O3825" s="11" t="s">
        <v>2307</v>
      </c>
      <c r="P3825" s="56" t="s">
        <v>5203</v>
      </c>
    </row>
    <row r="3826" spans="1:16" ht="15.75" customHeight="1" x14ac:dyDescent="0.2">
      <c r="A3826" s="49">
        <v>6160</v>
      </c>
      <c r="B3826" s="11" t="s">
        <v>1857</v>
      </c>
      <c r="C3826" s="11" t="s">
        <v>1876</v>
      </c>
      <c r="D3826" s="6" t="s">
        <v>1850</v>
      </c>
      <c r="E3826" s="12" t="s">
        <v>7784</v>
      </c>
      <c r="F3826" s="12" t="s">
        <v>7785</v>
      </c>
      <c r="G3826" s="12" t="s">
        <v>7786</v>
      </c>
      <c r="H3826" s="12" t="s">
        <v>7798</v>
      </c>
      <c r="I3826" s="12" t="s">
        <v>8429</v>
      </c>
      <c r="J3826" s="11" t="s">
        <v>1851</v>
      </c>
      <c r="K3826" s="11" t="s">
        <v>1852</v>
      </c>
      <c r="L3826" s="11" t="s">
        <v>1853</v>
      </c>
      <c r="M3826" s="11" t="s">
        <v>1854</v>
      </c>
      <c r="N3826" s="12"/>
      <c r="O3826" s="11" t="s">
        <v>1860</v>
      </c>
      <c r="P3826" s="56"/>
    </row>
    <row r="3827" spans="1:16" ht="15.75" customHeight="1" x14ac:dyDescent="0.2">
      <c r="A3827" s="49">
        <v>7500</v>
      </c>
      <c r="B3827" s="11" t="s">
        <v>1857</v>
      </c>
      <c r="C3827" s="11" t="s">
        <v>1876</v>
      </c>
      <c r="D3827" s="6" t="s">
        <v>1850</v>
      </c>
      <c r="E3827" s="12" t="s">
        <v>7784</v>
      </c>
      <c r="F3827" s="12" t="s">
        <v>7785</v>
      </c>
      <c r="G3827" s="12" t="s">
        <v>7786</v>
      </c>
      <c r="H3827" s="12" t="s">
        <v>7796</v>
      </c>
      <c r="I3827" s="12" t="s">
        <v>8430</v>
      </c>
      <c r="J3827" s="11" t="s">
        <v>1851</v>
      </c>
      <c r="K3827" s="11" t="s">
        <v>1852</v>
      </c>
      <c r="L3827" s="11" t="s">
        <v>1853</v>
      </c>
      <c r="M3827" s="11" t="s">
        <v>8431</v>
      </c>
      <c r="N3827" s="12"/>
      <c r="O3827" s="11" t="s">
        <v>1860</v>
      </c>
      <c r="P3827" s="56"/>
    </row>
    <row r="3828" spans="1:16" ht="15.75" customHeight="1" x14ac:dyDescent="0.2">
      <c r="A3828" s="49">
        <v>7211</v>
      </c>
      <c r="B3828" s="11" t="s">
        <v>1857</v>
      </c>
      <c r="C3828" s="11" t="s">
        <v>1876</v>
      </c>
      <c r="D3828" s="6" t="s">
        <v>1850</v>
      </c>
      <c r="E3828" s="12" t="s">
        <v>7784</v>
      </c>
      <c r="F3828" s="12" t="s">
        <v>7785</v>
      </c>
      <c r="G3828" s="12" t="s">
        <v>7786</v>
      </c>
      <c r="H3828" s="12" t="s">
        <v>7787</v>
      </c>
      <c r="I3828" s="12" t="s">
        <v>8432</v>
      </c>
      <c r="J3828" s="11" t="s">
        <v>1851</v>
      </c>
      <c r="K3828" s="11" t="s">
        <v>1852</v>
      </c>
      <c r="L3828" s="11" t="s">
        <v>1853</v>
      </c>
      <c r="M3828" s="11" t="s">
        <v>8433</v>
      </c>
      <c r="N3828" s="12"/>
      <c r="O3828" s="11" t="s">
        <v>2307</v>
      </c>
      <c r="P3828" s="56" t="s">
        <v>8434</v>
      </c>
    </row>
    <row r="3829" spans="1:16" ht="15.75" customHeight="1" x14ac:dyDescent="0.2">
      <c r="A3829" s="49">
        <v>6149</v>
      </c>
      <c r="B3829" s="11" t="s">
        <v>1857</v>
      </c>
      <c r="C3829" s="11" t="s">
        <v>1876</v>
      </c>
      <c r="D3829" s="6" t="s">
        <v>1850</v>
      </c>
      <c r="E3829" s="12" t="s">
        <v>7784</v>
      </c>
      <c r="F3829" s="12" t="s">
        <v>7785</v>
      </c>
      <c r="G3829" s="12" t="s">
        <v>7789</v>
      </c>
      <c r="H3829" s="12" t="s">
        <v>7824</v>
      </c>
      <c r="I3829" s="12" t="s">
        <v>8435</v>
      </c>
      <c r="J3829" s="11" t="s">
        <v>1851</v>
      </c>
      <c r="K3829" s="11" t="s">
        <v>1852</v>
      </c>
      <c r="L3829" s="11" t="s">
        <v>1853</v>
      </c>
      <c r="M3829" s="11" t="s">
        <v>1854</v>
      </c>
      <c r="N3829" s="12"/>
      <c r="O3829" s="11" t="s">
        <v>1867</v>
      </c>
      <c r="P3829" s="56" t="s">
        <v>1865</v>
      </c>
    </row>
    <row r="3830" spans="1:16" ht="15.75" customHeight="1" x14ac:dyDescent="0.2">
      <c r="A3830" s="49">
        <v>7174</v>
      </c>
      <c r="B3830" s="11" t="s">
        <v>1857</v>
      </c>
      <c r="C3830" s="11" t="s">
        <v>1876</v>
      </c>
      <c r="D3830" s="6" t="s">
        <v>1850</v>
      </c>
      <c r="E3830" s="12" t="s">
        <v>7784</v>
      </c>
      <c r="F3830" s="12" t="s">
        <v>7785</v>
      </c>
      <c r="G3830" s="12" t="s">
        <v>7789</v>
      </c>
      <c r="H3830" s="12" t="s">
        <v>7865</v>
      </c>
      <c r="I3830" s="12" t="s">
        <v>8436</v>
      </c>
      <c r="J3830" s="11" t="s">
        <v>1851</v>
      </c>
      <c r="K3830" s="11" t="s">
        <v>1852</v>
      </c>
      <c r="L3830" s="11" t="s">
        <v>1853</v>
      </c>
      <c r="M3830" s="11" t="s">
        <v>1854</v>
      </c>
      <c r="N3830" s="12"/>
      <c r="O3830" s="11" t="s">
        <v>1860</v>
      </c>
      <c r="P3830" s="56"/>
    </row>
    <row r="3831" spans="1:16" ht="15.75" customHeight="1" x14ac:dyDescent="0.2">
      <c r="A3831" s="49">
        <v>6150</v>
      </c>
      <c r="B3831" s="11" t="s">
        <v>1857</v>
      </c>
      <c r="C3831" s="11" t="s">
        <v>1876</v>
      </c>
      <c r="D3831" s="6" t="s">
        <v>1850</v>
      </c>
      <c r="E3831" s="12" t="s">
        <v>7784</v>
      </c>
      <c r="F3831" s="12" t="s">
        <v>7785</v>
      </c>
      <c r="G3831" s="12" t="s">
        <v>7789</v>
      </c>
      <c r="H3831" s="12" t="s">
        <v>7824</v>
      </c>
      <c r="I3831" s="12" t="s">
        <v>8437</v>
      </c>
      <c r="J3831" s="11" t="s">
        <v>1851</v>
      </c>
      <c r="K3831" s="11" t="s">
        <v>1852</v>
      </c>
      <c r="L3831" s="11" t="s">
        <v>1853</v>
      </c>
      <c r="M3831" s="11" t="s">
        <v>1854</v>
      </c>
      <c r="N3831" s="12"/>
      <c r="O3831" s="11" t="s">
        <v>2307</v>
      </c>
      <c r="P3831" s="56" t="s">
        <v>3343</v>
      </c>
    </row>
    <row r="3832" spans="1:16" ht="15.75" customHeight="1" x14ac:dyDescent="0.2">
      <c r="A3832" s="49">
        <v>7192</v>
      </c>
      <c r="B3832" s="11" t="s">
        <v>1857</v>
      </c>
      <c r="C3832" s="11" t="s">
        <v>1876</v>
      </c>
      <c r="D3832" s="6" t="s">
        <v>1850</v>
      </c>
      <c r="E3832" s="12" t="s">
        <v>7784</v>
      </c>
      <c r="F3832" s="12" t="s">
        <v>7785</v>
      </c>
      <c r="G3832" s="12" t="s">
        <v>7789</v>
      </c>
      <c r="H3832" s="12" t="s">
        <v>7830</v>
      </c>
      <c r="I3832" s="12" t="s">
        <v>8438</v>
      </c>
      <c r="J3832" s="11" t="s">
        <v>1851</v>
      </c>
      <c r="K3832" s="11" t="s">
        <v>1852</v>
      </c>
      <c r="L3832" s="11" t="s">
        <v>1853</v>
      </c>
      <c r="M3832" s="11" t="s">
        <v>1854</v>
      </c>
      <c r="N3832" s="12"/>
      <c r="O3832" s="11" t="s">
        <v>1860</v>
      </c>
      <c r="P3832" s="56"/>
    </row>
    <row r="3833" spans="1:16" ht="15.75" customHeight="1" x14ac:dyDescent="0.2">
      <c r="A3833" s="49">
        <v>6186</v>
      </c>
      <c r="B3833" s="11" t="s">
        <v>1857</v>
      </c>
      <c r="C3833" s="11" t="s">
        <v>1876</v>
      </c>
      <c r="D3833" s="6" t="s">
        <v>1850</v>
      </c>
      <c r="E3833" s="12" t="s">
        <v>7784</v>
      </c>
      <c r="F3833" s="12" t="s">
        <v>7785</v>
      </c>
      <c r="G3833" s="12" t="s">
        <v>7786</v>
      </c>
      <c r="H3833" s="12" t="s">
        <v>3567</v>
      </c>
      <c r="I3833" s="12" t="s">
        <v>8439</v>
      </c>
      <c r="J3833" s="11" t="s">
        <v>1851</v>
      </c>
      <c r="K3833" s="11" t="s">
        <v>1852</v>
      </c>
      <c r="L3833" s="11" t="s">
        <v>1853</v>
      </c>
      <c r="M3833" s="11" t="s">
        <v>1854</v>
      </c>
      <c r="N3833" s="12"/>
      <c r="O3833" s="11" t="s">
        <v>1858</v>
      </c>
      <c r="P3833" s="56"/>
    </row>
    <row r="3834" spans="1:16" ht="15.75" customHeight="1" x14ac:dyDescent="0.2">
      <c r="A3834" s="49">
        <v>6189</v>
      </c>
      <c r="B3834" s="11" t="s">
        <v>1857</v>
      </c>
      <c r="C3834" s="11" t="s">
        <v>1876</v>
      </c>
      <c r="D3834" s="6" t="s">
        <v>1850</v>
      </c>
      <c r="E3834" s="12" t="s">
        <v>7784</v>
      </c>
      <c r="F3834" s="12" t="s">
        <v>7785</v>
      </c>
      <c r="G3834" s="12" t="s">
        <v>7786</v>
      </c>
      <c r="H3834" s="12" t="s">
        <v>7807</v>
      </c>
      <c r="I3834" s="12" t="s">
        <v>8440</v>
      </c>
      <c r="J3834" s="11" t="s">
        <v>1851</v>
      </c>
      <c r="K3834" s="11" t="s">
        <v>1852</v>
      </c>
      <c r="L3834" s="11" t="s">
        <v>1853</v>
      </c>
      <c r="M3834" s="11" t="s">
        <v>8441</v>
      </c>
      <c r="N3834" s="12"/>
      <c r="O3834" s="11" t="s">
        <v>1858</v>
      </c>
      <c r="P3834" s="56"/>
    </row>
    <row r="3835" spans="1:16" ht="15.75" customHeight="1" x14ac:dyDescent="0.2">
      <c r="A3835" s="49">
        <v>7465</v>
      </c>
      <c r="B3835" s="11" t="s">
        <v>1857</v>
      </c>
      <c r="C3835" s="11" t="s">
        <v>1876</v>
      </c>
      <c r="D3835" s="6" t="s">
        <v>1850</v>
      </c>
      <c r="E3835" s="12" t="s">
        <v>7784</v>
      </c>
      <c r="F3835" s="12" t="s">
        <v>7785</v>
      </c>
      <c r="G3835" s="12" t="s">
        <v>7789</v>
      </c>
      <c r="H3835" s="12" t="s">
        <v>7852</v>
      </c>
      <c r="I3835" s="12" t="s">
        <v>8442</v>
      </c>
      <c r="J3835" s="11" t="s">
        <v>1851</v>
      </c>
      <c r="K3835" s="11" t="s">
        <v>1852</v>
      </c>
      <c r="L3835" s="11" t="s">
        <v>1853</v>
      </c>
      <c r="M3835" s="11" t="s">
        <v>8443</v>
      </c>
      <c r="N3835" s="12"/>
      <c r="O3835" s="11" t="s">
        <v>1860</v>
      </c>
      <c r="P3835" s="56"/>
    </row>
    <row r="3836" spans="1:16" ht="15.75" customHeight="1" x14ac:dyDescent="0.2">
      <c r="A3836" s="49">
        <v>6135</v>
      </c>
      <c r="B3836" s="11" t="s">
        <v>1857</v>
      </c>
      <c r="C3836" s="11" t="s">
        <v>1876</v>
      </c>
      <c r="D3836" s="6" t="s">
        <v>1850</v>
      </c>
      <c r="E3836" s="12" t="s">
        <v>7784</v>
      </c>
      <c r="F3836" s="12" t="s">
        <v>7785</v>
      </c>
      <c r="G3836" s="12" t="s">
        <v>7789</v>
      </c>
      <c r="H3836" s="12" t="s">
        <v>7830</v>
      </c>
      <c r="I3836" s="12" t="s">
        <v>8444</v>
      </c>
      <c r="J3836" s="11" t="s">
        <v>1851</v>
      </c>
      <c r="K3836" s="11" t="s">
        <v>1852</v>
      </c>
      <c r="L3836" s="11" t="s">
        <v>1853</v>
      </c>
      <c r="M3836" s="11" t="s">
        <v>1854</v>
      </c>
      <c r="N3836" s="12"/>
      <c r="O3836" s="11" t="s">
        <v>2307</v>
      </c>
      <c r="P3836" s="56" t="s">
        <v>8445</v>
      </c>
    </row>
    <row r="3837" spans="1:16" ht="15.75" customHeight="1" x14ac:dyDescent="0.2">
      <c r="A3837" s="49">
        <v>7489</v>
      </c>
      <c r="B3837" s="11" t="s">
        <v>1857</v>
      </c>
      <c r="C3837" s="11" t="s">
        <v>1876</v>
      </c>
      <c r="D3837" s="6" t="s">
        <v>1850</v>
      </c>
      <c r="E3837" s="12" t="s">
        <v>7784</v>
      </c>
      <c r="F3837" s="12" t="s">
        <v>7785</v>
      </c>
      <c r="G3837" s="12" t="s">
        <v>7786</v>
      </c>
      <c r="H3837" s="12" t="s">
        <v>3567</v>
      </c>
      <c r="I3837" s="12" t="s">
        <v>8446</v>
      </c>
      <c r="J3837" s="11" t="s">
        <v>1851</v>
      </c>
      <c r="K3837" s="11" t="s">
        <v>1852</v>
      </c>
      <c r="L3837" s="11" t="s">
        <v>1853</v>
      </c>
      <c r="M3837" s="11" t="s">
        <v>1854</v>
      </c>
      <c r="N3837" s="12"/>
      <c r="O3837" s="11" t="s">
        <v>1858</v>
      </c>
      <c r="P3837" s="56"/>
    </row>
    <row r="3838" spans="1:16" ht="15.75" customHeight="1" x14ac:dyDescent="0.2">
      <c r="A3838" s="49">
        <v>6132</v>
      </c>
      <c r="B3838" s="11" t="s">
        <v>1857</v>
      </c>
      <c r="C3838" s="11" t="s">
        <v>1876</v>
      </c>
      <c r="D3838" s="6" t="s">
        <v>1850</v>
      </c>
      <c r="E3838" s="12" t="s">
        <v>7784</v>
      </c>
      <c r="F3838" s="12" t="s">
        <v>7785</v>
      </c>
      <c r="G3838" s="12" t="s">
        <v>7789</v>
      </c>
      <c r="H3838" s="12" t="s">
        <v>7790</v>
      </c>
      <c r="I3838" s="12" t="s">
        <v>8447</v>
      </c>
      <c r="J3838" s="11" t="s">
        <v>1851</v>
      </c>
      <c r="K3838" s="11" t="s">
        <v>1852</v>
      </c>
      <c r="L3838" s="11" t="s">
        <v>1853</v>
      </c>
      <c r="M3838" s="11" t="s">
        <v>8448</v>
      </c>
      <c r="N3838" s="12"/>
      <c r="O3838" s="11" t="s">
        <v>1867</v>
      </c>
      <c r="P3838" s="56" t="s">
        <v>1865</v>
      </c>
    </row>
    <row r="3839" spans="1:16" ht="15.75" customHeight="1" x14ac:dyDescent="0.2">
      <c r="A3839" s="49">
        <v>6168</v>
      </c>
      <c r="B3839" s="11" t="s">
        <v>1857</v>
      </c>
      <c r="C3839" s="11" t="s">
        <v>1876</v>
      </c>
      <c r="D3839" s="6" t="s">
        <v>1850</v>
      </c>
      <c r="E3839" s="12" t="s">
        <v>7784</v>
      </c>
      <c r="F3839" s="12" t="s">
        <v>7785</v>
      </c>
      <c r="G3839" s="12" t="s">
        <v>7786</v>
      </c>
      <c r="H3839" s="12" t="s">
        <v>7798</v>
      </c>
      <c r="I3839" s="12" t="s">
        <v>8449</v>
      </c>
      <c r="J3839" s="11" t="s">
        <v>1851</v>
      </c>
      <c r="K3839" s="11" t="s">
        <v>1852</v>
      </c>
      <c r="L3839" s="11" t="s">
        <v>1853</v>
      </c>
      <c r="M3839" s="11" t="s">
        <v>1854</v>
      </c>
      <c r="N3839" s="12"/>
      <c r="O3839" s="11" t="s">
        <v>2022</v>
      </c>
      <c r="P3839" s="56" t="s">
        <v>1865</v>
      </c>
    </row>
    <row r="3840" spans="1:16" ht="15.75" customHeight="1" x14ac:dyDescent="0.2">
      <c r="A3840" s="49">
        <v>7209</v>
      </c>
      <c r="B3840" s="11" t="s">
        <v>1857</v>
      </c>
      <c r="C3840" s="11" t="s">
        <v>1876</v>
      </c>
      <c r="D3840" s="6" t="s">
        <v>1850</v>
      </c>
      <c r="E3840" s="12" t="s">
        <v>7784</v>
      </c>
      <c r="F3840" s="12" t="s">
        <v>7785</v>
      </c>
      <c r="G3840" s="12" t="s">
        <v>7786</v>
      </c>
      <c r="H3840" s="12" t="s">
        <v>7787</v>
      </c>
      <c r="I3840" s="12" t="s">
        <v>8450</v>
      </c>
      <c r="J3840" s="11" t="s">
        <v>1851</v>
      </c>
      <c r="K3840" s="11" t="s">
        <v>1852</v>
      </c>
      <c r="L3840" s="11" t="s">
        <v>1853</v>
      </c>
      <c r="M3840" s="11" t="s">
        <v>1854</v>
      </c>
      <c r="N3840" s="12"/>
      <c r="O3840" s="11" t="s">
        <v>1860</v>
      </c>
      <c r="P3840" s="56"/>
    </row>
    <row r="3841" spans="1:16" ht="15.75" customHeight="1" x14ac:dyDescent="0.2">
      <c r="A3841" s="49">
        <v>7190</v>
      </c>
      <c r="B3841" s="11" t="s">
        <v>1857</v>
      </c>
      <c r="C3841" s="11" t="s">
        <v>1876</v>
      </c>
      <c r="D3841" s="6" t="s">
        <v>1850</v>
      </c>
      <c r="E3841" s="12" t="s">
        <v>7784</v>
      </c>
      <c r="F3841" s="12" t="s">
        <v>7785</v>
      </c>
      <c r="G3841" s="12" t="s">
        <v>7789</v>
      </c>
      <c r="H3841" s="12" t="s">
        <v>7830</v>
      </c>
      <c r="I3841" s="12" t="s">
        <v>8451</v>
      </c>
      <c r="J3841" s="11" t="s">
        <v>1851</v>
      </c>
      <c r="K3841" s="11" t="s">
        <v>1852</v>
      </c>
      <c r="L3841" s="11" t="s">
        <v>1853</v>
      </c>
      <c r="M3841" s="11" t="s">
        <v>1854</v>
      </c>
      <c r="N3841" s="12"/>
      <c r="O3841" s="11" t="s">
        <v>1866</v>
      </c>
      <c r="P3841" s="56"/>
    </row>
    <row r="3842" spans="1:16" ht="15.75" customHeight="1" x14ac:dyDescent="0.2">
      <c r="A3842" s="49">
        <v>6161</v>
      </c>
      <c r="B3842" s="11" t="s">
        <v>1857</v>
      </c>
      <c r="C3842" s="11" t="s">
        <v>1876</v>
      </c>
      <c r="D3842" s="6" t="s">
        <v>1850</v>
      </c>
      <c r="E3842" s="12" t="s">
        <v>7784</v>
      </c>
      <c r="F3842" s="12" t="s">
        <v>7785</v>
      </c>
      <c r="G3842" s="12" t="s">
        <v>7786</v>
      </c>
      <c r="H3842" s="12" t="s">
        <v>7798</v>
      </c>
      <c r="I3842" s="12" t="s">
        <v>8452</v>
      </c>
      <c r="J3842" s="11" t="s">
        <v>1851</v>
      </c>
      <c r="K3842" s="11" t="s">
        <v>1852</v>
      </c>
      <c r="L3842" s="11" t="s">
        <v>1853</v>
      </c>
      <c r="M3842" s="11" t="s">
        <v>1854</v>
      </c>
      <c r="N3842" s="12"/>
      <c r="O3842" s="11" t="s">
        <v>1867</v>
      </c>
      <c r="P3842" s="56" t="s">
        <v>1865</v>
      </c>
    </row>
    <row r="3843" spans="1:16" ht="15.75" customHeight="1" x14ac:dyDescent="0.2">
      <c r="A3843" s="49">
        <v>7201</v>
      </c>
      <c r="B3843" s="11" t="s">
        <v>1857</v>
      </c>
      <c r="C3843" s="11" t="s">
        <v>1876</v>
      </c>
      <c r="D3843" s="6" t="s">
        <v>1850</v>
      </c>
      <c r="E3843" s="12" t="s">
        <v>7784</v>
      </c>
      <c r="F3843" s="12" t="s">
        <v>7785</v>
      </c>
      <c r="G3843" s="12" t="s">
        <v>7786</v>
      </c>
      <c r="H3843" s="12" t="s">
        <v>7798</v>
      </c>
      <c r="I3843" s="12" t="s">
        <v>8453</v>
      </c>
      <c r="J3843" s="11" t="s">
        <v>1851</v>
      </c>
      <c r="K3843" s="11" t="s">
        <v>1852</v>
      </c>
      <c r="L3843" s="11" t="s">
        <v>1853</v>
      </c>
      <c r="M3843" s="11" t="s">
        <v>1854</v>
      </c>
      <c r="N3843" s="12"/>
      <c r="O3843" s="11" t="s">
        <v>1860</v>
      </c>
      <c r="P3843" s="56"/>
    </row>
    <row r="3844" spans="1:16" ht="15.75" customHeight="1" x14ac:dyDescent="0.2">
      <c r="A3844" s="49">
        <v>6116</v>
      </c>
      <c r="B3844" s="11" t="s">
        <v>1857</v>
      </c>
      <c r="C3844" s="11" t="s">
        <v>1876</v>
      </c>
      <c r="D3844" s="6" t="s">
        <v>1850</v>
      </c>
      <c r="E3844" s="12" t="s">
        <v>7784</v>
      </c>
      <c r="F3844" s="12" t="s">
        <v>7785</v>
      </c>
      <c r="G3844" s="12" t="s">
        <v>7789</v>
      </c>
      <c r="H3844" s="12" t="s">
        <v>7789</v>
      </c>
      <c r="I3844" s="12" t="s">
        <v>8454</v>
      </c>
      <c r="J3844" s="11" t="s">
        <v>1851</v>
      </c>
      <c r="K3844" s="11" t="s">
        <v>1852</v>
      </c>
      <c r="L3844" s="11" t="s">
        <v>1853</v>
      </c>
      <c r="M3844" s="11" t="s">
        <v>1854</v>
      </c>
      <c r="N3844" s="12"/>
      <c r="O3844" s="11" t="s">
        <v>1858</v>
      </c>
      <c r="P3844" s="56"/>
    </row>
    <row r="3845" spans="1:16" ht="15.75" customHeight="1" x14ac:dyDescent="0.2">
      <c r="A3845" s="49">
        <v>7223</v>
      </c>
      <c r="B3845" s="11" t="s">
        <v>1857</v>
      </c>
      <c r="C3845" s="11" t="s">
        <v>1876</v>
      </c>
      <c r="D3845" s="6" t="s">
        <v>1850</v>
      </c>
      <c r="E3845" s="12" t="s">
        <v>7784</v>
      </c>
      <c r="F3845" s="12" t="s">
        <v>7785</v>
      </c>
      <c r="G3845" s="12" t="s">
        <v>7878</v>
      </c>
      <c r="H3845" s="12" t="s">
        <v>7878</v>
      </c>
      <c r="I3845" s="12" t="s">
        <v>8455</v>
      </c>
      <c r="J3845" s="11" t="s">
        <v>1851</v>
      </c>
      <c r="K3845" s="11" t="s">
        <v>1852</v>
      </c>
      <c r="L3845" s="11" t="s">
        <v>1853</v>
      </c>
      <c r="M3845" s="11" t="s">
        <v>1854</v>
      </c>
      <c r="N3845" s="12"/>
      <c r="O3845" s="11" t="s">
        <v>1867</v>
      </c>
      <c r="P3845" s="56" t="s">
        <v>1865</v>
      </c>
    </row>
    <row r="3846" spans="1:16" ht="15.75" customHeight="1" x14ac:dyDescent="0.2">
      <c r="A3846" s="49">
        <v>6183</v>
      </c>
      <c r="B3846" s="11" t="s">
        <v>1857</v>
      </c>
      <c r="C3846" s="11" t="s">
        <v>1876</v>
      </c>
      <c r="D3846" s="6" t="s">
        <v>1850</v>
      </c>
      <c r="E3846" s="12" t="s">
        <v>7784</v>
      </c>
      <c r="F3846" s="12" t="s">
        <v>7785</v>
      </c>
      <c r="G3846" s="12" t="s">
        <v>7786</v>
      </c>
      <c r="H3846" s="12" t="s">
        <v>3567</v>
      </c>
      <c r="I3846" s="12" t="s">
        <v>8456</v>
      </c>
      <c r="J3846" s="11" t="s">
        <v>1851</v>
      </c>
      <c r="K3846" s="11" t="s">
        <v>1852</v>
      </c>
      <c r="L3846" s="11" t="s">
        <v>1853</v>
      </c>
      <c r="M3846" s="11" t="s">
        <v>1854</v>
      </c>
      <c r="N3846" s="12"/>
      <c r="O3846" s="11" t="s">
        <v>1858</v>
      </c>
      <c r="P3846" s="56"/>
    </row>
    <row r="3847" spans="1:16" ht="15.75" customHeight="1" x14ac:dyDescent="0.2">
      <c r="A3847" s="49">
        <v>6191</v>
      </c>
      <c r="B3847" s="11" t="s">
        <v>1857</v>
      </c>
      <c r="C3847" s="11" t="s">
        <v>1876</v>
      </c>
      <c r="D3847" s="6" t="s">
        <v>1850</v>
      </c>
      <c r="E3847" s="12" t="s">
        <v>7784</v>
      </c>
      <c r="F3847" s="12" t="s">
        <v>7785</v>
      </c>
      <c r="G3847" s="12" t="s">
        <v>7786</v>
      </c>
      <c r="H3847" s="12" t="s">
        <v>8457</v>
      </c>
      <c r="I3847" s="12" t="s">
        <v>8458</v>
      </c>
      <c r="J3847" s="11" t="s">
        <v>1851</v>
      </c>
      <c r="K3847" s="11" t="s">
        <v>1852</v>
      </c>
      <c r="L3847" s="11" t="s">
        <v>1853</v>
      </c>
      <c r="M3847" s="11" t="s">
        <v>8459</v>
      </c>
      <c r="N3847" s="12"/>
      <c r="O3847" s="11" t="s">
        <v>1860</v>
      </c>
      <c r="P3847" s="56"/>
    </row>
    <row r="3848" spans="1:16" ht="15.75" customHeight="1" x14ac:dyDescent="0.2">
      <c r="A3848" s="49">
        <v>6172</v>
      </c>
      <c r="B3848" s="11" t="s">
        <v>1857</v>
      </c>
      <c r="C3848" s="11" t="s">
        <v>1876</v>
      </c>
      <c r="D3848" s="6" t="s">
        <v>1850</v>
      </c>
      <c r="E3848" s="12" t="s">
        <v>7784</v>
      </c>
      <c r="F3848" s="12" t="s">
        <v>7785</v>
      </c>
      <c r="G3848" s="12" t="s">
        <v>7786</v>
      </c>
      <c r="H3848" s="12" t="s">
        <v>7787</v>
      </c>
      <c r="I3848" s="12" t="s">
        <v>8460</v>
      </c>
      <c r="J3848" s="11" t="s">
        <v>1851</v>
      </c>
      <c r="K3848" s="11" t="s">
        <v>1852</v>
      </c>
      <c r="L3848" s="11" t="s">
        <v>1853</v>
      </c>
      <c r="M3848" s="11" t="s">
        <v>1854</v>
      </c>
      <c r="N3848" s="12"/>
      <c r="O3848" s="11" t="s">
        <v>2307</v>
      </c>
      <c r="P3848" s="56" t="s">
        <v>3343</v>
      </c>
    </row>
    <row r="3849" spans="1:16" ht="15.75" customHeight="1" x14ac:dyDescent="0.2">
      <c r="A3849" s="49">
        <v>6192</v>
      </c>
      <c r="B3849" s="11" t="s">
        <v>1857</v>
      </c>
      <c r="C3849" s="11" t="s">
        <v>1876</v>
      </c>
      <c r="D3849" s="6" t="s">
        <v>1850</v>
      </c>
      <c r="E3849" s="12" t="s">
        <v>7784</v>
      </c>
      <c r="F3849" s="12" t="s">
        <v>7785</v>
      </c>
      <c r="G3849" s="12" t="s">
        <v>7786</v>
      </c>
      <c r="H3849" s="12" t="s">
        <v>7796</v>
      </c>
      <c r="I3849" s="12" t="s">
        <v>8461</v>
      </c>
      <c r="J3849" s="11" t="s">
        <v>1851</v>
      </c>
      <c r="K3849" s="11" t="s">
        <v>1852</v>
      </c>
      <c r="L3849" s="11" t="s">
        <v>1853</v>
      </c>
      <c r="M3849" s="11" t="s">
        <v>1854</v>
      </c>
      <c r="N3849" s="12"/>
      <c r="O3849" s="11" t="s">
        <v>1860</v>
      </c>
      <c r="P3849" s="56"/>
    </row>
    <row r="3850" spans="1:16" ht="15.75" customHeight="1" x14ac:dyDescent="0.2">
      <c r="A3850" s="49">
        <v>7598</v>
      </c>
      <c r="B3850" s="11" t="s">
        <v>1857</v>
      </c>
      <c r="C3850" s="11" t="s">
        <v>1876</v>
      </c>
      <c r="D3850" s="6" t="s">
        <v>1850</v>
      </c>
      <c r="E3850" s="12" t="s">
        <v>7784</v>
      </c>
      <c r="F3850" s="12" t="s">
        <v>7785</v>
      </c>
      <c r="G3850" s="12" t="s">
        <v>7786</v>
      </c>
      <c r="H3850" s="12" t="s">
        <v>7787</v>
      </c>
      <c r="I3850" s="12" t="s">
        <v>8462</v>
      </c>
      <c r="J3850" s="11" t="s">
        <v>1851</v>
      </c>
      <c r="K3850" s="11" t="s">
        <v>1852</v>
      </c>
      <c r="L3850" s="11" t="s">
        <v>1853</v>
      </c>
      <c r="M3850" s="11" t="s">
        <v>8463</v>
      </c>
      <c r="N3850" s="12"/>
      <c r="O3850" s="11" t="s">
        <v>1858</v>
      </c>
      <c r="P3850" s="56"/>
    </row>
    <row r="3851" spans="1:16" ht="15.75" customHeight="1" x14ac:dyDescent="0.2">
      <c r="A3851" s="49">
        <v>6169</v>
      </c>
      <c r="B3851" s="11" t="s">
        <v>1857</v>
      </c>
      <c r="C3851" s="11" t="s">
        <v>1876</v>
      </c>
      <c r="D3851" s="6" t="s">
        <v>1850</v>
      </c>
      <c r="E3851" s="12" t="s">
        <v>7784</v>
      </c>
      <c r="F3851" s="12" t="s">
        <v>7785</v>
      </c>
      <c r="G3851" s="12" t="s">
        <v>7786</v>
      </c>
      <c r="H3851" s="12" t="s">
        <v>7798</v>
      </c>
      <c r="I3851" s="12" t="s">
        <v>8464</v>
      </c>
      <c r="J3851" s="11" t="s">
        <v>1851</v>
      </c>
      <c r="K3851" s="11" t="s">
        <v>1852</v>
      </c>
      <c r="L3851" s="11" t="s">
        <v>1853</v>
      </c>
      <c r="M3851" s="11" t="s">
        <v>1854</v>
      </c>
      <c r="N3851" s="12"/>
      <c r="O3851" s="11" t="s">
        <v>1864</v>
      </c>
      <c r="P3851" s="56" t="s">
        <v>4241</v>
      </c>
    </row>
    <row r="3852" spans="1:16" ht="15.75" customHeight="1" x14ac:dyDescent="0.2">
      <c r="A3852" s="49">
        <v>6190</v>
      </c>
      <c r="B3852" s="11" t="s">
        <v>1857</v>
      </c>
      <c r="C3852" s="11" t="s">
        <v>1876</v>
      </c>
      <c r="D3852" s="6" t="s">
        <v>1850</v>
      </c>
      <c r="E3852" s="12" t="s">
        <v>7784</v>
      </c>
      <c r="F3852" s="12" t="s">
        <v>7785</v>
      </c>
      <c r="G3852" s="12" t="s">
        <v>7786</v>
      </c>
      <c r="H3852" s="12" t="s">
        <v>7796</v>
      </c>
      <c r="I3852" s="12" t="s">
        <v>8465</v>
      </c>
      <c r="J3852" s="11" t="s">
        <v>1851</v>
      </c>
      <c r="K3852" s="11" t="s">
        <v>1852</v>
      </c>
      <c r="L3852" s="11" t="s">
        <v>1853</v>
      </c>
      <c r="M3852" s="11" t="s">
        <v>1854</v>
      </c>
      <c r="N3852" s="12"/>
      <c r="O3852" s="11" t="s">
        <v>1867</v>
      </c>
      <c r="P3852" s="56" t="s">
        <v>1865</v>
      </c>
    </row>
    <row r="3853" spans="1:16" ht="15.75" customHeight="1" x14ac:dyDescent="0.2">
      <c r="A3853" s="49">
        <v>7502</v>
      </c>
      <c r="B3853" s="11" t="s">
        <v>1857</v>
      </c>
      <c r="C3853" s="11" t="s">
        <v>1876</v>
      </c>
      <c r="D3853" s="6" t="s">
        <v>1850</v>
      </c>
      <c r="E3853" s="12" t="s">
        <v>7784</v>
      </c>
      <c r="F3853" s="12" t="s">
        <v>7785</v>
      </c>
      <c r="G3853" s="12" t="s">
        <v>7786</v>
      </c>
      <c r="H3853" s="12" t="s">
        <v>7807</v>
      </c>
      <c r="I3853" s="12" t="s">
        <v>8466</v>
      </c>
      <c r="J3853" s="11" t="s">
        <v>1851</v>
      </c>
      <c r="K3853" s="11" t="s">
        <v>1852</v>
      </c>
      <c r="L3853" s="11" t="s">
        <v>1853</v>
      </c>
      <c r="M3853" s="11" t="s">
        <v>8467</v>
      </c>
      <c r="N3853" s="12"/>
      <c r="O3853" s="11" t="s">
        <v>2307</v>
      </c>
      <c r="P3853" s="56" t="s">
        <v>8468</v>
      </c>
    </row>
    <row r="3854" spans="1:16" ht="15.75" customHeight="1" x14ac:dyDescent="0.2">
      <c r="A3854" s="49">
        <v>7205</v>
      </c>
      <c r="B3854" s="11" t="s">
        <v>1857</v>
      </c>
      <c r="C3854" s="11" t="s">
        <v>1876</v>
      </c>
      <c r="D3854" s="6" t="s">
        <v>1850</v>
      </c>
      <c r="E3854" s="12" t="s">
        <v>7784</v>
      </c>
      <c r="F3854" s="12" t="s">
        <v>7785</v>
      </c>
      <c r="G3854" s="12" t="s">
        <v>7786</v>
      </c>
      <c r="H3854" s="12" t="s">
        <v>7798</v>
      </c>
      <c r="I3854" s="12" t="s">
        <v>8469</v>
      </c>
      <c r="J3854" s="11" t="s">
        <v>1851</v>
      </c>
      <c r="K3854" s="11" t="s">
        <v>1852</v>
      </c>
      <c r="L3854" s="11" t="s">
        <v>1853</v>
      </c>
      <c r="M3854" s="11" t="s">
        <v>1854</v>
      </c>
      <c r="N3854" s="12"/>
      <c r="O3854" s="11" t="s">
        <v>2022</v>
      </c>
      <c r="P3854" s="56" t="s">
        <v>1865</v>
      </c>
    </row>
    <row r="3855" spans="1:16" ht="15.75" customHeight="1" x14ac:dyDescent="0.2">
      <c r="A3855" s="49">
        <v>7470</v>
      </c>
      <c r="B3855" s="11" t="s">
        <v>1857</v>
      </c>
      <c r="C3855" s="11" t="s">
        <v>1876</v>
      </c>
      <c r="D3855" s="6" t="s">
        <v>1850</v>
      </c>
      <c r="E3855" s="12" t="s">
        <v>7784</v>
      </c>
      <c r="F3855" s="12" t="s">
        <v>7785</v>
      </c>
      <c r="G3855" s="12" t="s">
        <v>7789</v>
      </c>
      <c r="H3855" s="12" t="s">
        <v>7789</v>
      </c>
      <c r="I3855" s="12" t="s">
        <v>8470</v>
      </c>
      <c r="J3855" s="11" t="s">
        <v>1851</v>
      </c>
      <c r="K3855" s="11" t="s">
        <v>1852</v>
      </c>
      <c r="L3855" s="11" t="s">
        <v>1853</v>
      </c>
      <c r="M3855" s="11" t="s">
        <v>8471</v>
      </c>
      <c r="N3855" s="12" t="s">
        <v>8472</v>
      </c>
      <c r="O3855" s="11" t="s">
        <v>1858</v>
      </c>
      <c r="P3855" s="56"/>
    </row>
    <row r="3856" spans="1:16" ht="15.75" customHeight="1" x14ac:dyDescent="0.2">
      <c r="A3856" s="49">
        <v>6158</v>
      </c>
      <c r="B3856" s="11" t="s">
        <v>1857</v>
      </c>
      <c r="C3856" s="11" t="s">
        <v>1876</v>
      </c>
      <c r="D3856" s="6" t="s">
        <v>1850</v>
      </c>
      <c r="E3856" s="12" t="s">
        <v>7784</v>
      </c>
      <c r="F3856" s="12" t="s">
        <v>7785</v>
      </c>
      <c r="G3856" s="12" t="s">
        <v>7786</v>
      </c>
      <c r="H3856" s="12" t="s">
        <v>7798</v>
      </c>
      <c r="I3856" s="12" t="s">
        <v>8473</v>
      </c>
      <c r="J3856" s="11" t="s">
        <v>1851</v>
      </c>
      <c r="K3856" s="11" t="s">
        <v>1852</v>
      </c>
      <c r="L3856" s="11" t="s">
        <v>1853</v>
      </c>
      <c r="M3856" s="11" t="s">
        <v>1854</v>
      </c>
      <c r="N3856" s="12"/>
      <c r="O3856" s="11" t="s">
        <v>1860</v>
      </c>
      <c r="P3856" s="56"/>
    </row>
    <row r="3857" spans="1:16" ht="15.75" customHeight="1" x14ac:dyDescent="0.2">
      <c r="A3857" s="49">
        <v>6179</v>
      </c>
      <c r="B3857" s="11" t="s">
        <v>1857</v>
      </c>
      <c r="C3857" s="11" t="s">
        <v>1876</v>
      </c>
      <c r="D3857" s="6" t="s">
        <v>1850</v>
      </c>
      <c r="E3857" s="12" t="s">
        <v>7784</v>
      </c>
      <c r="F3857" s="12" t="s">
        <v>7785</v>
      </c>
      <c r="G3857" s="12" t="s">
        <v>7786</v>
      </c>
      <c r="H3857" s="12" t="s">
        <v>7787</v>
      </c>
      <c r="I3857" s="12" t="s">
        <v>8474</v>
      </c>
      <c r="J3857" s="11" t="s">
        <v>1851</v>
      </c>
      <c r="K3857" s="11" t="s">
        <v>1852</v>
      </c>
      <c r="L3857" s="11" t="s">
        <v>1853</v>
      </c>
      <c r="M3857" s="11" t="s">
        <v>1854</v>
      </c>
      <c r="N3857" s="12"/>
      <c r="O3857" s="11" t="s">
        <v>2307</v>
      </c>
      <c r="P3857" s="56" t="s">
        <v>3343</v>
      </c>
    </row>
    <row r="3858" spans="1:16" ht="15.75" customHeight="1" x14ac:dyDescent="0.2">
      <c r="A3858" s="49">
        <v>7194</v>
      </c>
      <c r="B3858" s="11" t="s">
        <v>1857</v>
      </c>
      <c r="C3858" s="11" t="s">
        <v>1876</v>
      </c>
      <c r="D3858" s="6" t="s">
        <v>1850</v>
      </c>
      <c r="E3858" s="12" t="s">
        <v>7784</v>
      </c>
      <c r="F3858" s="12" t="s">
        <v>7785</v>
      </c>
      <c r="G3858" s="12" t="s">
        <v>7789</v>
      </c>
      <c r="H3858" s="12" t="s">
        <v>7865</v>
      </c>
      <c r="I3858" s="12" t="s">
        <v>8475</v>
      </c>
      <c r="J3858" s="11" t="s">
        <v>1851</v>
      </c>
      <c r="K3858" s="11" t="s">
        <v>1852</v>
      </c>
      <c r="L3858" s="11" t="s">
        <v>1853</v>
      </c>
      <c r="M3858" s="11" t="s">
        <v>8476</v>
      </c>
      <c r="N3858" s="12"/>
      <c r="O3858" s="11" t="s">
        <v>2598</v>
      </c>
      <c r="P3858" s="56" t="s">
        <v>8477</v>
      </c>
    </row>
    <row r="3859" spans="1:16" ht="15.75" customHeight="1" x14ac:dyDescent="0.2">
      <c r="A3859" s="49">
        <v>6157</v>
      </c>
      <c r="B3859" s="11" t="s">
        <v>1857</v>
      </c>
      <c r="C3859" s="11" t="s">
        <v>1876</v>
      </c>
      <c r="D3859" s="6" t="s">
        <v>1850</v>
      </c>
      <c r="E3859" s="12" t="s">
        <v>7784</v>
      </c>
      <c r="F3859" s="12" t="s">
        <v>7785</v>
      </c>
      <c r="G3859" s="12" t="s">
        <v>7786</v>
      </c>
      <c r="H3859" s="12" t="s">
        <v>7798</v>
      </c>
      <c r="I3859" s="12" t="s">
        <v>8478</v>
      </c>
      <c r="J3859" s="11" t="s">
        <v>1851</v>
      </c>
      <c r="K3859" s="11" t="s">
        <v>1852</v>
      </c>
      <c r="L3859" s="11" t="s">
        <v>1853</v>
      </c>
      <c r="M3859" s="11" t="s">
        <v>1854</v>
      </c>
      <c r="N3859" s="12"/>
      <c r="O3859" s="11" t="s">
        <v>1858</v>
      </c>
      <c r="P3859" s="56"/>
    </row>
    <row r="3860" spans="1:16" ht="15.75" customHeight="1" x14ac:dyDescent="0.2">
      <c r="A3860" s="49">
        <v>7187</v>
      </c>
      <c r="B3860" s="11" t="s">
        <v>1857</v>
      </c>
      <c r="C3860" s="11" t="s">
        <v>1876</v>
      </c>
      <c r="D3860" s="6" t="s">
        <v>1850</v>
      </c>
      <c r="E3860" s="12" t="s">
        <v>7784</v>
      </c>
      <c r="F3860" s="12" t="s">
        <v>7785</v>
      </c>
      <c r="G3860" s="12" t="s">
        <v>7789</v>
      </c>
      <c r="H3860" s="12" t="s">
        <v>7790</v>
      </c>
      <c r="I3860" s="12" t="s">
        <v>8479</v>
      </c>
      <c r="J3860" s="11" t="s">
        <v>1851</v>
      </c>
      <c r="K3860" s="11" t="s">
        <v>1852</v>
      </c>
      <c r="L3860" s="11" t="s">
        <v>1853</v>
      </c>
      <c r="M3860" s="11" t="s">
        <v>8480</v>
      </c>
      <c r="N3860" s="12"/>
      <c r="O3860" s="11" t="s">
        <v>1858</v>
      </c>
      <c r="P3860" s="56"/>
    </row>
    <row r="3861" spans="1:16" ht="15.75" customHeight="1" x14ac:dyDescent="0.2">
      <c r="A3861" s="49">
        <v>7483</v>
      </c>
      <c r="B3861" s="11" t="s">
        <v>1857</v>
      </c>
      <c r="C3861" s="11" t="s">
        <v>1876</v>
      </c>
      <c r="D3861" s="6" t="s">
        <v>1850</v>
      </c>
      <c r="E3861" s="12" t="s">
        <v>7784</v>
      </c>
      <c r="F3861" s="12" t="s">
        <v>7785</v>
      </c>
      <c r="G3861" s="12" t="s">
        <v>7786</v>
      </c>
      <c r="H3861" s="12" t="s">
        <v>7787</v>
      </c>
      <c r="I3861" s="12" t="s">
        <v>8481</v>
      </c>
      <c r="J3861" s="11" t="s">
        <v>1851</v>
      </c>
      <c r="K3861" s="11" t="s">
        <v>1852</v>
      </c>
      <c r="L3861" s="11" t="s">
        <v>1853</v>
      </c>
      <c r="M3861" s="11" t="s">
        <v>8482</v>
      </c>
      <c r="N3861" s="12"/>
      <c r="O3861" s="11" t="s">
        <v>1858</v>
      </c>
      <c r="P3861" s="56"/>
    </row>
    <row r="3862" spans="1:16" ht="15.75" customHeight="1" x14ac:dyDescent="0.2">
      <c r="A3862" s="49">
        <v>7222</v>
      </c>
      <c r="B3862" s="11" t="s">
        <v>1857</v>
      </c>
      <c r="C3862" s="11" t="s">
        <v>1876</v>
      </c>
      <c r="D3862" s="6" t="s">
        <v>1850</v>
      </c>
      <c r="E3862" s="12" t="s">
        <v>7784</v>
      </c>
      <c r="F3862" s="12" t="s">
        <v>7785</v>
      </c>
      <c r="G3862" s="12" t="s">
        <v>7786</v>
      </c>
      <c r="H3862" s="12" t="s">
        <v>7796</v>
      </c>
      <c r="I3862" s="12" t="s">
        <v>8483</v>
      </c>
      <c r="J3862" s="11" t="s">
        <v>1851</v>
      </c>
      <c r="K3862" s="11" t="s">
        <v>1852</v>
      </c>
      <c r="L3862" s="11" t="s">
        <v>1853</v>
      </c>
      <c r="M3862" s="11" t="s">
        <v>8484</v>
      </c>
      <c r="N3862" s="12"/>
      <c r="O3862" s="11" t="s">
        <v>1858</v>
      </c>
      <c r="P3862" s="56"/>
    </row>
    <row r="3863" spans="1:16" ht="15.75" customHeight="1" x14ac:dyDescent="0.2">
      <c r="A3863" s="49">
        <v>6113</v>
      </c>
      <c r="B3863" s="11" t="s">
        <v>1857</v>
      </c>
      <c r="C3863" s="11" t="s">
        <v>1876</v>
      </c>
      <c r="D3863" s="6" t="s">
        <v>1850</v>
      </c>
      <c r="E3863" s="12" t="s">
        <v>7784</v>
      </c>
      <c r="F3863" s="12" t="s">
        <v>7785</v>
      </c>
      <c r="G3863" s="12" t="s">
        <v>7789</v>
      </c>
      <c r="H3863" s="12" t="s">
        <v>7789</v>
      </c>
      <c r="I3863" s="12" t="s">
        <v>8485</v>
      </c>
      <c r="J3863" s="11" t="s">
        <v>1851</v>
      </c>
      <c r="K3863" s="11" t="s">
        <v>1852</v>
      </c>
      <c r="L3863" s="11" t="s">
        <v>1853</v>
      </c>
      <c r="M3863" s="11" t="s">
        <v>1854</v>
      </c>
      <c r="N3863" s="12"/>
      <c r="O3863" s="11" t="s">
        <v>1867</v>
      </c>
      <c r="P3863" s="56" t="s">
        <v>1865</v>
      </c>
    </row>
    <row r="3864" spans="1:16" ht="15.75" customHeight="1" x14ac:dyDescent="0.2">
      <c r="A3864" s="49">
        <v>7469</v>
      </c>
      <c r="B3864" s="11" t="s">
        <v>1857</v>
      </c>
      <c r="C3864" s="11" t="s">
        <v>1876</v>
      </c>
      <c r="D3864" s="6" t="s">
        <v>1850</v>
      </c>
      <c r="E3864" s="12" t="s">
        <v>7784</v>
      </c>
      <c r="F3864" s="12" t="s">
        <v>7785</v>
      </c>
      <c r="G3864" s="12" t="s">
        <v>7789</v>
      </c>
      <c r="H3864" s="12" t="s">
        <v>7789</v>
      </c>
      <c r="I3864" s="12" t="s">
        <v>8486</v>
      </c>
      <c r="J3864" s="11" t="s">
        <v>1851</v>
      </c>
      <c r="K3864" s="11" t="s">
        <v>1852</v>
      </c>
      <c r="L3864" s="11" t="s">
        <v>1853</v>
      </c>
      <c r="M3864" s="11" t="s">
        <v>8487</v>
      </c>
      <c r="N3864" s="12"/>
      <c r="O3864" s="11" t="s">
        <v>1858</v>
      </c>
      <c r="P3864" s="56"/>
    </row>
    <row r="3865" spans="1:16" ht="15.75" customHeight="1" x14ac:dyDescent="0.2">
      <c r="A3865" s="49">
        <v>6130</v>
      </c>
      <c r="B3865" s="11" t="s">
        <v>1857</v>
      </c>
      <c r="C3865" s="11" t="s">
        <v>1876</v>
      </c>
      <c r="D3865" s="6" t="s">
        <v>1850</v>
      </c>
      <c r="E3865" s="12" t="s">
        <v>7784</v>
      </c>
      <c r="F3865" s="12" t="s">
        <v>7785</v>
      </c>
      <c r="G3865" s="12" t="s">
        <v>7789</v>
      </c>
      <c r="H3865" s="12" t="s">
        <v>7790</v>
      </c>
      <c r="I3865" s="12" t="s">
        <v>8488</v>
      </c>
      <c r="J3865" s="11" t="s">
        <v>1851</v>
      </c>
      <c r="K3865" s="11" t="s">
        <v>1852</v>
      </c>
      <c r="L3865" s="11" t="s">
        <v>1853</v>
      </c>
      <c r="M3865" s="11" t="s">
        <v>1854</v>
      </c>
      <c r="N3865" s="12"/>
      <c r="O3865" s="11" t="s">
        <v>1858</v>
      </c>
      <c r="P3865" s="56"/>
    </row>
    <row r="3866" spans="1:16" ht="15.75" customHeight="1" x14ac:dyDescent="0.2">
      <c r="A3866" s="49">
        <v>6140</v>
      </c>
      <c r="B3866" s="11" t="s">
        <v>1857</v>
      </c>
      <c r="C3866" s="11" t="s">
        <v>1876</v>
      </c>
      <c r="D3866" s="6" t="s">
        <v>1850</v>
      </c>
      <c r="E3866" s="12" t="s">
        <v>7784</v>
      </c>
      <c r="F3866" s="12" t="s">
        <v>7785</v>
      </c>
      <c r="G3866" s="12" t="s">
        <v>7789</v>
      </c>
      <c r="H3866" s="12" t="s">
        <v>7830</v>
      </c>
      <c r="I3866" s="12" t="s">
        <v>8489</v>
      </c>
      <c r="J3866" s="11" t="s">
        <v>1851</v>
      </c>
      <c r="K3866" s="11" t="s">
        <v>1852</v>
      </c>
      <c r="L3866" s="11" t="s">
        <v>1853</v>
      </c>
      <c r="M3866" s="11" t="s">
        <v>1854</v>
      </c>
      <c r="N3866" s="12"/>
      <c r="O3866" s="11" t="s">
        <v>2307</v>
      </c>
      <c r="P3866" s="56" t="s">
        <v>4994</v>
      </c>
    </row>
    <row r="3867" spans="1:16" ht="15.75" customHeight="1" x14ac:dyDescent="0.2">
      <c r="A3867" s="49">
        <v>2992</v>
      </c>
      <c r="B3867" s="11" t="s">
        <v>1857</v>
      </c>
      <c r="C3867" s="11" t="s">
        <v>1876</v>
      </c>
      <c r="D3867" s="6" t="s">
        <v>1850</v>
      </c>
      <c r="E3867" s="12" t="s">
        <v>7784</v>
      </c>
      <c r="F3867" s="12" t="s">
        <v>7785</v>
      </c>
      <c r="G3867" s="12" t="s">
        <v>7789</v>
      </c>
      <c r="H3867" s="12" t="s">
        <v>7824</v>
      </c>
      <c r="I3867" s="12" t="s">
        <v>8490</v>
      </c>
      <c r="J3867" s="11" t="s">
        <v>1851</v>
      </c>
      <c r="K3867" s="11" t="s">
        <v>1852</v>
      </c>
      <c r="L3867" s="11" t="s">
        <v>1853</v>
      </c>
      <c r="M3867" s="11" t="s">
        <v>1854</v>
      </c>
      <c r="N3867" s="12"/>
      <c r="O3867" s="11" t="s">
        <v>2307</v>
      </c>
      <c r="P3867" s="56" t="s">
        <v>2573</v>
      </c>
    </row>
    <row r="3868" spans="1:16" ht="15.75" customHeight="1" x14ac:dyDescent="0.2">
      <c r="A3868" s="49">
        <v>6164</v>
      </c>
      <c r="B3868" s="11" t="s">
        <v>1857</v>
      </c>
      <c r="C3868" s="11" t="s">
        <v>1876</v>
      </c>
      <c r="D3868" s="6" t="s">
        <v>1850</v>
      </c>
      <c r="E3868" s="12" t="s">
        <v>7784</v>
      </c>
      <c r="F3868" s="12" t="s">
        <v>7785</v>
      </c>
      <c r="G3868" s="12" t="s">
        <v>7786</v>
      </c>
      <c r="H3868" s="12" t="s">
        <v>7798</v>
      </c>
      <c r="I3868" s="12" t="s">
        <v>8491</v>
      </c>
      <c r="J3868" s="11" t="s">
        <v>1851</v>
      </c>
      <c r="K3868" s="11" t="s">
        <v>1852</v>
      </c>
      <c r="L3868" s="11" t="s">
        <v>1853</v>
      </c>
      <c r="M3868" s="12" t="s">
        <v>8492</v>
      </c>
      <c r="N3868" s="11" t="s">
        <v>8493</v>
      </c>
      <c r="O3868" s="11" t="s">
        <v>2307</v>
      </c>
      <c r="P3868" s="56" t="s">
        <v>3343</v>
      </c>
    </row>
    <row r="3869" spans="1:16" ht="15.75" customHeight="1" x14ac:dyDescent="0.2">
      <c r="A3869" s="49">
        <v>7472</v>
      </c>
      <c r="B3869" s="11" t="s">
        <v>1857</v>
      </c>
      <c r="C3869" s="11" t="s">
        <v>1876</v>
      </c>
      <c r="D3869" s="6" t="s">
        <v>1850</v>
      </c>
      <c r="E3869" s="12" t="s">
        <v>7784</v>
      </c>
      <c r="F3869" s="12" t="s">
        <v>7785</v>
      </c>
      <c r="G3869" s="12" t="s">
        <v>7789</v>
      </c>
      <c r="H3869" s="12" t="s">
        <v>7793</v>
      </c>
      <c r="I3869" s="12" t="s">
        <v>8494</v>
      </c>
      <c r="J3869" s="11" t="s">
        <v>1851</v>
      </c>
      <c r="K3869" s="11" t="s">
        <v>1852</v>
      </c>
      <c r="L3869" s="11" t="s">
        <v>1853</v>
      </c>
      <c r="M3869" s="11" t="s">
        <v>8495</v>
      </c>
      <c r="N3869" s="12"/>
      <c r="O3869" s="11" t="s">
        <v>1860</v>
      </c>
      <c r="P3869" s="56"/>
    </row>
    <row r="3870" spans="1:16" ht="15.75" customHeight="1" x14ac:dyDescent="0.2">
      <c r="A3870" s="49">
        <v>7481</v>
      </c>
      <c r="B3870" s="11" t="s">
        <v>1857</v>
      </c>
      <c r="C3870" s="11" t="s">
        <v>1876</v>
      </c>
      <c r="D3870" s="6" t="s">
        <v>1850</v>
      </c>
      <c r="E3870" s="12" t="s">
        <v>7784</v>
      </c>
      <c r="F3870" s="12" t="s">
        <v>7785</v>
      </c>
      <c r="G3870" s="12" t="s">
        <v>7789</v>
      </c>
      <c r="H3870" s="12" t="s">
        <v>7830</v>
      </c>
      <c r="I3870" s="12" t="s">
        <v>8496</v>
      </c>
      <c r="J3870" s="11" t="s">
        <v>1851</v>
      </c>
      <c r="K3870" s="11" t="s">
        <v>1852</v>
      </c>
      <c r="L3870" s="11" t="s">
        <v>1853</v>
      </c>
      <c r="M3870" s="11" t="s">
        <v>8497</v>
      </c>
      <c r="N3870" s="12"/>
      <c r="O3870" s="11" t="s">
        <v>1860</v>
      </c>
      <c r="P3870" s="56"/>
    </row>
    <row r="3871" spans="1:16" ht="15.75" customHeight="1" x14ac:dyDescent="0.2">
      <c r="A3871" s="49">
        <v>7179</v>
      </c>
      <c r="B3871" s="11" t="s">
        <v>1857</v>
      </c>
      <c r="C3871" s="11" t="s">
        <v>1876</v>
      </c>
      <c r="D3871" s="6" t="s">
        <v>1850</v>
      </c>
      <c r="E3871" s="12" t="s">
        <v>7784</v>
      </c>
      <c r="F3871" s="12" t="s">
        <v>7785</v>
      </c>
      <c r="G3871" s="12" t="s">
        <v>7789</v>
      </c>
      <c r="H3871" s="12" t="s">
        <v>7793</v>
      </c>
      <c r="I3871" s="12" t="s">
        <v>8498</v>
      </c>
      <c r="J3871" s="11" t="s">
        <v>1851</v>
      </c>
      <c r="K3871" s="11" t="s">
        <v>1852</v>
      </c>
      <c r="L3871" s="11" t="s">
        <v>1853</v>
      </c>
      <c r="M3871" s="11" t="s">
        <v>1854</v>
      </c>
      <c r="N3871" s="12"/>
      <c r="O3871" s="11" t="s">
        <v>1860</v>
      </c>
      <c r="P3871" s="56"/>
    </row>
    <row r="3872" spans="1:16" ht="15.75" customHeight="1" x14ac:dyDescent="0.2">
      <c r="A3872" s="49">
        <v>7466</v>
      </c>
      <c r="B3872" s="11" t="s">
        <v>1857</v>
      </c>
      <c r="C3872" s="11" t="s">
        <v>1876</v>
      </c>
      <c r="D3872" s="6" t="s">
        <v>1850</v>
      </c>
      <c r="E3872" s="12" t="s">
        <v>7784</v>
      </c>
      <c r="F3872" s="12" t="s">
        <v>7785</v>
      </c>
      <c r="G3872" s="12" t="s">
        <v>7789</v>
      </c>
      <c r="H3872" s="12" t="s">
        <v>7824</v>
      </c>
      <c r="I3872" s="12" t="s">
        <v>8499</v>
      </c>
      <c r="J3872" s="11" t="s">
        <v>1851</v>
      </c>
      <c r="K3872" s="11" t="s">
        <v>1852</v>
      </c>
      <c r="L3872" s="11" t="s">
        <v>1853</v>
      </c>
      <c r="M3872" s="11" t="s">
        <v>8500</v>
      </c>
      <c r="N3872" s="12"/>
      <c r="O3872" s="11" t="s">
        <v>1858</v>
      </c>
      <c r="P3872" s="56"/>
    </row>
    <row r="3873" spans="1:16" ht="15.75" customHeight="1" x14ac:dyDescent="0.2">
      <c r="A3873" s="49">
        <v>7507</v>
      </c>
      <c r="B3873" s="11" t="s">
        <v>1857</v>
      </c>
      <c r="C3873" s="11" t="s">
        <v>1876</v>
      </c>
      <c r="D3873" s="6" t="s">
        <v>1850</v>
      </c>
      <c r="E3873" s="12" t="s">
        <v>7784</v>
      </c>
      <c r="F3873" s="12" t="s">
        <v>7785</v>
      </c>
      <c r="G3873" s="12" t="s">
        <v>7802</v>
      </c>
      <c r="H3873" s="12" t="s">
        <v>7859</v>
      </c>
      <c r="I3873" s="12" t="s">
        <v>8501</v>
      </c>
      <c r="J3873" s="11" t="s">
        <v>1851</v>
      </c>
      <c r="K3873" s="11" t="s">
        <v>1852</v>
      </c>
      <c r="L3873" s="11" t="s">
        <v>1853</v>
      </c>
      <c r="M3873" s="11" t="s">
        <v>1854</v>
      </c>
      <c r="N3873" s="12"/>
      <c r="O3873" s="11" t="s">
        <v>2378</v>
      </c>
      <c r="P3873" s="56"/>
    </row>
    <row r="3874" spans="1:16" ht="15.75" customHeight="1" x14ac:dyDescent="0.2">
      <c r="A3874" s="49">
        <v>7468</v>
      </c>
      <c r="B3874" s="11" t="s">
        <v>1857</v>
      </c>
      <c r="C3874" s="11" t="s">
        <v>1876</v>
      </c>
      <c r="D3874" s="6" t="s">
        <v>1850</v>
      </c>
      <c r="E3874" s="12" t="s">
        <v>7784</v>
      </c>
      <c r="F3874" s="12" t="s">
        <v>7785</v>
      </c>
      <c r="G3874" s="12" t="s">
        <v>7789</v>
      </c>
      <c r="H3874" s="12" t="s">
        <v>7824</v>
      </c>
      <c r="I3874" s="12" t="s">
        <v>8502</v>
      </c>
      <c r="J3874" s="11" t="s">
        <v>1851</v>
      </c>
      <c r="K3874" s="11" t="s">
        <v>1852</v>
      </c>
      <c r="L3874" s="11" t="s">
        <v>1853</v>
      </c>
      <c r="M3874" s="11" t="s">
        <v>1854</v>
      </c>
      <c r="N3874" s="12"/>
      <c r="O3874" s="11" t="s">
        <v>1858</v>
      </c>
      <c r="P3874" s="56"/>
    </row>
    <row r="3875" spans="1:16" ht="15.75" customHeight="1" x14ac:dyDescent="0.2">
      <c r="A3875" s="49">
        <v>7188</v>
      </c>
      <c r="B3875" s="11" t="s">
        <v>1857</v>
      </c>
      <c r="C3875" s="11" t="s">
        <v>1876</v>
      </c>
      <c r="D3875" s="6" t="s">
        <v>1850</v>
      </c>
      <c r="E3875" s="12" t="s">
        <v>7784</v>
      </c>
      <c r="F3875" s="12" t="s">
        <v>7785</v>
      </c>
      <c r="G3875" s="12" t="s">
        <v>7789</v>
      </c>
      <c r="H3875" s="12" t="s">
        <v>7790</v>
      </c>
      <c r="I3875" s="12" t="s">
        <v>8503</v>
      </c>
      <c r="J3875" s="11" t="s">
        <v>1851</v>
      </c>
      <c r="K3875" s="11" t="s">
        <v>1852</v>
      </c>
      <c r="L3875" s="11" t="s">
        <v>1853</v>
      </c>
      <c r="M3875" s="11" t="s">
        <v>8504</v>
      </c>
      <c r="N3875" s="12"/>
      <c r="O3875" s="11" t="s">
        <v>1860</v>
      </c>
      <c r="P3875" s="56"/>
    </row>
    <row r="3876" spans="1:16" ht="15.75" customHeight="1" x14ac:dyDescent="0.2">
      <c r="A3876" s="49">
        <v>7558</v>
      </c>
      <c r="B3876" s="11" t="s">
        <v>1857</v>
      </c>
      <c r="C3876" s="11" t="s">
        <v>1876</v>
      </c>
      <c r="D3876" s="6" t="s">
        <v>1850</v>
      </c>
      <c r="E3876" s="12" t="s">
        <v>7784</v>
      </c>
      <c r="F3876" s="12" t="s">
        <v>7785</v>
      </c>
      <c r="G3876" s="12" t="s">
        <v>7789</v>
      </c>
      <c r="H3876" s="12" t="s">
        <v>7852</v>
      </c>
      <c r="I3876" s="12" t="s">
        <v>8505</v>
      </c>
      <c r="J3876" s="11" t="s">
        <v>1851</v>
      </c>
      <c r="K3876" s="11" t="s">
        <v>1852</v>
      </c>
      <c r="L3876" s="11" t="s">
        <v>1853</v>
      </c>
      <c r="M3876" s="11" t="s">
        <v>1854</v>
      </c>
      <c r="N3876" s="12"/>
      <c r="O3876" s="11" t="s">
        <v>1858</v>
      </c>
      <c r="P3876" s="56"/>
    </row>
    <row r="3877" spans="1:16" ht="15.75" customHeight="1" x14ac:dyDescent="0.2">
      <c r="A3877" s="49">
        <v>7533</v>
      </c>
      <c r="B3877" s="11" t="s">
        <v>1857</v>
      </c>
      <c r="C3877" s="11" t="s">
        <v>1876</v>
      </c>
      <c r="D3877" s="6" t="s">
        <v>1850</v>
      </c>
      <c r="E3877" s="12" t="s">
        <v>7784</v>
      </c>
      <c r="F3877" s="12" t="s">
        <v>7785</v>
      </c>
      <c r="G3877" s="12" t="s">
        <v>7789</v>
      </c>
      <c r="H3877" s="12" t="s">
        <v>7830</v>
      </c>
      <c r="I3877" s="12" t="s">
        <v>8506</v>
      </c>
      <c r="J3877" s="11" t="s">
        <v>1851</v>
      </c>
      <c r="K3877" s="11" t="s">
        <v>1852</v>
      </c>
      <c r="L3877" s="11" t="s">
        <v>1853</v>
      </c>
      <c r="M3877" s="11" t="s">
        <v>8507</v>
      </c>
      <c r="N3877" s="12"/>
      <c r="O3877" s="11" t="s">
        <v>1858</v>
      </c>
      <c r="P3877" s="56"/>
    </row>
    <row r="3878" spans="1:16" ht="15.75" customHeight="1" x14ac:dyDescent="0.2">
      <c r="A3878" s="49">
        <v>7200</v>
      </c>
      <c r="B3878" s="11" t="s">
        <v>1857</v>
      </c>
      <c r="C3878" s="11" t="s">
        <v>1876</v>
      </c>
      <c r="D3878" s="6" t="s">
        <v>1850</v>
      </c>
      <c r="E3878" s="12" t="s">
        <v>7784</v>
      </c>
      <c r="F3878" s="12" t="s">
        <v>7785</v>
      </c>
      <c r="G3878" s="12" t="s">
        <v>7786</v>
      </c>
      <c r="H3878" s="12" t="s">
        <v>7807</v>
      </c>
      <c r="I3878" s="12" t="s">
        <v>8508</v>
      </c>
      <c r="J3878" s="11" t="s">
        <v>1851</v>
      </c>
      <c r="K3878" s="11" t="s">
        <v>1852</v>
      </c>
      <c r="L3878" s="11" t="s">
        <v>1853</v>
      </c>
      <c r="M3878" s="11" t="s">
        <v>1854</v>
      </c>
      <c r="N3878" s="12"/>
      <c r="O3878" s="11" t="s">
        <v>1860</v>
      </c>
      <c r="P3878" s="56"/>
    </row>
    <row r="3879" spans="1:16" ht="15.75" customHeight="1" x14ac:dyDescent="0.2">
      <c r="A3879" s="48">
        <v>15961</v>
      </c>
      <c r="B3879" s="11" t="s">
        <v>1871</v>
      </c>
      <c r="C3879" s="11" t="s">
        <v>1876</v>
      </c>
      <c r="D3879" s="6" t="s">
        <v>1850</v>
      </c>
      <c r="E3879" s="12" t="s">
        <v>7784</v>
      </c>
      <c r="F3879" s="12" t="s">
        <v>7785</v>
      </c>
      <c r="G3879" s="12" t="s">
        <v>7786</v>
      </c>
      <c r="H3879" s="12" t="s">
        <v>7787</v>
      </c>
      <c r="I3879" s="12" t="s">
        <v>8509</v>
      </c>
      <c r="J3879" s="11" t="s">
        <v>1851</v>
      </c>
      <c r="K3879" s="11" t="s">
        <v>1852</v>
      </c>
      <c r="L3879" s="11" t="s">
        <v>1853</v>
      </c>
      <c r="M3879" s="11" t="s">
        <v>1854</v>
      </c>
      <c r="N3879" s="12"/>
      <c r="O3879" s="11" t="s">
        <v>1866</v>
      </c>
      <c r="P3879" s="56"/>
    </row>
    <row r="3880" spans="1:16" ht="15.75" customHeight="1" x14ac:dyDescent="0.2">
      <c r="A3880" s="48">
        <v>7214</v>
      </c>
      <c r="B3880" s="11" t="s">
        <v>1871</v>
      </c>
      <c r="C3880" s="11" t="s">
        <v>1876</v>
      </c>
      <c r="D3880" s="6" t="s">
        <v>1850</v>
      </c>
      <c r="E3880" s="12" t="s">
        <v>7784</v>
      </c>
      <c r="F3880" s="12" t="s">
        <v>7785</v>
      </c>
      <c r="G3880" s="12" t="s">
        <v>7786</v>
      </c>
      <c r="H3880" s="12" t="s">
        <v>7798</v>
      </c>
      <c r="I3880" s="12" t="s">
        <v>8510</v>
      </c>
      <c r="J3880" s="11" t="s">
        <v>1851</v>
      </c>
      <c r="K3880" s="11" t="s">
        <v>1852</v>
      </c>
      <c r="L3880" s="11" t="s">
        <v>1853</v>
      </c>
      <c r="M3880" s="11" t="s">
        <v>1854</v>
      </c>
      <c r="N3880" s="12"/>
      <c r="O3880" s="11" t="s">
        <v>1866</v>
      </c>
      <c r="P3880" s="56" t="s">
        <v>2614</v>
      </c>
    </row>
    <row r="3881" spans="1:16" ht="15.75" customHeight="1" x14ac:dyDescent="0.2">
      <c r="A3881" s="49">
        <v>7510</v>
      </c>
      <c r="B3881" s="11" t="s">
        <v>1871</v>
      </c>
      <c r="C3881" s="11" t="s">
        <v>1876</v>
      </c>
      <c r="D3881" s="6" t="s">
        <v>1850</v>
      </c>
      <c r="E3881" s="12" t="s">
        <v>7784</v>
      </c>
      <c r="F3881" s="12" t="s">
        <v>7785</v>
      </c>
      <c r="G3881" s="12" t="s">
        <v>2723</v>
      </c>
      <c r="H3881" s="12" t="s">
        <v>5839</v>
      </c>
      <c r="I3881" s="12" t="s">
        <v>8511</v>
      </c>
      <c r="J3881" s="11" t="s">
        <v>1851</v>
      </c>
      <c r="K3881" s="11" t="s">
        <v>1852</v>
      </c>
      <c r="L3881" s="11" t="s">
        <v>1853</v>
      </c>
      <c r="M3881" s="11" t="s">
        <v>1854</v>
      </c>
      <c r="N3881" s="12"/>
      <c r="O3881" s="11" t="s">
        <v>1866</v>
      </c>
      <c r="P3881" s="56"/>
    </row>
    <row r="3882" spans="1:16" ht="15.75" customHeight="1" x14ac:dyDescent="0.2">
      <c r="A3882" s="48">
        <v>6841</v>
      </c>
      <c r="B3882" s="11" t="s">
        <v>1871</v>
      </c>
      <c r="C3882" s="11" t="s">
        <v>1876</v>
      </c>
      <c r="D3882" s="6" t="s">
        <v>1850</v>
      </c>
      <c r="E3882" s="12" t="s">
        <v>7784</v>
      </c>
      <c r="F3882" s="12" t="s">
        <v>7785</v>
      </c>
      <c r="G3882" s="12" t="s">
        <v>7789</v>
      </c>
      <c r="H3882" s="12" t="s">
        <v>7830</v>
      </c>
      <c r="I3882" s="12" t="s">
        <v>8512</v>
      </c>
      <c r="J3882" s="11" t="s">
        <v>1851</v>
      </c>
      <c r="K3882" s="11" t="s">
        <v>1852</v>
      </c>
      <c r="L3882" s="11" t="s">
        <v>1853</v>
      </c>
      <c r="M3882" s="11" t="s">
        <v>1854</v>
      </c>
      <c r="N3882" s="12"/>
      <c r="O3882" s="11" t="s">
        <v>1866</v>
      </c>
      <c r="P3882" s="56" t="s">
        <v>3476</v>
      </c>
    </row>
    <row r="3883" spans="1:16" ht="15.75" customHeight="1" x14ac:dyDescent="0.2">
      <c r="A3883" s="49">
        <v>15852</v>
      </c>
      <c r="B3883" s="11" t="s">
        <v>1871</v>
      </c>
      <c r="C3883" s="11" t="s">
        <v>1876</v>
      </c>
      <c r="D3883" s="6" t="s">
        <v>1850</v>
      </c>
      <c r="E3883" s="12" t="s">
        <v>7784</v>
      </c>
      <c r="F3883" s="12" t="s">
        <v>7785</v>
      </c>
      <c r="G3883" s="12" t="s">
        <v>7789</v>
      </c>
      <c r="H3883" s="12" t="s">
        <v>7830</v>
      </c>
      <c r="I3883" s="12" t="s">
        <v>8513</v>
      </c>
      <c r="J3883" s="11" t="s">
        <v>1851</v>
      </c>
      <c r="K3883" s="11" t="s">
        <v>1852</v>
      </c>
      <c r="L3883" s="11" t="s">
        <v>1853</v>
      </c>
      <c r="M3883" s="11" t="s">
        <v>1854</v>
      </c>
      <c r="N3883" s="12"/>
      <c r="O3883" s="11" t="s">
        <v>1866</v>
      </c>
      <c r="P3883" s="56" t="s">
        <v>3343</v>
      </c>
    </row>
    <row r="3884" spans="1:16" ht="15.75" customHeight="1" x14ac:dyDescent="0.2">
      <c r="A3884" s="48">
        <v>7195</v>
      </c>
      <c r="B3884" s="11" t="s">
        <v>1871</v>
      </c>
      <c r="C3884" s="11" t="s">
        <v>1876</v>
      </c>
      <c r="D3884" s="6" t="s">
        <v>1850</v>
      </c>
      <c r="E3884" s="12" t="s">
        <v>7784</v>
      </c>
      <c r="F3884" s="12" t="s">
        <v>7785</v>
      </c>
      <c r="G3884" s="12" t="s">
        <v>7789</v>
      </c>
      <c r="H3884" s="12" t="s">
        <v>7830</v>
      </c>
      <c r="I3884" s="12" t="s">
        <v>8514</v>
      </c>
      <c r="J3884" s="11" t="s">
        <v>1851</v>
      </c>
      <c r="K3884" s="11" t="s">
        <v>1852</v>
      </c>
      <c r="L3884" s="11" t="s">
        <v>1853</v>
      </c>
      <c r="M3884" s="11" t="s">
        <v>1854</v>
      </c>
      <c r="N3884" s="12"/>
      <c r="O3884" s="11" t="s">
        <v>1866</v>
      </c>
      <c r="P3884" s="56" t="s">
        <v>8515</v>
      </c>
    </row>
    <row r="3885" spans="1:16" ht="15.75" customHeight="1" x14ac:dyDescent="0.2">
      <c r="A3885" s="49">
        <v>7511</v>
      </c>
      <c r="B3885" s="11" t="s">
        <v>1871</v>
      </c>
      <c r="C3885" s="11" t="s">
        <v>1876</v>
      </c>
      <c r="D3885" s="6" t="s">
        <v>1850</v>
      </c>
      <c r="E3885" s="12" t="s">
        <v>7784</v>
      </c>
      <c r="F3885" s="12" t="s">
        <v>7785</v>
      </c>
      <c r="G3885" s="12" t="s">
        <v>7789</v>
      </c>
      <c r="H3885" s="12" t="s">
        <v>7789</v>
      </c>
      <c r="I3885" s="12" t="s">
        <v>8516</v>
      </c>
      <c r="J3885" s="11" t="s">
        <v>1851</v>
      </c>
      <c r="K3885" s="11" t="s">
        <v>1852</v>
      </c>
      <c r="L3885" s="11" t="s">
        <v>1853</v>
      </c>
      <c r="M3885" s="11" t="s">
        <v>1854</v>
      </c>
      <c r="N3885" s="12"/>
      <c r="O3885" s="11" t="s">
        <v>1874</v>
      </c>
      <c r="P3885" s="56" t="s">
        <v>7097</v>
      </c>
    </row>
    <row r="3886" spans="1:16" ht="15.75" customHeight="1" x14ac:dyDescent="0.2">
      <c r="A3886" s="49">
        <v>7204</v>
      </c>
      <c r="B3886" s="11" t="s">
        <v>1871</v>
      </c>
      <c r="C3886" s="11" t="s">
        <v>1876</v>
      </c>
      <c r="D3886" s="6" t="s">
        <v>1850</v>
      </c>
      <c r="E3886" s="12" t="s">
        <v>7784</v>
      </c>
      <c r="F3886" s="12" t="s">
        <v>7785</v>
      </c>
      <c r="G3886" s="12" t="s">
        <v>7786</v>
      </c>
      <c r="H3886" s="12" t="s">
        <v>7798</v>
      </c>
      <c r="I3886" s="12" t="s">
        <v>8517</v>
      </c>
      <c r="J3886" s="11" t="s">
        <v>1851</v>
      </c>
      <c r="K3886" s="11" t="s">
        <v>1852</v>
      </c>
      <c r="L3886" s="11" t="s">
        <v>1853</v>
      </c>
      <c r="M3886" s="11" t="s">
        <v>1854</v>
      </c>
      <c r="N3886" s="12"/>
      <c r="O3886" s="11" t="s">
        <v>1866</v>
      </c>
      <c r="P3886" s="56" t="s">
        <v>3516</v>
      </c>
    </row>
    <row r="3887" spans="1:16" ht="15.75" customHeight="1" x14ac:dyDescent="0.2">
      <c r="A3887" s="48">
        <v>7202</v>
      </c>
      <c r="B3887" s="11" t="s">
        <v>1871</v>
      </c>
      <c r="C3887" s="11" t="s">
        <v>1876</v>
      </c>
      <c r="D3887" s="6" t="s">
        <v>1850</v>
      </c>
      <c r="E3887" s="12" t="s">
        <v>7784</v>
      </c>
      <c r="F3887" s="12" t="s">
        <v>7785</v>
      </c>
      <c r="G3887" s="12" t="s">
        <v>7786</v>
      </c>
      <c r="H3887" s="12" t="s">
        <v>7798</v>
      </c>
      <c r="I3887" s="12" t="s">
        <v>8518</v>
      </c>
      <c r="J3887" s="11" t="s">
        <v>1851</v>
      </c>
      <c r="K3887" s="11" t="s">
        <v>1852</v>
      </c>
      <c r="L3887" s="11" t="s">
        <v>1853</v>
      </c>
      <c r="M3887" s="11" t="s">
        <v>1854</v>
      </c>
      <c r="N3887" s="12"/>
      <c r="O3887" s="11" t="s">
        <v>1866</v>
      </c>
      <c r="P3887" s="56" t="s">
        <v>8519</v>
      </c>
    </row>
    <row r="3888" spans="1:16" ht="15.75" customHeight="1" x14ac:dyDescent="0.2">
      <c r="A3888" s="48">
        <v>7193</v>
      </c>
      <c r="B3888" s="11" t="s">
        <v>1871</v>
      </c>
      <c r="C3888" s="11" t="s">
        <v>1876</v>
      </c>
      <c r="D3888" s="6" t="s">
        <v>1850</v>
      </c>
      <c r="E3888" s="12" t="s">
        <v>7784</v>
      </c>
      <c r="F3888" s="12" t="s">
        <v>7785</v>
      </c>
      <c r="G3888" s="12" t="s">
        <v>7789</v>
      </c>
      <c r="H3888" s="12" t="s">
        <v>7830</v>
      </c>
      <c r="I3888" s="12" t="s">
        <v>8520</v>
      </c>
      <c r="J3888" s="11" t="s">
        <v>1851</v>
      </c>
      <c r="K3888" s="11" t="s">
        <v>1852</v>
      </c>
      <c r="L3888" s="11" t="s">
        <v>1853</v>
      </c>
      <c r="M3888" s="11" t="s">
        <v>1854</v>
      </c>
      <c r="N3888" s="12"/>
      <c r="O3888" s="11" t="s">
        <v>1866</v>
      </c>
      <c r="P3888" s="56"/>
    </row>
    <row r="3889" spans="1:16" ht="15.75" customHeight="1" x14ac:dyDescent="0.2">
      <c r="A3889" s="48">
        <v>7203</v>
      </c>
      <c r="B3889" s="11" t="s">
        <v>1871</v>
      </c>
      <c r="C3889" s="11" t="s">
        <v>1876</v>
      </c>
      <c r="D3889" s="6" t="s">
        <v>1850</v>
      </c>
      <c r="E3889" s="12" t="s">
        <v>7784</v>
      </c>
      <c r="F3889" s="12" t="s">
        <v>7785</v>
      </c>
      <c r="G3889" s="12" t="s">
        <v>7786</v>
      </c>
      <c r="H3889" s="12" t="s">
        <v>7798</v>
      </c>
      <c r="I3889" s="12" t="s">
        <v>8521</v>
      </c>
      <c r="J3889" s="11" t="s">
        <v>1851</v>
      </c>
      <c r="K3889" s="11" t="s">
        <v>1852</v>
      </c>
      <c r="L3889" s="11" t="s">
        <v>1853</v>
      </c>
      <c r="M3889" s="11" t="s">
        <v>1854</v>
      </c>
      <c r="N3889" s="12"/>
      <c r="O3889" s="11" t="s">
        <v>1866</v>
      </c>
      <c r="P3889" s="56"/>
    </row>
    <row r="3890" spans="1:16" ht="15.75" customHeight="1" x14ac:dyDescent="0.2">
      <c r="A3890" s="48">
        <v>15950</v>
      </c>
      <c r="B3890" s="11" t="s">
        <v>1871</v>
      </c>
      <c r="C3890" s="11" t="s">
        <v>1876</v>
      </c>
      <c r="D3890" s="6" t="s">
        <v>1850</v>
      </c>
      <c r="E3890" s="12" t="s">
        <v>7784</v>
      </c>
      <c r="F3890" s="12" t="s">
        <v>7785</v>
      </c>
      <c r="G3890" s="12" t="s">
        <v>7786</v>
      </c>
      <c r="H3890" s="12" t="s">
        <v>7807</v>
      </c>
      <c r="I3890" s="12" t="s">
        <v>8522</v>
      </c>
      <c r="J3890" s="11" t="s">
        <v>1851</v>
      </c>
      <c r="K3890" s="11" t="s">
        <v>1852</v>
      </c>
      <c r="L3890" s="11" t="s">
        <v>1853</v>
      </c>
      <c r="M3890" s="11" t="s">
        <v>1854</v>
      </c>
      <c r="N3890" s="12"/>
      <c r="O3890" s="11" t="s">
        <v>1866</v>
      </c>
      <c r="P3890" s="56" t="s">
        <v>1865</v>
      </c>
    </row>
    <row r="3891" spans="1:16" ht="15.75" customHeight="1" x14ac:dyDescent="0.2">
      <c r="A3891" s="48">
        <v>7216</v>
      </c>
      <c r="B3891" s="11" t="s">
        <v>1871</v>
      </c>
      <c r="C3891" s="11" t="s">
        <v>1876</v>
      </c>
      <c r="D3891" s="6" t="s">
        <v>1850</v>
      </c>
      <c r="E3891" s="12" t="s">
        <v>7784</v>
      </c>
      <c r="F3891" s="12" t="s">
        <v>7785</v>
      </c>
      <c r="G3891" s="12" t="s">
        <v>7786</v>
      </c>
      <c r="H3891" s="12" t="s">
        <v>7787</v>
      </c>
      <c r="I3891" s="12" t="s">
        <v>8523</v>
      </c>
      <c r="J3891" s="11" t="s">
        <v>1851</v>
      </c>
      <c r="K3891" s="11" t="s">
        <v>1852</v>
      </c>
      <c r="L3891" s="11" t="s">
        <v>1853</v>
      </c>
      <c r="M3891" s="11" t="s">
        <v>1854</v>
      </c>
      <c r="N3891" s="12"/>
      <c r="O3891" s="11" t="s">
        <v>1866</v>
      </c>
      <c r="P3891" s="56" t="s">
        <v>2614</v>
      </c>
    </row>
    <row r="3892" spans="1:16" ht="15.75" customHeight="1" x14ac:dyDescent="0.2">
      <c r="A3892" s="48">
        <v>15873</v>
      </c>
      <c r="B3892" s="11" t="s">
        <v>1871</v>
      </c>
      <c r="C3892" s="11" t="s">
        <v>1876</v>
      </c>
      <c r="D3892" s="6" t="s">
        <v>1850</v>
      </c>
      <c r="E3892" s="12" t="s">
        <v>7784</v>
      </c>
      <c r="F3892" s="12" t="s">
        <v>7785</v>
      </c>
      <c r="G3892" s="12" t="s">
        <v>7786</v>
      </c>
      <c r="H3892" s="12" t="s">
        <v>7798</v>
      </c>
      <c r="I3892" s="12" t="s">
        <v>8524</v>
      </c>
      <c r="J3892" s="11" t="s">
        <v>1851</v>
      </c>
      <c r="K3892" s="11" t="s">
        <v>1852</v>
      </c>
      <c r="L3892" s="11" t="s">
        <v>1853</v>
      </c>
      <c r="M3892" s="11" t="s">
        <v>1854</v>
      </c>
      <c r="N3892" s="12"/>
      <c r="O3892" s="11" t="s">
        <v>1866</v>
      </c>
      <c r="P3892" s="56" t="s">
        <v>8525</v>
      </c>
    </row>
    <row r="3893" spans="1:16" ht="15.75" customHeight="1" x14ac:dyDescent="0.2">
      <c r="A3893" s="48">
        <v>7213</v>
      </c>
      <c r="B3893" s="11" t="s">
        <v>1871</v>
      </c>
      <c r="C3893" s="11" t="s">
        <v>1876</v>
      </c>
      <c r="D3893" s="6" t="s">
        <v>1850</v>
      </c>
      <c r="E3893" s="12" t="s">
        <v>7784</v>
      </c>
      <c r="F3893" s="12" t="s">
        <v>7785</v>
      </c>
      <c r="G3893" s="12" t="s">
        <v>7786</v>
      </c>
      <c r="H3893" s="12" t="s">
        <v>7787</v>
      </c>
      <c r="I3893" s="12" t="s">
        <v>8526</v>
      </c>
      <c r="J3893" s="11" t="s">
        <v>1851</v>
      </c>
      <c r="K3893" s="11" t="s">
        <v>1852</v>
      </c>
      <c r="L3893" s="11" t="s">
        <v>1853</v>
      </c>
      <c r="M3893" s="11" t="s">
        <v>1854</v>
      </c>
      <c r="N3893" s="12"/>
      <c r="O3893" s="11" t="s">
        <v>1866</v>
      </c>
      <c r="P3893" s="56" t="s">
        <v>7049</v>
      </c>
    </row>
    <row r="3894" spans="1:16" ht="15.75" customHeight="1" x14ac:dyDescent="0.2">
      <c r="A3894" s="48">
        <v>15204</v>
      </c>
      <c r="B3894" s="11" t="s">
        <v>1871</v>
      </c>
      <c r="C3894" s="11" t="s">
        <v>1876</v>
      </c>
      <c r="D3894" s="6" t="s">
        <v>1850</v>
      </c>
      <c r="E3894" s="12" t="s">
        <v>7784</v>
      </c>
      <c r="F3894" s="12" t="s">
        <v>7785</v>
      </c>
      <c r="G3894" s="12" t="s">
        <v>7786</v>
      </c>
      <c r="H3894" s="12" t="s">
        <v>7798</v>
      </c>
      <c r="I3894" s="12" t="s">
        <v>8527</v>
      </c>
      <c r="J3894" s="11" t="s">
        <v>1851</v>
      </c>
      <c r="K3894" s="11" t="s">
        <v>1852</v>
      </c>
      <c r="L3894" s="11" t="s">
        <v>1853</v>
      </c>
      <c r="M3894" s="11" t="s">
        <v>8528</v>
      </c>
      <c r="N3894" s="12"/>
      <c r="O3894" s="11" t="s">
        <v>1866</v>
      </c>
      <c r="P3894" s="56" t="s">
        <v>7156</v>
      </c>
    </row>
    <row r="3895" spans="1:16" ht="15.75" customHeight="1" x14ac:dyDescent="0.2">
      <c r="A3895" s="48">
        <v>7207</v>
      </c>
      <c r="B3895" s="11" t="s">
        <v>1871</v>
      </c>
      <c r="C3895" s="11" t="s">
        <v>1876</v>
      </c>
      <c r="D3895" s="6" t="s">
        <v>1850</v>
      </c>
      <c r="E3895" s="12" t="s">
        <v>7784</v>
      </c>
      <c r="F3895" s="12" t="s">
        <v>7785</v>
      </c>
      <c r="G3895" s="12" t="s">
        <v>7786</v>
      </c>
      <c r="H3895" s="12" t="s">
        <v>7798</v>
      </c>
      <c r="I3895" s="12" t="s">
        <v>8529</v>
      </c>
      <c r="J3895" s="11" t="s">
        <v>1851</v>
      </c>
      <c r="K3895" s="11" t="s">
        <v>1852</v>
      </c>
      <c r="L3895" s="11" t="s">
        <v>1853</v>
      </c>
      <c r="M3895" s="11" t="s">
        <v>1854</v>
      </c>
      <c r="N3895" s="12"/>
      <c r="O3895" s="11" t="s">
        <v>1866</v>
      </c>
      <c r="P3895" s="56" t="s">
        <v>3476</v>
      </c>
    </row>
    <row r="3896" spans="1:16" ht="15.75" customHeight="1" x14ac:dyDescent="0.2">
      <c r="A3896" s="48">
        <v>15896</v>
      </c>
      <c r="B3896" s="11" t="s">
        <v>1871</v>
      </c>
      <c r="C3896" s="11" t="s">
        <v>1876</v>
      </c>
      <c r="D3896" s="6" t="s">
        <v>1850</v>
      </c>
      <c r="E3896" s="12" t="s">
        <v>7784</v>
      </c>
      <c r="F3896" s="12" t="s">
        <v>7785</v>
      </c>
      <c r="G3896" s="12" t="s">
        <v>7786</v>
      </c>
      <c r="H3896" s="12" t="s">
        <v>7798</v>
      </c>
      <c r="I3896" s="12" t="s">
        <v>8530</v>
      </c>
      <c r="J3896" s="11" t="s">
        <v>1851</v>
      </c>
      <c r="K3896" s="11" t="s">
        <v>1852</v>
      </c>
      <c r="L3896" s="11" t="s">
        <v>1853</v>
      </c>
      <c r="M3896" s="11" t="s">
        <v>1854</v>
      </c>
      <c r="N3896" s="12"/>
      <c r="O3896" s="11" t="s">
        <v>1866</v>
      </c>
      <c r="P3896" s="56" t="s">
        <v>1865</v>
      </c>
    </row>
    <row r="3897" spans="1:16" ht="15.75" customHeight="1" x14ac:dyDescent="0.2">
      <c r="A3897" s="49">
        <v>6788</v>
      </c>
      <c r="B3897" s="11" t="s">
        <v>1871</v>
      </c>
      <c r="C3897" s="11" t="s">
        <v>1876</v>
      </c>
      <c r="D3897" s="6" t="s">
        <v>1850</v>
      </c>
      <c r="E3897" s="12" t="s">
        <v>7784</v>
      </c>
      <c r="F3897" s="12" t="s">
        <v>7785</v>
      </c>
      <c r="G3897" s="12" t="s">
        <v>7786</v>
      </c>
      <c r="H3897" s="12" t="s">
        <v>7787</v>
      </c>
      <c r="I3897" s="12" t="s">
        <v>8531</v>
      </c>
      <c r="J3897" s="11" t="s">
        <v>1851</v>
      </c>
      <c r="K3897" s="11" t="s">
        <v>1852</v>
      </c>
      <c r="L3897" s="11" t="s">
        <v>1853</v>
      </c>
      <c r="M3897" s="11" t="s">
        <v>1854</v>
      </c>
      <c r="N3897" s="12"/>
      <c r="O3897" s="11" t="s">
        <v>1866</v>
      </c>
      <c r="P3897" s="56"/>
    </row>
    <row r="3898" spans="1:16" ht="15.75" customHeight="1" x14ac:dyDescent="0.2">
      <c r="A3898" s="49">
        <v>7512</v>
      </c>
      <c r="B3898" s="11" t="s">
        <v>1871</v>
      </c>
      <c r="C3898" s="11" t="s">
        <v>1876</v>
      </c>
      <c r="D3898" s="6" t="s">
        <v>1850</v>
      </c>
      <c r="E3898" s="12" t="s">
        <v>7784</v>
      </c>
      <c r="F3898" s="12" t="s">
        <v>7785</v>
      </c>
      <c r="G3898" s="12" t="s">
        <v>7789</v>
      </c>
      <c r="H3898" s="12" t="s">
        <v>7865</v>
      </c>
      <c r="I3898" s="12" t="s">
        <v>8532</v>
      </c>
      <c r="J3898" s="11" t="s">
        <v>1851</v>
      </c>
      <c r="K3898" s="11" t="s">
        <v>1852</v>
      </c>
      <c r="L3898" s="11" t="s">
        <v>1853</v>
      </c>
      <c r="M3898" s="11" t="s">
        <v>1854</v>
      </c>
      <c r="N3898" s="12"/>
      <c r="O3898" s="11" t="s">
        <v>1866</v>
      </c>
      <c r="P3898" s="56" t="s">
        <v>3343</v>
      </c>
    </row>
    <row r="3899" spans="1:16" ht="15.75" customHeight="1" x14ac:dyDescent="0.2">
      <c r="A3899" s="49">
        <v>7606</v>
      </c>
      <c r="B3899" s="11" t="s">
        <v>1871</v>
      </c>
      <c r="C3899" s="11" t="s">
        <v>1876</v>
      </c>
      <c r="D3899" s="6" t="s">
        <v>1850</v>
      </c>
      <c r="E3899" s="12" t="s">
        <v>7784</v>
      </c>
      <c r="F3899" s="12" t="s">
        <v>7785</v>
      </c>
      <c r="G3899" s="12" t="s">
        <v>7789</v>
      </c>
      <c r="H3899" s="12" t="s">
        <v>7865</v>
      </c>
      <c r="I3899" s="12" t="s">
        <v>8475</v>
      </c>
      <c r="J3899" s="11" t="s">
        <v>1851</v>
      </c>
      <c r="K3899" s="11" t="s">
        <v>1852</v>
      </c>
      <c r="L3899" s="11" t="s">
        <v>1853</v>
      </c>
      <c r="M3899" s="11" t="s">
        <v>8476</v>
      </c>
      <c r="N3899" s="12"/>
      <c r="O3899" s="11" t="s">
        <v>1866</v>
      </c>
      <c r="P3899" s="56" t="s">
        <v>8477</v>
      </c>
    </row>
    <row r="3900" spans="1:16" ht="15.75" customHeight="1" x14ac:dyDescent="0.2">
      <c r="A3900" s="49">
        <v>7182</v>
      </c>
      <c r="B3900" s="11" t="s">
        <v>1857</v>
      </c>
      <c r="C3900" s="11" t="s">
        <v>1876</v>
      </c>
      <c r="D3900" s="6" t="s">
        <v>4261</v>
      </c>
      <c r="E3900" s="12" t="s">
        <v>7784</v>
      </c>
      <c r="F3900" s="12" t="s">
        <v>7785</v>
      </c>
      <c r="G3900" s="12" t="s">
        <v>7789</v>
      </c>
      <c r="H3900" s="12" t="s">
        <v>7790</v>
      </c>
      <c r="I3900" s="12" t="s">
        <v>8533</v>
      </c>
      <c r="J3900" s="11" t="s">
        <v>1851</v>
      </c>
      <c r="K3900" s="11" t="s">
        <v>1852</v>
      </c>
      <c r="L3900" s="11" t="s">
        <v>1853</v>
      </c>
      <c r="M3900" s="11" t="s">
        <v>8534</v>
      </c>
      <c r="N3900" s="12"/>
      <c r="O3900" s="11" t="s">
        <v>1867</v>
      </c>
      <c r="P3900" s="56" t="s">
        <v>1865</v>
      </c>
    </row>
    <row r="3901" spans="1:16" ht="15.75" customHeight="1" x14ac:dyDescent="0.2">
      <c r="A3901" s="49">
        <v>7219</v>
      </c>
      <c r="B3901" s="11" t="s">
        <v>1857</v>
      </c>
      <c r="C3901" s="11" t="s">
        <v>1876</v>
      </c>
      <c r="D3901" s="6" t="s">
        <v>4261</v>
      </c>
      <c r="E3901" s="12" t="s">
        <v>7784</v>
      </c>
      <c r="F3901" s="12" t="s">
        <v>7785</v>
      </c>
      <c r="G3901" s="12" t="s">
        <v>7786</v>
      </c>
      <c r="H3901" s="12" t="s">
        <v>7807</v>
      </c>
      <c r="I3901" s="12" t="s">
        <v>8535</v>
      </c>
      <c r="J3901" s="11" t="s">
        <v>1851</v>
      </c>
      <c r="K3901" s="11" t="s">
        <v>1852</v>
      </c>
      <c r="L3901" s="11" t="s">
        <v>1853</v>
      </c>
      <c r="M3901" s="11" t="s">
        <v>1854</v>
      </c>
      <c r="N3901" s="12"/>
      <c r="O3901" s="11" t="s">
        <v>1860</v>
      </c>
      <c r="P3901" s="56"/>
    </row>
    <row r="3902" spans="1:16" ht="15.75" customHeight="1" x14ac:dyDescent="0.2">
      <c r="A3902" s="48">
        <v>7461</v>
      </c>
      <c r="B3902" s="11" t="s">
        <v>1857</v>
      </c>
      <c r="C3902" s="11" t="s">
        <v>1876</v>
      </c>
      <c r="D3902" s="6" t="s">
        <v>4261</v>
      </c>
      <c r="E3902" s="12" t="s">
        <v>7784</v>
      </c>
      <c r="F3902" s="12" t="s">
        <v>7785</v>
      </c>
      <c r="G3902" s="12" t="s">
        <v>7789</v>
      </c>
      <c r="H3902" s="12" t="s">
        <v>7790</v>
      </c>
      <c r="I3902" s="12" t="s">
        <v>8536</v>
      </c>
      <c r="J3902" s="11" t="s">
        <v>1851</v>
      </c>
      <c r="K3902" s="11" t="s">
        <v>1852</v>
      </c>
      <c r="L3902" s="11" t="s">
        <v>1853</v>
      </c>
      <c r="M3902" s="11" t="s">
        <v>8537</v>
      </c>
      <c r="N3902" s="12"/>
      <c r="O3902" s="11" t="s">
        <v>1858</v>
      </c>
      <c r="P3902" s="56"/>
    </row>
    <row r="3903" spans="1:16" ht="15.75" customHeight="1" x14ac:dyDescent="0.2">
      <c r="A3903" s="49">
        <v>7199</v>
      </c>
      <c r="B3903" s="11" t="s">
        <v>1857</v>
      </c>
      <c r="C3903" s="11" t="s">
        <v>1876</v>
      </c>
      <c r="D3903" s="6" t="s">
        <v>4261</v>
      </c>
      <c r="E3903" s="12" t="s">
        <v>7784</v>
      </c>
      <c r="F3903" s="12" t="s">
        <v>7785</v>
      </c>
      <c r="G3903" s="12" t="s">
        <v>7878</v>
      </c>
      <c r="H3903" s="12" t="s">
        <v>2628</v>
      </c>
      <c r="I3903" s="12" t="s">
        <v>8538</v>
      </c>
      <c r="J3903" s="11" t="s">
        <v>1851</v>
      </c>
      <c r="K3903" s="11" t="s">
        <v>1852</v>
      </c>
      <c r="L3903" s="11" t="s">
        <v>1853</v>
      </c>
      <c r="M3903" s="11" t="s">
        <v>1854</v>
      </c>
      <c r="N3903" s="12"/>
      <c r="O3903" s="11" t="s">
        <v>1860</v>
      </c>
      <c r="P3903" s="56"/>
    </row>
    <row r="3904" spans="1:16" ht="15.75" customHeight="1" x14ac:dyDescent="0.2">
      <c r="A3904" s="49">
        <v>7189</v>
      </c>
      <c r="B3904" s="11" t="s">
        <v>1857</v>
      </c>
      <c r="C3904" s="11" t="s">
        <v>1876</v>
      </c>
      <c r="D3904" s="6" t="s">
        <v>4261</v>
      </c>
      <c r="E3904" s="12" t="s">
        <v>7784</v>
      </c>
      <c r="F3904" s="12" t="s">
        <v>7785</v>
      </c>
      <c r="G3904" s="12" t="s">
        <v>7789</v>
      </c>
      <c r="H3904" s="12" t="s">
        <v>7790</v>
      </c>
      <c r="I3904" s="12" t="s">
        <v>8539</v>
      </c>
      <c r="J3904" s="11" t="s">
        <v>1851</v>
      </c>
      <c r="K3904" s="11" t="s">
        <v>1852</v>
      </c>
      <c r="L3904" s="11" t="s">
        <v>1853</v>
      </c>
      <c r="M3904" s="11" t="s">
        <v>1854</v>
      </c>
      <c r="N3904" s="12"/>
      <c r="O3904" s="11" t="s">
        <v>1867</v>
      </c>
      <c r="P3904" s="56" t="s">
        <v>1865</v>
      </c>
    </row>
    <row r="3905" spans="1:16" ht="15.75" customHeight="1" x14ac:dyDescent="0.2">
      <c r="A3905" s="49">
        <v>7198</v>
      </c>
      <c r="B3905" s="11" t="s">
        <v>1857</v>
      </c>
      <c r="C3905" s="11" t="s">
        <v>1876</v>
      </c>
      <c r="D3905" s="6" t="s">
        <v>4261</v>
      </c>
      <c r="E3905" s="12" t="s">
        <v>7784</v>
      </c>
      <c r="F3905" s="12" t="s">
        <v>7785</v>
      </c>
      <c r="G3905" s="12" t="s">
        <v>7878</v>
      </c>
      <c r="H3905" s="12" t="s">
        <v>7879</v>
      </c>
      <c r="I3905" s="12" t="s">
        <v>8540</v>
      </c>
      <c r="J3905" s="11" t="s">
        <v>1851</v>
      </c>
      <c r="K3905" s="11" t="s">
        <v>1852</v>
      </c>
      <c r="L3905" s="11" t="s">
        <v>1853</v>
      </c>
      <c r="M3905" s="11" t="s">
        <v>1854</v>
      </c>
      <c r="N3905" s="12"/>
      <c r="O3905" s="11" t="s">
        <v>1860</v>
      </c>
      <c r="P3905" s="56"/>
    </row>
    <row r="3906" spans="1:16" ht="15.75" customHeight="1" x14ac:dyDescent="0.2">
      <c r="A3906" s="49">
        <v>7499</v>
      </c>
      <c r="B3906" s="11" t="s">
        <v>1857</v>
      </c>
      <c r="C3906" s="11" t="s">
        <v>1876</v>
      </c>
      <c r="D3906" s="6" t="s">
        <v>4261</v>
      </c>
      <c r="E3906" s="12" t="s">
        <v>7784</v>
      </c>
      <c r="F3906" s="12" t="s">
        <v>7785</v>
      </c>
      <c r="G3906" s="12" t="s">
        <v>7786</v>
      </c>
      <c r="H3906" s="12" t="s">
        <v>7796</v>
      </c>
      <c r="I3906" s="12" t="s">
        <v>8541</v>
      </c>
      <c r="J3906" s="11" t="s">
        <v>1851</v>
      </c>
      <c r="K3906" s="11" t="s">
        <v>1852</v>
      </c>
      <c r="L3906" s="11" t="s">
        <v>1853</v>
      </c>
      <c r="M3906" s="11" t="s">
        <v>1854</v>
      </c>
      <c r="N3906" s="12"/>
      <c r="O3906" s="11" t="s">
        <v>1858</v>
      </c>
      <c r="P3906" s="56"/>
    </row>
    <row r="3907" spans="1:16" ht="15.75" customHeight="1" x14ac:dyDescent="0.2">
      <c r="A3907" s="49">
        <v>7599</v>
      </c>
      <c r="B3907" s="11" t="s">
        <v>1857</v>
      </c>
      <c r="C3907" s="11" t="s">
        <v>1876</v>
      </c>
      <c r="D3907" s="6" t="s">
        <v>4261</v>
      </c>
      <c r="E3907" s="12" t="s">
        <v>7784</v>
      </c>
      <c r="F3907" s="12" t="s">
        <v>7785</v>
      </c>
      <c r="G3907" s="12" t="s">
        <v>7789</v>
      </c>
      <c r="H3907" s="12" t="s">
        <v>7790</v>
      </c>
      <c r="I3907" s="12" t="s">
        <v>8542</v>
      </c>
      <c r="J3907" s="11" t="s">
        <v>1851</v>
      </c>
      <c r="K3907" s="11" t="s">
        <v>1852</v>
      </c>
      <c r="L3907" s="11" t="s">
        <v>1853</v>
      </c>
      <c r="M3907" s="11" t="s">
        <v>8543</v>
      </c>
      <c r="N3907" s="12"/>
      <c r="O3907" s="11" t="s">
        <v>1858</v>
      </c>
      <c r="P3907" s="56"/>
    </row>
    <row r="3908" spans="1:16" ht="15.75" customHeight="1" x14ac:dyDescent="0.2">
      <c r="A3908" s="48">
        <v>15625</v>
      </c>
      <c r="B3908" s="11" t="s">
        <v>1848</v>
      </c>
      <c r="C3908" s="11" t="s">
        <v>1849</v>
      </c>
      <c r="D3908" s="6" t="s">
        <v>1850</v>
      </c>
      <c r="E3908" s="11" t="s">
        <v>6642</v>
      </c>
      <c r="F3908" s="12" t="s">
        <v>8544</v>
      </c>
      <c r="G3908" s="12" t="s">
        <v>8544</v>
      </c>
      <c r="H3908" s="12" t="s">
        <v>8545</v>
      </c>
      <c r="I3908" s="12" t="s">
        <v>8546</v>
      </c>
      <c r="J3908" s="11" t="s">
        <v>1851</v>
      </c>
      <c r="K3908" s="11" t="s">
        <v>1852</v>
      </c>
      <c r="L3908" s="11" t="s">
        <v>1853</v>
      </c>
      <c r="M3908" s="11" t="s">
        <v>1854</v>
      </c>
      <c r="N3908" s="12"/>
      <c r="O3908" s="11" t="s">
        <v>1855</v>
      </c>
      <c r="P3908" s="56"/>
    </row>
    <row r="3909" spans="1:16" ht="15.75" customHeight="1" x14ac:dyDescent="0.2">
      <c r="A3909" s="48">
        <v>15623</v>
      </c>
      <c r="B3909" s="11" t="s">
        <v>1848</v>
      </c>
      <c r="C3909" s="11" t="s">
        <v>1849</v>
      </c>
      <c r="D3909" s="6" t="s">
        <v>1850</v>
      </c>
      <c r="E3909" s="11" t="s">
        <v>6642</v>
      </c>
      <c r="F3909" s="12" t="s">
        <v>8544</v>
      </c>
      <c r="G3909" s="12" t="s">
        <v>8544</v>
      </c>
      <c r="H3909" s="12" t="s">
        <v>8545</v>
      </c>
      <c r="I3909" s="12" t="s">
        <v>8547</v>
      </c>
      <c r="J3909" s="11" t="s">
        <v>1856</v>
      </c>
      <c r="K3909" s="11" t="s">
        <v>1852</v>
      </c>
      <c r="L3909" s="11" t="s">
        <v>1853</v>
      </c>
      <c r="M3909" s="11" t="s">
        <v>1854</v>
      </c>
      <c r="N3909" s="12"/>
      <c r="O3909" s="11" t="s">
        <v>1855</v>
      </c>
      <c r="P3909" s="56"/>
    </row>
    <row r="3910" spans="1:16" ht="15.75" customHeight="1" x14ac:dyDescent="0.2">
      <c r="A3910" s="48">
        <v>15627</v>
      </c>
      <c r="B3910" s="11" t="s">
        <v>1848</v>
      </c>
      <c r="C3910" s="11" t="s">
        <v>1849</v>
      </c>
      <c r="D3910" s="6" t="s">
        <v>1850</v>
      </c>
      <c r="E3910" s="11" t="s">
        <v>6642</v>
      </c>
      <c r="F3910" s="12" t="s">
        <v>8544</v>
      </c>
      <c r="G3910" s="12" t="s">
        <v>8544</v>
      </c>
      <c r="H3910" s="12" t="s">
        <v>8545</v>
      </c>
      <c r="I3910" s="12" t="s">
        <v>8548</v>
      </c>
      <c r="J3910" s="11" t="s">
        <v>1851</v>
      </c>
      <c r="K3910" s="11" t="s">
        <v>1852</v>
      </c>
      <c r="L3910" s="11" t="s">
        <v>1853</v>
      </c>
      <c r="M3910" s="11" t="s">
        <v>1854</v>
      </c>
      <c r="N3910" s="12"/>
      <c r="O3910" s="11" t="s">
        <v>1855</v>
      </c>
      <c r="P3910" s="56"/>
    </row>
    <row r="3911" spans="1:16" ht="15.75" customHeight="1" x14ac:dyDescent="0.2">
      <c r="A3911" s="48">
        <v>15622</v>
      </c>
      <c r="B3911" s="11" t="s">
        <v>1848</v>
      </c>
      <c r="C3911" s="11" t="s">
        <v>1849</v>
      </c>
      <c r="D3911" s="6" t="s">
        <v>1850</v>
      </c>
      <c r="E3911" s="11" t="s">
        <v>6642</v>
      </c>
      <c r="F3911" s="12" t="s">
        <v>8544</v>
      </c>
      <c r="G3911" s="12" t="s">
        <v>8544</v>
      </c>
      <c r="H3911" s="12" t="s">
        <v>8545</v>
      </c>
      <c r="I3911" s="12" t="s">
        <v>8549</v>
      </c>
      <c r="J3911" s="11" t="s">
        <v>1851</v>
      </c>
      <c r="K3911" s="11" t="s">
        <v>1852</v>
      </c>
      <c r="L3911" s="11" t="s">
        <v>1853</v>
      </c>
      <c r="M3911" s="11" t="s">
        <v>1854</v>
      </c>
      <c r="N3911" s="12"/>
      <c r="O3911" s="11" t="s">
        <v>1855</v>
      </c>
      <c r="P3911" s="56"/>
    </row>
    <row r="3912" spans="1:16" ht="15.75" customHeight="1" x14ac:dyDescent="0.2">
      <c r="A3912" s="48">
        <v>15624</v>
      </c>
      <c r="B3912" s="11" t="s">
        <v>1848</v>
      </c>
      <c r="C3912" s="11" t="s">
        <v>1849</v>
      </c>
      <c r="D3912" s="6" t="s">
        <v>1850</v>
      </c>
      <c r="E3912" s="11" t="s">
        <v>6642</v>
      </c>
      <c r="F3912" s="12" t="s">
        <v>8544</v>
      </c>
      <c r="G3912" s="12" t="s">
        <v>8544</v>
      </c>
      <c r="H3912" s="12" t="s">
        <v>8545</v>
      </c>
      <c r="I3912" s="12" t="s">
        <v>8550</v>
      </c>
      <c r="J3912" s="11" t="s">
        <v>1851</v>
      </c>
      <c r="K3912" s="11" t="s">
        <v>1852</v>
      </c>
      <c r="L3912" s="11" t="s">
        <v>1853</v>
      </c>
      <c r="M3912" s="11" t="s">
        <v>1854</v>
      </c>
      <c r="N3912" s="12"/>
      <c r="O3912" s="11" t="s">
        <v>1855</v>
      </c>
      <c r="P3912" s="56"/>
    </row>
    <row r="3913" spans="1:16" ht="15.75" customHeight="1" x14ac:dyDescent="0.2">
      <c r="A3913" s="48">
        <v>15933</v>
      </c>
      <c r="B3913" s="11" t="s">
        <v>1848</v>
      </c>
      <c r="C3913" s="11" t="s">
        <v>1849</v>
      </c>
      <c r="D3913" s="6" t="s">
        <v>1850</v>
      </c>
      <c r="E3913" s="11" t="s">
        <v>6642</v>
      </c>
      <c r="F3913" s="12" t="s">
        <v>8544</v>
      </c>
      <c r="G3913" s="12" t="s">
        <v>8544</v>
      </c>
      <c r="H3913" s="12" t="s">
        <v>8551</v>
      </c>
      <c r="I3913" s="12" t="s">
        <v>8552</v>
      </c>
      <c r="J3913" s="11" t="s">
        <v>1851</v>
      </c>
      <c r="K3913" s="11" t="s">
        <v>1852</v>
      </c>
      <c r="L3913" s="11" t="s">
        <v>1853</v>
      </c>
      <c r="M3913" s="11" t="s">
        <v>1854</v>
      </c>
      <c r="N3913" s="12"/>
      <c r="O3913" s="11" t="s">
        <v>1855</v>
      </c>
      <c r="P3913" s="56"/>
    </row>
    <row r="3914" spans="1:16" ht="15.75" customHeight="1" x14ac:dyDescent="0.2">
      <c r="A3914" s="48">
        <v>16015</v>
      </c>
      <c r="B3914" s="11" t="s">
        <v>1848</v>
      </c>
      <c r="C3914" s="11" t="s">
        <v>1849</v>
      </c>
      <c r="D3914" s="6" t="s">
        <v>1850</v>
      </c>
      <c r="E3914" s="11" t="s">
        <v>6642</v>
      </c>
      <c r="F3914" s="12" t="s">
        <v>8544</v>
      </c>
      <c r="G3914" s="12" t="s">
        <v>8544</v>
      </c>
      <c r="H3914" s="12" t="s">
        <v>8553</v>
      </c>
      <c r="I3914" s="12" t="s">
        <v>8554</v>
      </c>
      <c r="J3914" s="11" t="s">
        <v>1851</v>
      </c>
      <c r="K3914" s="11" t="s">
        <v>1852</v>
      </c>
      <c r="L3914" s="11" t="s">
        <v>1853</v>
      </c>
      <c r="M3914" s="11" t="s">
        <v>1854</v>
      </c>
      <c r="N3914" s="12"/>
      <c r="O3914" s="11" t="s">
        <v>1855</v>
      </c>
      <c r="P3914" s="56"/>
    </row>
    <row r="3915" spans="1:16" ht="15.75" customHeight="1" x14ac:dyDescent="0.2">
      <c r="A3915" s="48">
        <v>16016</v>
      </c>
      <c r="B3915" s="11" t="s">
        <v>1848</v>
      </c>
      <c r="C3915" s="11" t="s">
        <v>1849</v>
      </c>
      <c r="D3915" s="6" t="s">
        <v>1850</v>
      </c>
      <c r="E3915" s="11" t="s">
        <v>6642</v>
      </c>
      <c r="F3915" s="12" t="s">
        <v>8544</v>
      </c>
      <c r="G3915" s="12" t="s">
        <v>8544</v>
      </c>
      <c r="H3915" s="12" t="s">
        <v>8555</v>
      </c>
      <c r="I3915" s="12" t="s">
        <v>8556</v>
      </c>
      <c r="J3915" s="11" t="s">
        <v>1851</v>
      </c>
      <c r="K3915" s="11" t="s">
        <v>1852</v>
      </c>
      <c r="L3915" s="11" t="s">
        <v>1853</v>
      </c>
      <c r="M3915" s="11" t="s">
        <v>1854</v>
      </c>
      <c r="N3915" s="12"/>
      <c r="O3915" s="11" t="s">
        <v>1855</v>
      </c>
      <c r="P3915" s="56"/>
    </row>
    <row r="3916" spans="1:16" ht="15.75" customHeight="1" x14ac:dyDescent="0.2">
      <c r="A3916" s="48">
        <v>16017</v>
      </c>
      <c r="B3916" s="11" t="s">
        <v>1848</v>
      </c>
      <c r="C3916" s="11" t="s">
        <v>1849</v>
      </c>
      <c r="D3916" s="6" t="s">
        <v>1850</v>
      </c>
      <c r="E3916" s="11" t="s">
        <v>6642</v>
      </c>
      <c r="F3916" s="12" t="s">
        <v>8544</v>
      </c>
      <c r="G3916" s="12" t="s">
        <v>8544</v>
      </c>
      <c r="H3916" s="12" t="s">
        <v>8551</v>
      </c>
      <c r="I3916" s="12" t="s">
        <v>8557</v>
      </c>
      <c r="J3916" s="11" t="s">
        <v>1851</v>
      </c>
      <c r="K3916" s="11" t="s">
        <v>1852</v>
      </c>
      <c r="L3916" s="11" t="s">
        <v>1853</v>
      </c>
      <c r="M3916" s="11" t="s">
        <v>1854</v>
      </c>
      <c r="N3916" s="12"/>
      <c r="O3916" s="11" t="s">
        <v>1855</v>
      </c>
      <c r="P3916" s="56"/>
    </row>
    <row r="3917" spans="1:16" ht="15.75" customHeight="1" x14ac:dyDescent="0.2">
      <c r="A3917" s="48">
        <v>16018</v>
      </c>
      <c r="B3917" s="11" t="s">
        <v>1848</v>
      </c>
      <c r="C3917" s="11" t="s">
        <v>1849</v>
      </c>
      <c r="D3917" s="6" t="s">
        <v>1850</v>
      </c>
      <c r="E3917" s="11" t="s">
        <v>6642</v>
      </c>
      <c r="F3917" s="12" t="s">
        <v>8544</v>
      </c>
      <c r="G3917" s="12" t="s">
        <v>8544</v>
      </c>
      <c r="H3917" s="12" t="s">
        <v>8551</v>
      </c>
      <c r="I3917" s="12" t="s">
        <v>8558</v>
      </c>
      <c r="J3917" s="11" t="s">
        <v>1851</v>
      </c>
      <c r="K3917" s="11" t="s">
        <v>1852</v>
      </c>
      <c r="L3917" s="11" t="s">
        <v>1853</v>
      </c>
      <c r="M3917" s="11" t="s">
        <v>1854</v>
      </c>
      <c r="N3917" s="12"/>
      <c r="O3917" s="11" t="s">
        <v>1855</v>
      </c>
      <c r="P3917" s="56"/>
    </row>
    <row r="3918" spans="1:16" ht="15.75" customHeight="1" x14ac:dyDescent="0.2">
      <c r="A3918" s="48">
        <v>16019</v>
      </c>
      <c r="B3918" s="11" t="s">
        <v>1848</v>
      </c>
      <c r="C3918" s="11" t="s">
        <v>1849</v>
      </c>
      <c r="D3918" s="6" t="s">
        <v>1850</v>
      </c>
      <c r="E3918" s="11" t="s">
        <v>6642</v>
      </c>
      <c r="F3918" s="12" t="s">
        <v>8544</v>
      </c>
      <c r="G3918" s="12" t="s">
        <v>8544</v>
      </c>
      <c r="H3918" s="12" t="s">
        <v>8559</v>
      </c>
      <c r="I3918" s="12" t="s">
        <v>8560</v>
      </c>
      <c r="J3918" s="11" t="s">
        <v>1851</v>
      </c>
      <c r="K3918" s="11" t="s">
        <v>1852</v>
      </c>
      <c r="L3918" s="11" t="s">
        <v>1853</v>
      </c>
      <c r="M3918" s="11" t="s">
        <v>1854</v>
      </c>
      <c r="N3918" s="12"/>
      <c r="O3918" s="11" t="s">
        <v>1855</v>
      </c>
      <c r="P3918" s="56"/>
    </row>
    <row r="3919" spans="1:16" ht="15.75" customHeight="1" x14ac:dyDescent="0.2">
      <c r="A3919" s="48">
        <v>16020</v>
      </c>
      <c r="B3919" s="11" t="s">
        <v>1848</v>
      </c>
      <c r="C3919" s="11" t="s">
        <v>1849</v>
      </c>
      <c r="D3919" s="6" t="s">
        <v>1850</v>
      </c>
      <c r="E3919" s="11" t="s">
        <v>6642</v>
      </c>
      <c r="F3919" s="12" t="s">
        <v>8544</v>
      </c>
      <c r="G3919" s="12" t="s">
        <v>8544</v>
      </c>
      <c r="H3919" s="12" t="s">
        <v>8553</v>
      </c>
      <c r="I3919" s="12" t="s">
        <v>8561</v>
      </c>
      <c r="J3919" s="11" t="s">
        <v>1851</v>
      </c>
      <c r="K3919" s="11" t="s">
        <v>1852</v>
      </c>
      <c r="L3919" s="11" t="s">
        <v>1853</v>
      </c>
      <c r="M3919" s="11" t="s">
        <v>1854</v>
      </c>
      <c r="N3919" s="12"/>
      <c r="O3919" s="11" t="s">
        <v>1855</v>
      </c>
      <c r="P3919" s="56"/>
    </row>
    <row r="3920" spans="1:16" ht="15.75" customHeight="1" x14ac:dyDescent="0.2">
      <c r="A3920" s="48">
        <v>16021</v>
      </c>
      <c r="B3920" s="11" t="s">
        <v>1848</v>
      </c>
      <c r="C3920" s="11" t="s">
        <v>1849</v>
      </c>
      <c r="D3920" s="6" t="s">
        <v>1850</v>
      </c>
      <c r="E3920" s="11" t="s">
        <v>6642</v>
      </c>
      <c r="F3920" s="12" t="s">
        <v>8544</v>
      </c>
      <c r="G3920" s="12" t="s">
        <v>8544</v>
      </c>
      <c r="H3920" s="12" t="s">
        <v>8553</v>
      </c>
      <c r="I3920" s="12" t="s">
        <v>8562</v>
      </c>
      <c r="J3920" s="11" t="s">
        <v>1851</v>
      </c>
      <c r="K3920" s="11" t="s">
        <v>1852</v>
      </c>
      <c r="L3920" s="11" t="s">
        <v>1853</v>
      </c>
      <c r="M3920" s="11" t="s">
        <v>1854</v>
      </c>
      <c r="N3920" s="12"/>
      <c r="O3920" s="11" t="s">
        <v>1855</v>
      </c>
      <c r="P3920" s="56"/>
    </row>
    <row r="3921" spans="1:16" ht="15.75" customHeight="1" x14ac:dyDescent="0.2">
      <c r="A3921" s="48">
        <v>16022</v>
      </c>
      <c r="B3921" s="11" t="s">
        <v>1848</v>
      </c>
      <c r="C3921" s="11" t="s">
        <v>1849</v>
      </c>
      <c r="D3921" s="6" t="s">
        <v>1850</v>
      </c>
      <c r="E3921" s="11" t="s">
        <v>6642</v>
      </c>
      <c r="F3921" s="12" t="s">
        <v>8544</v>
      </c>
      <c r="G3921" s="12" t="s">
        <v>8544</v>
      </c>
      <c r="H3921" s="12" t="s">
        <v>8553</v>
      </c>
      <c r="I3921" s="12" t="s">
        <v>8563</v>
      </c>
      <c r="J3921" s="11" t="s">
        <v>1851</v>
      </c>
      <c r="K3921" s="11" t="s">
        <v>1852</v>
      </c>
      <c r="L3921" s="11" t="s">
        <v>1853</v>
      </c>
      <c r="M3921" s="11" t="s">
        <v>1854</v>
      </c>
      <c r="N3921" s="12"/>
      <c r="O3921" s="11" t="s">
        <v>1855</v>
      </c>
      <c r="P3921" s="56"/>
    </row>
    <row r="3922" spans="1:16" ht="15.75" customHeight="1" x14ac:dyDescent="0.2">
      <c r="A3922" s="48">
        <v>16023</v>
      </c>
      <c r="B3922" s="11" t="s">
        <v>1848</v>
      </c>
      <c r="C3922" s="11" t="s">
        <v>1849</v>
      </c>
      <c r="D3922" s="6" t="s">
        <v>1850</v>
      </c>
      <c r="E3922" s="11" t="s">
        <v>6642</v>
      </c>
      <c r="F3922" s="12" t="s">
        <v>8544</v>
      </c>
      <c r="G3922" s="12" t="s">
        <v>8544</v>
      </c>
      <c r="H3922" s="12" t="s">
        <v>8555</v>
      </c>
      <c r="I3922" s="12" t="s">
        <v>8564</v>
      </c>
      <c r="J3922" s="11" t="s">
        <v>1851</v>
      </c>
      <c r="K3922" s="11" t="s">
        <v>1852</v>
      </c>
      <c r="L3922" s="11" t="s">
        <v>1853</v>
      </c>
      <c r="M3922" s="11" t="s">
        <v>1854</v>
      </c>
      <c r="N3922" s="12"/>
      <c r="O3922" s="11" t="s">
        <v>1855</v>
      </c>
      <c r="P3922" s="56"/>
    </row>
    <row r="3923" spans="1:16" ht="15.75" customHeight="1" x14ac:dyDescent="0.2">
      <c r="A3923" s="48">
        <v>16024</v>
      </c>
      <c r="B3923" s="11" t="s">
        <v>1848</v>
      </c>
      <c r="C3923" s="11" t="s">
        <v>1849</v>
      </c>
      <c r="D3923" s="6" t="s">
        <v>1850</v>
      </c>
      <c r="E3923" s="11" t="s">
        <v>6642</v>
      </c>
      <c r="F3923" s="12" t="s">
        <v>8544</v>
      </c>
      <c r="G3923" s="12" t="s">
        <v>8544</v>
      </c>
      <c r="H3923" s="12" t="s">
        <v>8559</v>
      </c>
      <c r="I3923" s="12" t="s">
        <v>8565</v>
      </c>
      <c r="J3923" s="11" t="s">
        <v>1851</v>
      </c>
      <c r="K3923" s="11" t="s">
        <v>1852</v>
      </c>
      <c r="L3923" s="11" t="s">
        <v>1853</v>
      </c>
      <c r="M3923" s="11" t="s">
        <v>1854</v>
      </c>
      <c r="N3923" s="12"/>
      <c r="O3923" s="11" t="s">
        <v>1855</v>
      </c>
      <c r="P3923" s="56"/>
    </row>
    <row r="3924" spans="1:16" ht="15.75" customHeight="1" x14ac:dyDescent="0.2">
      <c r="A3924" s="48">
        <v>16025</v>
      </c>
      <c r="B3924" s="11" t="s">
        <v>1848</v>
      </c>
      <c r="C3924" s="11" t="s">
        <v>1849</v>
      </c>
      <c r="D3924" s="6" t="s">
        <v>1850</v>
      </c>
      <c r="E3924" s="11" t="s">
        <v>6642</v>
      </c>
      <c r="F3924" s="12" t="s">
        <v>8544</v>
      </c>
      <c r="G3924" s="12" t="s">
        <v>8544</v>
      </c>
      <c r="H3924" s="12" t="s">
        <v>8555</v>
      </c>
      <c r="I3924" s="12" t="s">
        <v>8566</v>
      </c>
      <c r="J3924" s="11" t="s">
        <v>1851</v>
      </c>
      <c r="K3924" s="11" t="s">
        <v>1852</v>
      </c>
      <c r="L3924" s="11" t="s">
        <v>1853</v>
      </c>
      <c r="M3924" s="11" t="s">
        <v>1854</v>
      </c>
      <c r="N3924" s="12"/>
      <c r="O3924" s="11" t="s">
        <v>1855</v>
      </c>
      <c r="P3924" s="56"/>
    </row>
    <row r="3925" spans="1:16" ht="15.75" customHeight="1" x14ac:dyDescent="0.2">
      <c r="A3925" s="48">
        <v>4026</v>
      </c>
      <c r="B3925" s="11" t="s">
        <v>2240</v>
      </c>
      <c r="C3925" s="11" t="s">
        <v>1849</v>
      </c>
      <c r="D3925" s="6" t="s">
        <v>1850</v>
      </c>
      <c r="E3925" s="11" t="s">
        <v>6642</v>
      </c>
      <c r="F3925" s="12" t="s">
        <v>8544</v>
      </c>
      <c r="G3925" s="12" t="s">
        <v>8544</v>
      </c>
      <c r="H3925" s="12" t="s">
        <v>8551</v>
      </c>
      <c r="I3925" s="12" t="s">
        <v>8567</v>
      </c>
      <c r="J3925" s="11" t="s">
        <v>1851</v>
      </c>
      <c r="K3925" s="11" t="s">
        <v>1852</v>
      </c>
      <c r="L3925" s="11" t="s">
        <v>1853</v>
      </c>
      <c r="M3925" s="11" t="s">
        <v>8568</v>
      </c>
      <c r="N3925" s="12"/>
      <c r="O3925" s="11" t="s">
        <v>1855</v>
      </c>
      <c r="P3925" s="56"/>
    </row>
    <row r="3926" spans="1:16" ht="15.75" customHeight="1" x14ac:dyDescent="0.2">
      <c r="A3926" s="48">
        <v>4041</v>
      </c>
      <c r="B3926" s="11" t="s">
        <v>1857</v>
      </c>
      <c r="C3926" s="11" t="s">
        <v>1849</v>
      </c>
      <c r="D3926" s="6" t="s">
        <v>1850</v>
      </c>
      <c r="E3926" s="11" t="s">
        <v>6642</v>
      </c>
      <c r="F3926" s="12" t="s">
        <v>8544</v>
      </c>
      <c r="G3926" s="12" t="s">
        <v>8544</v>
      </c>
      <c r="H3926" s="12" t="s">
        <v>8551</v>
      </c>
      <c r="I3926" s="12" t="s">
        <v>8569</v>
      </c>
      <c r="J3926" s="11" t="s">
        <v>1851</v>
      </c>
      <c r="K3926" s="11" t="s">
        <v>1852</v>
      </c>
      <c r="L3926" s="11" t="s">
        <v>1853</v>
      </c>
      <c r="M3926" s="11" t="s">
        <v>8570</v>
      </c>
      <c r="N3926" s="12"/>
      <c r="O3926" s="11" t="s">
        <v>1858</v>
      </c>
      <c r="P3926" s="56"/>
    </row>
    <row r="3927" spans="1:16" ht="15.75" customHeight="1" x14ac:dyDescent="0.2">
      <c r="A3927" s="48">
        <v>4080</v>
      </c>
      <c r="B3927" s="11" t="s">
        <v>1857</v>
      </c>
      <c r="C3927" s="11" t="s">
        <v>1849</v>
      </c>
      <c r="D3927" s="6" t="s">
        <v>1850</v>
      </c>
      <c r="E3927" s="11" t="s">
        <v>6642</v>
      </c>
      <c r="F3927" s="12" t="s">
        <v>8544</v>
      </c>
      <c r="G3927" s="12" t="s">
        <v>8544</v>
      </c>
      <c r="H3927" s="12" t="s">
        <v>8545</v>
      </c>
      <c r="I3927" s="12" t="s">
        <v>8571</v>
      </c>
      <c r="J3927" s="11" t="s">
        <v>1851</v>
      </c>
      <c r="K3927" s="11" t="s">
        <v>1852</v>
      </c>
      <c r="L3927" s="11" t="s">
        <v>1853</v>
      </c>
      <c r="M3927" s="11" t="s">
        <v>8572</v>
      </c>
      <c r="N3927" s="12" t="s">
        <v>8573</v>
      </c>
      <c r="O3927" s="11" t="s">
        <v>1858</v>
      </c>
      <c r="P3927" s="56"/>
    </row>
    <row r="3928" spans="1:16" ht="15.75" customHeight="1" x14ac:dyDescent="0.2">
      <c r="A3928" s="48">
        <v>4042</v>
      </c>
      <c r="B3928" s="11" t="s">
        <v>1857</v>
      </c>
      <c r="C3928" s="11" t="s">
        <v>1849</v>
      </c>
      <c r="D3928" s="6" t="s">
        <v>1850</v>
      </c>
      <c r="E3928" s="11" t="s">
        <v>6642</v>
      </c>
      <c r="F3928" s="12" t="s">
        <v>8544</v>
      </c>
      <c r="G3928" s="12" t="s">
        <v>8544</v>
      </c>
      <c r="H3928" s="12" t="s">
        <v>8551</v>
      </c>
      <c r="I3928" s="12" t="s">
        <v>8574</v>
      </c>
      <c r="J3928" s="11" t="s">
        <v>1851</v>
      </c>
      <c r="K3928" s="11" t="s">
        <v>1852</v>
      </c>
      <c r="L3928" s="11" t="s">
        <v>1853</v>
      </c>
      <c r="M3928" s="11" t="s">
        <v>8082</v>
      </c>
      <c r="N3928" s="12" t="s">
        <v>8575</v>
      </c>
      <c r="O3928" s="11" t="s">
        <v>1858</v>
      </c>
      <c r="P3928" s="56"/>
    </row>
    <row r="3929" spans="1:16" ht="15.75" customHeight="1" x14ac:dyDescent="0.2">
      <c r="A3929" s="48">
        <v>4064</v>
      </c>
      <c r="B3929" s="11" t="s">
        <v>1857</v>
      </c>
      <c r="C3929" s="11" t="s">
        <v>1849</v>
      </c>
      <c r="D3929" s="6" t="s">
        <v>1850</v>
      </c>
      <c r="E3929" s="11" t="s">
        <v>6642</v>
      </c>
      <c r="F3929" s="12" t="s">
        <v>8544</v>
      </c>
      <c r="G3929" s="12" t="s">
        <v>8544</v>
      </c>
      <c r="H3929" s="12" t="s">
        <v>8559</v>
      </c>
      <c r="I3929" s="12" t="s">
        <v>8576</v>
      </c>
      <c r="J3929" s="11" t="s">
        <v>1851</v>
      </c>
      <c r="K3929" s="11" t="s">
        <v>1852</v>
      </c>
      <c r="L3929" s="11" t="s">
        <v>1853</v>
      </c>
      <c r="M3929" s="11" t="s">
        <v>8577</v>
      </c>
      <c r="N3929" s="12" t="s">
        <v>8578</v>
      </c>
      <c r="O3929" s="11" t="s">
        <v>1858</v>
      </c>
      <c r="P3929" s="56"/>
    </row>
    <row r="3930" spans="1:16" ht="15.75" customHeight="1" x14ac:dyDescent="0.2">
      <c r="A3930" s="48">
        <v>4062</v>
      </c>
      <c r="B3930" s="11" t="s">
        <v>1857</v>
      </c>
      <c r="C3930" s="11" t="s">
        <v>1849</v>
      </c>
      <c r="D3930" s="6" t="s">
        <v>1850</v>
      </c>
      <c r="E3930" s="11" t="s">
        <v>6642</v>
      </c>
      <c r="F3930" s="12" t="s">
        <v>8544</v>
      </c>
      <c r="G3930" s="12" t="s">
        <v>8544</v>
      </c>
      <c r="H3930" s="12" t="s">
        <v>8579</v>
      </c>
      <c r="I3930" s="12" t="s">
        <v>8580</v>
      </c>
      <c r="J3930" s="11" t="s">
        <v>1851</v>
      </c>
      <c r="K3930" s="11" t="s">
        <v>1852</v>
      </c>
      <c r="L3930" s="11" t="s">
        <v>1853</v>
      </c>
      <c r="M3930" s="11" t="s">
        <v>8581</v>
      </c>
      <c r="N3930" s="12" t="s">
        <v>8582</v>
      </c>
      <c r="O3930" s="11" t="s">
        <v>1858</v>
      </c>
      <c r="P3930" s="56"/>
    </row>
    <row r="3931" spans="1:16" ht="15.75" customHeight="1" x14ac:dyDescent="0.2">
      <c r="A3931" s="48">
        <v>4007</v>
      </c>
      <c r="B3931" s="11" t="s">
        <v>1857</v>
      </c>
      <c r="C3931" s="11" t="s">
        <v>1849</v>
      </c>
      <c r="D3931" s="6" t="s">
        <v>1850</v>
      </c>
      <c r="E3931" s="11" t="s">
        <v>6642</v>
      </c>
      <c r="F3931" s="12" t="s">
        <v>8544</v>
      </c>
      <c r="G3931" s="12" t="s">
        <v>8544</v>
      </c>
      <c r="H3931" s="12" t="s">
        <v>8583</v>
      </c>
      <c r="I3931" s="12" t="s">
        <v>8584</v>
      </c>
      <c r="J3931" s="11" t="s">
        <v>1851</v>
      </c>
      <c r="K3931" s="11" t="s">
        <v>1852</v>
      </c>
      <c r="L3931" s="11" t="s">
        <v>1853</v>
      </c>
      <c r="M3931" s="11" t="s">
        <v>8585</v>
      </c>
      <c r="N3931" s="12" t="s">
        <v>2281</v>
      </c>
      <c r="O3931" s="11" t="s">
        <v>1860</v>
      </c>
      <c r="P3931" s="56"/>
    </row>
    <row r="3932" spans="1:16" ht="15.75" customHeight="1" x14ac:dyDescent="0.2">
      <c r="A3932" s="48">
        <v>4006</v>
      </c>
      <c r="B3932" s="11" t="s">
        <v>1857</v>
      </c>
      <c r="C3932" s="11" t="s">
        <v>1849</v>
      </c>
      <c r="D3932" s="6" t="s">
        <v>1850</v>
      </c>
      <c r="E3932" s="11" t="s">
        <v>6642</v>
      </c>
      <c r="F3932" s="12" t="s">
        <v>8544</v>
      </c>
      <c r="G3932" s="12" t="s">
        <v>8544</v>
      </c>
      <c r="H3932" s="12" t="s">
        <v>8586</v>
      </c>
      <c r="I3932" s="12" t="s">
        <v>8587</v>
      </c>
      <c r="J3932" s="11" t="s">
        <v>1851</v>
      </c>
      <c r="K3932" s="11" t="s">
        <v>1852</v>
      </c>
      <c r="L3932" s="11" t="s">
        <v>1853</v>
      </c>
      <c r="M3932" s="11" t="s">
        <v>8588</v>
      </c>
      <c r="N3932" s="12" t="s">
        <v>8589</v>
      </c>
      <c r="O3932" s="11" t="s">
        <v>1860</v>
      </c>
      <c r="P3932" s="56"/>
    </row>
    <row r="3933" spans="1:16" ht="15.75" customHeight="1" x14ac:dyDescent="0.2">
      <c r="A3933" s="48">
        <v>4065</v>
      </c>
      <c r="B3933" s="11" t="s">
        <v>1857</v>
      </c>
      <c r="C3933" s="11" t="s">
        <v>1849</v>
      </c>
      <c r="D3933" s="6" t="s">
        <v>1850</v>
      </c>
      <c r="E3933" s="11" t="s">
        <v>6642</v>
      </c>
      <c r="F3933" s="12" t="s">
        <v>8544</v>
      </c>
      <c r="G3933" s="12" t="s">
        <v>8544</v>
      </c>
      <c r="H3933" s="12" t="s">
        <v>8559</v>
      </c>
      <c r="I3933" s="12" t="s">
        <v>8590</v>
      </c>
      <c r="J3933" s="11" t="s">
        <v>1851</v>
      </c>
      <c r="K3933" s="11" t="s">
        <v>1852</v>
      </c>
      <c r="L3933" s="11" t="s">
        <v>1853</v>
      </c>
      <c r="M3933" s="11" t="s">
        <v>2244</v>
      </c>
      <c r="N3933" s="12"/>
      <c r="O3933" s="11" t="s">
        <v>1858</v>
      </c>
      <c r="P3933" s="56"/>
    </row>
    <row r="3934" spans="1:16" ht="15.75" customHeight="1" x14ac:dyDescent="0.2">
      <c r="A3934" s="48">
        <v>5298</v>
      </c>
      <c r="B3934" s="11" t="s">
        <v>1857</v>
      </c>
      <c r="C3934" s="11" t="s">
        <v>1849</v>
      </c>
      <c r="D3934" s="6" t="s">
        <v>1850</v>
      </c>
      <c r="E3934" s="11" t="s">
        <v>6642</v>
      </c>
      <c r="F3934" s="12" t="s">
        <v>8544</v>
      </c>
      <c r="G3934" s="12" t="s">
        <v>8544</v>
      </c>
      <c r="H3934" s="12" t="s">
        <v>8553</v>
      </c>
      <c r="I3934" s="12" t="s">
        <v>8591</v>
      </c>
      <c r="J3934" s="11" t="s">
        <v>1851</v>
      </c>
      <c r="K3934" s="11" t="s">
        <v>1852</v>
      </c>
      <c r="L3934" s="11" t="s">
        <v>1853</v>
      </c>
      <c r="M3934" s="11" t="s">
        <v>8592</v>
      </c>
      <c r="N3934" s="12" t="s">
        <v>8593</v>
      </c>
      <c r="O3934" s="11" t="s">
        <v>1858</v>
      </c>
      <c r="P3934" s="56"/>
    </row>
    <row r="3935" spans="1:16" ht="15.75" customHeight="1" x14ac:dyDescent="0.2">
      <c r="A3935" s="48">
        <v>4076</v>
      </c>
      <c r="B3935" s="11" t="s">
        <v>1857</v>
      </c>
      <c r="C3935" s="11" t="s">
        <v>1849</v>
      </c>
      <c r="D3935" s="6" t="s">
        <v>1850</v>
      </c>
      <c r="E3935" s="11" t="s">
        <v>6642</v>
      </c>
      <c r="F3935" s="12" t="s">
        <v>8544</v>
      </c>
      <c r="G3935" s="12" t="s">
        <v>8544</v>
      </c>
      <c r="H3935" s="12" t="s">
        <v>8594</v>
      </c>
      <c r="I3935" s="12" t="s">
        <v>8595</v>
      </c>
      <c r="J3935" s="11" t="s">
        <v>1851</v>
      </c>
      <c r="K3935" s="11" t="s">
        <v>1852</v>
      </c>
      <c r="L3935" s="11" t="s">
        <v>1853</v>
      </c>
      <c r="M3935" s="11" t="s">
        <v>8596</v>
      </c>
      <c r="N3935" s="12" t="s">
        <v>8597</v>
      </c>
      <c r="O3935" s="11" t="s">
        <v>1860</v>
      </c>
      <c r="P3935" s="56"/>
    </row>
    <row r="3936" spans="1:16" ht="15.75" customHeight="1" x14ac:dyDescent="0.2">
      <c r="A3936" s="48">
        <v>4045</v>
      </c>
      <c r="B3936" s="11" t="s">
        <v>1857</v>
      </c>
      <c r="C3936" s="11" t="s">
        <v>1849</v>
      </c>
      <c r="D3936" s="6" t="s">
        <v>1850</v>
      </c>
      <c r="E3936" s="11" t="s">
        <v>6642</v>
      </c>
      <c r="F3936" s="12" t="s">
        <v>8544</v>
      </c>
      <c r="G3936" s="12" t="s">
        <v>8544</v>
      </c>
      <c r="H3936" s="12" t="s">
        <v>8551</v>
      </c>
      <c r="I3936" s="12" t="s">
        <v>8598</v>
      </c>
      <c r="J3936" s="11" t="s">
        <v>1851</v>
      </c>
      <c r="K3936" s="11" t="s">
        <v>1852</v>
      </c>
      <c r="L3936" s="11" t="s">
        <v>1853</v>
      </c>
      <c r="M3936" s="11" t="s">
        <v>8599</v>
      </c>
      <c r="N3936" s="12" t="s">
        <v>8600</v>
      </c>
      <c r="O3936" s="11" t="s">
        <v>1858</v>
      </c>
      <c r="P3936" s="56"/>
    </row>
    <row r="3937" spans="1:16" ht="15.75" customHeight="1" x14ac:dyDescent="0.2">
      <c r="A3937" s="48">
        <v>4043</v>
      </c>
      <c r="B3937" s="11" t="s">
        <v>1857</v>
      </c>
      <c r="C3937" s="11" t="s">
        <v>1849</v>
      </c>
      <c r="D3937" s="6" t="s">
        <v>1850</v>
      </c>
      <c r="E3937" s="11" t="s">
        <v>6642</v>
      </c>
      <c r="F3937" s="12" t="s">
        <v>8544</v>
      </c>
      <c r="G3937" s="12" t="s">
        <v>8544</v>
      </c>
      <c r="H3937" s="12" t="s">
        <v>8553</v>
      </c>
      <c r="I3937" s="12" t="s">
        <v>8601</v>
      </c>
      <c r="J3937" s="11" t="s">
        <v>1851</v>
      </c>
      <c r="K3937" s="11" t="s">
        <v>1852</v>
      </c>
      <c r="L3937" s="11" t="s">
        <v>1853</v>
      </c>
      <c r="M3937" s="11" t="s">
        <v>7695</v>
      </c>
      <c r="N3937" s="12" t="s">
        <v>8602</v>
      </c>
      <c r="O3937" s="11" t="s">
        <v>1858</v>
      </c>
      <c r="P3937" s="56"/>
    </row>
    <row r="3938" spans="1:16" ht="15.75" customHeight="1" x14ac:dyDescent="0.2">
      <c r="A3938" s="48">
        <v>4003</v>
      </c>
      <c r="B3938" s="11" t="s">
        <v>1857</v>
      </c>
      <c r="C3938" s="11" t="s">
        <v>1849</v>
      </c>
      <c r="D3938" s="6" t="s">
        <v>1850</v>
      </c>
      <c r="E3938" s="11" t="s">
        <v>6642</v>
      </c>
      <c r="F3938" s="12" t="s">
        <v>8544</v>
      </c>
      <c r="G3938" s="12" t="s">
        <v>8544</v>
      </c>
      <c r="H3938" s="12" t="s">
        <v>8583</v>
      </c>
      <c r="I3938" s="12" t="s">
        <v>8603</v>
      </c>
      <c r="J3938" s="11" t="s">
        <v>1851</v>
      </c>
      <c r="K3938" s="11" t="s">
        <v>1852</v>
      </c>
      <c r="L3938" s="11" t="s">
        <v>1853</v>
      </c>
      <c r="M3938" s="11" t="s">
        <v>4326</v>
      </c>
      <c r="N3938" s="12" t="s">
        <v>2281</v>
      </c>
      <c r="O3938" s="11" t="s">
        <v>1858</v>
      </c>
      <c r="P3938" s="56"/>
    </row>
    <row r="3939" spans="1:16" ht="15.75" customHeight="1" x14ac:dyDescent="0.2">
      <c r="A3939" s="48">
        <v>4046</v>
      </c>
      <c r="B3939" s="11" t="s">
        <v>1857</v>
      </c>
      <c r="C3939" s="11" t="s">
        <v>1849</v>
      </c>
      <c r="D3939" s="6" t="s">
        <v>1850</v>
      </c>
      <c r="E3939" s="11" t="s">
        <v>6642</v>
      </c>
      <c r="F3939" s="12" t="s">
        <v>8544</v>
      </c>
      <c r="G3939" s="12" t="s">
        <v>8544</v>
      </c>
      <c r="H3939" s="12" t="s">
        <v>8583</v>
      </c>
      <c r="I3939" s="12" t="s">
        <v>8604</v>
      </c>
      <c r="J3939" s="11" t="s">
        <v>1851</v>
      </c>
      <c r="K3939" s="11" t="s">
        <v>1852</v>
      </c>
      <c r="L3939" s="11" t="s">
        <v>1853</v>
      </c>
      <c r="M3939" s="11" t="s">
        <v>8605</v>
      </c>
      <c r="N3939" s="12" t="s">
        <v>8606</v>
      </c>
      <c r="O3939" s="11" t="s">
        <v>1858</v>
      </c>
      <c r="P3939" s="56"/>
    </row>
    <row r="3940" spans="1:16" ht="15.75" customHeight="1" x14ac:dyDescent="0.2">
      <c r="A3940" s="48">
        <v>4040</v>
      </c>
      <c r="B3940" s="11" t="s">
        <v>1857</v>
      </c>
      <c r="C3940" s="11" t="s">
        <v>1849</v>
      </c>
      <c r="D3940" s="6" t="s">
        <v>1850</v>
      </c>
      <c r="E3940" s="11" t="s">
        <v>6642</v>
      </c>
      <c r="F3940" s="12" t="s">
        <v>8544</v>
      </c>
      <c r="G3940" s="12" t="s">
        <v>8544</v>
      </c>
      <c r="H3940" s="12" t="s">
        <v>8551</v>
      </c>
      <c r="I3940" s="12" t="s">
        <v>8607</v>
      </c>
      <c r="J3940" s="11" t="s">
        <v>1851</v>
      </c>
      <c r="K3940" s="11" t="s">
        <v>1852</v>
      </c>
      <c r="L3940" s="11" t="s">
        <v>1853</v>
      </c>
      <c r="M3940" s="11" t="s">
        <v>8608</v>
      </c>
      <c r="N3940" s="12" t="s">
        <v>8609</v>
      </c>
      <c r="O3940" s="11" t="s">
        <v>1860</v>
      </c>
      <c r="P3940" s="56"/>
    </row>
    <row r="3941" spans="1:16" ht="15.75" customHeight="1" x14ac:dyDescent="0.2">
      <c r="A3941" s="48">
        <v>3981</v>
      </c>
      <c r="B3941" s="11" t="s">
        <v>1857</v>
      </c>
      <c r="C3941" s="11" t="s">
        <v>1849</v>
      </c>
      <c r="D3941" s="6" t="s">
        <v>1850</v>
      </c>
      <c r="E3941" s="11" t="s">
        <v>6642</v>
      </c>
      <c r="F3941" s="12" t="s">
        <v>8544</v>
      </c>
      <c r="G3941" s="12" t="s">
        <v>8544</v>
      </c>
      <c r="H3941" s="12" t="s">
        <v>8586</v>
      </c>
      <c r="I3941" s="12" t="s">
        <v>8610</v>
      </c>
      <c r="J3941" s="11" t="s">
        <v>1851</v>
      </c>
      <c r="K3941" s="11" t="s">
        <v>1852</v>
      </c>
      <c r="L3941" s="11" t="s">
        <v>1853</v>
      </c>
      <c r="M3941" s="11" t="s">
        <v>8611</v>
      </c>
      <c r="N3941" s="12" t="s">
        <v>8612</v>
      </c>
      <c r="O3941" s="11" t="s">
        <v>1860</v>
      </c>
      <c r="P3941" s="56"/>
    </row>
    <row r="3942" spans="1:16" ht="15.75" customHeight="1" x14ac:dyDescent="0.2">
      <c r="A3942" s="48">
        <v>3980</v>
      </c>
      <c r="B3942" s="11" t="s">
        <v>1857</v>
      </c>
      <c r="C3942" s="11" t="s">
        <v>1849</v>
      </c>
      <c r="D3942" s="6" t="s">
        <v>1850</v>
      </c>
      <c r="E3942" s="11" t="s">
        <v>6642</v>
      </c>
      <c r="F3942" s="12" t="s">
        <v>8544</v>
      </c>
      <c r="G3942" s="12" t="s">
        <v>8544</v>
      </c>
      <c r="H3942" s="12" t="s">
        <v>8586</v>
      </c>
      <c r="I3942" s="12" t="s">
        <v>8613</v>
      </c>
      <c r="J3942" s="11" t="s">
        <v>1851</v>
      </c>
      <c r="K3942" s="11" t="s">
        <v>1852</v>
      </c>
      <c r="L3942" s="11" t="s">
        <v>1853</v>
      </c>
      <c r="M3942" s="11" t="s">
        <v>8614</v>
      </c>
      <c r="N3942" s="12" t="s">
        <v>8615</v>
      </c>
      <c r="O3942" s="11" t="s">
        <v>1858</v>
      </c>
      <c r="P3942" s="56"/>
    </row>
    <row r="3943" spans="1:16" ht="15.75" customHeight="1" x14ac:dyDescent="0.2">
      <c r="A3943" s="48">
        <v>4044</v>
      </c>
      <c r="B3943" s="11" t="s">
        <v>1857</v>
      </c>
      <c r="C3943" s="11" t="s">
        <v>1849</v>
      </c>
      <c r="D3943" s="6" t="s">
        <v>1850</v>
      </c>
      <c r="E3943" s="11" t="s">
        <v>6642</v>
      </c>
      <c r="F3943" s="12" t="s">
        <v>8544</v>
      </c>
      <c r="G3943" s="12" t="s">
        <v>8544</v>
      </c>
      <c r="H3943" s="12" t="s">
        <v>8553</v>
      </c>
      <c r="I3943" s="12" t="s">
        <v>8616</v>
      </c>
      <c r="J3943" s="11" t="s">
        <v>1851</v>
      </c>
      <c r="K3943" s="11" t="s">
        <v>1852</v>
      </c>
      <c r="L3943" s="11" t="s">
        <v>1853</v>
      </c>
      <c r="M3943" s="11" t="s">
        <v>8617</v>
      </c>
      <c r="N3943" s="12" t="s">
        <v>8618</v>
      </c>
      <c r="O3943" s="11" t="s">
        <v>1858</v>
      </c>
      <c r="P3943" s="56"/>
    </row>
    <row r="3944" spans="1:16" ht="15.75" customHeight="1" x14ac:dyDescent="0.2">
      <c r="A3944" s="48">
        <v>4050</v>
      </c>
      <c r="B3944" s="11" t="s">
        <v>1857</v>
      </c>
      <c r="C3944" s="11" t="s">
        <v>1849</v>
      </c>
      <c r="D3944" s="6" t="s">
        <v>1850</v>
      </c>
      <c r="E3944" s="11" t="s">
        <v>6642</v>
      </c>
      <c r="F3944" s="12" t="s">
        <v>8544</v>
      </c>
      <c r="G3944" s="12" t="s">
        <v>8544</v>
      </c>
      <c r="H3944" s="12" t="s">
        <v>8545</v>
      </c>
      <c r="I3944" s="12" t="s">
        <v>8619</v>
      </c>
      <c r="J3944" s="11" t="s">
        <v>1851</v>
      </c>
      <c r="K3944" s="11" t="s">
        <v>1852</v>
      </c>
      <c r="L3944" s="11" t="s">
        <v>1853</v>
      </c>
      <c r="M3944" s="11" t="s">
        <v>8620</v>
      </c>
      <c r="N3944" s="12" t="s">
        <v>8621</v>
      </c>
      <c r="O3944" s="11" t="s">
        <v>1858</v>
      </c>
      <c r="P3944" s="56"/>
    </row>
    <row r="3945" spans="1:16" ht="15.75" customHeight="1" x14ac:dyDescent="0.2">
      <c r="A3945" s="48">
        <v>4048</v>
      </c>
      <c r="B3945" s="11" t="s">
        <v>1857</v>
      </c>
      <c r="C3945" s="11" t="s">
        <v>1849</v>
      </c>
      <c r="D3945" s="6" t="s">
        <v>1850</v>
      </c>
      <c r="E3945" s="11" t="s">
        <v>6642</v>
      </c>
      <c r="F3945" s="12" t="s">
        <v>8544</v>
      </c>
      <c r="G3945" s="12" t="s">
        <v>8544</v>
      </c>
      <c r="H3945" s="12" t="s">
        <v>8579</v>
      </c>
      <c r="I3945" s="12" t="s">
        <v>8622</v>
      </c>
      <c r="J3945" s="11" t="s">
        <v>1851</v>
      </c>
      <c r="K3945" s="11" t="s">
        <v>1852</v>
      </c>
      <c r="L3945" s="11" t="s">
        <v>1853</v>
      </c>
      <c r="M3945" s="11" t="s">
        <v>8623</v>
      </c>
      <c r="N3945" s="12" t="s">
        <v>8624</v>
      </c>
      <c r="O3945" s="11" t="s">
        <v>1858</v>
      </c>
      <c r="P3945" s="56"/>
    </row>
    <row r="3946" spans="1:16" ht="15.75" customHeight="1" x14ac:dyDescent="0.2">
      <c r="A3946" s="48">
        <v>4063</v>
      </c>
      <c r="B3946" s="11" t="s">
        <v>1857</v>
      </c>
      <c r="C3946" s="11" t="s">
        <v>1849</v>
      </c>
      <c r="D3946" s="6" t="s">
        <v>1850</v>
      </c>
      <c r="E3946" s="11" t="s">
        <v>6642</v>
      </c>
      <c r="F3946" s="12" t="s">
        <v>8544</v>
      </c>
      <c r="G3946" s="12" t="s">
        <v>8544</v>
      </c>
      <c r="H3946" s="12" t="s">
        <v>8579</v>
      </c>
      <c r="I3946" s="12" t="s">
        <v>8625</v>
      </c>
      <c r="J3946" s="11" t="s">
        <v>1851</v>
      </c>
      <c r="K3946" s="11" t="s">
        <v>1852</v>
      </c>
      <c r="L3946" s="11" t="s">
        <v>1853</v>
      </c>
      <c r="M3946" s="11" t="s">
        <v>8626</v>
      </c>
      <c r="N3946" s="12" t="s">
        <v>8627</v>
      </c>
      <c r="O3946" s="11" t="s">
        <v>1858</v>
      </c>
      <c r="P3946" s="56"/>
    </row>
    <row r="3947" spans="1:16" ht="15.75" customHeight="1" x14ac:dyDescent="0.2">
      <c r="A3947" s="48">
        <v>4066</v>
      </c>
      <c r="B3947" s="11" t="s">
        <v>1857</v>
      </c>
      <c r="C3947" s="11" t="s">
        <v>1849</v>
      </c>
      <c r="D3947" s="6" t="s">
        <v>1850</v>
      </c>
      <c r="E3947" s="11" t="s">
        <v>6642</v>
      </c>
      <c r="F3947" s="12" t="s">
        <v>8544</v>
      </c>
      <c r="G3947" s="12" t="s">
        <v>8544</v>
      </c>
      <c r="H3947" s="12" t="s">
        <v>8555</v>
      </c>
      <c r="I3947" s="12" t="s">
        <v>8628</v>
      </c>
      <c r="J3947" s="11" t="s">
        <v>1851</v>
      </c>
      <c r="K3947" s="11" t="s">
        <v>1852</v>
      </c>
      <c r="L3947" s="11" t="s">
        <v>1853</v>
      </c>
      <c r="M3947" s="11" t="s">
        <v>8629</v>
      </c>
      <c r="N3947" s="12" t="s">
        <v>8630</v>
      </c>
      <c r="O3947" s="11" t="s">
        <v>1858</v>
      </c>
      <c r="P3947" s="56"/>
    </row>
    <row r="3948" spans="1:16" ht="15.75" customHeight="1" x14ac:dyDescent="0.2">
      <c r="A3948" s="48">
        <v>3978</v>
      </c>
      <c r="B3948" s="11" t="s">
        <v>1857</v>
      </c>
      <c r="C3948" s="11" t="s">
        <v>1849</v>
      </c>
      <c r="D3948" s="6" t="s">
        <v>1850</v>
      </c>
      <c r="E3948" s="11" t="s">
        <v>6642</v>
      </c>
      <c r="F3948" s="12" t="s">
        <v>8544</v>
      </c>
      <c r="G3948" s="12" t="s">
        <v>8544</v>
      </c>
      <c r="H3948" s="12" t="s">
        <v>8586</v>
      </c>
      <c r="I3948" s="12" t="s">
        <v>8631</v>
      </c>
      <c r="J3948" s="11" t="s">
        <v>1851</v>
      </c>
      <c r="K3948" s="11" t="s">
        <v>1852</v>
      </c>
      <c r="L3948" s="11" t="s">
        <v>1853</v>
      </c>
      <c r="M3948" s="11" t="s">
        <v>8632</v>
      </c>
      <c r="N3948" s="12" t="s">
        <v>8633</v>
      </c>
      <c r="O3948" s="11" t="s">
        <v>1858</v>
      </c>
      <c r="P3948" s="56"/>
    </row>
    <row r="3949" spans="1:16" ht="15.75" customHeight="1" x14ac:dyDescent="0.2">
      <c r="A3949" s="48">
        <v>4009</v>
      </c>
      <c r="B3949" s="11" t="s">
        <v>1857</v>
      </c>
      <c r="C3949" s="11" t="s">
        <v>1849</v>
      </c>
      <c r="D3949" s="6" t="s">
        <v>1850</v>
      </c>
      <c r="E3949" s="11" t="s">
        <v>6642</v>
      </c>
      <c r="F3949" s="12" t="s">
        <v>8544</v>
      </c>
      <c r="G3949" s="12" t="s">
        <v>8544</v>
      </c>
      <c r="H3949" s="12" t="s">
        <v>8553</v>
      </c>
      <c r="I3949" s="12" t="s">
        <v>8634</v>
      </c>
      <c r="J3949" s="11" t="s">
        <v>1851</v>
      </c>
      <c r="K3949" s="11" t="s">
        <v>1852</v>
      </c>
      <c r="L3949" s="11" t="s">
        <v>1853</v>
      </c>
      <c r="M3949" s="11" t="s">
        <v>8635</v>
      </c>
      <c r="N3949" s="12" t="s">
        <v>8636</v>
      </c>
      <c r="O3949" s="11" t="s">
        <v>1860</v>
      </c>
      <c r="P3949" s="56"/>
    </row>
    <row r="3950" spans="1:16" ht="15.75" customHeight="1" x14ac:dyDescent="0.2">
      <c r="A3950" s="48">
        <v>4992</v>
      </c>
      <c r="B3950" s="11" t="s">
        <v>1857</v>
      </c>
      <c r="C3950" s="11" t="s">
        <v>1849</v>
      </c>
      <c r="D3950" s="6" t="s">
        <v>1850</v>
      </c>
      <c r="E3950" s="11" t="s">
        <v>6642</v>
      </c>
      <c r="F3950" s="12" t="s">
        <v>8544</v>
      </c>
      <c r="G3950" s="12" t="s">
        <v>8544</v>
      </c>
      <c r="H3950" s="12" t="s">
        <v>8555</v>
      </c>
      <c r="I3950" s="12" t="s">
        <v>8637</v>
      </c>
      <c r="J3950" s="11" t="s">
        <v>1851</v>
      </c>
      <c r="K3950" s="11" t="s">
        <v>1852</v>
      </c>
      <c r="L3950" s="11" t="s">
        <v>1853</v>
      </c>
      <c r="M3950" s="11" t="s">
        <v>7425</v>
      </c>
      <c r="N3950" s="12" t="s">
        <v>8638</v>
      </c>
      <c r="O3950" s="11" t="s">
        <v>1858</v>
      </c>
      <c r="P3950" s="56"/>
    </row>
    <row r="3951" spans="1:16" ht="15.75" customHeight="1" x14ac:dyDescent="0.2">
      <c r="A3951" s="48">
        <v>4061</v>
      </c>
      <c r="B3951" s="11" t="s">
        <v>1857</v>
      </c>
      <c r="C3951" s="11" t="s">
        <v>1849</v>
      </c>
      <c r="D3951" s="6" t="s">
        <v>1850</v>
      </c>
      <c r="E3951" s="11" t="s">
        <v>6642</v>
      </c>
      <c r="F3951" s="12" t="s">
        <v>8544</v>
      </c>
      <c r="G3951" s="12" t="s">
        <v>8544</v>
      </c>
      <c r="H3951" s="12" t="s">
        <v>8579</v>
      </c>
      <c r="I3951" s="12" t="s">
        <v>8639</v>
      </c>
      <c r="J3951" s="11" t="s">
        <v>1856</v>
      </c>
      <c r="K3951" s="11" t="s">
        <v>1852</v>
      </c>
      <c r="L3951" s="11" t="s">
        <v>1853</v>
      </c>
      <c r="M3951" s="11" t="s">
        <v>8640</v>
      </c>
      <c r="N3951" s="12" t="s">
        <v>8641</v>
      </c>
      <c r="O3951" s="11" t="s">
        <v>1858</v>
      </c>
      <c r="P3951" s="56"/>
    </row>
    <row r="3952" spans="1:16" ht="15.75" customHeight="1" x14ac:dyDescent="0.2">
      <c r="A3952" s="48">
        <v>4012</v>
      </c>
      <c r="B3952" s="11" t="s">
        <v>1857</v>
      </c>
      <c r="C3952" s="11" t="s">
        <v>1849</v>
      </c>
      <c r="D3952" s="6" t="s">
        <v>1850</v>
      </c>
      <c r="E3952" s="11" t="s">
        <v>6642</v>
      </c>
      <c r="F3952" s="12" t="s">
        <v>8544</v>
      </c>
      <c r="G3952" s="12" t="s">
        <v>8544</v>
      </c>
      <c r="H3952" s="12" t="s">
        <v>8551</v>
      </c>
      <c r="I3952" s="12" t="s">
        <v>8642</v>
      </c>
      <c r="J3952" s="11" t="s">
        <v>1851</v>
      </c>
      <c r="K3952" s="11" t="s">
        <v>1852</v>
      </c>
      <c r="L3952" s="11" t="s">
        <v>1853</v>
      </c>
      <c r="M3952" s="11" t="s">
        <v>8643</v>
      </c>
      <c r="N3952" s="12" t="s">
        <v>8644</v>
      </c>
      <c r="O3952" s="11" t="s">
        <v>1858</v>
      </c>
      <c r="P3952" s="56"/>
    </row>
    <row r="3953" spans="1:16" ht="15.75" customHeight="1" x14ac:dyDescent="0.2">
      <c r="A3953" s="48">
        <v>3982</v>
      </c>
      <c r="B3953" s="11" t="s">
        <v>1857</v>
      </c>
      <c r="C3953" s="11" t="s">
        <v>1849</v>
      </c>
      <c r="D3953" s="6" t="s">
        <v>1850</v>
      </c>
      <c r="E3953" s="11" t="s">
        <v>6642</v>
      </c>
      <c r="F3953" s="12" t="s">
        <v>8544</v>
      </c>
      <c r="G3953" s="12" t="s">
        <v>8544</v>
      </c>
      <c r="H3953" s="12" t="s">
        <v>8583</v>
      </c>
      <c r="I3953" s="12" t="s">
        <v>8645</v>
      </c>
      <c r="J3953" s="11" t="s">
        <v>1851</v>
      </c>
      <c r="K3953" s="11" t="s">
        <v>1852</v>
      </c>
      <c r="L3953" s="11" t="s">
        <v>1853</v>
      </c>
      <c r="M3953" s="11" t="s">
        <v>1854</v>
      </c>
      <c r="N3953" s="12"/>
      <c r="O3953" s="11" t="s">
        <v>1858</v>
      </c>
      <c r="P3953" s="56"/>
    </row>
    <row r="3954" spans="1:16" ht="15.75" customHeight="1" x14ac:dyDescent="0.2">
      <c r="A3954" s="48">
        <v>4038</v>
      </c>
      <c r="B3954" s="11" t="s">
        <v>1857</v>
      </c>
      <c r="C3954" s="11" t="s">
        <v>1849</v>
      </c>
      <c r="D3954" s="6" t="s">
        <v>1850</v>
      </c>
      <c r="E3954" s="11" t="s">
        <v>6642</v>
      </c>
      <c r="F3954" s="12" t="s">
        <v>8544</v>
      </c>
      <c r="G3954" s="12" t="s">
        <v>8544</v>
      </c>
      <c r="H3954" s="12" t="s">
        <v>8553</v>
      </c>
      <c r="I3954" s="12" t="s">
        <v>8646</v>
      </c>
      <c r="J3954" s="11" t="s">
        <v>1851</v>
      </c>
      <c r="K3954" s="11" t="s">
        <v>1852</v>
      </c>
      <c r="L3954" s="11" t="s">
        <v>1853</v>
      </c>
      <c r="M3954" s="11" t="s">
        <v>8647</v>
      </c>
      <c r="N3954" s="12" t="s">
        <v>8648</v>
      </c>
      <c r="O3954" s="11" t="s">
        <v>1858</v>
      </c>
      <c r="P3954" s="56"/>
    </row>
    <row r="3955" spans="1:16" ht="15.75" customHeight="1" x14ac:dyDescent="0.2">
      <c r="A3955" s="48">
        <v>4047</v>
      </c>
      <c r="B3955" s="11" t="s">
        <v>1857</v>
      </c>
      <c r="C3955" s="11" t="s">
        <v>1849</v>
      </c>
      <c r="D3955" s="6" t="s">
        <v>1850</v>
      </c>
      <c r="E3955" s="11" t="s">
        <v>6642</v>
      </c>
      <c r="F3955" s="12" t="s">
        <v>8544</v>
      </c>
      <c r="G3955" s="12" t="s">
        <v>8544</v>
      </c>
      <c r="H3955" s="12" t="s">
        <v>8553</v>
      </c>
      <c r="I3955" s="12" t="s">
        <v>8649</v>
      </c>
      <c r="J3955" s="11" t="s">
        <v>1851</v>
      </c>
      <c r="K3955" s="11" t="s">
        <v>1852</v>
      </c>
      <c r="L3955" s="11" t="s">
        <v>1853</v>
      </c>
      <c r="M3955" s="11" t="s">
        <v>7402</v>
      </c>
      <c r="N3955" s="12" t="s">
        <v>8650</v>
      </c>
      <c r="O3955" s="11" t="s">
        <v>1858</v>
      </c>
      <c r="P3955" s="56"/>
    </row>
    <row r="3956" spans="1:16" ht="15.75" customHeight="1" x14ac:dyDescent="0.2">
      <c r="A3956" s="48">
        <v>3979</v>
      </c>
      <c r="B3956" s="11" t="s">
        <v>1857</v>
      </c>
      <c r="C3956" s="11" t="s">
        <v>1849</v>
      </c>
      <c r="D3956" s="6" t="s">
        <v>1850</v>
      </c>
      <c r="E3956" s="11" t="s">
        <v>6642</v>
      </c>
      <c r="F3956" s="12" t="s">
        <v>8544</v>
      </c>
      <c r="G3956" s="12" t="s">
        <v>8544</v>
      </c>
      <c r="H3956" s="12" t="s">
        <v>8586</v>
      </c>
      <c r="I3956" s="12" t="s">
        <v>8651</v>
      </c>
      <c r="J3956" s="11" t="s">
        <v>1851</v>
      </c>
      <c r="K3956" s="11" t="s">
        <v>1852</v>
      </c>
      <c r="L3956" s="11" t="s">
        <v>1853</v>
      </c>
      <c r="M3956" s="11" t="s">
        <v>8652</v>
      </c>
      <c r="N3956" s="12" t="s">
        <v>8653</v>
      </c>
      <c r="O3956" s="11" t="s">
        <v>1858</v>
      </c>
      <c r="P3956" s="56"/>
    </row>
    <row r="3957" spans="1:16" ht="15.75" customHeight="1" x14ac:dyDescent="0.2">
      <c r="A3957" s="48">
        <v>4011</v>
      </c>
      <c r="B3957" s="11" t="s">
        <v>1857</v>
      </c>
      <c r="C3957" s="11" t="s">
        <v>1849</v>
      </c>
      <c r="D3957" s="6" t="s">
        <v>1850</v>
      </c>
      <c r="E3957" s="11" t="s">
        <v>6642</v>
      </c>
      <c r="F3957" s="12" t="s">
        <v>8544</v>
      </c>
      <c r="G3957" s="12" t="s">
        <v>8544</v>
      </c>
      <c r="H3957" s="12" t="s">
        <v>8551</v>
      </c>
      <c r="I3957" s="12" t="s">
        <v>8654</v>
      </c>
      <c r="J3957" s="11" t="s">
        <v>1851</v>
      </c>
      <c r="K3957" s="11" t="s">
        <v>1852</v>
      </c>
      <c r="L3957" s="11" t="s">
        <v>1853</v>
      </c>
      <c r="M3957" s="11" t="s">
        <v>8655</v>
      </c>
      <c r="N3957" s="12" t="s">
        <v>8656</v>
      </c>
      <c r="O3957" s="11" t="s">
        <v>1858</v>
      </c>
      <c r="P3957" s="56"/>
    </row>
    <row r="3958" spans="1:16" ht="15.75" customHeight="1" x14ac:dyDescent="0.2">
      <c r="A3958" s="48">
        <v>4049</v>
      </c>
      <c r="B3958" s="11" t="s">
        <v>1857</v>
      </c>
      <c r="C3958" s="11" t="s">
        <v>1849</v>
      </c>
      <c r="D3958" s="6" t="s">
        <v>1850</v>
      </c>
      <c r="E3958" s="11" t="s">
        <v>6642</v>
      </c>
      <c r="F3958" s="12" t="s">
        <v>8544</v>
      </c>
      <c r="G3958" s="12" t="s">
        <v>8544</v>
      </c>
      <c r="H3958" s="12" t="s">
        <v>8583</v>
      </c>
      <c r="I3958" s="12" t="s">
        <v>8657</v>
      </c>
      <c r="J3958" s="11" t="s">
        <v>1851</v>
      </c>
      <c r="K3958" s="11" t="s">
        <v>1852</v>
      </c>
      <c r="L3958" s="11" t="s">
        <v>1853</v>
      </c>
      <c r="M3958" s="11" t="s">
        <v>8658</v>
      </c>
      <c r="N3958" s="12" t="s">
        <v>8659</v>
      </c>
      <c r="O3958" s="11" t="s">
        <v>1858</v>
      </c>
      <c r="P3958" s="56"/>
    </row>
    <row r="3959" spans="1:16" ht="15.75" customHeight="1" x14ac:dyDescent="0.2">
      <c r="A3959" s="48">
        <v>4005</v>
      </c>
      <c r="B3959" s="11" t="s">
        <v>1857</v>
      </c>
      <c r="C3959" s="11" t="s">
        <v>1849</v>
      </c>
      <c r="D3959" s="6" t="s">
        <v>1850</v>
      </c>
      <c r="E3959" s="11" t="s">
        <v>6642</v>
      </c>
      <c r="F3959" s="12" t="s">
        <v>8544</v>
      </c>
      <c r="G3959" s="12" t="s">
        <v>8544</v>
      </c>
      <c r="H3959" s="12" t="s">
        <v>8583</v>
      </c>
      <c r="I3959" s="12" t="s">
        <v>8660</v>
      </c>
      <c r="J3959" s="11" t="s">
        <v>1851</v>
      </c>
      <c r="K3959" s="11" t="s">
        <v>1852</v>
      </c>
      <c r="L3959" s="11" t="s">
        <v>1853</v>
      </c>
      <c r="M3959" s="11" t="s">
        <v>4326</v>
      </c>
      <c r="N3959" s="12" t="s">
        <v>8661</v>
      </c>
      <c r="O3959" s="11" t="s">
        <v>1858</v>
      </c>
      <c r="P3959" s="56"/>
    </row>
    <row r="3960" spans="1:16" ht="15.75" customHeight="1" x14ac:dyDescent="0.2">
      <c r="A3960" s="48">
        <v>4010</v>
      </c>
      <c r="B3960" s="11" t="s">
        <v>1857</v>
      </c>
      <c r="C3960" s="11" t="s">
        <v>1849</v>
      </c>
      <c r="D3960" s="6" t="s">
        <v>1850</v>
      </c>
      <c r="E3960" s="11" t="s">
        <v>6642</v>
      </c>
      <c r="F3960" s="12" t="s">
        <v>8544</v>
      </c>
      <c r="G3960" s="12" t="s">
        <v>8544</v>
      </c>
      <c r="H3960" s="12" t="s">
        <v>8551</v>
      </c>
      <c r="I3960" s="12" t="s">
        <v>8662</v>
      </c>
      <c r="J3960" s="11" t="s">
        <v>1851</v>
      </c>
      <c r="K3960" s="11" t="s">
        <v>1852</v>
      </c>
      <c r="L3960" s="11" t="s">
        <v>1853</v>
      </c>
      <c r="M3960" s="11" t="s">
        <v>8663</v>
      </c>
      <c r="N3960" s="12" t="s">
        <v>8664</v>
      </c>
      <c r="O3960" s="11" t="s">
        <v>1858</v>
      </c>
      <c r="P3960" s="56"/>
    </row>
    <row r="3961" spans="1:16" ht="15.75" customHeight="1" x14ac:dyDescent="0.2">
      <c r="A3961" s="48">
        <v>5141</v>
      </c>
      <c r="B3961" s="11" t="s">
        <v>1857</v>
      </c>
      <c r="C3961" s="11" t="s">
        <v>1849</v>
      </c>
      <c r="D3961" s="6" t="s">
        <v>1850</v>
      </c>
      <c r="E3961" s="11" t="s">
        <v>6642</v>
      </c>
      <c r="F3961" s="12" t="s">
        <v>8544</v>
      </c>
      <c r="G3961" s="12" t="s">
        <v>8544</v>
      </c>
      <c r="H3961" s="12" t="s">
        <v>8594</v>
      </c>
      <c r="I3961" s="12" t="s">
        <v>4576</v>
      </c>
      <c r="J3961" s="11" t="s">
        <v>1851</v>
      </c>
      <c r="K3961" s="11" t="s">
        <v>1852</v>
      </c>
      <c r="L3961" s="11" t="s">
        <v>1853</v>
      </c>
      <c r="M3961" s="11" t="s">
        <v>6812</v>
      </c>
      <c r="N3961" s="12" t="s">
        <v>8665</v>
      </c>
      <c r="O3961" s="11" t="s">
        <v>1858</v>
      </c>
      <c r="P3961" s="56"/>
    </row>
    <row r="3962" spans="1:16" ht="15.75" customHeight="1" x14ac:dyDescent="0.2">
      <c r="A3962" s="48">
        <v>4008</v>
      </c>
      <c r="B3962" s="11" t="s">
        <v>1857</v>
      </c>
      <c r="C3962" s="11" t="s">
        <v>1849</v>
      </c>
      <c r="D3962" s="6" t="s">
        <v>1850</v>
      </c>
      <c r="E3962" s="11" t="s">
        <v>6642</v>
      </c>
      <c r="F3962" s="12" t="s">
        <v>8544</v>
      </c>
      <c r="G3962" s="12" t="s">
        <v>8544</v>
      </c>
      <c r="H3962" s="12" t="s">
        <v>8545</v>
      </c>
      <c r="I3962" s="12" t="s">
        <v>8666</v>
      </c>
      <c r="J3962" s="11" t="s">
        <v>1851</v>
      </c>
      <c r="K3962" s="11" t="s">
        <v>1852</v>
      </c>
      <c r="L3962" s="11" t="s">
        <v>1853</v>
      </c>
      <c r="M3962" s="11" t="s">
        <v>4326</v>
      </c>
      <c r="N3962" s="12" t="s">
        <v>8667</v>
      </c>
      <c r="O3962" s="11" t="s">
        <v>1858</v>
      </c>
      <c r="P3962" s="56"/>
    </row>
    <row r="3963" spans="1:16" ht="15.75" customHeight="1" x14ac:dyDescent="0.2">
      <c r="A3963" s="48">
        <v>4052</v>
      </c>
      <c r="B3963" s="11" t="s">
        <v>1857</v>
      </c>
      <c r="C3963" s="11" t="s">
        <v>1849</v>
      </c>
      <c r="D3963" s="6" t="s">
        <v>1850</v>
      </c>
      <c r="E3963" s="11" t="s">
        <v>6642</v>
      </c>
      <c r="F3963" s="12" t="s">
        <v>8544</v>
      </c>
      <c r="G3963" s="12" t="s">
        <v>8544</v>
      </c>
      <c r="H3963" s="12" t="s">
        <v>8559</v>
      </c>
      <c r="I3963" s="12" t="s">
        <v>8668</v>
      </c>
      <c r="J3963" s="11" t="s">
        <v>1851</v>
      </c>
      <c r="K3963" s="11" t="s">
        <v>1852</v>
      </c>
      <c r="L3963" s="11" t="s">
        <v>1853</v>
      </c>
      <c r="M3963" s="11" t="s">
        <v>8669</v>
      </c>
      <c r="N3963" s="12" t="s">
        <v>8670</v>
      </c>
      <c r="O3963" s="11" t="s">
        <v>2022</v>
      </c>
      <c r="P3963" s="56" t="s">
        <v>8671</v>
      </c>
    </row>
    <row r="3964" spans="1:16" ht="15.75" customHeight="1" x14ac:dyDescent="0.2">
      <c r="A3964" s="48">
        <v>4016</v>
      </c>
      <c r="B3964" s="11" t="s">
        <v>1857</v>
      </c>
      <c r="C3964" s="11" t="s">
        <v>1849</v>
      </c>
      <c r="D3964" s="6" t="s">
        <v>1850</v>
      </c>
      <c r="E3964" s="11" t="s">
        <v>6642</v>
      </c>
      <c r="F3964" s="12" t="s">
        <v>8544</v>
      </c>
      <c r="G3964" s="12" t="s">
        <v>8544</v>
      </c>
      <c r="H3964" s="12" t="s">
        <v>8551</v>
      </c>
      <c r="I3964" s="12" t="s">
        <v>8672</v>
      </c>
      <c r="J3964" s="11" t="s">
        <v>1851</v>
      </c>
      <c r="K3964" s="11" t="s">
        <v>1852</v>
      </c>
      <c r="L3964" s="11" t="s">
        <v>1853</v>
      </c>
      <c r="M3964" s="11" t="s">
        <v>8673</v>
      </c>
      <c r="N3964" s="12" t="s">
        <v>8674</v>
      </c>
      <c r="O3964" s="11" t="s">
        <v>2022</v>
      </c>
      <c r="P3964" s="56" t="s">
        <v>8671</v>
      </c>
    </row>
    <row r="3965" spans="1:16" ht="15.75" customHeight="1" x14ac:dyDescent="0.2">
      <c r="A3965" s="48">
        <v>3998</v>
      </c>
      <c r="B3965" s="11" t="s">
        <v>1857</v>
      </c>
      <c r="C3965" s="11" t="s">
        <v>1849</v>
      </c>
      <c r="D3965" s="6" t="s">
        <v>1850</v>
      </c>
      <c r="E3965" s="11" t="s">
        <v>6642</v>
      </c>
      <c r="F3965" s="12" t="s">
        <v>8544</v>
      </c>
      <c r="G3965" s="12" t="s">
        <v>8544</v>
      </c>
      <c r="H3965" s="12" t="s">
        <v>8583</v>
      </c>
      <c r="I3965" s="12" t="s">
        <v>8675</v>
      </c>
      <c r="J3965" s="11" t="s">
        <v>1851</v>
      </c>
      <c r="K3965" s="11" t="s">
        <v>1852</v>
      </c>
      <c r="L3965" s="11" t="s">
        <v>1853</v>
      </c>
      <c r="M3965" s="11" t="s">
        <v>8676</v>
      </c>
      <c r="N3965" s="12" t="s">
        <v>8677</v>
      </c>
      <c r="O3965" s="11" t="s">
        <v>2022</v>
      </c>
      <c r="P3965" s="56" t="s">
        <v>8671</v>
      </c>
    </row>
    <row r="3966" spans="1:16" ht="15.75" customHeight="1" x14ac:dyDescent="0.2">
      <c r="A3966" s="48">
        <v>4015</v>
      </c>
      <c r="B3966" s="11" t="s">
        <v>1857</v>
      </c>
      <c r="C3966" s="11" t="s">
        <v>1849</v>
      </c>
      <c r="D3966" s="6" t="s">
        <v>1850</v>
      </c>
      <c r="E3966" s="11" t="s">
        <v>6642</v>
      </c>
      <c r="F3966" s="12" t="s">
        <v>8544</v>
      </c>
      <c r="G3966" s="12" t="s">
        <v>8544</v>
      </c>
      <c r="H3966" s="12" t="s">
        <v>8551</v>
      </c>
      <c r="I3966" s="12" t="s">
        <v>8678</v>
      </c>
      <c r="J3966" s="11" t="s">
        <v>1851</v>
      </c>
      <c r="K3966" s="11" t="s">
        <v>1852</v>
      </c>
      <c r="L3966" s="11" t="s">
        <v>1853</v>
      </c>
      <c r="M3966" s="11" t="s">
        <v>8679</v>
      </c>
      <c r="N3966" s="12" t="s">
        <v>8680</v>
      </c>
      <c r="O3966" s="11" t="s">
        <v>3016</v>
      </c>
      <c r="P3966" s="56" t="s">
        <v>8681</v>
      </c>
    </row>
    <row r="3967" spans="1:16" ht="15.75" customHeight="1" x14ac:dyDescent="0.2">
      <c r="A3967" s="48">
        <v>4070</v>
      </c>
      <c r="B3967" s="11" t="s">
        <v>1857</v>
      </c>
      <c r="C3967" s="11" t="s">
        <v>1849</v>
      </c>
      <c r="D3967" s="6" t="s">
        <v>1850</v>
      </c>
      <c r="E3967" s="11" t="s">
        <v>6642</v>
      </c>
      <c r="F3967" s="12" t="s">
        <v>8544</v>
      </c>
      <c r="G3967" s="12" t="s">
        <v>8544</v>
      </c>
      <c r="H3967" s="12" t="s">
        <v>8555</v>
      </c>
      <c r="I3967" s="12" t="s">
        <v>8682</v>
      </c>
      <c r="J3967" s="11" t="s">
        <v>1851</v>
      </c>
      <c r="K3967" s="11" t="s">
        <v>1852</v>
      </c>
      <c r="L3967" s="11" t="s">
        <v>1853</v>
      </c>
      <c r="M3967" s="11" t="s">
        <v>8683</v>
      </c>
      <c r="N3967" s="12" t="s">
        <v>8684</v>
      </c>
      <c r="O3967" s="11" t="s">
        <v>1864</v>
      </c>
      <c r="P3967" s="56" t="s">
        <v>6745</v>
      </c>
    </row>
    <row r="3968" spans="1:16" ht="15.75" customHeight="1" x14ac:dyDescent="0.2">
      <c r="A3968" s="48">
        <v>4074</v>
      </c>
      <c r="B3968" s="11" t="s">
        <v>1857</v>
      </c>
      <c r="C3968" s="11" t="s">
        <v>1849</v>
      </c>
      <c r="D3968" s="6" t="s">
        <v>1850</v>
      </c>
      <c r="E3968" s="11" t="s">
        <v>6642</v>
      </c>
      <c r="F3968" s="12" t="s">
        <v>8544</v>
      </c>
      <c r="G3968" s="12" t="s">
        <v>8544</v>
      </c>
      <c r="H3968" s="12" t="s">
        <v>8594</v>
      </c>
      <c r="I3968" s="12" t="s">
        <v>8685</v>
      </c>
      <c r="J3968" s="11" t="s">
        <v>1851</v>
      </c>
      <c r="K3968" s="11" t="s">
        <v>1852</v>
      </c>
      <c r="L3968" s="11" t="s">
        <v>1853</v>
      </c>
      <c r="M3968" s="11" t="s">
        <v>8686</v>
      </c>
      <c r="N3968" s="12" t="s">
        <v>8687</v>
      </c>
      <c r="O3968" s="11" t="s">
        <v>1866</v>
      </c>
      <c r="P3968" s="56" t="s">
        <v>8688</v>
      </c>
    </row>
    <row r="3969" spans="1:16" ht="15.75" customHeight="1" x14ac:dyDescent="0.2">
      <c r="A3969" s="48">
        <v>4000</v>
      </c>
      <c r="B3969" s="11" t="s">
        <v>1857</v>
      </c>
      <c r="C3969" s="11" t="s">
        <v>1849</v>
      </c>
      <c r="D3969" s="6" t="s">
        <v>1850</v>
      </c>
      <c r="E3969" s="11" t="s">
        <v>6642</v>
      </c>
      <c r="F3969" s="12" t="s">
        <v>8544</v>
      </c>
      <c r="G3969" s="12" t="s">
        <v>8544</v>
      </c>
      <c r="H3969" s="12" t="s">
        <v>8586</v>
      </c>
      <c r="I3969" s="12" t="s">
        <v>8689</v>
      </c>
      <c r="J3969" s="11" t="s">
        <v>1851</v>
      </c>
      <c r="K3969" s="11" t="s">
        <v>1852</v>
      </c>
      <c r="L3969" s="11" t="s">
        <v>1853</v>
      </c>
      <c r="M3969" s="11" t="s">
        <v>8690</v>
      </c>
      <c r="N3969" s="12" t="s">
        <v>8691</v>
      </c>
      <c r="O3969" s="11" t="s">
        <v>2022</v>
      </c>
      <c r="P3969" s="56" t="s">
        <v>1863</v>
      </c>
    </row>
    <row r="3970" spans="1:16" ht="15.75" customHeight="1" x14ac:dyDescent="0.2">
      <c r="A3970" s="48">
        <v>4018</v>
      </c>
      <c r="B3970" s="11" t="s">
        <v>1857</v>
      </c>
      <c r="C3970" s="11" t="s">
        <v>1849</v>
      </c>
      <c r="D3970" s="6" t="s">
        <v>1850</v>
      </c>
      <c r="E3970" s="11" t="s">
        <v>6642</v>
      </c>
      <c r="F3970" s="12" t="s">
        <v>8544</v>
      </c>
      <c r="G3970" s="12" t="s">
        <v>8544</v>
      </c>
      <c r="H3970" s="12" t="s">
        <v>8551</v>
      </c>
      <c r="I3970" s="12" t="s">
        <v>8692</v>
      </c>
      <c r="J3970" s="11" t="s">
        <v>1851</v>
      </c>
      <c r="K3970" s="11" t="s">
        <v>1852</v>
      </c>
      <c r="L3970" s="11" t="s">
        <v>1853</v>
      </c>
      <c r="M3970" s="11" t="s">
        <v>1854</v>
      </c>
      <c r="N3970" s="12"/>
      <c r="O3970" s="11" t="s">
        <v>1866</v>
      </c>
      <c r="P3970" s="56" t="s">
        <v>8693</v>
      </c>
    </row>
    <row r="3971" spans="1:16" ht="15.75" customHeight="1" x14ac:dyDescent="0.2">
      <c r="A3971" s="48">
        <v>4013</v>
      </c>
      <c r="B3971" s="11" t="s">
        <v>1871</v>
      </c>
      <c r="C3971" s="11" t="s">
        <v>1849</v>
      </c>
      <c r="D3971" s="6" t="s">
        <v>1850</v>
      </c>
      <c r="E3971" s="11" t="s">
        <v>6642</v>
      </c>
      <c r="F3971" s="12" t="s">
        <v>8544</v>
      </c>
      <c r="G3971" s="12" t="s">
        <v>8544</v>
      </c>
      <c r="H3971" s="12" t="s">
        <v>8553</v>
      </c>
      <c r="I3971" s="12" t="s">
        <v>8694</v>
      </c>
      <c r="J3971" s="11" t="s">
        <v>1851</v>
      </c>
      <c r="K3971" s="11" t="s">
        <v>1852</v>
      </c>
      <c r="L3971" s="11" t="s">
        <v>1853</v>
      </c>
      <c r="M3971" s="11" t="s">
        <v>1854</v>
      </c>
      <c r="N3971" s="12"/>
      <c r="O3971" s="11" t="s">
        <v>3387</v>
      </c>
      <c r="P3971" s="56"/>
    </row>
    <row r="3972" spans="1:16" ht="15.75" customHeight="1" x14ac:dyDescent="0.2">
      <c r="A3972" s="48">
        <v>4014</v>
      </c>
      <c r="B3972" s="11" t="s">
        <v>1871</v>
      </c>
      <c r="C3972" s="11" t="s">
        <v>1849</v>
      </c>
      <c r="D3972" s="6" t="s">
        <v>1850</v>
      </c>
      <c r="E3972" s="11" t="s">
        <v>6642</v>
      </c>
      <c r="F3972" s="12" t="s">
        <v>8544</v>
      </c>
      <c r="G3972" s="12" t="s">
        <v>8544</v>
      </c>
      <c r="H3972" s="12" t="s">
        <v>8583</v>
      </c>
      <c r="I3972" s="12" t="s">
        <v>8695</v>
      </c>
      <c r="J3972" s="11" t="s">
        <v>1851</v>
      </c>
      <c r="K3972" s="11" t="s">
        <v>1852</v>
      </c>
      <c r="L3972" s="11" t="s">
        <v>1853</v>
      </c>
      <c r="M3972" s="11" t="s">
        <v>1854</v>
      </c>
      <c r="N3972" s="12"/>
      <c r="O3972" s="11" t="s">
        <v>1866</v>
      </c>
      <c r="P3972" s="56" t="s">
        <v>8696</v>
      </c>
    </row>
    <row r="3973" spans="1:16" ht="15.75" customHeight="1" x14ac:dyDescent="0.2">
      <c r="A3973" s="48">
        <v>5149</v>
      </c>
      <c r="B3973" s="11" t="s">
        <v>1871</v>
      </c>
      <c r="C3973" s="11" t="s">
        <v>1849</v>
      </c>
      <c r="D3973" s="6" t="s">
        <v>1850</v>
      </c>
      <c r="E3973" s="11" t="s">
        <v>6642</v>
      </c>
      <c r="F3973" s="12" t="s">
        <v>8544</v>
      </c>
      <c r="G3973" s="12" t="s">
        <v>8544</v>
      </c>
      <c r="H3973" s="12" t="s">
        <v>8583</v>
      </c>
      <c r="I3973" s="12" t="s">
        <v>8697</v>
      </c>
      <c r="J3973" s="11" t="s">
        <v>1851</v>
      </c>
      <c r="K3973" s="11" t="s">
        <v>1852</v>
      </c>
      <c r="L3973" s="11" t="s">
        <v>1853</v>
      </c>
      <c r="M3973" s="11" t="s">
        <v>1854</v>
      </c>
      <c r="N3973" s="12"/>
      <c r="O3973" s="11" t="s">
        <v>3387</v>
      </c>
      <c r="P3973" s="56"/>
    </row>
    <row r="3974" spans="1:16" ht="15.75" customHeight="1" x14ac:dyDescent="0.2">
      <c r="A3974" s="48">
        <v>15261</v>
      </c>
      <c r="B3974" s="11" t="s">
        <v>1871</v>
      </c>
      <c r="C3974" s="11" t="s">
        <v>1849</v>
      </c>
      <c r="D3974" s="6" t="s">
        <v>1850</v>
      </c>
      <c r="E3974" s="11" t="s">
        <v>6642</v>
      </c>
      <c r="F3974" s="12" t="s">
        <v>8544</v>
      </c>
      <c r="G3974" s="12" t="s">
        <v>8544</v>
      </c>
      <c r="H3974" s="12" t="s">
        <v>8553</v>
      </c>
      <c r="I3974" s="12" t="s">
        <v>8698</v>
      </c>
      <c r="J3974" s="11" t="s">
        <v>1851</v>
      </c>
      <c r="K3974" s="11" t="s">
        <v>1852</v>
      </c>
      <c r="L3974" s="11" t="s">
        <v>1853</v>
      </c>
      <c r="M3974" s="11" t="s">
        <v>1854</v>
      </c>
      <c r="N3974" s="12"/>
      <c r="O3974" s="11" t="s">
        <v>2755</v>
      </c>
      <c r="P3974" s="56"/>
    </row>
    <row r="3975" spans="1:16" ht="15.75" customHeight="1" x14ac:dyDescent="0.2">
      <c r="A3975" s="48">
        <v>7540</v>
      </c>
      <c r="B3975" s="11" t="s">
        <v>1871</v>
      </c>
      <c r="C3975" s="11" t="s">
        <v>1849</v>
      </c>
      <c r="D3975" s="6" t="s">
        <v>1850</v>
      </c>
      <c r="E3975" s="11" t="s">
        <v>6642</v>
      </c>
      <c r="F3975" s="12" t="s">
        <v>8544</v>
      </c>
      <c r="G3975" s="12" t="s">
        <v>8544</v>
      </c>
      <c r="H3975" s="12" t="s">
        <v>8555</v>
      </c>
      <c r="I3975" s="12" t="s">
        <v>8699</v>
      </c>
      <c r="J3975" s="11" t="s">
        <v>1851</v>
      </c>
      <c r="K3975" s="11" t="s">
        <v>1852</v>
      </c>
      <c r="L3975" s="11" t="s">
        <v>1853</v>
      </c>
      <c r="M3975" s="11" t="s">
        <v>1854</v>
      </c>
      <c r="N3975" s="12"/>
      <c r="O3975" s="11" t="s">
        <v>8700</v>
      </c>
      <c r="P3975" s="56"/>
    </row>
    <row r="3976" spans="1:16" ht="15.75" customHeight="1" x14ac:dyDescent="0.2">
      <c r="A3976" s="48">
        <v>4075</v>
      </c>
      <c r="B3976" s="11" t="s">
        <v>1871</v>
      </c>
      <c r="C3976" s="11" t="s">
        <v>1849</v>
      </c>
      <c r="D3976" s="6" t="s">
        <v>1850</v>
      </c>
      <c r="E3976" s="11" t="s">
        <v>6642</v>
      </c>
      <c r="F3976" s="12" t="s">
        <v>8544</v>
      </c>
      <c r="G3976" s="12" t="s">
        <v>8544</v>
      </c>
      <c r="H3976" s="12" t="s">
        <v>8594</v>
      </c>
      <c r="I3976" s="12" t="s">
        <v>8701</v>
      </c>
      <c r="J3976" s="11" t="s">
        <v>1851</v>
      </c>
      <c r="K3976" s="11" t="s">
        <v>1852</v>
      </c>
      <c r="L3976" s="11" t="s">
        <v>1853</v>
      </c>
      <c r="M3976" s="11" t="s">
        <v>1854</v>
      </c>
      <c r="N3976" s="12"/>
      <c r="O3976" s="11" t="s">
        <v>3387</v>
      </c>
      <c r="P3976" s="56" t="s">
        <v>8702</v>
      </c>
    </row>
    <row r="3977" spans="1:16" ht="15.75" customHeight="1" x14ac:dyDescent="0.2">
      <c r="A3977" s="48">
        <v>15259</v>
      </c>
      <c r="B3977" s="11" t="s">
        <v>1871</v>
      </c>
      <c r="C3977" s="11" t="s">
        <v>1849</v>
      </c>
      <c r="D3977" s="6" t="s">
        <v>1850</v>
      </c>
      <c r="E3977" s="11" t="s">
        <v>6642</v>
      </c>
      <c r="F3977" s="12" t="s">
        <v>8544</v>
      </c>
      <c r="G3977" s="12" t="s">
        <v>8544</v>
      </c>
      <c r="H3977" s="12" t="s">
        <v>8551</v>
      </c>
      <c r="I3977" s="12" t="s">
        <v>8703</v>
      </c>
      <c r="J3977" s="11" t="s">
        <v>1851</v>
      </c>
      <c r="K3977" s="11" t="s">
        <v>1852</v>
      </c>
      <c r="L3977" s="11" t="s">
        <v>1853</v>
      </c>
      <c r="M3977" s="11" t="s">
        <v>1854</v>
      </c>
      <c r="N3977" s="12"/>
      <c r="O3977" s="11" t="s">
        <v>1872</v>
      </c>
      <c r="P3977" s="56"/>
    </row>
    <row r="3978" spans="1:16" ht="15.75" customHeight="1" x14ac:dyDescent="0.2">
      <c r="A3978" s="48">
        <v>7577</v>
      </c>
      <c r="B3978" s="11" t="s">
        <v>1857</v>
      </c>
      <c r="C3978" s="11" t="s">
        <v>1849</v>
      </c>
      <c r="D3978" s="6" t="s">
        <v>1875</v>
      </c>
      <c r="E3978" s="11" t="s">
        <v>6642</v>
      </c>
      <c r="F3978" s="12" t="s">
        <v>8544</v>
      </c>
      <c r="G3978" s="12" t="s">
        <v>8544</v>
      </c>
      <c r="H3978" s="12" t="s">
        <v>8555</v>
      </c>
      <c r="I3978" s="12" t="s">
        <v>8704</v>
      </c>
      <c r="J3978" s="11" t="s">
        <v>1851</v>
      </c>
      <c r="K3978" s="11" t="s">
        <v>1852</v>
      </c>
      <c r="L3978" s="11" t="s">
        <v>1853</v>
      </c>
      <c r="M3978" s="11" t="s">
        <v>1854</v>
      </c>
      <c r="N3978" s="12"/>
      <c r="O3978" s="11" t="s">
        <v>1854</v>
      </c>
      <c r="P3978" s="56"/>
    </row>
    <row r="3979" spans="1:16" ht="15.75" customHeight="1" x14ac:dyDescent="0.2">
      <c r="A3979" s="48">
        <v>16101</v>
      </c>
      <c r="B3979" s="11" t="s">
        <v>1848</v>
      </c>
      <c r="C3979" s="11" t="s">
        <v>1876</v>
      </c>
      <c r="D3979" s="6" t="s">
        <v>1850</v>
      </c>
      <c r="E3979" s="11" t="s">
        <v>6642</v>
      </c>
      <c r="F3979" s="12" t="s">
        <v>8544</v>
      </c>
      <c r="G3979" s="12" t="s">
        <v>8544</v>
      </c>
      <c r="H3979" s="12" t="s">
        <v>8586</v>
      </c>
      <c r="I3979" s="12" t="s">
        <v>8705</v>
      </c>
      <c r="J3979" s="11" t="s">
        <v>1851</v>
      </c>
      <c r="K3979" s="11" t="s">
        <v>1852</v>
      </c>
      <c r="L3979" s="11" t="s">
        <v>1853</v>
      </c>
      <c r="M3979" s="11" t="s">
        <v>1854</v>
      </c>
      <c r="N3979" s="12"/>
      <c r="O3979" s="11" t="s">
        <v>1855</v>
      </c>
      <c r="P3979" s="56"/>
    </row>
    <row r="3980" spans="1:16" ht="15.75" customHeight="1" x14ac:dyDescent="0.2">
      <c r="A3980" s="48">
        <v>15988</v>
      </c>
      <c r="B3980" s="11" t="s">
        <v>1848</v>
      </c>
      <c r="C3980" s="11" t="s">
        <v>1876</v>
      </c>
      <c r="D3980" s="6" t="s">
        <v>1850</v>
      </c>
      <c r="E3980" s="11" t="s">
        <v>6642</v>
      </c>
      <c r="F3980" s="12" t="s">
        <v>8544</v>
      </c>
      <c r="G3980" s="12" t="s">
        <v>8544</v>
      </c>
      <c r="H3980" s="12" t="s">
        <v>8579</v>
      </c>
      <c r="I3980" s="12" t="s">
        <v>8706</v>
      </c>
      <c r="J3980" s="11" t="s">
        <v>1851</v>
      </c>
      <c r="K3980" s="11" t="s">
        <v>1852</v>
      </c>
      <c r="L3980" s="11" t="s">
        <v>1853</v>
      </c>
      <c r="M3980" s="11" t="s">
        <v>1854</v>
      </c>
      <c r="N3980" s="12"/>
      <c r="O3980" s="11" t="s">
        <v>1855</v>
      </c>
      <c r="P3980" s="56"/>
    </row>
    <row r="3981" spans="1:16" ht="15.75" customHeight="1" x14ac:dyDescent="0.2">
      <c r="A3981" s="49">
        <v>7603</v>
      </c>
      <c r="B3981" s="11" t="s">
        <v>1848</v>
      </c>
      <c r="C3981" s="11" t="s">
        <v>1876</v>
      </c>
      <c r="D3981" s="6" t="s">
        <v>1850</v>
      </c>
      <c r="E3981" s="11" t="s">
        <v>6642</v>
      </c>
      <c r="F3981" s="12" t="s">
        <v>8544</v>
      </c>
      <c r="G3981" s="12" t="s">
        <v>8544</v>
      </c>
      <c r="H3981" s="12" t="s">
        <v>8559</v>
      </c>
      <c r="I3981" s="12" t="s">
        <v>8707</v>
      </c>
      <c r="J3981" s="11" t="s">
        <v>1851</v>
      </c>
      <c r="K3981" s="11" t="s">
        <v>1852</v>
      </c>
      <c r="L3981" s="11" t="s">
        <v>1853</v>
      </c>
      <c r="M3981" s="11" t="s">
        <v>8708</v>
      </c>
      <c r="N3981" s="12"/>
      <c r="O3981" s="11" t="s">
        <v>1858</v>
      </c>
      <c r="P3981" s="56"/>
    </row>
    <row r="3982" spans="1:16" ht="15.75" customHeight="1" x14ac:dyDescent="0.2">
      <c r="A3982" s="48">
        <v>7232</v>
      </c>
      <c r="B3982" s="11" t="s">
        <v>1848</v>
      </c>
      <c r="C3982" s="11" t="s">
        <v>1876</v>
      </c>
      <c r="D3982" s="6" t="s">
        <v>1850</v>
      </c>
      <c r="E3982" s="11" t="s">
        <v>6642</v>
      </c>
      <c r="F3982" s="12" t="s">
        <v>8544</v>
      </c>
      <c r="G3982" s="12" t="s">
        <v>8544</v>
      </c>
      <c r="H3982" s="12" t="s">
        <v>8559</v>
      </c>
      <c r="I3982" s="12" t="s">
        <v>8709</v>
      </c>
      <c r="J3982" s="11" t="s">
        <v>1851</v>
      </c>
      <c r="K3982" s="11" t="s">
        <v>1852</v>
      </c>
      <c r="L3982" s="11" t="s">
        <v>1853</v>
      </c>
      <c r="M3982" s="11" t="s">
        <v>1854</v>
      </c>
      <c r="N3982" s="12"/>
      <c r="O3982" s="11" t="s">
        <v>1855</v>
      </c>
      <c r="P3982" s="56"/>
    </row>
    <row r="3983" spans="1:16" ht="15.75" customHeight="1" x14ac:dyDescent="0.2">
      <c r="A3983" s="49">
        <v>6950</v>
      </c>
      <c r="B3983" s="11" t="s">
        <v>1848</v>
      </c>
      <c r="C3983" s="11" t="s">
        <v>1876</v>
      </c>
      <c r="D3983" s="6" t="s">
        <v>1850</v>
      </c>
      <c r="E3983" s="11" t="s">
        <v>6642</v>
      </c>
      <c r="F3983" s="12" t="s">
        <v>8544</v>
      </c>
      <c r="G3983" s="12" t="s">
        <v>8544</v>
      </c>
      <c r="H3983" s="12" t="s">
        <v>8579</v>
      </c>
      <c r="I3983" s="12" t="s">
        <v>8710</v>
      </c>
      <c r="J3983" s="11" t="s">
        <v>1851</v>
      </c>
      <c r="K3983" s="11" t="s">
        <v>1852</v>
      </c>
      <c r="L3983" s="11" t="s">
        <v>1853</v>
      </c>
      <c r="M3983" s="11" t="s">
        <v>1854</v>
      </c>
      <c r="N3983" s="12"/>
      <c r="O3983" s="11" t="s">
        <v>1855</v>
      </c>
      <c r="P3983" s="56"/>
    </row>
    <row r="3984" spans="1:16" ht="15.75" customHeight="1" x14ac:dyDescent="0.2">
      <c r="A3984" s="48">
        <v>15626</v>
      </c>
      <c r="B3984" s="11" t="s">
        <v>1848</v>
      </c>
      <c r="C3984" s="11" t="s">
        <v>1876</v>
      </c>
      <c r="D3984" s="6" t="s">
        <v>1850</v>
      </c>
      <c r="E3984" s="11" t="s">
        <v>6642</v>
      </c>
      <c r="F3984" s="12" t="s">
        <v>8544</v>
      </c>
      <c r="G3984" s="12" t="s">
        <v>8544</v>
      </c>
      <c r="H3984" s="12" t="s">
        <v>8545</v>
      </c>
      <c r="I3984" s="12" t="s">
        <v>8711</v>
      </c>
      <c r="J3984" s="11" t="s">
        <v>1851</v>
      </c>
      <c r="K3984" s="11" t="s">
        <v>1852</v>
      </c>
      <c r="L3984" s="11" t="s">
        <v>1853</v>
      </c>
      <c r="M3984" s="11" t="s">
        <v>1854</v>
      </c>
      <c r="N3984" s="12"/>
      <c r="O3984" s="11" t="s">
        <v>1855</v>
      </c>
      <c r="P3984" s="56"/>
    </row>
    <row r="3985" spans="1:16" ht="15.75" customHeight="1" x14ac:dyDescent="0.2">
      <c r="A3985" s="49">
        <v>6952</v>
      </c>
      <c r="B3985" s="11" t="s">
        <v>1848</v>
      </c>
      <c r="C3985" s="11" t="s">
        <v>1876</v>
      </c>
      <c r="D3985" s="6" t="s">
        <v>1850</v>
      </c>
      <c r="E3985" s="11" t="s">
        <v>6642</v>
      </c>
      <c r="F3985" s="12" t="s">
        <v>8544</v>
      </c>
      <c r="G3985" s="12" t="s">
        <v>8544</v>
      </c>
      <c r="H3985" s="12" t="s">
        <v>8579</v>
      </c>
      <c r="I3985" s="12" t="s">
        <v>8712</v>
      </c>
      <c r="J3985" s="11" t="s">
        <v>1851</v>
      </c>
      <c r="K3985" s="11" t="s">
        <v>1852</v>
      </c>
      <c r="L3985" s="11" t="s">
        <v>1853</v>
      </c>
      <c r="M3985" s="11" t="s">
        <v>1854</v>
      </c>
      <c r="N3985" s="12"/>
      <c r="O3985" s="11" t="s">
        <v>1855</v>
      </c>
      <c r="P3985" s="56"/>
    </row>
    <row r="3986" spans="1:16" ht="15.75" customHeight="1" x14ac:dyDescent="0.2">
      <c r="A3986" s="49">
        <v>6288</v>
      </c>
      <c r="B3986" s="11" t="s">
        <v>1848</v>
      </c>
      <c r="C3986" s="11" t="s">
        <v>1876</v>
      </c>
      <c r="D3986" s="6" t="s">
        <v>1850</v>
      </c>
      <c r="E3986" s="11" t="s">
        <v>6642</v>
      </c>
      <c r="F3986" s="12" t="s">
        <v>8544</v>
      </c>
      <c r="G3986" s="12" t="s">
        <v>8544</v>
      </c>
      <c r="H3986" s="12" t="s">
        <v>8551</v>
      </c>
      <c r="I3986" s="12" t="s">
        <v>8713</v>
      </c>
      <c r="J3986" s="11" t="s">
        <v>1851</v>
      </c>
      <c r="K3986" s="11" t="s">
        <v>1852</v>
      </c>
      <c r="L3986" s="11" t="s">
        <v>1853</v>
      </c>
      <c r="M3986" s="11" t="s">
        <v>1854</v>
      </c>
      <c r="N3986" s="12"/>
      <c r="O3986" s="11" t="s">
        <v>1855</v>
      </c>
      <c r="P3986" s="56"/>
    </row>
    <row r="3987" spans="1:16" ht="15.75" customHeight="1" x14ac:dyDescent="0.2">
      <c r="A3987" s="48">
        <v>16104</v>
      </c>
      <c r="B3987" s="11" t="s">
        <v>1848</v>
      </c>
      <c r="C3987" s="11" t="s">
        <v>1876</v>
      </c>
      <c r="D3987" s="6" t="s">
        <v>1850</v>
      </c>
      <c r="E3987" s="11" t="s">
        <v>6642</v>
      </c>
      <c r="F3987" s="12" t="s">
        <v>8544</v>
      </c>
      <c r="G3987" s="12" t="s">
        <v>8544</v>
      </c>
      <c r="H3987" s="12" t="s">
        <v>8545</v>
      </c>
      <c r="I3987" s="12" t="s">
        <v>8714</v>
      </c>
      <c r="J3987" s="11" t="s">
        <v>1851</v>
      </c>
      <c r="K3987" s="11" t="s">
        <v>1852</v>
      </c>
      <c r="L3987" s="11" t="s">
        <v>1853</v>
      </c>
      <c r="M3987" s="11" t="s">
        <v>1854</v>
      </c>
      <c r="N3987" s="12"/>
      <c r="O3987" s="11" t="s">
        <v>1855</v>
      </c>
      <c r="P3987" s="56"/>
    </row>
    <row r="3988" spans="1:16" ht="15.75" customHeight="1" x14ac:dyDescent="0.2">
      <c r="A3988" s="49">
        <v>7561</v>
      </c>
      <c r="B3988" s="11" t="s">
        <v>1848</v>
      </c>
      <c r="C3988" s="11" t="s">
        <v>1876</v>
      </c>
      <c r="D3988" s="6" t="s">
        <v>1850</v>
      </c>
      <c r="E3988" s="11" t="s">
        <v>6642</v>
      </c>
      <c r="F3988" s="12" t="s">
        <v>8544</v>
      </c>
      <c r="G3988" s="12" t="s">
        <v>8544</v>
      </c>
      <c r="H3988" s="12" t="s">
        <v>8551</v>
      </c>
      <c r="I3988" s="12" t="s">
        <v>8715</v>
      </c>
      <c r="J3988" s="11" t="s">
        <v>1851</v>
      </c>
      <c r="K3988" s="11" t="s">
        <v>1852</v>
      </c>
      <c r="L3988" s="11" t="s">
        <v>1853</v>
      </c>
      <c r="M3988" s="11" t="s">
        <v>8716</v>
      </c>
      <c r="N3988" s="12"/>
      <c r="O3988" s="11" t="s">
        <v>1855</v>
      </c>
      <c r="P3988" s="56"/>
    </row>
    <row r="3989" spans="1:16" ht="15.75" customHeight="1" x14ac:dyDescent="0.2">
      <c r="A3989" s="48">
        <v>16111</v>
      </c>
      <c r="B3989" s="11" t="s">
        <v>1848</v>
      </c>
      <c r="C3989" s="11" t="s">
        <v>1876</v>
      </c>
      <c r="D3989" s="6" t="s">
        <v>1850</v>
      </c>
      <c r="E3989" s="11" t="s">
        <v>6642</v>
      </c>
      <c r="F3989" s="12" t="s">
        <v>8544</v>
      </c>
      <c r="G3989" s="12" t="s">
        <v>8544</v>
      </c>
      <c r="H3989" s="12" t="s">
        <v>8594</v>
      </c>
      <c r="I3989" s="12" t="s">
        <v>8717</v>
      </c>
      <c r="J3989" s="11" t="s">
        <v>1851</v>
      </c>
      <c r="K3989" s="11" t="s">
        <v>1852</v>
      </c>
      <c r="L3989" s="11" t="s">
        <v>1853</v>
      </c>
      <c r="M3989" s="11" t="s">
        <v>1854</v>
      </c>
      <c r="N3989" s="12"/>
      <c r="O3989" s="11" t="s">
        <v>1855</v>
      </c>
      <c r="P3989" s="56"/>
    </row>
    <row r="3990" spans="1:16" ht="15.75" customHeight="1" x14ac:dyDescent="0.2">
      <c r="A3990" s="48">
        <v>15337</v>
      </c>
      <c r="B3990" s="11" t="s">
        <v>1848</v>
      </c>
      <c r="C3990" s="11" t="s">
        <v>1876</v>
      </c>
      <c r="D3990" s="6" t="s">
        <v>1850</v>
      </c>
      <c r="E3990" s="11" t="s">
        <v>6642</v>
      </c>
      <c r="F3990" s="12" t="s">
        <v>8544</v>
      </c>
      <c r="G3990" s="12" t="s">
        <v>8544</v>
      </c>
      <c r="H3990" s="12" t="s">
        <v>8551</v>
      </c>
      <c r="I3990" s="12" t="s">
        <v>8718</v>
      </c>
      <c r="J3990" s="11" t="s">
        <v>1851</v>
      </c>
      <c r="K3990" s="11" t="s">
        <v>1852</v>
      </c>
      <c r="L3990" s="11" t="s">
        <v>1853</v>
      </c>
      <c r="M3990" s="11" t="s">
        <v>1854</v>
      </c>
      <c r="N3990" s="12"/>
      <c r="O3990" s="11" t="s">
        <v>1855</v>
      </c>
      <c r="P3990" s="56"/>
    </row>
    <row r="3991" spans="1:16" ht="15.75" customHeight="1" x14ac:dyDescent="0.2">
      <c r="A3991" s="48">
        <v>15342</v>
      </c>
      <c r="B3991" s="11" t="s">
        <v>1848</v>
      </c>
      <c r="C3991" s="11" t="s">
        <v>1876</v>
      </c>
      <c r="D3991" s="6" t="s">
        <v>1850</v>
      </c>
      <c r="E3991" s="11" t="s">
        <v>6642</v>
      </c>
      <c r="F3991" s="12" t="s">
        <v>8544</v>
      </c>
      <c r="G3991" s="12" t="s">
        <v>8544</v>
      </c>
      <c r="H3991" s="12" t="s">
        <v>8551</v>
      </c>
      <c r="I3991" s="12" t="s">
        <v>8719</v>
      </c>
      <c r="J3991" s="11" t="s">
        <v>1851</v>
      </c>
      <c r="K3991" s="11" t="s">
        <v>1852</v>
      </c>
      <c r="L3991" s="11" t="s">
        <v>1853</v>
      </c>
      <c r="M3991" s="11" t="s">
        <v>1854</v>
      </c>
      <c r="N3991" s="12"/>
      <c r="O3991" s="11" t="s">
        <v>1855</v>
      </c>
      <c r="P3991" s="56"/>
    </row>
    <row r="3992" spans="1:16" ht="15.75" customHeight="1" x14ac:dyDescent="0.2">
      <c r="A3992" s="48">
        <v>15343</v>
      </c>
      <c r="B3992" s="11" t="s">
        <v>1848</v>
      </c>
      <c r="C3992" s="11" t="s">
        <v>1876</v>
      </c>
      <c r="D3992" s="6" t="s">
        <v>1850</v>
      </c>
      <c r="E3992" s="11" t="s">
        <v>6642</v>
      </c>
      <c r="F3992" s="12" t="s">
        <v>8544</v>
      </c>
      <c r="G3992" s="12" t="s">
        <v>8544</v>
      </c>
      <c r="H3992" s="12" t="s">
        <v>8555</v>
      </c>
      <c r="I3992" s="12" t="s">
        <v>8720</v>
      </c>
      <c r="J3992" s="11" t="s">
        <v>1851</v>
      </c>
      <c r="K3992" s="11" t="s">
        <v>1852</v>
      </c>
      <c r="L3992" s="11" t="s">
        <v>1853</v>
      </c>
      <c r="M3992" s="11" t="s">
        <v>1854</v>
      </c>
      <c r="N3992" s="12"/>
      <c r="O3992" s="11" t="s">
        <v>1855</v>
      </c>
      <c r="P3992" s="56"/>
    </row>
    <row r="3993" spans="1:16" ht="15.75" customHeight="1" x14ac:dyDescent="0.2">
      <c r="A3993" s="49">
        <v>15067</v>
      </c>
      <c r="B3993" s="11" t="s">
        <v>1848</v>
      </c>
      <c r="C3993" s="11" t="s">
        <v>1876</v>
      </c>
      <c r="D3993" s="6" t="s">
        <v>1850</v>
      </c>
      <c r="E3993" s="11" t="s">
        <v>6642</v>
      </c>
      <c r="F3993" s="12" t="s">
        <v>8544</v>
      </c>
      <c r="G3993" s="12" t="s">
        <v>8544</v>
      </c>
      <c r="H3993" s="12" t="s">
        <v>8551</v>
      </c>
      <c r="I3993" s="12" t="s">
        <v>8721</v>
      </c>
      <c r="J3993" s="11" t="s">
        <v>1851</v>
      </c>
      <c r="K3993" s="11" t="s">
        <v>1852</v>
      </c>
      <c r="L3993" s="11" t="s">
        <v>1853</v>
      </c>
      <c r="M3993" s="11" t="s">
        <v>1854</v>
      </c>
      <c r="N3993" s="12"/>
      <c r="O3993" s="11" t="s">
        <v>1855</v>
      </c>
      <c r="P3993" s="56"/>
    </row>
    <row r="3994" spans="1:16" ht="15.75" customHeight="1" x14ac:dyDescent="0.2">
      <c r="A3994" s="49">
        <v>15065</v>
      </c>
      <c r="B3994" s="11" t="s">
        <v>1848</v>
      </c>
      <c r="C3994" s="11" t="s">
        <v>1876</v>
      </c>
      <c r="D3994" s="6" t="s">
        <v>1850</v>
      </c>
      <c r="E3994" s="11" t="s">
        <v>6642</v>
      </c>
      <c r="F3994" s="12" t="s">
        <v>8544</v>
      </c>
      <c r="G3994" s="12" t="s">
        <v>8544</v>
      </c>
      <c r="H3994" s="12" t="s">
        <v>8583</v>
      </c>
      <c r="I3994" s="12" t="s">
        <v>8722</v>
      </c>
      <c r="J3994" s="11" t="s">
        <v>1851</v>
      </c>
      <c r="K3994" s="11" t="s">
        <v>1852</v>
      </c>
      <c r="L3994" s="11" t="s">
        <v>1853</v>
      </c>
      <c r="M3994" s="11" t="s">
        <v>1854</v>
      </c>
      <c r="N3994" s="12"/>
      <c r="O3994" s="11" t="s">
        <v>1855</v>
      </c>
      <c r="P3994" s="56"/>
    </row>
    <row r="3995" spans="1:16" ht="15.75" customHeight="1" x14ac:dyDescent="0.2">
      <c r="A3995" s="49">
        <v>15632</v>
      </c>
      <c r="B3995" s="11" t="s">
        <v>1848</v>
      </c>
      <c r="C3995" s="11" t="s">
        <v>1876</v>
      </c>
      <c r="D3995" s="6" t="s">
        <v>1850</v>
      </c>
      <c r="E3995" s="11" t="s">
        <v>6642</v>
      </c>
      <c r="F3995" s="12" t="s">
        <v>8544</v>
      </c>
      <c r="G3995" s="12" t="s">
        <v>8544</v>
      </c>
      <c r="H3995" s="12" t="s">
        <v>8594</v>
      </c>
      <c r="I3995" s="12" t="s">
        <v>8723</v>
      </c>
      <c r="J3995" s="11" t="s">
        <v>1851</v>
      </c>
      <c r="K3995" s="11" t="s">
        <v>1852</v>
      </c>
      <c r="L3995" s="11" t="s">
        <v>1853</v>
      </c>
      <c r="M3995" s="11" t="s">
        <v>1854</v>
      </c>
      <c r="N3995" s="12"/>
      <c r="O3995" s="11" t="s">
        <v>1855</v>
      </c>
      <c r="P3995" s="56"/>
    </row>
    <row r="3996" spans="1:16" ht="15.75" customHeight="1" x14ac:dyDescent="0.2">
      <c r="A3996" s="48">
        <v>15628</v>
      </c>
      <c r="B3996" s="11" t="s">
        <v>1848</v>
      </c>
      <c r="C3996" s="11" t="s">
        <v>1876</v>
      </c>
      <c r="D3996" s="6" t="s">
        <v>1850</v>
      </c>
      <c r="E3996" s="11" t="s">
        <v>6642</v>
      </c>
      <c r="F3996" s="12" t="s">
        <v>8544</v>
      </c>
      <c r="G3996" s="12" t="s">
        <v>8544</v>
      </c>
      <c r="H3996" s="12" t="s">
        <v>8583</v>
      </c>
      <c r="I3996" s="12" t="s">
        <v>8724</v>
      </c>
      <c r="J3996" s="11" t="s">
        <v>1851</v>
      </c>
      <c r="K3996" s="11" t="s">
        <v>1852</v>
      </c>
      <c r="L3996" s="11" t="s">
        <v>1853</v>
      </c>
      <c r="M3996" s="11" t="s">
        <v>1854</v>
      </c>
      <c r="N3996" s="12"/>
      <c r="O3996" s="11" t="s">
        <v>1855</v>
      </c>
      <c r="P3996" s="56"/>
    </row>
    <row r="3997" spans="1:16" ht="15.75" customHeight="1" x14ac:dyDescent="0.2">
      <c r="A3997" s="48">
        <v>7527</v>
      </c>
      <c r="B3997" s="11" t="s">
        <v>1857</v>
      </c>
      <c r="C3997" s="11" t="s">
        <v>1876</v>
      </c>
      <c r="D3997" s="6" t="s">
        <v>1850</v>
      </c>
      <c r="E3997" s="11" t="s">
        <v>6642</v>
      </c>
      <c r="F3997" s="12" t="s">
        <v>8544</v>
      </c>
      <c r="G3997" s="12" t="s">
        <v>8544</v>
      </c>
      <c r="H3997" s="12" t="s">
        <v>8545</v>
      </c>
      <c r="I3997" s="12" t="s">
        <v>8725</v>
      </c>
      <c r="J3997" s="11" t="s">
        <v>1851</v>
      </c>
      <c r="K3997" s="11" t="s">
        <v>1852</v>
      </c>
      <c r="L3997" s="11" t="s">
        <v>1853</v>
      </c>
      <c r="M3997" s="11" t="s">
        <v>8726</v>
      </c>
      <c r="N3997" s="12"/>
      <c r="O3997" s="11" t="s">
        <v>1858</v>
      </c>
      <c r="P3997" s="56"/>
    </row>
    <row r="3998" spans="1:16" ht="15.75" customHeight="1" x14ac:dyDescent="0.2">
      <c r="A3998" s="49">
        <v>7585</v>
      </c>
      <c r="B3998" s="11" t="s">
        <v>1857</v>
      </c>
      <c r="C3998" s="11" t="s">
        <v>1876</v>
      </c>
      <c r="D3998" s="6" t="s">
        <v>1850</v>
      </c>
      <c r="E3998" s="11" t="s">
        <v>6642</v>
      </c>
      <c r="F3998" s="12" t="s">
        <v>8544</v>
      </c>
      <c r="G3998" s="12" t="s">
        <v>8544</v>
      </c>
      <c r="H3998" s="12" t="s">
        <v>8586</v>
      </c>
      <c r="I3998" s="12" t="s">
        <v>8727</v>
      </c>
      <c r="J3998" s="11" t="s">
        <v>1851</v>
      </c>
      <c r="K3998" s="11" t="s">
        <v>1852</v>
      </c>
      <c r="L3998" s="11" t="s">
        <v>1853</v>
      </c>
      <c r="M3998" s="11" t="s">
        <v>8728</v>
      </c>
      <c r="N3998" s="12"/>
      <c r="O3998" s="11" t="s">
        <v>1858</v>
      </c>
      <c r="P3998" s="56"/>
    </row>
    <row r="3999" spans="1:16" ht="15.75" customHeight="1" x14ac:dyDescent="0.2">
      <c r="A3999" s="48">
        <v>16103</v>
      </c>
      <c r="B3999" s="11" t="s">
        <v>1857</v>
      </c>
      <c r="C3999" s="11" t="s">
        <v>1876</v>
      </c>
      <c r="D3999" s="6" t="s">
        <v>1850</v>
      </c>
      <c r="E3999" s="11" t="s">
        <v>6642</v>
      </c>
      <c r="F3999" s="12" t="s">
        <v>8544</v>
      </c>
      <c r="G3999" s="12" t="s">
        <v>8544</v>
      </c>
      <c r="H3999" s="12" t="s">
        <v>8553</v>
      </c>
      <c r="I3999" s="12" t="s">
        <v>8729</v>
      </c>
      <c r="J3999" s="11" t="s">
        <v>1851</v>
      </c>
      <c r="K3999" s="11" t="s">
        <v>1852</v>
      </c>
      <c r="L3999" s="11" t="s">
        <v>1853</v>
      </c>
      <c r="M3999" s="11" t="s">
        <v>1854</v>
      </c>
      <c r="N3999" s="12"/>
      <c r="O3999" s="11" t="s">
        <v>1858</v>
      </c>
      <c r="P3999" s="56"/>
    </row>
    <row r="4000" spans="1:16" ht="15.75" customHeight="1" x14ac:dyDescent="0.2">
      <c r="A4000" s="48">
        <v>16112</v>
      </c>
      <c r="B4000" s="11" t="s">
        <v>1857</v>
      </c>
      <c r="C4000" s="11" t="s">
        <v>1876</v>
      </c>
      <c r="D4000" s="6" t="s">
        <v>1850</v>
      </c>
      <c r="E4000" s="11" t="s">
        <v>6642</v>
      </c>
      <c r="F4000" s="12" t="s">
        <v>8544</v>
      </c>
      <c r="G4000" s="12" t="s">
        <v>8544</v>
      </c>
      <c r="H4000" s="12" t="s">
        <v>8555</v>
      </c>
      <c r="I4000" s="12" t="s">
        <v>8730</v>
      </c>
      <c r="J4000" s="11" t="s">
        <v>1851</v>
      </c>
      <c r="K4000" s="11" t="s">
        <v>1852</v>
      </c>
      <c r="L4000" s="11" t="s">
        <v>1853</v>
      </c>
      <c r="M4000" s="11" t="s">
        <v>1854</v>
      </c>
      <c r="N4000" s="12"/>
      <c r="O4000" s="11" t="s">
        <v>1858</v>
      </c>
      <c r="P4000" s="56"/>
    </row>
    <row r="4001" spans="1:16" ht="15.75" customHeight="1" x14ac:dyDescent="0.2">
      <c r="A4001" s="49">
        <v>6941</v>
      </c>
      <c r="B4001" s="11" t="s">
        <v>1857</v>
      </c>
      <c r="C4001" s="11" t="s">
        <v>1876</v>
      </c>
      <c r="D4001" s="6" t="s">
        <v>1850</v>
      </c>
      <c r="E4001" s="11" t="s">
        <v>6642</v>
      </c>
      <c r="F4001" s="12" t="s">
        <v>8544</v>
      </c>
      <c r="G4001" s="12" t="s">
        <v>8544</v>
      </c>
      <c r="H4001" s="12" t="s">
        <v>8559</v>
      </c>
      <c r="I4001" s="12" t="s">
        <v>8731</v>
      </c>
      <c r="J4001" s="11" t="s">
        <v>1851</v>
      </c>
      <c r="K4001" s="11" t="s">
        <v>1852</v>
      </c>
      <c r="L4001" s="11" t="s">
        <v>1853</v>
      </c>
      <c r="M4001" s="11" t="s">
        <v>1854</v>
      </c>
      <c r="N4001" s="12"/>
      <c r="O4001" s="11" t="s">
        <v>1858</v>
      </c>
      <c r="P4001" s="56"/>
    </row>
    <row r="4002" spans="1:16" ht="15.75" customHeight="1" x14ac:dyDescent="0.2">
      <c r="A4002" s="48">
        <v>6948</v>
      </c>
      <c r="B4002" s="11" t="s">
        <v>1857</v>
      </c>
      <c r="C4002" s="11" t="s">
        <v>1876</v>
      </c>
      <c r="D4002" s="6" t="s">
        <v>1850</v>
      </c>
      <c r="E4002" s="11" t="s">
        <v>6642</v>
      </c>
      <c r="F4002" s="12" t="s">
        <v>8544</v>
      </c>
      <c r="G4002" s="12" t="s">
        <v>8544</v>
      </c>
      <c r="H4002" s="12" t="s">
        <v>8579</v>
      </c>
      <c r="I4002" s="12" t="s">
        <v>8732</v>
      </c>
      <c r="J4002" s="11" t="s">
        <v>1851</v>
      </c>
      <c r="K4002" s="11" t="s">
        <v>1852</v>
      </c>
      <c r="L4002" s="11" t="s">
        <v>1853</v>
      </c>
      <c r="M4002" s="11" t="s">
        <v>8733</v>
      </c>
      <c r="N4002" s="12"/>
      <c r="O4002" s="11" t="s">
        <v>2307</v>
      </c>
      <c r="P4002" s="56" t="s">
        <v>2614</v>
      </c>
    </row>
    <row r="4003" spans="1:16" ht="15.75" customHeight="1" x14ac:dyDescent="0.2">
      <c r="A4003" s="48">
        <v>6940</v>
      </c>
      <c r="B4003" s="11" t="s">
        <v>1857</v>
      </c>
      <c r="C4003" s="11" t="s">
        <v>1876</v>
      </c>
      <c r="D4003" s="6" t="s">
        <v>1850</v>
      </c>
      <c r="E4003" s="11" t="s">
        <v>6642</v>
      </c>
      <c r="F4003" s="12" t="s">
        <v>8544</v>
      </c>
      <c r="G4003" s="12" t="s">
        <v>8544</v>
      </c>
      <c r="H4003" s="12" t="s">
        <v>8559</v>
      </c>
      <c r="I4003" s="12" t="s">
        <v>8734</v>
      </c>
      <c r="J4003" s="11" t="s">
        <v>1851</v>
      </c>
      <c r="K4003" s="11" t="s">
        <v>1852</v>
      </c>
      <c r="L4003" s="11" t="s">
        <v>1853</v>
      </c>
      <c r="M4003" s="11" t="s">
        <v>1854</v>
      </c>
      <c r="N4003" s="12"/>
      <c r="O4003" s="11" t="s">
        <v>1860</v>
      </c>
      <c r="P4003" s="56"/>
    </row>
    <row r="4004" spans="1:16" ht="15.75" customHeight="1" x14ac:dyDescent="0.2">
      <c r="A4004" s="48">
        <v>6937</v>
      </c>
      <c r="B4004" s="11" t="s">
        <v>1857</v>
      </c>
      <c r="C4004" s="11" t="s">
        <v>1876</v>
      </c>
      <c r="D4004" s="6" t="s">
        <v>1850</v>
      </c>
      <c r="E4004" s="11" t="s">
        <v>6642</v>
      </c>
      <c r="F4004" s="12" t="s">
        <v>8544</v>
      </c>
      <c r="G4004" s="12" t="s">
        <v>8544</v>
      </c>
      <c r="H4004" s="12" t="s">
        <v>8553</v>
      </c>
      <c r="I4004" s="12" t="s">
        <v>8735</v>
      </c>
      <c r="J4004" s="11" t="s">
        <v>1851</v>
      </c>
      <c r="K4004" s="11" t="s">
        <v>1852</v>
      </c>
      <c r="L4004" s="11" t="s">
        <v>1853</v>
      </c>
      <c r="M4004" s="11" t="s">
        <v>8736</v>
      </c>
      <c r="N4004" s="12"/>
      <c r="O4004" s="11" t="s">
        <v>1858</v>
      </c>
      <c r="P4004" s="56"/>
    </row>
    <row r="4005" spans="1:16" ht="15.75" customHeight="1" x14ac:dyDescent="0.2">
      <c r="A4005" s="48">
        <v>6328</v>
      </c>
      <c r="B4005" s="11" t="s">
        <v>1857</v>
      </c>
      <c r="C4005" s="11" t="s">
        <v>1876</v>
      </c>
      <c r="D4005" s="6" t="s">
        <v>1850</v>
      </c>
      <c r="E4005" s="11" t="s">
        <v>6642</v>
      </c>
      <c r="F4005" s="12" t="s">
        <v>8544</v>
      </c>
      <c r="G4005" s="12" t="s">
        <v>8544</v>
      </c>
      <c r="H4005" s="12" t="s">
        <v>8579</v>
      </c>
      <c r="I4005" s="12" t="s">
        <v>8737</v>
      </c>
      <c r="J4005" s="11" t="s">
        <v>1851</v>
      </c>
      <c r="K4005" s="11" t="s">
        <v>1852</v>
      </c>
      <c r="L4005" s="11" t="s">
        <v>1853</v>
      </c>
      <c r="M4005" s="11" t="s">
        <v>8738</v>
      </c>
      <c r="N4005" s="12" t="s">
        <v>8739</v>
      </c>
      <c r="O4005" s="11" t="s">
        <v>1860</v>
      </c>
      <c r="P4005" s="56"/>
    </row>
    <row r="4006" spans="1:16" ht="15.75" customHeight="1" x14ac:dyDescent="0.2">
      <c r="A4006" s="48">
        <v>6323</v>
      </c>
      <c r="B4006" s="11" t="s">
        <v>1857</v>
      </c>
      <c r="C4006" s="11" t="s">
        <v>1876</v>
      </c>
      <c r="D4006" s="6" t="s">
        <v>1850</v>
      </c>
      <c r="E4006" s="11" t="s">
        <v>6642</v>
      </c>
      <c r="F4006" s="12" t="s">
        <v>8544</v>
      </c>
      <c r="G4006" s="12" t="s">
        <v>8544</v>
      </c>
      <c r="H4006" s="12" t="s">
        <v>8579</v>
      </c>
      <c r="I4006" s="12" t="s">
        <v>8740</v>
      </c>
      <c r="J4006" s="11" t="s">
        <v>1851</v>
      </c>
      <c r="K4006" s="11" t="s">
        <v>1852</v>
      </c>
      <c r="L4006" s="11" t="s">
        <v>1853</v>
      </c>
      <c r="M4006" s="11" t="s">
        <v>1854</v>
      </c>
      <c r="N4006" s="12"/>
      <c r="O4006" s="11" t="s">
        <v>1860</v>
      </c>
      <c r="P4006" s="56" t="s">
        <v>5520</v>
      </c>
    </row>
    <row r="4007" spans="1:16" ht="15.75" customHeight="1" x14ac:dyDescent="0.2">
      <c r="A4007" s="48">
        <v>6273</v>
      </c>
      <c r="B4007" s="11" t="s">
        <v>1857</v>
      </c>
      <c r="C4007" s="11" t="s">
        <v>1876</v>
      </c>
      <c r="D4007" s="6" t="s">
        <v>1850</v>
      </c>
      <c r="E4007" s="11" t="s">
        <v>6642</v>
      </c>
      <c r="F4007" s="12" t="s">
        <v>8544</v>
      </c>
      <c r="G4007" s="12" t="s">
        <v>8544</v>
      </c>
      <c r="H4007" s="12" t="s">
        <v>8586</v>
      </c>
      <c r="I4007" s="12" t="s">
        <v>8741</v>
      </c>
      <c r="J4007" s="11" t="s">
        <v>1851</v>
      </c>
      <c r="K4007" s="11" t="s">
        <v>1852</v>
      </c>
      <c r="L4007" s="11" t="s">
        <v>1853</v>
      </c>
      <c r="M4007" s="11" t="s">
        <v>1854</v>
      </c>
      <c r="N4007" s="12"/>
      <c r="O4007" s="11" t="s">
        <v>1867</v>
      </c>
      <c r="P4007" s="56" t="s">
        <v>1865</v>
      </c>
    </row>
    <row r="4008" spans="1:16" ht="15.75" customHeight="1" x14ac:dyDescent="0.2">
      <c r="A4008" s="48">
        <v>6335</v>
      </c>
      <c r="B4008" s="11" t="s">
        <v>1857</v>
      </c>
      <c r="C4008" s="11" t="s">
        <v>1876</v>
      </c>
      <c r="D4008" s="6" t="s">
        <v>1850</v>
      </c>
      <c r="E4008" s="11" t="s">
        <v>6642</v>
      </c>
      <c r="F4008" s="12" t="s">
        <v>8544</v>
      </c>
      <c r="G4008" s="12" t="s">
        <v>8544</v>
      </c>
      <c r="H4008" s="12" t="s">
        <v>8579</v>
      </c>
      <c r="I4008" s="12" t="s">
        <v>8742</v>
      </c>
      <c r="J4008" s="11" t="s">
        <v>1851</v>
      </c>
      <c r="K4008" s="11" t="s">
        <v>1852</v>
      </c>
      <c r="L4008" s="11" t="s">
        <v>1853</v>
      </c>
      <c r="M4008" s="11" t="s">
        <v>1854</v>
      </c>
      <c r="N4008" s="12"/>
      <c r="O4008" s="11" t="s">
        <v>2307</v>
      </c>
      <c r="P4008" s="56" t="s">
        <v>3343</v>
      </c>
    </row>
    <row r="4009" spans="1:16" ht="15.75" customHeight="1" x14ac:dyDescent="0.2">
      <c r="A4009" s="48">
        <v>6936</v>
      </c>
      <c r="B4009" s="11" t="s">
        <v>1857</v>
      </c>
      <c r="C4009" s="11" t="s">
        <v>1876</v>
      </c>
      <c r="D4009" s="6" t="s">
        <v>1850</v>
      </c>
      <c r="E4009" s="11" t="s">
        <v>6642</v>
      </c>
      <c r="F4009" s="12" t="s">
        <v>8544</v>
      </c>
      <c r="G4009" s="12" t="s">
        <v>8544</v>
      </c>
      <c r="H4009" s="12" t="s">
        <v>8583</v>
      </c>
      <c r="I4009" s="12" t="s">
        <v>8743</v>
      </c>
      <c r="J4009" s="11" t="s">
        <v>1851</v>
      </c>
      <c r="K4009" s="11" t="s">
        <v>1852</v>
      </c>
      <c r="L4009" s="11" t="s">
        <v>1853</v>
      </c>
      <c r="M4009" s="11" t="s">
        <v>1854</v>
      </c>
      <c r="N4009" s="12"/>
      <c r="O4009" s="11" t="s">
        <v>1858</v>
      </c>
      <c r="P4009" s="56"/>
    </row>
    <row r="4010" spans="1:16" ht="15.75" customHeight="1" x14ac:dyDescent="0.2">
      <c r="A4010" s="48">
        <v>6942</v>
      </c>
      <c r="B4010" s="11" t="s">
        <v>1857</v>
      </c>
      <c r="C4010" s="11" t="s">
        <v>1876</v>
      </c>
      <c r="D4010" s="6" t="s">
        <v>1850</v>
      </c>
      <c r="E4010" s="11" t="s">
        <v>6642</v>
      </c>
      <c r="F4010" s="12" t="s">
        <v>8544</v>
      </c>
      <c r="G4010" s="12" t="s">
        <v>8544</v>
      </c>
      <c r="H4010" s="12" t="s">
        <v>8559</v>
      </c>
      <c r="I4010" s="12" t="s">
        <v>8744</v>
      </c>
      <c r="J4010" s="11" t="s">
        <v>1851</v>
      </c>
      <c r="K4010" s="11" t="s">
        <v>1852</v>
      </c>
      <c r="L4010" s="11" t="s">
        <v>1853</v>
      </c>
      <c r="M4010" s="11" t="s">
        <v>8745</v>
      </c>
      <c r="N4010" s="12"/>
      <c r="O4010" s="11" t="s">
        <v>1858</v>
      </c>
      <c r="P4010" s="56"/>
    </row>
    <row r="4011" spans="1:16" ht="15.75" customHeight="1" x14ac:dyDescent="0.2">
      <c r="A4011" s="49">
        <v>7519</v>
      </c>
      <c r="B4011" s="11" t="s">
        <v>1857</v>
      </c>
      <c r="C4011" s="11" t="s">
        <v>1876</v>
      </c>
      <c r="D4011" s="6" t="s">
        <v>1850</v>
      </c>
      <c r="E4011" s="11" t="s">
        <v>6642</v>
      </c>
      <c r="F4011" s="12" t="s">
        <v>8544</v>
      </c>
      <c r="G4011" s="12" t="s">
        <v>8544</v>
      </c>
      <c r="H4011" s="12" t="s">
        <v>8553</v>
      </c>
      <c r="I4011" s="12" t="s">
        <v>8746</v>
      </c>
      <c r="J4011" s="11" t="s">
        <v>1851</v>
      </c>
      <c r="K4011" s="11" t="s">
        <v>1852</v>
      </c>
      <c r="L4011" s="11" t="s">
        <v>1853</v>
      </c>
      <c r="M4011" s="11" t="s">
        <v>1854</v>
      </c>
      <c r="N4011" s="12"/>
      <c r="O4011" s="11" t="s">
        <v>1858</v>
      </c>
      <c r="P4011" s="56"/>
    </row>
    <row r="4012" spans="1:16" ht="15.75" customHeight="1" x14ac:dyDescent="0.2">
      <c r="A4012" s="49">
        <v>6944</v>
      </c>
      <c r="B4012" s="11" t="s">
        <v>1857</v>
      </c>
      <c r="C4012" s="11" t="s">
        <v>1876</v>
      </c>
      <c r="D4012" s="6" t="s">
        <v>1850</v>
      </c>
      <c r="E4012" s="11" t="s">
        <v>6642</v>
      </c>
      <c r="F4012" s="12" t="s">
        <v>8544</v>
      </c>
      <c r="G4012" s="12" t="s">
        <v>8544</v>
      </c>
      <c r="H4012" s="12" t="s">
        <v>8555</v>
      </c>
      <c r="I4012" s="12" t="s">
        <v>8747</v>
      </c>
      <c r="J4012" s="11" t="s">
        <v>1851</v>
      </c>
      <c r="K4012" s="11" t="s">
        <v>1852</v>
      </c>
      <c r="L4012" s="11" t="s">
        <v>1853</v>
      </c>
      <c r="M4012" s="11" t="s">
        <v>1854</v>
      </c>
      <c r="N4012" s="12"/>
      <c r="O4012" s="11" t="s">
        <v>1866</v>
      </c>
      <c r="P4012" s="56" t="s">
        <v>3476</v>
      </c>
    </row>
    <row r="4013" spans="1:16" ht="15.75" customHeight="1" x14ac:dyDescent="0.2">
      <c r="A4013" s="49">
        <v>7542</v>
      </c>
      <c r="B4013" s="11" t="s">
        <v>1857</v>
      </c>
      <c r="C4013" s="11" t="s">
        <v>1876</v>
      </c>
      <c r="D4013" s="6" t="s">
        <v>1850</v>
      </c>
      <c r="E4013" s="11" t="s">
        <v>6642</v>
      </c>
      <c r="F4013" s="12" t="s">
        <v>8544</v>
      </c>
      <c r="G4013" s="12" t="s">
        <v>8544</v>
      </c>
      <c r="H4013" s="12" t="s">
        <v>8559</v>
      </c>
      <c r="I4013" s="12" t="s">
        <v>8748</v>
      </c>
      <c r="J4013" s="11" t="s">
        <v>1851</v>
      </c>
      <c r="K4013" s="11" t="s">
        <v>1852</v>
      </c>
      <c r="L4013" s="11" t="s">
        <v>1853</v>
      </c>
      <c r="M4013" s="11" t="s">
        <v>8749</v>
      </c>
      <c r="N4013" s="12"/>
      <c r="O4013" s="11" t="s">
        <v>1858</v>
      </c>
      <c r="P4013" s="56"/>
    </row>
    <row r="4014" spans="1:16" ht="15.75" customHeight="1" x14ac:dyDescent="0.2">
      <c r="A4014" s="48">
        <v>6311</v>
      </c>
      <c r="B4014" s="11" t="s">
        <v>1857</v>
      </c>
      <c r="C4014" s="11" t="s">
        <v>1876</v>
      </c>
      <c r="D4014" s="6" t="s">
        <v>1850</v>
      </c>
      <c r="E4014" s="11" t="s">
        <v>6642</v>
      </c>
      <c r="F4014" s="12" t="s">
        <v>8544</v>
      </c>
      <c r="G4014" s="12" t="s">
        <v>8544</v>
      </c>
      <c r="H4014" s="12" t="s">
        <v>8583</v>
      </c>
      <c r="I4014" s="12" t="s">
        <v>8750</v>
      </c>
      <c r="J4014" s="11" t="s">
        <v>1851</v>
      </c>
      <c r="K4014" s="11" t="s">
        <v>1852</v>
      </c>
      <c r="L4014" s="11" t="s">
        <v>1853</v>
      </c>
      <c r="M4014" s="11" t="s">
        <v>1854</v>
      </c>
      <c r="N4014" s="12"/>
      <c r="O4014" s="11" t="s">
        <v>1860</v>
      </c>
      <c r="P4014" s="56"/>
    </row>
    <row r="4015" spans="1:16" ht="15.75" customHeight="1" x14ac:dyDescent="0.2">
      <c r="A4015" s="48">
        <v>6292</v>
      </c>
      <c r="B4015" s="11" t="s">
        <v>1857</v>
      </c>
      <c r="C4015" s="11" t="s">
        <v>1876</v>
      </c>
      <c r="D4015" s="6" t="s">
        <v>1850</v>
      </c>
      <c r="E4015" s="11" t="s">
        <v>6642</v>
      </c>
      <c r="F4015" s="12" t="s">
        <v>8544</v>
      </c>
      <c r="G4015" s="12" t="s">
        <v>8544</v>
      </c>
      <c r="H4015" s="12" t="s">
        <v>8559</v>
      </c>
      <c r="I4015" s="12" t="s">
        <v>8751</v>
      </c>
      <c r="J4015" s="11" t="s">
        <v>1851</v>
      </c>
      <c r="K4015" s="11" t="s">
        <v>1852</v>
      </c>
      <c r="L4015" s="11" t="s">
        <v>1853</v>
      </c>
      <c r="M4015" s="11" t="s">
        <v>1854</v>
      </c>
      <c r="N4015" s="12"/>
      <c r="O4015" s="11" t="s">
        <v>2307</v>
      </c>
      <c r="P4015" s="56" t="s">
        <v>3343</v>
      </c>
    </row>
    <row r="4016" spans="1:16" ht="15.75" customHeight="1" x14ac:dyDescent="0.2">
      <c r="A4016" s="48">
        <v>6283</v>
      </c>
      <c r="B4016" s="11" t="s">
        <v>1857</v>
      </c>
      <c r="C4016" s="11" t="s">
        <v>1876</v>
      </c>
      <c r="D4016" s="6" t="s">
        <v>1850</v>
      </c>
      <c r="E4016" s="11" t="s">
        <v>6642</v>
      </c>
      <c r="F4016" s="12" t="s">
        <v>8544</v>
      </c>
      <c r="G4016" s="12" t="s">
        <v>8544</v>
      </c>
      <c r="H4016" s="12" t="s">
        <v>8551</v>
      </c>
      <c r="I4016" s="12" t="s">
        <v>8752</v>
      </c>
      <c r="J4016" s="11" t="s">
        <v>1851</v>
      </c>
      <c r="K4016" s="11" t="s">
        <v>1852</v>
      </c>
      <c r="L4016" s="11" t="s">
        <v>1853</v>
      </c>
      <c r="M4016" s="11" t="s">
        <v>1854</v>
      </c>
      <c r="N4016" s="12"/>
      <c r="O4016" s="11" t="s">
        <v>1860</v>
      </c>
      <c r="P4016" s="56"/>
    </row>
    <row r="4017" spans="1:16" ht="15.75" customHeight="1" x14ac:dyDescent="0.2">
      <c r="A4017" s="48">
        <v>6935</v>
      </c>
      <c r="B4017" s="11" t="s">
        <v>1857</v>
      </c>
      <c r="C4017" s="11" t="s">
        <v>1876</v>
      </c>
      <c r="D4017" s="6" t="s">
        <v>1850</v>
      </c>
      <c r="E4017" s="11" t="s">
        <v>6642</v>
      </c>
      <c r="F4017" s="12" t="s">
        <v>8544</v>
      </c>
      <c r="G4017" s="12" t="s">
        <v>8544</v>
      </c>
      <c r="H4017" s="12" t="s">
        <v>8583</v>
      </c>
      <c r="I4017" s="12" t="s">
        <v>8753</v>
      </c>
      <c r="J4017" s="11" t="s">
        <v>1851</v>
      </c>
      <c r="K4017" s="11" t="s">
        <v>1852</v>
      </c>
      <c r="L4017" s="11" t="s">
        <v>1853</v>
      </c>
      <c r="M4017" s="11" t="s">
        <v>8754</v>
      </c>
      <c r="N4017" s="12"/>
      <c r="O4017" s="11" t="s">
        <v>1860</v>
      </c>
      <c r="P4017" s="56"/>
    </row>
    <row r="4018" spans="1:16" ht="15.75" customHeight="1" x14ac:dyDescent="0.2">
      <c r="A4018" s="48">
        <v>6310</v>
      </c>
      <c r="B4018" s="11" t="s">
        <v>1857</v>
      </c>
      <c r="C4018" s="11" t="s">
        <v>1876</v>
      </c>
      <c r="D4018" s="6" t="s">
        <v>1850</v>
      </c>
      <c r="E4018" s="11" t="s">
        <v>6642</v>
      </c>
      <c r="F4018" s="12" t="s">
        <v>8544</v>
      </c>
      <c r="G4018" s="12" t="s">
        <v>8544</v>
      </c>
      <c r="H4018" s="12" t="s">
        <v>8583</v>
      </c>
      <c r="I4018" s="12" t="s">
        <v>8755</v>
      </c>
      <c r="J4018" s="11" t="s">
        <v>1851</v>
      </c>
      <c r="K4018" s="11" t="s">
        <v>1852</v>
      </c>
      <c r="L4018" s="11" t="s">
        <v>1853</v>
      </c>
      <c r="M4018" s="11" t="s">
        <v>1854</v>
      </c>
      <c r="N4018" s="12"/>
      <c r="O4018" s="11" t="s">
        <v>1858</v>
      </c>
      <c r="P4018" s="56"/>
    </row>
    <row r="4019" spans="1:16" ht="15.75" customHeight="1" x14ac:dyDescent="0.2">
      <c r="A4019" s="49">
        <v>7525</v>
      </c>
      <c r="B4019" s="11" t="s">
        <v>1857</v>
      </c>
      <c r="C4019" s="11" t="s">
        <v>1876</v>
      </c>
      <c r="D4019" s="6" t="s">
        <v>1850</v>
      </c>
      <c r="E4019" s="11" t="s">
        <v>6642</v>
      </c>
      <c r="F4019" s="12" t="s">
        <v>8544</v>
      </c>
      <c r="G4019" s="12" t="s">
        <v>8544</v>
      </c>
      <c r="H4019" s="12" t="s">
        <v>8545</v>
      </c>
      <c r="I4019" s="12" t="s">
        <v>8756</v>
      </c>
      <c r="J4019" s="11" t="s">
        <v>1851</v>
      </c>
      <c r="K4019" s="11" t="s">
        <v>1852</v>
      </c>
      <c r="L4019" s="11" t="s">
        <v>1853</v>
      </c>
      <c r="M4019" s="11" t="s">
        <v>8757</v>
      </c>
      <c r="N4019" s="12"/>
      <c r="O4019" s="11" t="s">
        <v>1860</v>
      </c>
      <c r="P4019" s="56"/>
    </row>
    <row r="4020" spans="1:16" ht="15.75" customHeight="1" x14ac:dyDescent="0.2">
      <c r="A4020" s="49">
        <v>7526</v>
      </c>
      <c r="B4020" s="11" t="s">
        <v>1857</v>
      </c>
      <c r="C4020" s="11" t="s">
        <v>1876</v>
      </c>
      <c r="D4020" s="6" t="s">
        <v>1850</v>
      </c>
      <c r="E4020" s="11" t="s">
        <v>6642</v>
      </c>
      <c r="F4020" s="12" t="s">
        <v>8544</v>
      </c>
      <c r="G4020" s="12" t="s">
        <v>8544</v>
      </c>
      <c r="H4020" s="12" t="s">
        <v>8553</v>
      </c>
      <c r="I4020" s="12" t="s">
        <v>8758</v>
      </c>
      <c r="J4020" s="11" t="s">
        <v>1851</v>
      </c>
      <c r="K4020" s="11" t="s">
        <v>1852</v>
      </c>
      <c r="L4020" s="11" t="s">
        <v>1853</v>
      </c>
      <c r="M4020" s="11" t="s">
        <v>8759</v>
      </c>
      <c r="N4020" s="12"/>
      <c r="O4020" s="11" t="s">
        <v>1858</v>
      </c>
      <c r="P4020" s="56"/>
    </row>
    <row r="4021" spans="1:16" ht="15.75" customHeight="1" x14ac:dyDescent="0.2">
      <c r="A4021" s="48">
        <v>6327</v>
      </c>
      <c r="B4021" s="11" t="s">
        <v>1857</v>
      </c>
      <c r="C4021" s="11" t="s">
        <v>1876</v>
      </c>
      <c r="D4021" s="6" t="s">
        <v>1850</v>
      </c>
      <c r="E4021" s="11" t="s">
        <v>6642</v>
      </c>
      <c r="F4021" s="12" t="s">
        <v>8544</v>
      </c>
      <c r="G4021" s="12" t="s">
        <v>8544</v>
      </c>
      <c r="H4021" s="12" t="s">
        <v>8579</v>
      </c>
      <c r="I4021" s="12" t="s">
        <v>8760</v>
      </c>
      <c r="J4021" s="11" t="s">
        <v>1851</v>
      </c>
      <c r="K4021" s="11" t="s">
        <v>1852</v>
      </c>
      <c r="L4021" s="11" t="s">
        <v>1853</v>
      </c>
      <c r="M4021" s="11" t="s">
        <v>1854</v>
      </c>
      <c r="N4021" s="12"/>
      <c r="O4021" s="11" t="s">
        <v>2307</v>
      </c>
      <c r="P4021" s="56" t="s">
        <v>3343</v>
      </c>
    </row>
    <row r="4022" spans="1:16" ht="15.75" customHeight="1" x14ac:dyDescent="0.2">
      <c r="A4022" s="48">
        <v>6329</v>
      </c>
      <c r="B4022" s="11" t="s">
        <v>1857</v>
      </c>
      <c r="C4022" s="11" t="s">
        <v>1876</v>
      </c>
      <c r="D4022" s="6" t="s">
        <v>1850</v>
      </c>
      <c r="E4022" s="11" t="s">
        <v>6642</v>
      </c>
      <c r="F4022" s="12" t="s">
        <v>8544</v>
      </c>
      <c r="G4022" s="12" t="s">
        <v>8544</v>
      </c>
      <c r="H4022" s="12" t="s">
        <v>8579</v>
      </c>
      <c r="I4022" s="12" t="s">
        <v>8761</v>
      </c>
      <c r="J4022" s="11" t="s">
        <v>1851</v>
      </c>
      <c r="K4022" s="11" t="s">
        <v>1852</v>
      </c>
      <c r="L4022" s="11" t="s">
        <v>1853</v>
      </c>
      <c r="M4022" s="11" t="s">
        <v>8762</v>
      </c>
      <c r="N4022" s="12"/>
      <c r="O4022" s="11" t="s">
        <v>1867</v>
      </c>
      <c r="P4022" s="56" t="s">
        <v>1865</v>
      </c>
    </row>
    <row r="4023" spans="1:16" ht="15.75" customHeight="1" x14ac:dyDescent="0.2">
      <c r="A4023" s="48">
        <v>6291</v>
      </c>
      <c r="B4023" s="11" t="s">
        <v>1857</v>
      </c>
      <c r="C4023" s="11" t="s">
        <v>1876</v>
      </c>
      <c r="D4023" s="6" t="s">
        <v>1850</v>
      </c>
      <c r="E4023" s="11" t="s">
        <v>6642</v>
      </c>
      <c r="F4023" s="12" t="s">
        <v>8544</v>
      </c>
      <c r="G4023" s="12" t="s">
        <v>8544</v>
      </c>
      <c r="H4023" s="12" t="s">
        <v>8559</v>
      </c>
      <c r="I4023" s="12" t="s">
        <v>8763</v>
      </c>
      <c r="J4023" s="11" t="s">
        <v>1851</v>
      </c>
      <c r="K4023" s="11" t="s">
        <v>1852</v>
      </c>
      <c r="L4023" s="11" t="s">
        <v>1853</v>
      </c>
      <c r="M4023" s="11" t="s">
        <v>1854</v>
      </c>
      <c r="N4023" s="12"/>
      <c r="O4023" s="11" t="s">
        <v>2307</v>
      </c>
      <c r="P4023" s="56" t="s">
        <v>3343</v>
      </c>
    </row>
    <row r="4024" spans="1:16" ht="15.75" customHeight="1" x14ac:dyDescent="0.2">
      <c r="A4024" s="48">
        <v>6296</v>
      </c>
      <c r="B4024" s="11" t="s">
        <v>1857</v>
      </c>
      <c r="C4024" s="11" t="s">
        <v>1876</v>
      </c>
      <c r="D4024" s="6" t="s">
        <v>1850</v>
      </c>
      <c r="E4024" s="11" t="s">
        <v>6642</v>
      </c>
      <c r="F4024" s="12" t="s">
        <v>8544</v>
      </c>
      <c r="G4024" s="12" t="s">
        <v>8544</v>
      </c>
      <c r="H4024" s="12" t="s">
        <v>8559</v>
      </c>
      <c r="I4024" s="12" t="s">
        <v>8764</v>
      </c>
      <c r="J4024" s="11" t="s">
        <v>1851</v>
      </c>
      <c r="K4024" s="11" t="s">
        <v>1852</v>
      </c>
      <c r="L4024" s="11" t="s">
        <v>1853</v>
      </c>
      <c r="M4024" s="11" t="s">
        <v>8765</v>
      </c>
      <c r="N4024" s="12"/>
      <c r="O4024" s="11" t="s">
        <v>1858</v>
      </c>
      <c r="P4024" s="56"/>
    </row>
    <row r="4025" spans="1:16" ht="15.75" customHeight="1" x14ac:dyDescent="0.2">
      <c r="A4025" s="48">
        <v>6939</v>
      </c>
      <c r="B4025" s="11" t="s">
        <v>1857</v>
      </c>
      <c r="C4025" s="11" t="s">
        <v>1876</v>
      </c>
      <c r="D4025" s="6" t="s">
        <v>1850</v>
      </c>
      <c r="E4025" s="11" t="s">
        <v>6642</v>
      </c>
      <c r="F4025" s="12" t="s">
        <v>8544</v>
      </c>
      <c r="G4025" s="12" t="s">
        <v>8544</v>
      </c>
      <c r="H4025" s="12" t="s">
        <v>8551</v>
      </c>
      <c r="I4025" s="12" t="s">
        <v>8766</v>
      </c>
      <c r="J4025" s="11" t="s">
        <v>1851</v>
      </c>
      <c r="K4025" s="11" t="s">
        <v>1852</v>
      </c>
      <c r="L4025" s="11" t="s">
        <v>1853</v>
      </c>
      <c r="M4025" s="11" t="s">
        <v>8767</v>
      </c>
      <c r="N4025" s="12"/>
      <c r="O4025" s="11" t="s">
        <v>1860</v>
      </c>
      <c r="P4025" s="56"/>
    </row>
    <row r="4026" spans="1:16" ht="15.75" customHeight="1" x14ac:dyDescent="0.2">
      <c r="A4026" s="48">
        <v>6293</v>
      </c>
      <c r="B4026" s="11" t="s">
        <v>1857</v>
      </c>
      <c r="C4026" s="11" t="s">
        <v>1876</v>
      </c>
      <c r="D4026" s="6" t="s">
        <v>1850</v>
      </c>
      <c r="E4026" s="11" t="s">
        <v>6642</v>
      </c>
      <c r="F4026" s="12" t="s">
        <v>8544</v>
      </c>
      <c r="G4026" s="12" t="s">
        <v>8544</v>
      </c>
      <c r="H4026" s="12" t="s">
        <v>8559</v>
      </c>
      <c r="I4026" s="12" t="s">
        <v>8768</v>
      </c>
      <c r="J4026" s="11" t="s">
        <v>1851</v>
      </c>
      <c r="K4026" s="11" t="s">
        <v>1852</v>
      </c>
      <c r="L4026" s="11" t="s">
        <v>1853</v>
      </c>
      <c r="M4026" s="11" t="s">
        <v>1854</v>
      </c>
      <c r="N4026" s="12"/>
      <c r="O4026" s="11" t="s">
        <v>2307</v>
      </c>
      <c r="P4026" s="56" t="s">
        <v>8769</v>
      </c>
    </row>
    <row r="4027" spans="1:16" ht="15.75" customHeight="1" x14ac:dyDescent="0.2">
      <c r="A4027" s="48">
        <v>6309</v>
      </c>
      <c r="B4027" s="11" t="s">
        <v>1857</v>
      </c>
      <c r="C4027" s="11" t="s">
        <v>1876</v>
      </c>
      <c r="D4027" s="6" t="s">
        <v>1850</v>
      </c>
      <c r="E4027" s="11" t="s">
        <v>6642</v>
      </c>
      <c r="F4027" s="12" t="s">
        <v>8544</v>
      </c>
      <c r="G4027" s="12" t="s">
        <v>8544</v>
      </c>
      <c r="H4027" s="12" t="s">
        <v>8583</v>
      </c>
      <c r="I4027" s="12" t="s">
        <v>8770</v>
      </c>
      <c r="J4027" s="11" t="s">
        <v>1851</v>
      </c>
      <c r="K4027" s="11" t="s">
        <v>1852</v>
      </c>
      <c r="L4027" s="11" t="s">
        <v>1853</v>
      </c>
      <c r="M4027" s="11" t="s">
        <v>8771</v>
      </c>
      <c r="N4027" s="12" t="s">
        <v>8772</v>
      </c>
      <c r="O4027" s="11" t="s">
        <v>1860</v>
      </c>
      <c r="P4027" s="56"/>
    </row>
    <row r="4028" spans="1:16" ht="15.75" customHeight="1" x14ac:dyDescent="0.2">
      <c r="A4028" s="48">
        <v>6282</v>
      </c>
      <c r="B4028" s="11" t="s">
        <v>1857</v>
      </c>
      <c r="C4028" s="11" t="s">
        <v>1876</v>
      </c>
      <c r="D4028" s="6" t="s">
        <v>1850</v>
      </c>
      <c r="E4028" s="11" t="s">
        <v>6642</v>
      </c>
      <c r="F4028" s="12" t="s">
        <v>8544</v>
      </c>
      <c r="G4028" s="12" t="s">
        <v>8544</v>
      </c>
      <c r="H4028" s="12" t="s">
        <v>8551</v>
      </c>
      <c r="I4028" s="12" t="s">
        <v>8773</v>
      </c>
      <c r="J4028" s="11" t="s">
        <v>1851</v>
      </c>
      <c r="K4028" s="11" t="s">
        <v>1852</v>
      </c>
      <c r="L4028" s="11" t="s">
        <v>1853</v>
      </c>
      <c r="M4028" s="11" t="s">
        <v>8774</v>
      </c>
      <c r="N4028" s="12" t="s">
        <v>8775</v>
      </c>
      <c r="O4028" s="11" t="s">
        <v>1860</v>
      </c>
      <c r="P4028" s="56"/>
    </row>
    <row r="4029" spans="1:16" ht="15.75" customHeight="1" x14ac:dyDescent="0.2">
      <c r="A4029" s="48">
        <v>6274</v>
      </c>
      <c r="B4029" s="11" t="s">
        <v>1857</v>
      </c>
      <c r="C4029" s="11" t="s">
        <v>1876</v>
      </c>
      <c r="D4029" s="6" t="s">
        <v>1850</v>
      </c>
      <c r="E4029" s="11" t="s">
        <v>6642</v>
      </c>
      <c r="F4029" s="12" t="s">
        <v>8544</v>
      </c>
      <c r="G4029" s="12" t="s">
        <v>8544</v>
      </c>
      <c r="H4029" s="12" t="s">
        <v>8586</v>
      </c>
      <c r="I4029" s="12" t="s">
        <v>8776</v>
      </c>
      <c r="J4029" s="11" t="s">
        <v>1851</v>
      </c>
      <c r="K4029" s="11" t="s">
        <v>1852</v>
      </c>
      <c r="L4029" s="11" t="s">
        <v>1853</v>
      </c>
      <c r="M4029" s="11" t="s">
        <v>8777</v>
      </c>
      <c r="N4029" s="12"/>
      <c r="O4029" s="11" t="s">
        <v>1860</v>
      </c>
      <c r="P4029" s="56"/>
    </row>
    <row r="4030" spans="1:16" ht="15.75" customHeight="1" x14ac:dyDescent="0.2">
      <c r="A4030" s="48">
        <v>6295</v>
      </c>
      <c r="B4030" s="11" t="s">
        <v>1857</v>
      </c>
      <c r="C4030" s="11" t="s">
        <v>1876</v>
      </c>
      <c r="D4030" s="6" t="s">
        <v>1850</v>
      </c>
      <c r="E4030" s="11" t="s">
        <v>6642</v>
      </c>
      <c r="F4030" s="12" t="s">
        <v>8544</v>
      </c>
      <c r="G4030" s="12" t="s">
        <v>8544</v>
      </c>
      <c r="H4030" s="12" t="s">
        <v>8559</v>
      </c>
      <c r="I4030" s="12" t="s">
        <v>8778</v>
      </c>
      <c r="J4030" s="11" t="s">
        <v>1851</v>
      </c>
      <c r="K4030" s="11" t="s">
        <v>1852</v>
      </c>
      <c r="L4030" s="11" t="s">
        <v>1853</v>
      </c>
      <c r="M4030" s="11" t="s">
        <v>1854</v>
      </c>
      <c r="N4030" s="12"/>
      <c r="O4030" s="11" t="s">
        <v>1858</v>
      </c>
      <c r="P4030" s="56"/>
    </row>
    <row r="4031" spans="1:16" ht="15.75" customHeight="1" x14ac:dyDescent="0.2">
      <c r="A4031" s="48">
        <v>6946</v>
      </c>
      <c r="B4031" s="11" t="s">
        <v>1857</v>
      </c>
      <c r="C4031" s="11" t="s">
        <v>1876</v>
      </c>
      <c r="D4031" s="6" t="s">
        <v>1850</v>
      </c>
      <c r="E4031" s="11" t="s">
        <v>6642</v>
      </c>
      <c r="F4031" s="12" t="s">
        <v>8544</v>
      </c>
      <c r="G4031" s="12" t="s">
        <v>8544</v>
      </c>
      <c r="H4031" s="12" t="s">
        <v>8553</v>
      </c>
      <c r="I4031" s="12" t="s">
        <v>8779</v>
      </c>
      <c r="J4031" s="11" t="s">
        <v>1851</v>
      </c>
      <c r="K4031" s="11" t="s">
        <v>1852</v>
      </c>
      <c r="L4031" s="11" t="s">
        <v>1853</v>
      </c>
      <c r="M4031" s="11" t="s">
        <v>8780</v>
      </c>
      <c r="N4031" s="12"/>
      <c r="O4031" s="11" t="s">
        <v>1860</v>
      </c>
      <c r="P4031" s="56"/>
    </row>
    <row r="4032" spans="1:16" ht="15.75" customHeight="1" x14ac:dyDescent="0.2">
      <c r="A4032" s="48">
        <v>6931</v>
      </c>
      <c r="B4032" s="11" t="s">
        <v>1857</v>
      </c>
      <c r="C4032" s="11" t="s">
        <v>1876</v>
      </c>
      <c r="D4032" s="6" t="s">
        <v>1850</v>
      </c>
      <c r="E4032" s="11" t="s">
        <v>6642</v>
      </c>
      <c r="F4032" s="12" t="s">
        <v>8544</v>
      </c>
      <c r="G4032" s="12" t="s">
        <v>8544</v>
      </c>
      <c r="H4032" s="12" t="s">
        <v>8586</v>
      </c>
      <c r="I4032" s="12" t="s">
        <v>8781</v>
      </c>
      <c r="J4032" s="11" t="s">
        <v>1851</v>
      </c>
      <c r="K4032" s="11" t="s">
        <v>1852</v>
      </c>
      <c r="L4032" s="11" t="s">
        <v>1853</v>
      </c>
      <c r="M4032" s="11" t="s">
        <v>1854</v>
      </c>
      <c r="N4032" s="12"/>
      <c r="O4032" s="11" t="s">
        <v>1860</v>
      </c>
      <c r="P4032" s="56"/>
    </row>
    <row r="4033" spans="1:16" ht="15.75" customHeight="1" x14ac:dyDescent="0.2">
      <c r="A4033" s="49">
        <v>6308</v>
      </c>
      <c r="B4033" s="11" t="s">
        <v>1857</v>
      </c>
      <c r="C4033" s="11" t="s">
        <v>1876</v>
      </c>
      <c r="D4033" s="6" t="s">
        <v>1850</v>
      </c>
      <c r="E4033" s="11" t="s">
        <v>6642</v>
      </c>
      <c r="F4033" s="12" t="s">
        <v>8544</v>
      </c>
      <c r="G4033" s="12" t="s">
        <v>8544</v>
      </c>
      <c r="H4033" s="12" t="s">
        <v>8555</v>
      </c>
      <c r="I4033" s="12" t="s">
        <v>8782</v>
      </c>
      <c r="J4033" s="11" t="s">
        <v>1851</v>
      </c>
      <c r="K4033" s="11" t="s">
        <v>1852</v>
      </c>
      <c r="L4033" s="11" t="s">
        <v>1853</v>
      </c>
      <c r="M4033" s="11" t="s">
        <v>1854</v>
      </c>
      <c r="N4033" s="12"/>
      <c r="O4033" s="11" t="s">
        <v>1867</v>
      </c>
      <c r="P4033" s="56" t="s">
        <v>1865</v>
      </c>
    </row>
    <row r="4034" spans="1:16" ht="15.75" customHeight="1" x14ac:dyDescent="0.2">
      <c r="A4034" s="48">
        <v>6241</v>
      </c>
      <c r="B4034" s="11" t="s">
        <v>1857</v>
      </c>
      <c r="C4034" s="11" t="s">
        <v>1876</v>
      </c>
      <c r="D4034" s="6" t="s">
        <v>1850</v>
      </c>
      <c r="E4034" s="11" t="s">
        <v>6642</v>
      </c>
      <c r="F4034" s="12" t="s">
        <v>8544</v>
      </c>
      <c r="G4034" s="12" t="s">
        <v>8544</v>
      </c>
      <c r="H4034" s="12" t="s">
        <v>8579</v>
      </c>
      <c r="I4034" s="12" t="s">
        <v>8783</v>
      </c>
      <c r="J4034" s="11" t="s">
        <v>1851</v>
      </c>
      <c r="K4034" s="11" t="s">
        <v>1852</v>
      </c>
      <c r="L4034" s="11" t="s">
        <v>1853</v>
      </c>
      <c r="M4034" s="11" t="s">
        <v>1854</v>
      </c>
      <c r="N4034" s="12"/>
      <c r="O4034" s="11" t="s">
        <v>2307</v>
      </c>
      <c r="P4034" s="56" t="s">
        <v>8784</v>
      </c>
    </row>
    <row r="4035" spans="1:16" ht="15.75" customHeight="1" x14ac:dyDescent="0.2">
      <c r="A4035" s="49">
        <v>6333</v>
      </c>
      <c r="B4035" s="11" t="s">
        <v>1857</v>
      </c>
      <c r="C4035" s="11" t="s">
        <v>1876</v>
      </c>
      <c r="D4035" s="6" t="s">
        <v>1850</v>
      </c>
      <c r="E4035" s="11" t="s">
        <v>6642</v>
      </c>
      <c r="F4035" s="12" t="s">
        <v>8544</v>
      </c>
      <c r="G4035" s="12" t="s">
        <v>8544</v>
      </c>
      <c r="H4035" s="12" t="s">
        <v>8579</v>
      </c>
      <c r="I4035" s="12" t="s">
        <v>8785</v>
      </c>
      <c r="J4035" s="11" t="s">
        <v>1851</v>
      </c>
      <c r="K4035" s="11" t="s">
        <v>1852</v>
      </c>
      <c r="L4035" s="11" t="s">
        <v>1853</v>
      </c>
      <c r="M4035" s="11" t="s">
        <v>1854</v>
      </c>
      <c r="N4035" s="12"/>
      <c r="O4035" s="11" t="s">
        <v>1867</v>
      </c>
      <c r="P4035" s="56" t="s">
        <v>1865</v>
      </c>
    </row>
    <row r="4036" spans="1:16" ht="15.75" customHeight="1" x14ac:dyDescent="0.2">
      <c r="A4036" s="49">
        <v>6312</v>
      </c>
      <c r="B4036" s="11" t="s">
        <v>1857</v>
      </c>
      <c r="C4036" s="11" t="s">
        <v>1876</v>
      </c>
      <c r="D4036" s="6" t="s">
        <v>1850</v>
      </c>
      <c r="E4036" s="11" t="s">
        <v>6642</v>
      </c>
      <c r="F4036" s="12" t="s">
        <v>8544</v>
      </c>
      <c r="G4036" s="12" t="s">
        <v>8544</v>
      </c>
      <c r="H4036" s="12" t="s">
        <v>8583</v>
      </c>
      <c r="I4036" s="12" t="s">
        <v>8786</v>
      </c>
      <c r="J4036" s="11" t="s">
        <v>1851</v>
      </c>
      <c r="K4036" s="11" t="s">
        <v>1852</v>
      </c>
      <c r="L4036" s="11" t="s">
        <v>1853</v>
      </c>
      <c r="M4036" s="11" t="s">
        <v>1854</v>
      </c>
      <c r="N4036" s="12"/>
      <c r="O4036" s="11" t="s">
        <v>1869</v>
      </c>
      <c r="P4036" s="56"/>
    </row>
    <row r="4037" spans="1:16" ht="15.75" customHeight="1" x14ac:dyDescent="0.2">
      <c r="A4037" s="49">
        <v>6313</v>
      </c>
      <c r="B4037" s="11" t="s">
        <v>1857</v>
      </c>
      <c r="C4037" s="11" t="s">
        <v>1876</v>
      </c>
      <c r="D4037" s="6" t="s">
        <v>1850</v>
      </c>
      <c r="E4037" s="11" t="s">
        <v>6642</v>
      </c>
      <c r="F4037" s="12" t="s">
        <v>8544</v>
      </c>
      <c r="G4037" s="12" t="s">
        <v>8544</v>
      </c>
      <c r="H4037" s="12" t="s">
        <v>8583</v>
      </c>
      <c r="I4037" s="12" t="s">
        <v>8787</v>
      </c>
      <c r="J4037" s="11" t="s">
        <v>1851</v>
      </c>
      <c r="K4037" s="11" t="s">
        <v>1852</v>
      </c>
      <c r="L4037" s="11" t="s">
        <v>1853</v>
      </c>
      <c r="M4037" s="11" t="s">
        <v>8788</v>
      </c>
      <c r="N4037" s="12"/>
      <c r="O4037" s="11" t="s">
        <v>1860</v>
      </c>
      <c r="P4037" s="56"/>
    </row>
    <row r="4038" spans="1:16" ht="15.75" customHeight="1" x14ac:dyDescent="0.2">
      <c r="A4038" s="49">
        <v>6294</v>
      </c>
      <c r="B4038" s="11" t="s">
        <v>1857</v>
      </c>
      <c r="C4038" s="11" t="s">
        <v>1876</v>
      </c>
      <c r="D4038" s="6" t="s">
        <v>1850</v>
      </c>
      <c r="E4038" s="11" t="s">
        <v>6642</v>
      </c>
      <c r="F4038" s="12" t="s">
        <v>8544</v>
      </c>
      <c r="G4038" s="12" t="s">
        <v>8544</v>
      </c>
      <c r="H4038" s="12" t="s">
        <v>8579</v>
      </c>
      <c r="I4038" s="12" t="s">
        <v>8789</v>
      </c>
      <c r="J4038" s="11" t="s">
        <v>1851</v>
      </c>
      <c r="K4038" s="11" t="s">
        <v>1852</v>
      </c>
      <c r="L4038" s="11" t="s">
        <v>1853</v>
      </c>
      <c r="M4038" s="11" t="s">
        <v>8790</v>
      </c>
      <c r="N4038" s="12"/>
      <c r="O4038" s="11" t="s">
        <v>1867</v>
      </c>
      <c r="P4038" s="56" t="s">
        <v>5520</v>
      </c>
    </row>
    <row r="4039" spans="1:16" ht="15.75" customHeight="1" x14ac:dyDescent="0.2">
      <c r="A4039" s="49">
        <v>6932</v>
      </c>
      <c r="B4039" s="11" t="s">
        <v>1857</v>
      </c>
      <c r="C4039" s="11" t="s">
        <v>1876</v>
      </c>
      <c r="D4039" s="6" t="s">
        <v>1850</v>
      </c>
      <c r="E4039" s="11" t="s">
        <v>6642</v>
      </c>
      <c r="F4039" s="12" t="s">
        <v>8544</v>
      </c>
      <c r="G4039" s="12" t="s">
        <v>8544</v>
      </c>
      <c r="H4039" s="12" t="s">
        <v>8586</v>
      </c>
      <c r="I4039" s="12" t="s">
        <v>8791</v>
      </c>
      <c r="J4039" s="11" t="s">
        <v>1851</v>
      </c>
      <c r="K4039" s="11" t="s">
        <v>1852</v>
      </c>
      <c r="L4039" s="11" t="s">
        <v>1853</v>
      </c>
      <c r="M4039" s="11" t="s">
        <v>8792</v>
      </c>
      <c r="N4039" s="12"/>
      <c r="O4039" s="11" t="s">
        <v>1858</v>
      </c>
      <c r="P4039" s="56"/>
    </row>
    <row r="4040" spans="1:16" ht="15.75" customHeight="1" x14ac:dyDescent="0.2">
      <c r="A4040" s="49">
        <v>6279</v>
      </c>
      <c r="B4040" s="11" t="s">
        <v>1857</v>
      </c>
      <c r="C4040" s="11" t="s">
        <v>1876</v>
      </c>
      <c r="D4040" s="6" t="s">
        <v>1850</v>
      </c>
      <c r="E4040" s="11" t="s">
        <v>6642</v>
      </c>
      <c r="F4040" s="12" t="s">
        <v>8544</v>
      </c>
      <c r="G4040" s="12" t="s">
        <v>8544</v>
      </c>
      <c r="H4040" s="12" t="s">
        <v>8551</v>
      </c>
      <c r="I4040" s="12" t="s">
        <v>8793</v>
      </c>
      <c r="J4040" s="11" t="s">
        <v>1851</v>
      </c>
      <c r="K4040" s="11" t="s">
        <v>1852</v>
      </c>
      <c r="L4040" s="11" t="s">
        <v>1853</v>
      </c>
      <c r="M4040" s="11" t="s">
        <v>1854</v>
      </c>
      <c r="N4040" s="12"/>
      <c r="O4040" s="11" t="s">
        <v>1858</v>
      </c>
      <c r="P4040" s="56"/>
    </row>
    <row r="4041" spans="1:16" ht="15.75" customHeight="1" x14ac:dyDescent="0.2">
      <c r="A4041" s="49">
        <v>6326</v>
      </c>
      <c r="B4041" s="11" t="s">
        <v>1857</v>
      </c>
      <c r="C4041" s="11" t="s">
        <v>1876</v>
      </c>
      <c r="D4041" s="6" t="s">
        <v>1850</v>
      </c>
      <c r="E4041" s="11" t="s">
        <v>6642</v>
      </c>
      <c r="F4041" s="12" t="s">
        <v>8544</v>
      </c>
      <c r="G4041" s="12" t="s">
        <v>8544</v>
      </c>
      <c r="H4041" s="12" t="s">
        <v>8579</v>
      </c>
      <c r="I4041" s="12" t="s">
        <v>8794</v>
      </c>
      <c r="J4041" s="11" t="s">
        <v>1851</v>
      </c>
      <c r="K4041" s="11" t="s">
        <v>1852</v>
      </c>
      <c r="L4041" s="11" t="s">
        <v>1853</v>
      </c>
      <c r="M4041" s="11" t="s">
        <v>1854</v>
      </c>
      <c r="N4041" s="12"/>
      <c r="O4041" s="11" t="s">
        <v>1867</v>
      </c>
      <c r="P4041" s="56" t="s">
        <v>8795</v>
      </c>
    </row>
    <row r="4042" spans="1:16" ht="15.75" customHeight="1" x14ac:dyDescent="0.2">
      <c r="A4042" s="49">
        <v>6325</v>
      </c>
      <c r="B4042" s="11" t="s">
        <v>1857</v>
      </c>
      <c r="C4042" s="11" t="s">
        <v>1876</v>
      </c>
      <c r="D4042" s="6" t="s">
        <v>1850</v>
      </c>
      <c r="E4042" s="11" t="s">
        <v>6642</v>
      </c>
      <c r="F4042" s="12" t="s">
        <v>8544</v>
      </c>
      <c r="G4042" s="12" t="s">
        <v>8544</v>
      </c>
      <c r="H4042" s="12" t="s">
        <v>8579</v>
      </c>
      <c r="I4042" s="12" t="s">
        <v>8796</v>
      </c>
      <c r="J4042" s="11" t="s">
        <v>1851</v>
      </c>
      <c r="K4042" s="11" t="s">
        <v>1852</v>
      </c>
      <c r="L4042" s="11" t="s">
        <v>1853</v>
      </c>
      <c r="M4042" s="11" t="s">
        <v>1854</v>
      </c>
      <c r="N4042" s="12"/>
      <c r="O4042" s="11" t="s">
        <v>1867</v>
      </c>
      <c r="P4042" s="56" t="s">
        <v>2819</v>
      </c>
    </row>
    <row r="4043" spans="1:16" ht="15.75" customHeight="1" x14ac:dyDescent="0.2">
      <c r="A4043" s="49">
        <v>15851</v>
      </c>
      <c r="B4043" s="11" t="s">
        <v>1857</v>
      </c>
      <c r="C4043" s="11" t="s">
        <v>1876</v>
      </c>
      <c r="D4043" s="6" t="s">
        <v>1850</v>
      </c>
      <c r="E4043" s="11" t="s">
        <v>6642</v>
      </c>
      <c r="F4043" s="12" t="s">
        <v>8544</v>
      </c>
      <c r="G4043" s="12" t="s">
        <v>8544</v>
      </c>
      <c r="H4043" s="12" t="s">
        <v>8579</v>
      </c>
      <c r="I4043" s="12" t="s">
        <v>8705</v>
      </c>
      <c r="J4043" s="11" t="s">
        <v>1851</v>
      </c>
      <c r="K4043" s="11" t="s">
        <v>1852</v>
      </c>
      <c r="L4043" s="11" t="s">
        <v>1853</v>
      </c>
      <c r="M4043" s="11" t="s">
        <v>1854</v>
      </c>
      <c r="N4043" s="12"/>
      <c r="O4043" s="11" t="s">
        <v>1858</v>
      </c>
      <c r="P4043" s="56"/>
    </row>
    <row r="4044" spans="1:16" ht="15.75" customHeight="1" x14ac:dyDescent="0.2">
      <c r="A4044" s="49">
        <v>6951</v>
      </c>
      <c r="B4044" s="11" t="s">
        <v>1857</v>
      </c>
      <c r="C4044" s="11" t="s">
        <v>1876</v>
      </c>
      <c r="D4044" s="6" t="s">
        <v>1850</v>
      </c>
      <c r="E4044" s="11" t="s">
        <v>6642</v>
      </c>
      <c r="F4044" s="12" t="s">
        <v>8544</v>
      </c>
      <c r="G4044" s="12" t="s">
        <v>8544</v>
      </c>
      <c r="H4044" s="12" t="s">
        <v>8559</v>
      </c>
      <c r="I4044" s="12" t="s">
        <v>8797</v>
      </c>
      <c r="J4044" s="11" t="s">
        <v>1851</v>
      </c>
      <c r="K4044" s="11" t="s">
        <v>1852</v>
      </c>
      <c r="L4044" s="11" t="s">
        <v>1853</v>
      </c>
      <c r="M4044" s="11" t="s">
        <v>8798</v>
      </c>
      <c r="N4044" s="12"/>
      <c r="O4044" s="11" t="s">
        <v>1867</v>
      </c>
      <c r="P4044" s="56" t="s">
        <v>1865</v>
      </c>
    </row>
    <row r="4045" spans="1:16" ht="15.75" customHeight="1" x14ac:dyDescent="0.2">
      <c r="A4045" s="49">
        <v>6933</v>
      </c>
      <c r="B4045" s="11" t="s">
        <v>1857</v>
      </c>
      <c r="C4045" s="11" t="s">
        <v>1876</v>
      </c>
      <c r="D4045" s="6" t="s">
        <v>1850</v>
      </c>
      <c r="E4045" s="11" t="s">
        <v>6642</v>
      </c>
      <c r="F4045" s="12" t="s">
        <v>8544</v>
      </c>
      <c r="G4045" s="12" t="s">
        <v>8544</v>
      </c>
      <c r="H4045" s="12" t="s">
        <v>8583</v>
      </c>
      <c r="I4045" s="12" t="s">
        <v>8799</v>
      </c>
      <c r="J4045" s="11" t="s">
        <v>1851</v>
      </c>
      <c r="K4045" s="11" t="s">
        <v>1852</v>
      </c>
      <c r="L4045" s="11" t="s">
        <v>1853</v>
      </c>
      <c r="M4045" s="11" t="s">
        <v>8800</v>
      </c>
      <c r="N4045" s="12" t="s">
        <v>8801</v>
      </c>
      <c r="O4045" s="11" t="s">
        <v>1866</v>
      </c>
      <c r="P4045" s="56" t="s">
        <v>3343</v>
      </c>
    </row>
    <row r="4046" spans="1:16" ht="15.75" customHeight="1" x14ac:dyDescent="0.2">
      <c r="A4046" s="49">
        <v>6943</v>
      </c>
      <c r="B4046" s="11" t="s">
        <v>1857</v>
      </c>
      <c r="C4046" s="11" t="s">
        <v>1876</v>
      </c>
      <c r="D4046" s="6" t="s">
        <v>1850</v>
      </c>
      <c r="E4046" s="11" t="s">
        <v>6642</v>
      </c>
      <c r="F4046" s="12" t="s">
        <v>8544</v>
      </c>
      <c r="G4046" s="12" t="s">
        <v>8544</v>
      </c>
      <c r="H4046" s="12" t="s">
        <v>8559</v>
      </c>
      <c r="I4046" s="12" t="s">
        <v>8802</v>
      </c>
      <c r="J4046" s="11" t="s">
        <v>1851</v>
      </c>
      <c r="K4046" s="11" t="s">
        <v>1852</v>
      </c>
      <c r="L4046" s="11" t="s">
        <v>1853</v>
      </c>
      <c r="M4046" s="11" t="s">
        <v>1854</v>
      </c>
      <c r="N4046" s="12"/>
      <c r="O4046" s="11" t="s">
        <v>1858</v>
      </c>
      <c r="P4046" s="56"/>
    </row>
    <row r="4047" spans="1:16" ht="15.75" customHeight="1" x14ac:dyDescent="0.2">
      <c r="A4047" s="48">
        <v>15941</v>
      </c>
      <c r="B4047" s="11" t="s">
        <v>1857</v>
      </c>
      <c r="C4047" s="11" t="s">
        <v>1876</v>
      </c>
      <c r="D4047" s="6" t="s">
        <v>1850</v>
      </c>
      <c r="E4047" s="11" t="s">
        <v>6642</v>
      </c>
      <c r="F4047" s="12" t="s">
        <v>8544</v>
      </c>
      <c r="G4047" s="12" t="s">
        <v>8544</v>
      </c>
      <c r="H4047" s="12" t="s">
        <v>8559</v>
      </c>
      <c r="I4047" s="12" t="s">
        <v>8803</v>
      </c>
      <c r="J4047" s="11" t="s">
        <v>1851</v>
      </c>
      <c r="K4047" s="11" t="s">
        <v>1852</v>
      </c>
      <c r="L4047" s="11" t="s">
        <v>1853</v>
      </c>
      <c r="M4047" s="11" t="s">
        <v>8804</v>
      </c>
      <c r="N4047" s="12"/>
      <c r="O4047" s="11" t="s">
        <v>1858</v>
      </c>
      <c r="P4047" s="56"/>
    </row>
    <row r="4048" spans="1:16" ht="15.75" customHeight="1" x14ac:dyDescent="0.2">
      <c r="A4048" s="48">
        <v>15410</v>
      </c>
      <c r="B4048" s="11" t="s">
        <v>1871</v>
      </c>
      <c r="C4048" s="11" t="s">
        <v>1876</v>
      </c>
      <c r="D4048" s="6" t="s">
        <v>1850</v>
      </c>
      <c r="E4048" s="11" t="s">
        <v>6642</v>
      </c>
      <c r="F4048" s="12" t="s">
        <v>8544</v>
      </c>
      <c r="G4048" s="12" t="s">
        <v>8544</v>
      </c>
      <c r="H4048" s="12" t="s">
        <v>8555</v>
      </c>
      <c r="I4048" s="12" t="s">
        <v>8805</v>
      </c>
      <c r="J4048" s="11" t="s">
        <v>1851</v>
      </c>
      <c r="K4048" s="11" t="s">
        <v>1852</v>
      </c>
      <c r="L4048" s="11" t="s">
        <v>1853</v>
      </c>
      <c r="M4048" s="11" t="s">
        <v>1854</v>
      </c>
      <c r="N4048" s="12"/>
      <c r="O4048" s="11" t="s">
        <v>1872</v>
      </c>
      <c r="P4048" s="56"/>
    </row>
    <row r="4049" spans="1:16" ht="15.75" customHeight="1" x14ac:dyDescent="0.2">
      <c r="A4049" s="48">
        <v>7172</v>
      </c>
      <c r="B4049" s="11" t="s">
        <v>1871</v>
      </c>
      <c r="C4049" s="11" t="s">
        <v>1876</v>
      </c>
      <c r="D4049" s="6" t="s">
        <v>1850</v>
      </c>
      <c r="E4049" s="11" t="s">
        <v>6642</v>
      </c>
      <c r="F4049" s="12" t="s">
        <v>8544</v>
      </c>
      <c r="G4049" s="12" t="s">
        <v>8544</v>
      </c>
      <c r="H4049" s="12" t="s">
        <v>8583</v>
      </c>
      <c r="I4049" s="12" t="s">
        <v>7780</v>
      </c>
      <c r="J4049" s="11" t="s">
        <v>1851</v>
      </c>
      <c r="K4049" s="11" t="s">
        <v>1852</v>
      </c>
      <c r="L4049" s="11" t="s">
        <v>1853</v>
      </c>
      <c r="M4049" s="11" t="s">
        <v>1854</v>
      </c>
      <c r="N4049" s="12"/>
      <c r="O4049" s="11" t="s">
        <v>1872</v>
      </c>
      <c r="P4049" s="56"/>
    </row>
    <row r="4050" spans="1:16" ht="15.75" customHeight="1" x14ac:dyDescent="0.2">
      <c r="A4050" s="48">
        <v>6938</v>
      </c>
      <c r="B4050" s="11" t="s">
        <v>1871</v>
      </c>
      <c r="C4050" s="11" t="s">
        <v>1876</v>
      </c>
      <c r="D4050" s="6" t="s">
        <v>1850</v>
      </c>
      <c r="E4050" s="11" t="s">
        <v>6642</v>
      </c>
      <c r="F4050" s="12" t="s">
        <v>8544</v>
      </c>
      <c r="G4050" s="12" t="s">
        <v>8544</v>
      </c>
      <c r="H4050" s="12" t="s">
        <v>8583</v>
      </c>
      <c r="I4050" s="12" t="s">
        <v>8806</v>
      </c>
      <c r="J4050" s="11" t="s">
        <v>1851</v>
      </c>
      <c r="K4050" s="11" t="s">
        <v>1852</v>
      </c>
      <c r="L4050" s="11" t="s">
        <v>1853</v>
      </c>
      <c r="M4050" s="11" t="s">
        <v>8771</v>
      </c>
      <c r="N4050" s="12" t="s">
        <v>8772</v>
      </c>
      <c r="O4050" s="11" t="s">
        <v>1872</v>
      </c>
      <c r="P4050" s="56"/>
    </row>
    <row r="4051" spans="1:16" ht="15.75" customHeight="1" x14ac:dyDescent="0.2">
      <c r="A4051" s="48">
        <v>15980</v>
      </c>
      <c r="B4051" s="11" t="s">
        <v>1871</v>
      </c>
      <c r="C4051" s="11" t="s">
        <v>1876</v>
      </c>
      <c r="D4051" s="6" t="s">
        <v>1850</v>
      </c>
      <c r="E4051" s="11" t="s">
        <v>6642</v>
      </c>
      <c r="F4051" s="12" t="s">
        <v>8544</v>
      </c>
      <c r="G4051" s="12" t="s">
        <v>8544</v>
      </c>
      <c r="H4051" s="12" t="s">
        <v>8579</v>
      </c>
      <c r="I4051" s="12" t="s">
        <v>8783</v>
      </c>
      <c r="J4051" s="11" t="s">
        <v>1851</v>
      </c>
      <c r="K4051" s="11" t="s">
        <v>1852</v>
      </c>
      <c r="L4051" s="11" t="s">
        <v>1853</v>
      </c>
      <c r="M4051" s="11" t="s">
        <v>1854</v>
      </c>
      <c r="N4051" s="12"/>
      <c r="O4051" s="11" t="s">
        <v>1866</v>
      </c>
      <c r="P4051" s="56" t="s">
        <v>8807</v>
      </c>
    </row>
    <row r="4052" spans="1:16" ht="15.75" customHeight="1" x14ac:dyDescent="0.2">
      <c r="A4052" s="48">
        <v>6947</v>
      </c>
      <c r="B4052" s="11" t="s">
        <v>1871</v>
      </c>
      <c r="C4052" s="11" t="s">
        <v>1876</v>
      </c>
      <c r="D4052" s="6" t="s">
        <v>1850</v>
      </c>
      <c r="E4052" s="11" t="s">
        <v>6642</v>
      </c>
      <c r="F4052" s="12" t="s">
        <v>8544</v>
      </c>
      <c r="G4052" s="12" t="s">
        <v>8544</v>
      </c>
      <c r="H4052" s="12" t="s">
        <v>8553</v>
      </c>
      <c r="I4052" s="12" t="s">
        <v>8808</v>
      </c>
      <c r="J4052" s="11" t="s">
        <v>1851</v>
      </c>
      <c r="K4052" s="11" t="s">
        <v>1852</v>
      </c>
      <c r="L4052" s="11" t="s">
        <v>1853</v>
      </c>
      <c r="M4052" s="11" t="s">
        <v>1854</v>
      </c>
      <c r="N4052" s="12"/>
      <c r="O4052" s="11" t="s">
        <v>2598</v>
      </c>
      <c r="P4052" s="56" t="s">
        <v>8809</v>
      </c>
    </row>
    <row r="4053" spans="1:16" ht="15.75" customHeight="1" x14ac:dyDescent="0.2">
      <c r="A4053" s="48">
        <v>15345</v>
      </c>
      <c r="B4053" s="11" t="s">
        <v>1871</v>
      </c>
      <c r="C4053" s="11" t="s">
        <v>1876</v>
      </c>
      <c r="D4053" s="6" t="s">
        <v>1850</v>
      </c>
      <c r="E4053" s="11" t="s">
        <v>6642</v>
      </c>
      <c r="F4053" s="12" t="s">
        <v>8544</v>
      </c>
      <c r="G4053" s="12" t="s">
        <v>8544</v>
      </c>
      <c r="H4053" s="12" t="s">
        <v>8586</v>
      </c>
      <c r="I4053" s="12" t="s">
        <v>8810</v>
      </c>
      <c r="J4053" s="11" t="s">
        <v>1851</v>
      </c>
      <c r="K4053" s="11" t="s">
        <v>1852</v>
      </c>
      <c r="L4053" s="11" t="s">
        <v>1853</v>
      </c>
      <c r="M4053" s="11" t="s">
        <v>1854</v>
      </c>
      <c r="N4053" s="12"/>
      <c r="O4053" s="11" t="s">
        <v>1872</v>
      </c>
      <c r="P4053" s="56"/>
    </row>
    <row r="4054" spans="1:16" ht="15.75" customHeight="1" x14ac:dyDescent="0.2">
      <c r="A4054" s="48">
        <v>6945</v>
      </c>
      <c r="B4054" s="11" t="s">
        <v>1871</v>
      </c>
      <c r="C4054" s="11" t="s">
        <v>1876</v>
      </c>
      <c r="D4054" s="6" t="s">
        <v>1850</v>
      </c>
      <c r="E4054" s="11" t="s">
        <v>6642</v>
      </c>
      <c r="F4054" s="12" t="s">
        <v>8544</v>
      </c>
      <c r="G4054" s="12" t="s">
        <v>8544</v>
      </c>
      <c r="H4054" s="12" t="s">
        <v>8551</v>
      </c>
      <c r="I4054" s="12" t="s">
        <v>8811</v>
      </c>
      <c r="J4054" s="11" t="s">
        <v>1851</v>
      </c>
      <c r="K4054" s="11" t="s">
        <v>1852</v>
      </c>
      <c r="L4054" s="11" t="s">
        <v>1853</v>
      </c>
      <c r="M4054" s="11" t="s">
        <v>1854</v>
      </c>
      <c r="N4054" s="12"/>
      <c r="O4054" s="11" t="s">
        <v>1872</v>
      </c>
      <c r="P4054" s="56"/>
    </row>
    <row r="4055" spans="1:16" ht="15.75" customHeight="1" x14ac:dyDescent="0.2">
      <c r="A4055" s="48">
        <v>15260</v>
      </c>
      <c r="B4055" s="11" t="s">
        <v>1871</v>
      </c>
      <c r="C4055" s="11" t="s">
        <v>1876</v>
      </c>
      <c r="D4055" s="6" t="s">
        <v>1850</v>
      </c>
      <c r="E4055" s="11" t="s">
        <v>6642</v>
      </c>
      <c r="F4055" s="12" t="s">
        <v>8544</v>
      </c>
      <c r="G4055" s="12" t="s">
        <v>8544</v>
      </c>
      <c r="H4055" s="12" t="s">
        <v>8583</v>
      </c>
      <c r="I4055" s="12" t="s">
        <v>8812</v>
      </c>
      <c r="J4055" s="11" t="s">
        <v>1851</v>
      </c>
      <c r="K4055" s="11" t="s">
        <v>1852</v>
      </c>
      <c r="L4055" s="11" t="s">
        <v>1853</v>
      </c>
      <c r="M4055" s="11" t="s">
        <v>8813</v>
      </c>
      <c r="N4055" s="12"/>
      <c r="O4055" s="11" t="s">
        <v>1854</v>
      </c>
      <c r="P4055" s="56"/>
    </row>
    <row r="4056" spans="1:16" ht="15.75" customHeight="1" x14ac:dyDescent="0.2">
      <c r="A4056" s="48">
        <v>15255</v>
      </c>
      <c r="B4056" s="11" t="s">
        <v>1871</v>
      </c>
      <c r="C4056" s="11" t="s">
        <v>1876</v>
      </c>
      <c r="D4056" s="6" t="s">
        <v>1850</v>
      </c>
      <c r="E4056" s="11" t="s">
        <v>6642</v>
      </c>
      <c r="F4056" s="12" t="s">
        <v>8544</v>
      </c>
      <c r="G4056" s="12" t="s">
        <v>8544</v>
      </c>
      <c r="H4056" s="12" t="s">
        <v>8579</v>
      </c>
      <c r="I4056" s="12" t="s">
        <v>8794</v>
      </c>
      <c r="J4056" s="11" t="s">
        <v>1851</v>
      </c>
      <c r="K4056" s="11" t="s">
        <v>1852</v>
      </c>
      <c r="L4056" s="11" t="s">
        <v>1853</v>
      </c>
      <c r="M4056" s="11" t="s">
        <v>1854</v>
      </c>
      <c r="N4056" s="12"/>
      <c r="O4056" s="11" t="s">
        <v>1872</v>
      </c>
      <c r="P4056" s="56"/>
    </row>
    <row r="4057" spans="1:16" ht="15.75" customHeight="1" x14ac:dyDescent="0.2">
      <c r="A4057" s="48">
        <v>6324</v>
      </c>
      <c r="B4057" s="11" t="s">
        <v>1857</v>
      </c>
      <c r="C4057" s="11" t="s">
        <v>1876</v>
      </c>
      <c r="D4057" s="6" t="s">
        <v>4261</v>
      </c>
      <c r="E4057" s="11" t="s">
        <v>6642</v>
      </c>
      <c r="F4057" s="12" t="s">
        <v>8544</v>
      </c>
      <c r="G4057" s="12" t="s">
        <v>8544</v>
      </c>
      <c r="H4057" s="12" t="s">
        <v>8579</v>
      </c>
      <c r="I4057" s="12" t="s">
        <v>8814</v>
      </c>
      <c r="J4057" s="11" t="s">
        <v>1851</v>
      </c>
      <c r="K4057" s="11" t="s">
        <v>1852</v>
      </c>
      <c r="L4057" s="11" t="s">
        <v>1853</v>
      </c>
      <c r="M4057" s="11" t="s">
        <v>1854</v>
      </c>
      <c r="N4057" s="12"/>
      <c r="O4057" s="11" t="s">
        <v>1867</v>
      </c>
      <c r="P4057" s="56" t="s">
        <v>5520</v>
      </c>
    </row>
    <row r="4058" spans="1:16" ht="15.75" customHeight="1" x14ac:dyDescent="0.2">
      <c r="A4058" s="48">
        <v>6272</v>
      </c>
      <c r="B4058" s="11" t="s">
        <v>1857</v>
      </c>
      <c r="C4058" s="11" t="s">
        <v>1876</v>
      </c>
      <c r="D4058" s="6" t="s">
        <v>4261</v>
      </c>
      <c r="E4058" s="11" t="s">
        <v>6642</v>
      </c>
      <c r="F4058" s="12" t="s">
        <v>8544</v>
      </c>
      <c r="G4058" s="12" t="s">
        <v>8544</v>
      </c>
      <c r="H4058" s="12" t="s">
        <v>8586</v>
      </c>
      <c r="I4058" s="12" t="s">
        <v>8815</v>
      </c>
      <c r="J4058" s="11" t="s">
        <v>1851</v>
      </c>
      <c r="K4058" s="11" t="s">
        <v>1852</v>
      </c>
      <c r="L4058" s="11" t="s">
        <v>1853</v>
      </c>
      <c r="M4058" s="11" t="s">
        <v>1854</v>
      </c>
      <c r="N4058" s="12"/>
      <c r="O4058" s="11" t="s">
        <v>1867</v>
      </c>
      <c r="P4058" s="56" t="s">
        <v>1865</v>
      </c>
    </row>
    <row r="4059" spans="1:16" ht="15.75" customHeight="1" x14ac:dyDescent="0.2">
      <c r="A4059" s="49">
        <v>4585</v>
      </c>
      <c r="B4059" s="11" t="s">
        <v>1848</v>
      </c>
      <c r="C4059" s="11" t="s">
        <v>1849</v>
      </c>
      <c r="D4059" s="6" t="s">
        <v>1850</v>
      </c>
      <c r="E4059" s="11" t="s">
        <v>8816</v>
      </c>
      <c r="F4059" s="12" t="s">
        <v>8816</v>
      </c>
      <c r="G4059" s="12" t="s">
        <v>8817</v>
      </c>
      <c r="H4059" s="12" t="s">
        <v>8817</v>
      </c>
      <c r="I4059" s="12" t="s">
        <v>513</v>
      </c>
      <c r="J4059" s="11" t="s">
        <v>1851</v>
      </c>
      <c r="K4059" s="11" t="s">
        <v>1852</v>
      </c>
      <c r="L4059" s="11" t="s">
        <v>1853</v>
      </c>
      <c r="M4059" s="11" t="s">
        <v>1854</v>
      </c>
      <c r="N4059" s="12"/>
      <c r="O4059" s="11" t="s">
        <v>1855</v>
      </c>
      <c r="P4059" s="56"/>
    </row>
    <row r="4060" spans="1:16" ht="15.75" customHeight="1" x14ac:dyDescent="0.2">
      <c r="A4060" s="48">
        <v>16068</v>
      </c>
      <c r="B4060" s="11" t="s">
        <v>1848</v>
      </c>
      <c r="C4060" s="11" t="s">
        <v>1849</v>
      </c>
      <c r="D4060" s="6" t="s">
        <v>1850</v>
      </c>
      <c r="E4060" s="12" t="s">
        <v>8816</v>
      </c>
      <c r="F4060" s="12" t="s">
        <v>8816</v>
      </c>
      <c r="G4060" s="12" t="s">
        <v>8817</v>
      </c>
      <c r="H4060" s="12" t="s">
        <v>8817</v>
      </c>
      <c r="I4060" s="12" t="s">
        <v>8818</v>
      </c>
      <c r="J4060" s="11" t="s">
        <v>1851</v>
      </c>
      <c r="K4060" s="11" t="s">
        <v>1852</v>
      </c>
      <c r="L4060" s="11" t="s">
        <v>1853</v>
      </c>
      <c r="M4060" s="12" t="s">
        <v>8819</v>
      </c>
      <c r="N4060" s="12"/>
      <c r="O4060" s="11" t="s">
        <v>1855</v>
      </c>
      <c r="P4060" s="56"/>
    </row>
    <row r="4061" spans="1:16" ht="15.75" customHeight="1" x14ac:dyDescent="0.2">
      <c r="A4061" s="48">
        <v>16069</v>
      </c>
      <c r="B4061" s="11" t="s">
        <v>1848</v>
      </c>
      <c r="C4061" s="11" t="s">
        <v>1849</v>
      </c>
      <c r="D4061" s="6" t="s">
        <v>1850</v>
      </c>
      <c r="E4061" s="12" t="s">
        <v>8816</v>
      </c>
      <c r="F4061" s="12" t="s">
        <v>8816</v>
      </c>
      <c r="G4061" s="12" t="s">
        <v>8820</v>
      </c>
      <c r="H4061" s="12" t="s">
        <v>8820</v>
      </c>
      <c r="I4061" s="12" t="s">
        <v>8821</v>
      </c>
      <c r="J4061" s="11" t="s">
        <v>1851</v>
      </c>
      <c r="K4061" s="11" t="s">
        <v>1852</v>
      </c>
      <c r="L4061" s="11" t="s">
        <v>1853</v>
      </c>
      <c r="M4061" s="11" t="s">
        <v>1854</v>
      </c>
      <c r="N4061" s="12"/>
      <c r="O4061" s="11" t="s">
        <v>1855</v>
      </c>
      <c r="P4061" s="56"/>
    </row>
    <row r="4062" spans="1:16" ht="15.75" customHeight="1" x14ac:dyDescent="0.2">
      <c r="A4062" s="48">
        <v>16070</v>
      </c>
      <c r="B4062" s="11" t="s">
        <v>1848</v>
      </c>
      <c r="C4062" s="11" t="s">
        <v>1849</v>
      </c>
      <c r="D4062" s="6" t="s">
        <v>1850</v>
      </c>
      <c r="E4062" s="12" t="s">
        <v>8816</v>
      </c>
      <c r="F4062" s="12" t="s">
        <v>8816</v>
      </c>
      <c r="G4062" s="12" t="s">
        <v>6658</v>
      </c>
      <c r="H4062" s="12" t="s">
        <v>6658</v>
      </c>
      <c r="I4062" s="12" t="s">
        <v>8822</v>
      </c>
      <c r="J4062" s="11" t="s">
        <v>1851</v>
      </c>
      <c r="K4062" s="11" t="s">
        <v>1852</v>
      </c>
      <c r="L4062" s="11" t="s">
        <v>1853</v>
      </c>
      <c r="M4062" s="11" t="s">
        <v>1854</v>
      </c>
      <c r="N4062" s="12"/>
      <c r="O4062" s="11" t="s">
        <v>1855</v>
      </c>
      <c r="P4062" s="56"/>
    </row>
    <row r="4063" spans="1:16" ht="15.75" customHeight="1" x14ac:dyDescent="0.2">
      <c r="A4063" s="48">
        <v>16071</v>
      </c>
      <c r="B4063" s="11" t="s">
        <v>1848</v>
      </c>
      <c r="C4063" s="11" t="s">
        <v>1849</v>
      </c>
      <c r="D4063" s="6" t="s">
        <v>1850</v>
      </c>
      <c r="E4063" s="12" t="s">
        <v>8816</v>
      </c>
      <c r="F4063" s="12" t="s">
        <v>8816</v>
      </c>
      <c r="G4063" s="12" t="s">
        <v>8823</v>
      </c>
      <c r="H4063" s="12" t="s">
        <v>8823</v>
      </c>
      <c r="I4063" s="12" t="s">
        <v>8824</v>
      </c>
      <c r="J4063" s="11" t="s">
        <v>1851</v>
      </c>
      <c r="K4063" s="11" t="s">
        <v>1852</v>
      </c>
      <c r="L4063" s="11" t="s">
        <v>1853</v>
      </c>
      <c r="M4063" s="11" t="s">
        <v>1854</v>
      </c>
      <c r="N4063" s="12"/>
      <c r="O4063" s="11" t="s">
        <v>1855</v>
      </c>
      <c r="P4063" s="56"/>
    </row>
    <row r="4064" spans="1:16" ht="15.75" customHeight="1" x14ac:dyDescent="0.2">
      <c r="A4064" s="48">
        <v>16076</v>
      </c>
      <c r="B4064" s="11" t="s">
        <v>1848</v>
      </c>
      <c r="C4064" s="11" t="s">
        <v>1849</v>
      </c>
      <c r="D4064" s="6" t="s">
        <v>1850</v>
      </c>
      <c r="E4064" s="12" t="s">
        <v>8816</v>
      </c>
      <c r="F4064" s="12" t="s">
        <v>8816</v>
      </c>
      <c r="G4064" s="12" t="s">
        <v>8825</v>
      </c>
      <c r="H4064" s="12" t="s">
        <v>8825</v>
      </c>
      <c r="I4064" s="12" t="s">
        <v>8826</v>
      </c>
      <c r="J4064" s="11" t="s">
        <v>1851</v>
      </c>
      <c r="K4064" s="11" t="s">
        <v>1852</v>
      </c>
      <c r="L4064" s="11" t="s">
        <v>1853</v>
      </c>
      <c r="M4064" s="11" t="s">
        <v>1854</v>
      </c>
      <c r="N4064" s="12"/>
      <c r="O4064" s="11" t="s">
        <v>1855</v>
      </c>
      <c r="P4064" s="56"/>
    </row>
    <row r="4065" spans="1:16" ht="15.75" customHeight="1" x14ac:dyDescent="0.2">
      <c r="A4065" s="48">
        <v>16077</v>
      </c>
      <c r="B4065" s="11" t="s">
        <v>1848</v>
      </c>
      <c r="C4065" s="11" t="s">
        <v>1849</v>
      </c>
      <c r="D4065" s="6" t="s">
        <v>1850</v>
      </c>
      <c r="E4065" s="12" t="s">
        <v>8816</v>
      </c>
      <c r="F4065" s="12" t="s">
        <v>8816</v>
      </c>
      <c r="G4065" s="12" t="s">
        <v>8817</v>
      </c>
      <c r="H4065" s="12" t="s">
        <v>8817</v>
      </c>
      <c r="I4065" s="12" t="s">
        <v>8827</v>
      </c>
      <c r="J4065" s="11" t="s">
        <v>1851</v>
      </c>
      <c r="K4065" s="11" t="s">
        <v>1852</v>
      </c>
      <c r="L4065" s="11" t="s">
        <v>1853</v>
      </c>
      <c r="M4065" s="12" t="s">
        <v>8828</v>
      </c>
      <c r="N4065" s="12"/>
      <c r="O4065" s="11" t="s">
        <v>1855</v>
      </c>
      <c r="P4065" s="56"/>
    </row>
    <row r="4066" spans="1:16" ht="15.75" customHeight="1" x14ac:dyDescent="0.2">
      <c r="A4066" s="48">
        <v>16078</v>
      </c>
      <c r="B4066" s="11" t="s">
        <v>1848</v>
      </c>
      <c r="C4066" s="11" t="s">
        <v>1849</v>
      </c>
      <c r="D4066" s="6" t="s">
        <v>1850</v>
      </c>
      <c r="E4066" s="12" t="s">
        <v>8816</v>
      </c>
      <c r="F4066" s="12" t="s">
        <v>8816</v>
      </c>
      <c r="G4066" s="12" t="s">
        <v>8817</v>
      </c>
      <c r="H4066" s="12" t="s">
        <v>8817</v>
      </c>
      <c r="I4066" s="12" t="s">
        <v>8829</v>
      </c>
      <c r="J4066" s="11" t="s">
        <v>1856</v>
      </c>
      <c r="K4066" s="11" t="s">
        <v>1852</v>
      </c>
      <c r="L4066" s="11" t="s">
        <v>1853</v>
      </c>
      <c r="M4066" s="11" t="s">
        <v>1854</v>
      </c>
      <c r="N4066" s="12"/>
      <c r="O4066" s="11" t="s">
        <v>1855</v>
      </c>
      <c r="P4066" s="56"/>
    </row>
    <row r="4067" spans="1:16" ht="15.75" customHeight="1" x14ac:dyDescent="0.2">
      <c r="A4067" s="48">
        <v>16079</v>
      </c>
      <c r="B4067" s="11" t="s">
        <v>1848</v>
      </c>
      <c r="C4067" s="11" t="s">
        <v>1849</v>
      </c>
      <c r="D4067" s="6" t="s">
        <v>1850</v>
      </c>
      <c r="E4067" s="12" t="s">
        <v>8816</v>
      </c>
      <c r="F4067" s="12" t="s">
        <v>8816</v>
      </c>
      <c r="G4067" s="12" t="s">
        <v>8817</v>
      </c>
      <c r="H4067" s="12" t="s">
        <v>8830</v>
      </c>
      <c r="I4067" s="12" t="s">
        <v>8831</v>
      </c>
      <c r="J4067" s="11" t="s">
        <v>1851</v>
      </c>
      <c r="K4067" s="11" t="s">
        <v>1852</v>
      </c>
      <c r="L4067" s="11" t="s">
        <v>1853</v>
      </c>
      <c r="M4067" s="11" t="s">
        <v>1854</v>
      </c>
      <c r="N4067" s="12"/>
      <c r="O4067" s="11" t="s">
        <v>1855</v>
      </c>
      <c r="P4067" s="56"/>
    </row>
    <row r="4068" spans="1:16" ht="15.75" customHeight="1" x14ac:dyDescent="0.2">
      <c r="A4068" s="48">
        <v>16080</v>
      </c>
      <c r="B4068" s="11" t="s">
        <v>1848</v>
      </c>
      <c r="C4068" s="11" t="s">
        <v>1849</v>
      </c>
      <c r="D4068" s="6" t="s">
        <v>1850</v>
      </c>
      <c r="E4068" s="12" t="s">
        <v>8816</v>
      </c>
      <c r="F4068" s="12" t="s">
        <v>8816</v>
      </c>
      <c r="G4068" s="12" t="s">
        <v>8817</v>
      </c>
      <c r="H4068" s="12" t="s">
        <v>5671</v>
      </c>
      <c r="I4068" s="12" t="s">
        <v>8832</v>
      </c>
      <c r="J4068" s="11" t="s">
        <v>1851</v>
      </c>
      <c r="K4068" s="11" t="s">
        <v>1852</v>
      </c>
      <c r="L4068" s="11" t="s">
        <v>1853</v>
      </c>
      <c r="M4068" s="11" t="s">
        <v>1854</v>
      </c>
      <c r="N4068" s="12"/>
      <c r="O4068" s="11" t="s">
        <v>1855</v>
      </c>
      <c r="P4068" s="56"/>
    </row>
    <row r="4069" spans="1:16" ht="15.75" customHeight="1" x14ac:dyDescent="0.2">
      <c r="A4069" s="48">
        <v>16081</v>
      </c>
      <c r="B4069" s="11" t="s">
        <v>1848</v>
      </c>
      <c r="C4069" s="11" t="s">
        <v>1849</v>
      </c>
      <c r="D4069" s="6" t="s">
        <v>1850</v>
      </c>
      <c r="E4069" s="12" t="s">
        <v>8816</v>
      </c>
      <c r="F4069" s="12" t="s">
        <v>8816</v>
      </c>
      <c r="G4069" s="12" t="s">
        <v>8825</v>
      </c>
      <c r="H4069" s="12" t="s">
        <v>8825</v>
      </c>
      <c r="I4069" s="12" t="s">
        <v>8833</v>
      </c>
      <c r="J4069" s="11" t="s">
        <v>1856</v>
      </c>
      <c r="K4069" s="11" t="s">
        <v>1852</v>
      </c>
      <c r="L4069" s="11" t="s">
        <v>1853</v>
      </c>
      <c r="M4069" s="11" t="s">
        <v>6131</v>
      </c>
      <c r="N4069" s="12"/>
      <c r="O4069" s="11" t="s">
        <v>1855</v>
      </c>
      <c r="P4069" s="56"/>
    </row>
    <row r="4070" spans="1:16" ht="15.75" customHeight="1" x14ac:dyDescent="0.2">
      <c r="A4070" s="48">
        <v>16082</v>
      </c>
      <c r="B4070" s="11" t="s">
        <v>1848</v>
      </c>
      <c r="C4070" s="11" t="s">
        <v>1849</v>
      </c>
      <c r="D4070" s="6" t="s">
        <v>1850</v>
      </c>
      <c r="E4070" s="12" t="s">
        <v>8816</v>
      </c>
      <c r="F4070" s="12" t="s">
        <v>8816</v>
      </c>
      <c r="G4070" s="12" t="s">
        <v>8817</v>
      </c>
      <c r="H4070" s="12" t="s">
        <v>8817</v>
      </c>
      <c r="I4070" s="12" t="s">
        <v>8834</v>
      </c>
      <c r="J4070" s="11" t="s">
        <v>1851</v>
      </c>
      <c r="K4070" s="11" t="s">
        <v>1852</v>
      </c>
      <c r="L4070" s="11" t="s">
        <v>1853</v>
      </c>
      <c r="M4070" s="11" t="s">
        <v>1854</v>
      </c>
      <c r="N4070" s="12"/>
      <c r="O4070" s="11" t="s">
        <v>1855</v>
      </c>
      <c r="P4070" s="56"/>
    </row>
    <row r="4071" spans="1:16" ht="15.75" customHeight="1" x14ac:dyDescent="0.2">
      <c r="A4071" s="48">
        <v>16084</v>
      </c>
      <c r="B4071" s="11" t="s">
        <v>1848</v>
      </c>
      <c r="C4071" s="11" t="s">
        <v>1849</v>
      </c>
      <c r="D4071" s="6" t="s">
        <v>1850</v>
      </c>
      <c r="E4071" s="12" t="s">
        <v>8816</v>
      </c>
      <c r="F4071" s="12" t="s">
        <v>8816</v>
      </c>
      <c r="G4071" s="12" t="s">
        <v>8835</v>
      </c>
      <c r="H4071" s="12" t="s">
        <v>8836</v>
      </c>
      <c r="I4071" s="12" t="s">
        <v>8837</v>
      </c>
      <c r="J4071" s="11" t="s">
        <v>1856</v>
      </c>
      <c r="K4071" s="11" t="s">
        <v>1852</v>
      </c>
      <c r="L4071" s="11" t="s">
        <v>1853</v>
      </c>
      <c r="M4071" s="11" t="s">
        <v>1854</v>
      </c>
      <c r="N4071" s="12"/>
      <c r="O4071" s="11" t="s">
        <v>1855</v>
      </c>
      <c r="P4071" s="56"/>
    </row>
    <row r="4072" spans="1:16" ht="15.75" customHeight="1" x14ac:dyDescent="0.2">
      <c r="A4072" s="48">
        <v>16115</v>
      </c>
      <c r="B4072" s="11" t="s">
        <v>1848</v>
      </c>
      <c r="C4072" s="11" t="s">
        <v>1849</v>
      </c>
      <c r="D4072" s="6" t="s">
        <v>1850</v>
      </c>
      <c r="E4072" s="11" t="s">
        <v>8816</v>
      </c>
      <c r="F4072" s="12" t="s">
        <v>8816</v>
      </c>
      <c r="G4072" s="12" t="s">
        <v>2299</v>
      </c>
      <c r="H4072" s="12" t="s">
        <v>2299</v>
      </c>
      <c r="I4072" s="12" t="s">
        <v>8838</v>
      </c>
      <c r="J4072" s="11" t="s">
        <v>1856</v>
      </c>
      <c r="K4072" s="11" t="s">
        <v>1852</v>
      </c>
      <c r="L4072" s="11" t="s">
        <v>1853</v>
      </c>
      <c r="M4072" s="11" t="s">
        <v>1854</v>
      </c>
      <c r="N4072" s="12"/>
      <c r="O4072" s="11" t="s">
        <v>1855</v>
      </c>
      <c r="P4072" s="56"/>
    </row>
    <row r="4073" spans="1:16" ht="15.75" customHeight="1" x14ac:dyDescent="0.2">
      <c r="A4073" s="48">
        <v>16116</v>
      </c>
      <c r="B4073" s="11" t="s">
        <v>1848</v>
      </c>
      <c r="C4073" s="11" t="s">
        <v>1849</v>
      </c>
      <c r="D4073" s="6" t="s">
        <v>1850</v>
      </c>
      <c r="E4073" s="11" t="s">
        <v>8816</v>
      </c>
      <c r="F4073" s="12" t="s">
        <v>8816</v>
      </c>
      <c r="G4073" s="12" t="s">
        <v>5635</v>
      </c>
      <c r="H4073" s="12" t="s">
        <v>8839</v>
      </c>
      <c r="I4073" s="12" t="s">
        <v>8840</v>
      </c>
      <c r="J4073" s="11" t="s">
        <v>1856</v>
      </c>
      <c r="K4073" s="11" t="s">
        <v>1852</v>
      </c>
      <c r="L4073" s="11" t="s">
        <v>1853</v>
      </c>
      <c r="M4073" s="11" t="s">
        <v>1854</v>
      </c>
      <c r="N4073" s="12"/>
      <c r="O4073" s="11" t="s">
        <v>1855</v>
      </c>
      <c r="P4073" s="56"/>
    </row>
    <row r="4074" spans="1:16" ht="15.75" customHeight="1" x14ac:dyDescent="0.2">
      <c r="A4074" s="48">
        <v>16117</v>
      </c>
      <c r="B4074" s="11" t="s">
        <v>1848</v>
      </c>
      <c r="C4074" s="11" t="s">
        <v>1849</v>
      </c>
      <c r="D4074" s="6" t="s">
        <v>1850</v>
      </c>
      <c r="E4074" s="11" t="s">
        <v>8816</v>
      </c>
      <c r="F4074" s="12" t="s">
        <v>8816</v>
      </c>
      <c r="G4074" s="12" t="s">
        <v>5635</v>
      </c>
      <c r="H4074" s="12" t="s">
        <v>8839</v>
      </c>
      <c r="I4074" s="12" t="s">
        <v>8841</v>
      </c>
      <c r="J4074" s="11" t="s">
        <v>1856</v>
      </c>
      <c r="K4074" s="11" t="s">
        <v>1852</v>
      </c>
      <c r="L4074" s="11" t="s">
        <v>1853</v>
      </c>
      <c r="M4074" s="11" t="s">
        <v>1854</v>
      </c>
      <c r="N4074" s="12"/>
      <c r="O4074" s="11" t="s">
        <v>1855</v>
      </c>
      <c r="P4074" s="56"/>
    </row>
    <row r="4075" spans="1:16" ht="15.75" customHeight="1" x14ac:dyDescent="0.2">
      <c r="A4075" s="48">
        <v>4673</v>
      </c>
      <c r="B4075" s="11" t="s">
        <v>1857</v>
      </c>
      <c r="C4075" s="11" t="s">
        <v>1849</v>
      </c>
      <c r="D4075" s="6" t="s">
        <v>1850</v>
      </c>
      <c r="E4075" s="11" t="s">
        <v>8816</v>
      </c>
      <c r="F4075" s="12" t="s">
        <v>8816</v>
      </c>
      <c r="G4075" s="12" t="s">
        <v>8817</v>
      </c>
      <c r="H4075" s="59" t="s">
        <v>8842</v>
      </c>
      <c r="I4075" s="12" t="s">
        <v>8843</v>
      </c>
      <c r="J4075" s="11" t="s">
        <v>1856</v>
      </c>
      <c r="K4075" s="11" t="s">
        <v>1852</v>
      </c>
      <c r="L4075" s="11" t="s">
        <v>1853</v>
      </c>
      <c r="M4075" s="11"/>
      <c r="N4075" s="12"/>
      <c r="O4075" s="11" t="s">
        <v>1859</v>
      </c>
      <c r="P4075" s="56"/>
    </row>
    <row r="4076" spans="1:16" ht="15.75" customHeight="1" x14ac:dyDescent="0.2">
      <c r="A4076" s="48">
        <v>4740</v>
      </c>
      <c r="B4076" s="11" t="s">
        <v>1857</v>
      </c>
      <c r="C4076" s="11" t="s">
        <v>1849</v>
      </c>
      <c r="D4076" s="6" t="s">
        <v>1850</v>
      </c>
      <c r="E4076" s="11" t="s">
        <v>8816</v>
      </c>
      <c r="F4076" s="12" t="s">
        <v>8816</v>
      </c>
      <c r="G4076" s="12" t="s">
        <v>8844</v>
      </c>
      <c r="H4076" s="12" t="s">
        <v>8823</v>
      </c>
      <c r="I4076" s="12" t="s">
        <v>8845</v>
      </c>
      <c r="J4076" s="11" t="s">
        <v>1851</v>
      </c>
      <c r="K4076" s="11" t="s">
        <v>1852</v>
      </c>
      <c r="L4076" s="11" t="s">
        <v>1853</v>
      </c>
      <c r="M4076" s="11" t="s">
        <v>8846</v>
      </c>
      <c r="N4076" s="12" t="s">
        <v>8847</v>
      </c>
      <c r="O4076" s="11" t="s">
        <v>1866</v>
      </c>
      <c r="P4076" s="56" t="s">
        <v>8848</v>
      </c>
    </row>
    <row r="4077" spans="1:16" ht="15.75" customHeight="1" x14ac:dyDescent="0.2">
      <c r="A4077" s="48">
        <v>4469</v>
      </c>
      <c r="B4077" s="11" t="s">
        <v>1857</v>
      </c>
      <c r="C4077" s="11" t="s">
        <v>1849</v>
      </c>
      <c r="D4077" s="6" t="s">
        <v>1850</v>
      </c>
      <c r="E4077" s="11" t="s">
        <v>8816</v>
      </c>
      <c r="F4077" s="12" t="s">
        <v>8816</v>
      </c>
      <c r="G4077" s="12" t="s">
        <v>6658</v>
      </c>
      <c r="H4077" s="59" t="s">
        <v>8849</v>
      </c>
      <c r="I4077" s="12" t="s">
        <v>8850</v>
      </c>
      <c r="J4077" s="11" t="s">
        <v>1856</v>
      </c>
      <c r="K4077" s="11" t="s">
        <v>1852</v>
      </c>
      <c r="L4077" s="11" t="s">
        <v>1853</v>
      </c>
      <c r="M4077" s="11" t="s">
        <v>1854</v>
      </c>
      <c r="N4077" s="12"/>
      <c r="O4077" s="11" t="s">
        <v>1859</v>
      </c>
      <c r="P4077" s="56"/>
    </row>
    <row r="4078" spans="1:16" ht="15.75" customHeight="1" x14ac:dyDescent="0.2">
      <c r="A4078" s="48">
        <v>4131</v>
      </c>
      <c r="B4078" s="11" t="s">
        <v>1857</v>
      </c>
      <c r="C4078" s="11" t="s">
        <v>1849</v>
      </c>
      <c r="D4078" s="6" t="s">
        <v>1850</v>
      </c>
      <c r="E4078" s="11" t="s">
        <v>8816</v>
      </c>
      <c r="F4078" s="12" t="s">
        <v>8816</v>
      </c>
      <c r="G4078" s="12" t="s">
        <v>8820</v>
      </c>
      <c r="H4078" s="12" t="s">
        <v>3663</v>
      </c>
      <c r="I4078" s="12" t="s">
        <v>8850</v>
      </c>
      <c r="J4078" s="11" t="s">
        <v>1856</v>
      </c>
      <c r="K4078" s="11" t="s">
        <v>1852</v>
      </c>
      <c r="L4078" s="11" t="s">
        <v>1853</v>
      </c>
      <c r="M4078" s="11" t="s">
        <v>6635</v>
      </c>
      <c r="N4078" s="12"/>
      <c r="O4078" s="11" t="s">
        <v>1859</v>
      </c>
      <c r="P4078" s="56"/>
    </row>
    <row r="4079" spans="1:16" ht="15.75" customHeight="1" x14ac:dyDescent="0.2">
      <c r="A4079" s="48">
        <v>4215</v>
      </c>
      <c r="B4079" s="11" t="s">
        <v>1857</v>
      </c>
      <c r="C4079" s="11" t="s">
        <v>1849</v>
      </c>
      <c r="D4079" s="6" t="s">
        <v>1850</v>
      </c>
      <c r="E4079" s="11" t="s">
        <v>8816</v>
      </c>
      <c r="F4079" s="12" t="s">
        <v>8816</v>
      </c>
      <c r="G4079" s="12" t="s">
        <v>8851</v>
      </c>
      <c r="H4079" s="59" t="s">
        <v>5839</v>
      </c>
      <c r="I4079" s="12" t="s">
        <v>8852</v>
      </c>
      <c r="J4079" s="11" t="s">
        <v>1856</v>
      </c>
      <c r="K4079" s="11" t="s">
        <v>1852</v>
      </c>
      <c r="L4079" s="11" t="s">
        <v>1853</v>
      </c>
      <c r="M4079" s="11" t="s">
        <v>6131</v>
      </c>
      <c r="N4079" s="12" t="s">
        <v>8853</v>
      </c>
      <c r="O4079" s="11" t="s">
        <v>1859</v>
      </c>
      <c r="P4079" s="56"/>
    </row>
    <row r="4080" spans="1:16" ht="15.75" customHeight="1" x14ac:dyDescent="0.2">
      <c r="A4080" s="48">
        <v>4231</v>
      </c>
      <c r="B4080" s="11" t="s">
        <v>1857</v>
      </c>
      <c r="C4080" s="11" t="s">
        <v>1849</v>
      </c>
      <c r="D4080" s="6" t="s">
        <v>1850</v>
      </c>
      <c r="E4080" s="11" t="s">
        <v>8816</v>
      </c>
      <c r="F4080" s="12" t="s">
        <v>8816</v>
      </c>
      <c r="G4080" s="12" t="s">
        <v>8851</v>
      </c>
      <c r="H4080" s="12" t="s">
        <v>8854</v>
      </c>
      <c r="I4080" s="12" t="s">
        <v>8855</v>
      </c>
      <c r="J4080" s="11" t="s">
        <v>1856</v>
      </c>
      <c r="K4080" s="11" t="s">
        <v>1852</v>
      </c>
      <c r="L4080" s="11" t="s">
        <v>1853</v>
      </c>
      <c r="M4080" s="11" t="s">
        <v>1854</v>
      </c>
      <c r="N4080" s="12"/>
      <c r="O4080" s="11" t="s">
        <v>1858</v>
      </c>
      <c r="P4080" s="56"/>
    </row>
    <row r="4081" spans="1:16" ht="15.75" customHeight="1" x14ac:dyDescent="0.2">
      <c r="A4081" s="48">
        <v>4546</v>
      </c>
      <c r="B4081" s="11" t="s">
        <v>1857</v>
      </c>
      <c r="C4081" s="11" t="s">
        <v>1849</v>
      </c>
      <c r="D4081" s="6" t="s">
        <v>1850</v>
      </c>
      <c r="E4081" s="11" t="s">
        <v>8816</v>
      </c>
      <c r="F4081" s="12" t="s">
        <v>8816</v>
      </c>
      <c r="G4081" s="12" t="s">
        <v>4741</v>
      </c>
      <c r="H4081" s="59" t="s">
        <v>8856</v>
      </c>
      <c r="I4081" s="12" t="s">
        <v>8857</v>
      </c>
      <c r="J4081" s="11" t="s">
        <v>1856</v>
      </c>
      <c r="K4081" s="11" t="s">
        <v>1852</v>
      </c>
      <c r="L4081" s="11" t="s">
        <v>1853</v>
      </c>
      <c r="M4081" s="11" t="s">
        <v>1854</v>
      </c>
      <c r="N4081" s="12"/>
      <c r="O4081" s="11" t="s">
        <v>1859</v>
      </c>
      <c r="P4081" s="56"/>
    </row>
    <row r="4082" spans="1:16" ht="15.75" customHeight="1" x14ac:dyDescent="0.2">
      <c r="A4082" s="48">
        <v>4434</v>
      </c>
      <c r="B4082" s="11" t="s">
        <v>1857</v>
      </c>
      <c r="C4082" s="11" t="s">
        <v>1849</v>
      </c>
      <c r="D4082" s="6" t="s">
        <v>1850</v>
      </c>
      <c r="E4082" s="11" t="s">
        <v>8816</v>
      </c>
      <c r="F4082" s="12" t="s">
        <v>8816</v>
      </c>
      <c r="G4082" s="12" t="s">
        <v>8858</v>
      </c>
      <c r="H4082" s="12" t="s">
        <v>8859</v>
      </c>
      <c r="I4082" s="12" t="s">
        <v>8860</v>
      </c>
      <c r="J4082" s="11" t="s">
        <v>1856</v>
      </c>
      <c r="K4082" s="11" t="s">
        <v>1852</v>
      </c>
      <c r="L4082" s="11" t="s">
        <v>1853</v>
      </c>
      <c r="M4082" s="11" t="s">
        <v>2276</v>
      </c>
      <c r="N4082" s="12"/>
      <c r="O4082" s="11" t="s">
        <v>1859</v>
      </c>
      <c r="P4082" s="56"/>
    </row>
    <row r="4083" spans="1:16" ht="15.75" customHeight="1" x14ac:dyDescent="0.2">
      <c r="A4083" s="48">
        <v>4259</v>
      </c>
      <c r="B4083" s="11" t="s">
        <v>1857</v>
      </c>
      <c r="C4083" s="11" t="s">
        <v>1849</v>
      </c>
      <c r="D4083" s="6" t="s">
        <v>1850</v>
      </c>
      <c r="E4083" s="11" t="s">
        <v>8816</v>
      </c>
      <c r="F4083" s="12" t="s">
        <v>8816</v>
      </c>
      <c r="G4083" s="12" t="s">
        <v>2299</v>
      </c>
      <c r="H4083" s="12" t="s">
        <v>8861</v>
      </c>
      <c r="I4083" s="12" t="s">
        <v>8862</v>
      </c>
      <c r="J4083" s="11" t="s">
        <v>1856</v>
      </c>
      <c r="K4083" s="11" t="s">
        <v>1852</v>
      </c>
      <c r="L4083" s="11" t="s">
        <v>1853</v>
      </c>
      <c r="M4083" s="11" t="s">
        <v>8863</v>
      </c>
      <c r="N4083" s="12"/>
      <c r="O4083" s="11" t="s">
        <v>1859</v>
      </c>
      <c r="P4083" s="56"/>
    </row>
    <row r="4084" spans="1:16" ht="15.75" customHeight="1" x14ac:dyDescent="0.2">
      <c r="A4084" s="48">
        <v>4156</v>
      </c>
      <c r="B4084" s="11" t="s">
        <v>1857</v>
      </c>
      <c r="C4084" s="11" t="s">
        <v>1849</v>
      </c>
      <c r="D4084" s="6" t="s">
        <v>1850</v>
      </c>
      <c r="E4084" s="11" t="s">
        <v>8816</v>
      </c>
      <c r="F4084" s="12" t="s">
        <v>8816</v>
      </c>
      <c r="G4084" s="12" t="s">
        <v>8820</v>
      </c>
      <c r="H4084" s="12" t="s">
        <v>8864</v>
      </c>
      <c r="I4084" s="12" t="s">
        <v>8865</v>
      </c>
      <c r="J4084" s="11" t="s">
        <v>1856</v>
      </c>
      <c r="K4084" s="11" t="s">
        <v>1852</v>
      </c>
      <c r="L4084" s="11" t="s">
        <v>1853</v>
      </c>
      <c r="M4084" s="11" t="s">
        <v>8866</v>
      </c>
      <c r="N4084" s="12" t="s">
        <v>8867</v>
      </c>
      <c r="O4084" s="11" t="s">
        <v>1859</v>
      </c>
      <c r="P4084" s="56"/>
    </row>
    <row r="4085" spans="1:16" ht="15.75" customHeight="1" x14ac:dyDescent="0.2">
      <c r="A4085" s="48">
        <v>4501</v>
      </c>
      <c r="B4085" s="11" t="s">
        <v>1857</v>
      </c>
      <c r="C4085" s="11" t="s">
        <v>1849</v>
      </c>
      <c r="D4085" s="6" t="s">
        <v>1850</v>
      </c>
      <c r="E4085" s="11" t="s">
        <v>8816</v>
      </c>
      <c r="F4085" s="12" t="s">
        <v>8816</v>
      </c>
      <c r="G4085" s="12" t="s">
        <v>4741</v>
      </c>
      <c r="H4085" s="59" t="s">
        <v>8868</v>
      </c>
      <c r="I4085" s="12" t="s">
        <v>8869</v>
      </c>
      <c r="J4085" s="11" t="s">
        <v>1856</v>
      </c>
      <c r="K4085" s="11" t="s">
        <v>1852</v>
      </c>
      <c r="L4085" s="11" t="s">
        <v>1853</v>
      </c>
      <c r="M4085" s="11" t="s">
        <v>8870</v>
      </c>
      <c r="N4085" s="12"/>
      <c r="O4085" s="11" t="s">
        <v>1858</v>
      </c>
      <c r="P4085" s="56"/>
    </row>
    <row r="4086" spans="1:16" ht="15.75" customHeight="1" x14ac:dyDescent="0.2">
      <c r="A4086" s="48">
        <v>4308</v>
      </c>
      <c r="B4086" s="11" t="s">
        <v>1857</v>
      </c>
      <c r="C4086" s="11" t="s">
        <v>1849</v>
      </c>
      <c r="D4086" s="6" t="s">
        <v>1850</v>
      </c>
      <c r="E4086" s="11" t="s">
        <v>8816</v>
      </c>
      <c r="F4086" s="12" t="s">
        <v>8816</v>
      </c>
      <c r="G4086" s="12" t="s">
        <v>5635</v>
      </c>
      <c r="H4086" s="12" t="s">
        <v>5603</v>
      </c>
      <c r="I4086" s="12" t="s">
        <v>8871</v>
      </c>
      <c r="J4086" s="11" t="s">
        <v>1856</v>
      </c>
      <c r="K4086" s="11" t="s">
        <v>1852</v>
      </c>
      <c r="L4086" s="11" t="s">
        <v>1853</v>
      </c>
      <c r="M4086" s="11" t="s">
        <v>8872</v>
      </c>
      <c r="N4086" s="12"/>
      <c r="O4086" s="11" t="s">
        <v>1858</v>
      </c>
      <c r="P4086" s="56"/>
    </row>
    <row r="4087" spans="1:16" ht="15.75" customHeight="1" x14ac:dyDescent="0.2">
      <c r="A4087" s="48">
        <v>4380</v>
      </c>
      <c r="B4087" s="11" t="s">
        <v>1857</v>
      </c>
      <c r="C4087" s="11" t="s">
        <v>1849</v>
      </c>
      <c r="D4087" s="6" t="s">
        <v>1850</v>
      </c>
      <c r="E4087" s="11" t="s">
        <v>8816</v>
      </c>
      <c r="F4087" s="12" t="s">
        <v>8816</v>
      </c>
      <c r="G4087" s="12" t="s">
        <v>8844</v>
      </c>
      <c r="H4087" s="12" t="s">
        <v>8823</v>
      </c>
      <c r="I4087" s="12" t="s">
        <v>8873</v>
      </c>
      <c r="J4087" s="11" t="s">
        <v>1856</v>
      </c>
      <c r="K4087" s="11" t="s">
        <v>1852</v>
      </c>
      <c r="L4087" s="11" t="s">
        <v>1853</v>
      </c>
      <c r="M4087" s="11" t="s">
        <v>8874</v>
      </c>
      <c r="N4087" s="12" t="s">
        <v>8875</v>
      </c>
      <c r="O4087" s="11" t="s">
        <v>1858</v>
      </c>
      <c r="P4087" s="56"/>
    </row>
    <row r="4088" spans="1:16" ht="15.75" customHeight="1" x14ac:dyDescent="0.2">
      <c r="A4088" s="48">
        <v>4678</v>
      </c>
      <c r="B4088" s="11" t="s">
        <v>1857</v>
      </c>
      <c r="C4088" s="11" t="s">
        <v>1849</v>
      </c>
      <c r="D4088" s="6" t="s">
        <v>1850</v>
      </c>
      <c r="E4088" s="11" t="s">
        <v>8816</v>
      </c>
      <c r="F4088" s="12" t="s">
        <v>8816</v>
      </c>
      <c r="G4088" s="12" t="s">
        <v>8817</v>
      </c>
      <c r="H4088" s="59" t="s">
        <v>8842</v>
      </c>
      <c r="I4088" s="12" t="s">
        <v>8876</v>
      </c>
      <c r="J4088" s="11" t="s">
        <v>1856</v>
      </c>
      <c r="K4088" s="11" t="s">
        <v>1852</v>
      </c>
      <c r="L4088" s="11" t="s">
        <v>1853</v>
      </c>
      <c r="M4088" s="11" t="s">
        <v>8877</v>
      </c>
      <c r="N4088" s="12" t="s">
        <v>8878</v>
      </c>
      <c r="O4088" s="11" t="s">
        <v>1859</v>
      </c>
      <c r="P4088" s="56"/>
    </row>
    <row r="4089" spans="1:16" ht="15.75" customHeight="1" x14ac:dyDescent="0.2">
      <c r="A4089" s="48">
        <v>4613</v>
      </c>
      <c r="B4089" s="11" t="s">
        <v>1857</v>
      </c>
      <c r="C4089" s="11" t="s">
        <v>1849</v>
      </c>
      <c r="D4089" s="6" t="s">
        <v>1850</v>
      </c>
      <c r="E4089" s="11" t="s">
        <v>8816</v>
      </c>
      <c r="F4089" s="12" t="s">
        <v>8816</v>
      </c>
      <c r="G4089" s="12" t="s">
        <v>8817</v>
      </c>
      <c r="H4089" s="59" t="s">
        <v>8879</v>
      </c>
      <c r="I4089" s="12" t="s">
        <v>8880</v>
      </c>
      <c r="J4089" s="11" t="s">
        <v>1856</v>
      </c>
      <c r="K4089" s="11" t="s">
        <v>1852</v>
      </c>
      <c r="L4089" s="11" t="s">
        <v>1853</v>
      </c>
      <c r="M4089" s="11" t="s">
        <v>8881</v>
      </c>
      <c r="N4089" s="12" t="s">
        <v>8882</v>
      </c>
      <c r="O4089" s="11" t="s">
        <v>1858</v>
      </c>
      <c r="P4089" s="56"/>
    </row>
    <row r="4090" spans="1:16" ht="15.75" customHeight="1" x14ac:dyDescent="0.2">
      <c r="A4090" s="48">
        <v>4414</v>
      </c>
      <c r="B4090" s="11" t="s">
        <v>1857</v>
      </c>
      <c r="C4090" s="11" t="s">
        <v>1849</v>
      </c>
      <c r="D4090" s="6" t="s">
        <v>1850</v>
      </c>
      <c r="E4090" s="11" t="s">
        <v>8816</v>
      </c>
      <c r="F4090" s="12" t="s">
        <v>8816</v>
      </c>
      <c r="G4090" s="12" t="s">
        <v>8858</v>
      </c>
      <c r="H4090" s="12" t="s">
        <v>8883</v>
      </c>
      <c r="I4090" s="12" t="s">
        <v>8884</v>
      </c>
      <c r="J4090" s="11" t="s">
        <v>1856</v>
      </c>
      <c r="K4090" s="11" t="s">
        <v>1852</v>
      </c>
      <c r="L4090" s="11" t="s">
        <v>1853</v>
      </c>
      <c r="M4090" s="11" t="s">
        <v>8885</v>
      </c>
      <c r="N4090" s="12"/>
      <c r="O4090" s="11" t="s">
        <v>1859</v>
      </c>
      <c r="P4090" s="56"/>
    </row>
    <row r="4091" spans="1:16" ht="15.75" customHeight="1" x14ac:dyDescent="0.2">
      <c r="A4091" s="48">
        <v>4205</v>
      </c>
      <c r="B4091" s="11" t="s">
        <v>1857</v>
      </c>
      <c r="C4091" s="11" t="s">
        <v>1849</v>
      </c>
      <c r="D4091" s="6" t="s">
        <v>1850</v>
      </c>
      <c r="E4091" s="11" t="s">
        <v>8816</v>
      </c>
      <c r="F4091" s="12" t="s">
        <v>8816</v>
      </c>
      <c r="G4091" s="12" t="s">
        <v>8851</v>
      </c>
      <c r="H4091" s="59" t="s">
        <v>5839</v>
      </c>
      <c r="I4091" s="12" t="s">
        <v>8886</v>
      </c>
      <c r="J4091" s="11" t="s">
        <v>1856</v>
      </c>
      <c r="K4091" s="11" t="s">
        <v>1852</v>
      </c>
      <c r="L4091" s="11" t="s">
        <v>1853</v>
      </c>
      <c r="M4091" s="11" t="s">
        <v>8887</v>
      </c>
      <c r="N4091" s="12" t="s">
        <v>8888</v>
      </c>
      <c r="O4091" s="11" t="s">
        <v>1859</v>
      </c>
      <c r="P4091" s="56"/>
    </row>
    <row r="4092" spans="1:16" ht="15.75" customHeight="1" x14ac:dyDescent="0.2">
      <c r="A4092" s="48">
        <v>4283</v>
      </c>
      <c r="B4092" s="11" t="s">
        <v>1857</v>
      </c>
      <c r="C4092" s="11" t="s">
        <v>1849</v>
      </c>
      <c r="D4092" s="6" t="s">
        <v>1850</v>
      </c>
      <c r="E4092" s="11" t="s">
        <v>8816</v>
      </c>
      <c r="F4092" s="12" t="s">
        <v>8816</v>
      </c>
      <c r="G4092" s="12" t="s">
        <v>5635</v>
      </c>
      <c r="H4092" s="12" t="s">
        <v>5635</v>
      </c>
      <c r="I4092" s="12" t="s">
        <v>8889</v>
      </c>
      <c r="J4092" s="11" t="s">
        <v>1856</v>
      </c>
      <c r="K4092" s="11" t="s">
        <v>1852</v>
      </c>
      <c r="L4092" s="11" t="s">
        <v>1853</v>
      </c>
      <c r="M4092" s="11" t="s">
        <v>1854</v>
      </c>
      <c r="N4092" s="12"/>
      <c r="O4092" s="11" t="s">
        <v>1859</v>
      </c>
      <c r="P4092" s="56"/>
    </row>
    <row r="4093" spans="1:16" ht="15.75" customHeight="1" x14ac:dyDescent="0.2">
      <c r="A4093" s="48">
        <v>4821</v>
      </c>
      <c r="B4093" s="11" t="s">
        <v>1857</v>
      </c>
      <c r="C4093" s="11" t="s">
        <v>1849</v>
      </c>
      <c r="D4093" s="6" t="s">
        <v>1850</v>
      </c>
      <c r="E4093" s="11" t="s">
        <v>8816</v>
      </c>
      <c r="F4093" s="12" t="s">
        <v>8816</v>
      </c>
      <c r="G4093" s="12" t="s">
        <v>8844</v>
      </c>
      <c r="H4093" s="59" t="s">
        <v>8890</v>
      </c>
      <c r="I4093" s="12" t="s">
        <v>8891</v>
      </c>
      <c r="J4093" s="11" t="s">
        <v>1856</v>
      </c>
      <c r="K4093" s="11" t="s">
        <v>1852</v>
      </c>
      <c r="L4093" s="11" t="s">
        <v>1853</v>
      </c>
      <c r="M4093" s="11" t="s">
        <v>1854</v>
      </c>
      <c r="N4093" s="12"/>
      <c r="O4093" s="11" t="s">
        <v>1859</v>
      </c>
      <c r="P4093" s="56"/>
    </row>
    <row r="4094" spans="1:16" ht="15.75" customHeight="1" x14ac:dyDescent="0.2">
      <c r="A4094" s="48">
        <v>4221</v>
      </c>
      <c r="B4094" s="11" t="s">
        <v>1857</v>
      </c>
      <c r="C4094" s="11" t="s">
        <v>1849</v>
      </c>
      <c r="D4094" s="6" t="s">
        <v>1850</v>
      </c>
      <c r="E4094" s="11" t="s">
        <v>8816</v>
      </c>
      <c r="F4094" s="12" t="s">
        <v>8816</v>
      </c>
      <c r="G4094" s="12" t="s">
        <v>8851</v>
      </c>
      <c r="H4094" s="12" t="s">
        <v>8854</v>
      </c>
      <c r="I4094" s="12" t="s">
        <v>8892</v>
      </c>
      <c r="J4094" s="11" t="s">
        <v>1856</v>
      </c>
      <c r="K4094" s="11" t="s">
        <v>1852</v>
      </c>
      <c r="L4094" s="11" t="s">
        <v>1853</v>
      </c>
      <c r="M4094" s="11" t="s">
        <v>8893</v>
      </c>
      <c r="N4094" s="12" t="s">
        <v>8894</v>
      </c>
      <c r="O4094" s="11" t="s">
        <v>1859</v>
      </c>
      <c r="P4094" s="56"/>
    </row>
    <row r="4095" spans="1:16" ht="15.75" customHeight="1" x14ac:dyDescent="0.2">
      <c r="A4095" s="48">
        <v>4092</v>
      </c>
      <c r="B4095" s="11" t="s">
        <v>1857</v>
      </c>
      <c r="C4095" s="11" t="s">
        <v>1849</v>
      </c>
      <c r="D4095" s="6" t="s">
        <v>1850</v>
      </c>
      <c r="E4095" s="11" t="s">
        <v>8816</v>
      </c>
      <c r="F4095" s="12" t="s">
        <v>8816</v>
      </c>
      <c r="G4095" s="12" t="s">
        <v>8895</v>
      </c>
      <c r="H4095" s="12" t="s">
        <v>8896</v>
      </c>
      <c r="I4095" s="12" t="s">
        <v>8897</v>
      </c>
      <c r="J4095" s="11" t="s">
        <v>1856</v>
      </c>
      <c r="K4095" s="11" t="s">
        <v>1852</v>
      </c>
      <c r="L4095" s="11" t="s">
        <v>1853</v>
      </c>
      <c r="M4095" s="11" t="s">
        <v>8898</v>
      </c>
      <c r="N4095" s="12"/>
      <c r="O4095" s="11" t="s">
        <v>1859</v>
      </c>
      <c r="P4095" s="56"/>
    </row>
    <row r="4096" spans="1:16" ht="15.75" customHeight="1" x14ac:dyDescent="0.2">
      <c r="A4096" s="48">
        <v>4404</v>
      </c>
      <c r="B4096" s="11" t="s">
        <v>1857</v>
      </c>
      <c r="C4096" s="11" t="s">
        <v>1849</v>
      </c>
      <c r="D4096" s="6" t="s">
        <v>1850</v>
      </c>
      <c r="E4096" s="11" t="s">
        <v>8816</v>
      </c>
      <c r="F4096" s="12" t="s">
        <v>8816</v>
      </c>
      <c r="G4096" s="12" t="s">
        <v>8858</v>
      </c>
      <c r="H4096" s="12" t="s">
        <v>5715</v>
      </c>
      <c r="I4096" s="12" t="s">
        <v>8899</v>
      </c>
      <c r="J4096" s="11" t="s">
        <v>1856</v>
      </c>
      <c r="K4096" s="11" t="s">
        <v>1852</v>
      </c>
      <c r="L4096" s="11" t="s">
        <v>1853</v>
      </c>
      <c r="M4096" s="11" t="s">
        <v>8900</v>
      </c>
      <c r="N4096" s="12" t="s">
        <v>8901</v>
      </c>
      <c r="O4096" s="11" t="s">
        <v>1859</v>
      </c>
      <c r="P4096" s="56"/>
    </row>
    <row r="4097" spans="1:16" ht="15.75" customHeight="1" x14ac:dyDescent="0.2">
      <c r="A4097" s="48">
        <v>4118</v>
      </c>
      <c r="B4097" s="11" t="s">
        <v>1857</v>
      </c>
      <c r="C4097" s="11" t="s">
        <v>1849</v>
      </c>
      <c r="D4097" s="6" t="s">
        <v>1850</v>
      </c>
      <c r="E4097" s="11" t="s">
        <v>8816</v>
      </c>
      <c r="F4097" s="12" t="s">
        <v>8816</v>
      </c>
      <c r="G4097" s="12" t="s">
        <v>8820</v>
      </c>
      <c r="H4097" s="12" t="s">
        <v>8902</v>
      </c>
      <c r="I4097" s="12" t="s">
        <v>8903</v>
      </c>
      <c r="J4097" s="11" t="s">
        <v>1856</v>
      </c>
      <c r="K4097" s="11" t="s">
        <v>1852</v>
      </c>
      <c r="L4097" s="11" t="s">
        <v>1853</v>
      </c>
      <c r="M4097" s="11" t="s">
        <v>1854</v>
      </c>
      <c r="N4097" s="12"/>
      <c r="O4097" s="11" t="s">
        <v>1859</v>
      </c>
      <c r="P4097" s="56"/>
    </row>
    <row r="4098" spans="1:16" ht="15.75" customHeight="1" x14ac:dyDescent="0.2">
      <c r="A4098" s="48">
        <v>4141</v>
      </c>
      <c r="B4098" s="11" t="s">
        <v>1857</v>
      </c>
      <c r="C4098" s="11" t="s">
        <v>1849</v>
      </c>
      <c r="D4098" s="6" t="s">
        <v>1850</v>
      </c>
      <c r="E4098" s="11" t="s">
        <v>8816</v>
      </c>
      <c r="F4098" s="12" t="s">
        <v>8816</v>
      </c>
      <c r="G4098" s="12" t="s">
        <v>8820</v>
      </c>
      <c r="H4098" s="12" t="s">
        <v>8904</v>
      </c>
      <c r="I4098" s="12" t="s">
        <v>8905</v>
      </c>
      <c r="J4098" s="11" t="s">
        <v>1856</v>
      </c>
      <c r="K4098" s="11" t="s">
        <v>1852</v>
      </c>
      <c r="L4098" s="11" t="s">
        <v>1853</v>
      </c>
      <c r="M4098" s="11" t="s">
        <v>8900</v>
      </c>
      <c r="N4098" s="12"/>
      <c r="O4098" s="11" t="s">
        <v>1859</v>
      </c>
      <c r="P4098" s="56"/>
    </row>
    <row r="4099" spans="1:16" ht="15.75" customHeight="1" x14ac:dyDescent="0.2">
      <c r="A4099" s="48">
        <v>4267</v>
      </c>
      <c r="B4099" s="11" t="s">
        <v>1857</v>
      </c>
      <c r="C4099" s="11" t="s">
        <v>1849</v>
      </c>
      <c r="D4099" s="6" t="s">
        <v>1850</v>
      </c>
      <c r="E4099" s="11" t="s">
        <v>8816</v>
      </c>
      <c r="F4099" s="12" t="s">
        <v>8816</v>
      </c>
      <c r="G4099" s="12" t="s">
        <v>2299</v>
      </c>
      <c r="H4099" s="12" t="s">
        <v>8861</v>
      </c>
      <c r="I4099" s="12" t="s">
        <v>8906</v>
      </c>
      <c r="J4099" s="11" t="s">
        <v>1856</v>
      </c>
      <c r="K4099" s="11" t="s">
        <v>1852</v>
      </c>
      <c r="L4099" s="11" t="s">
        <v>1853</v>
      </c>
      <c r="M4099" s="11" t="s">
        <v>8907</v>
      </c>
      <c r="N4099" s="12"/>
      <c r="O4099" s="11" t="s">
        <v>1859</v>
      </c>
      <c r="P4099" s="56"/>
    </row>
    <row r="4100" spans="1:16" ht="15.75" customHeight="1" x14ac:dyDescent="0.2">
      <c r="A4100" s="48">
        <v>4246</v>
      </c>
      <c r="B4100" s="11" t="s">
        <v>1857</v>
      </c>
      <c r="C4100" s="11" t="s">
        <v>1849</v>
      </c>
      <c r="D4100" s="6" t="s">
        <v>1850</v>
      </c>
      <c r="E4100" s="11" t="s">
        <v>8816</v>
      </c>
      <c r="F4100" s="12" t="s">
        <v>8816</v>
      </c>
      <c r="G4100" s="12" t="s">
        <v>8851</v>
      </c>
      <c r="H4100" s="12" t="s">
        <v>8908</v>
      </c>
      <c r="I4100" s="12" t="s">
        <v>8909</v>
      </c>
      <c r="J4100" s="11" t="s">
        <v>1856</v>
      </c>
      <c r="K4100" s="11" t="s">
        <v>1852</v>
      </c>
      <c r="L4100" s="11" t="s">
        <v>1853</v>
      </c>
      <c r="M4100" s="11" t="s">
        <v>8910</v>
      </c>
      <c r="N4100" s="12" t="s">
        <v>8911</v>
      </c>
      <c r="O4100" s="11" t="s">
        <v>1859</v>
      </c>
      <c r="P4100" s="56"/>
    </row>
    <row r="4101" spans="1:16" ht="15.75" customHeight="1" x14ac:dyDescent="0.2">
      <c r="A4101" s="48">
        <v>4770</v>
      </c>
      <c r="B4101" s="11" t="s">
        <v>1857</v>
      </c>
      <c r="C4101" s="11" t="s">
        <v>1849</v>
      </c>
      <c r="D4101" s="6" t="s">
        <v>1850</v>
      </c>
      <c r="E4101" s="11" t="s">
        <v>8816</v>
      </c>
      <c r="F4101" s="12" t="s">
        <v>8816</v>
      </c>
      <c r="G4101" s="12" t="s">
        <v>8844</v>
      </c>
      <c r="H4101" s="59" t="s">
        <v>8912</v>
      </c>
      <c r="I4101" s="12" t="s">
        <v>8913</v>
      </c>
      <c r="J4101" s="11" t="s">
        <v>1856</v>
      </c>
      <c r="K4101" s="11" t="s">
        <v>1852</v>
      </c>
      <c r="L4101" s="11" t="s">
        <v>1853</v>
      </c>
      <c r="M4101" s="11" t="s">
        <v>1854</v>
      </c>
      <c r="N4101" s="12"/>
      <c r="O4101" s="11" t="s">
        <v>1859</v>
      </c>
      <c r="P4101" s="56"/>
    </row>
    <row r="4102" spans="1:16" ht="15.75" customHeight="1" x14ac:dyDescent="0.2">
      <c r="A4102" s="48">
        <v>4820</v>
      </c>
      <c r="B4102" s="11" t="s">
        <v>1857</v>
      </c>
      <c r="C4102" s="11" t="s">
        <v>1849</v>
      </c>
      <c r="D4102" s="6" t="s">
        <v>1850</v>
      </c>
      <c r="E4102" s="11" t="s">
        <v>8816</v>
      </c>
      <c r="F4102" s="12" t="s">
        <v>8816</v>
      </c>
      <c r="G4102" s="12" t="s">
        <v>8844</v>
      </c>
      <c r="H4102" s="59" t="s">
        <v>8890</v>
      </c>
      <c r="I4102" s="12" t="s">
        <v>8914</v>
      </c>
      <c r="J4102" s="11" t="s">
        <v>1856</v>
      </c>
      <c r="K4102" s="11" t="s">
        <v>1852</v>
      </c>
      <c r="L4102" s="11" t="s">
        <v>1853</v>
      </c>
      <c r="M4102" s="11" t="s">
        <v>8915</v>
      </c>
      <c r="N4102" s="12"/>
      <c r="O4102" s="11" t="s">
        <v>1858</v>
      </c>
      <c r="P4102" s="56"/>
    </row>
    <row r="4103" spans="1:16" ht="15.75" customHeight="1" x14ac:dyDescent="0.2">
      <c r="A4103" s="48">
        <v>4160</v>
      </c>
      <c r="B4103" s="11" t="s">
        <v>1857</v>
      </c>
      <c r="C4103" s="11" t="s">
        <v>1849</v>
      </c>
      <c r="D4103" s="6" t="s">
        <v>1850</v>
      </c>
      <c r="E4103" s="11" t="s">
        <v>8816</v>
      </c>
      <c r="F4103" s="12" t="s">
        <v>8816</v>
      </c>
      <c r="G4103" s="12" t="s">
        <v>8851</v>
      </c>
      <c r="H4103" s="12" t="s">
        <v>8916</v>
      </c>
      <c r="I4103" s="12" t="s">
        <v>8917</v>
      </c>
      <c r="J4103" s="11" t="s">
        <v>1856</v>
      </c>
      <c r="K4103" s="11" t="s">
        <v>1852</v>
      </c>
      <c r="L4103" s="11" t="s">
        <v>1853</v>
      </c>
      <c r="M4103" s="11" t="s">
        <v>1862</v>
      </c>
      <c r="N4103" s="12"/>
      <c r="O4103" s="11" t="s">
        <v>1858</v>
      </c>
      <c r="P4103" s="56"/>
    </row>
    <row r="4104" spans="1:16" ht="15.75" customHeight="1" x14ac:dyDescent="0.2">
      <c r="A4104" s="48">
        <v>4270</v>
      </c>
      <c r="B4104" s="11" t="s">
        <v>1857</v>
      </c>
      <c r="C4104" s="11" t="s">
        <v>1849</v>
      </c>
      <c r="D4104" s="6" t="s">
        <v>1850</v>
      </c>
      <c r="E4104" s="11" t="s">
        <v>8816</v>
      </c>
      <c r="F4104" s="12" t="s">
        <v>8816</v>
      </c>
      <c r="G4104" s="12" t="s">
        <v>2299</v>
      </c>
      <c r="H4104" s="12" t="s">
        <v>8918</v>
      </c>
      <c r="I4104" s="12" t="s">
        <v>8919</v>
      </c>
      <c r="J4104" s="11" t="s">
        <v>1856</v>
      </c>
      <c r="K4104" s="11" t="s">
        <v>1852</v>
      </c>
      <c r="L4104" s="11" t="s">
        <v>1853</v>
      </c>
      <c r="M4104" s="11" t="s">
        <v>8920</v>
      </c>
      <c r="N4104" s="12"/>
      <c r="O4104" s="11" t="s">
        <v>1858</v>
      </c>
      <c r="P4104" s="56"/>
    </row>
    <row r="4105" spans="1:16" ht="15.75" customHeight="1" x14ac:dyDescent="0.2">
      <c r="A4105" s="48">
        <v>4780</v>
      </c>
      <c r="B4105" s="11" t="s">
        <v>1857</v>
      </c>
      <c r="C4105" s="11" t="s">
        <v>1849</v>
      </c>
      <c r="D4105" s="6" t="s">
        <v>1850</v>
      </c>
      <c r="E4105" s="11" t="s">
        <v>8816</v>
      </c>
      <c r="F4105" s="12" t="s">
        <v>8816</v>
      </c>
      <c r="G4105" s="12" t="s">
        <v>8844</v>
      </c>
      <c r="H4105" s="59" t="s">
        <v>8921</v>
      </c>
      <c r="I4105" s="12" t="s">
        <v>8922</v>
      </c>
      <c r="J4105" s="11" t="s">
        <v>1856</v>
      </c>
      <c r="K4105" s="11" t="s">
        <v>1852</v>
      </c>
      <c r="L4105" s="11" t="s">
        <v>1853</v>
      </c>
      <c r="M4105" s="11" t="s">
        <v>2276</v>
      </c>
      <c r="N4105" s="12"/>
      <c r="O4105" s="11" t="s">
        <v>1859</v>
      </c>
      <c r="P4105" s="56"/>
    </row>
    <row r="4106" spans="1:16" ht="15.75" customHeight="1" x14ac:dyDescent="0.2">
      <c r="A4106" s="48">
        <v>4736</v>
      </c>
      <c r="B4106" s="11" t="s">
        <v>1857</v>
      </c>
      <c r="C4106" s="11" t="s">
        <v>1849</v>
      </c>
      <c r="D4106" s="6" t="s">
        <v>1850</v>
      </c>
      <c r="E4106" s="11" t="s">
        <v>8816</v>
      </c>
      <c r="F4106" s="12" t="s">
        <v>8816</v>
      </c>
      <c r="G4106" s="12" t="s">
        <v>8844</v>
      </c>
      <c r="H4106" s="59" t="s">
        <v>8823</v>
      </c>
      <c r="I4106" s="12" t="s">
        <v>8923</v>
      </c>
      <c r="J4106" s="11" t="s">
        <v>1856</v>
      </c>
      <c r="K4106" s="11" t="s">
        <v>1852</v>
      </c>
      <c r="L4106" s="11" t="s">
        <v>1853</v>
      </c>
      <c r="M4106" s="11" t="s">
        <v>8924</v>
      </c>
      <c r="N4106" s="12" t="s">
        <v>8925</v>
      </c>
      <c r="O4106" s="11" t="s">
        <v>1859</v>
      </c>
      <c r="P4106" s="56"/>
    </row>
    <row r="4107" spans="1:16" ht="15.75" customHeight="1" x14ac:dyDescent="0.2">
      <c r="A4107" s="48">
        <v>4369</v>
      </c>
      <c r="B4107" s="11" t="s">
        <v>1857</v>
      </c>
      <c r="C4107" s="11" t="s">
        <v>1849</v>
      </c>
      <c r="D4107" s="6" t="s">
        <v>1850</v>
      </c>
      <c r="E4107" s="11" t="s">
        <v>8816</v>
      </c>
      <c r="F4107" s="12" t="s">
        <v>8816</v>
      </c>
      <c r="G4107" s="12" t="s">
        <v>5635</v>
      </c>
      <c r="H4107" s="12" t="s">
        <v>8926</v>
      </c>
      <c r="I4107" s="12" t="s">
        <v>8927</v>
      </c>
      <c r="J4107" s="11" t="s">
        <v>1856</v>
      </c>
      <c r="K4107" s="11" t="s">
        <v>1852</v>
      </c>
      <c r="L4107" s="11" t="s">
        <v>1853</v>
      </c>
      <c r="M4107" s="11" t="s">
        <v>6621</v>
      </c>
      <c r="N4107" s="12"/>
      <c r="O4107" s="11" t="s">
        <v>1859</v>
      </c>
      <c r="P4107" s="56"/>
    </row>
    <row r="4108" spans="1:16" ht="15.75" customHeight="1" x14ac:dyDescent="0.2">
      <c r="A4108" s="48">
        <v>4187</v>
      </c>
      <c r="B4108" s="11" t="s">
        <v>1857</v>
      </c>
      <c r="C4108" s="11" t="s">
        <v>1849</v>
      </c>
      <c r="D4108" s="6" t="s">
        <v>1850</v>
      </c>
      <c r="E4108" s="11" t="s">
        <v>8816</v>
      </c>
      <c r="F4108" s="12" t="s">
        <v>8816</v>
      </c>
      <c r="G4108" s="12" t="s">
        <v>8851</v>
      </c>
      <c r="H4108" s="12" t="s">
        <v>8916</v>
      </c>
      <c r="I4108" s="12" t="s">
        <v>3624</v>
      </c>
      <c r="J4108" s="11" t="s">
        <v>1856</v>
      </c>
      <c r="K4108" s="11" t="s">
        <v>1852</v>
      </c>
      <c r="L4108" s="11" t="s">
        <v>1853</v>
      </c>
      <c r="M4108" s="11" t="s">
        <v>8900</v>
      </c>
      <c r="N4108" s="12"/>
      <c r="O4108" s="11" t="s">
        <v>1859</v>
      </c>
      <c r="P4108" s="56"/>
    </row>
    <row r="4109" spans="1:16" ht="15.75" customHeight="1" x14ac:dyDescent="0.2">
      <c r="A4109" s="48">
        <v>4378</v>
      </c>
      <c r="B4109" s="11" t="s">
        <v>1857</v>
      </c>
      <c r="C4109" s="11" t="s">
        <v>1849</v>
      </c>
      <c r="D4109" s="6" t="s">
        <v>1850</v>
      </c>
      <c r="E4109" s="11" t="s">
        <v>8816</v>
      </c>
      <c r="F4109" s="12" t="s">
        <v>8816</v>
      </c>
      <c r="G4109" s="12" t="s">
        <v>8928</v>
      </c>
      <c r="H4109" s="59" t="s">
        <v>8929</v>
      </c>
      <c r="I4109" s="12" t="s">
        <v>8930</v>
      </c>
      <c r="J4109" s="11" t="s">
        <v>1856</v>
      </c>
      <c r="K4109" s="11" t="s">
        <v>1852</v>
      </c>
      <c r="L4109" s="11" t="s">
        <v>1853</v>
      </c>
      <c r="M4109" s="11" t="s">
        <v>1854</v>
      </c>
      <c r="N4109" s="12"/>
      <c r="O4109" s="11" t="s">
        <v>1859</v>
      </c>
      <c r="P4109" s="56"/>
    </row>
    <row r="4110" spans="1:16" ht="15.75" customHeight="1" x14ac:dyDescent="0.2">
      <c r="A4110" s="48">
        <v>4791</v>
      </c>
      <c r="B4110" s="11" t="s">
        <v>1857</v>
      </c>
      <c r="C4110" s="11" t="s">
        <v>1849</v>
      </c>
      <c r="D4110" s="6" t="s">
        <v>1850</v>
      </c>
      <c r="E4110" s="11" t="s">
        <v>8816</v>
      </c>
      <c r="F4110" s="12" t="s">
        <v>8816</v>
      </c>
      <c r="G4110" s="12" t="s">
        <v>8844</v>
      </c>
      <c r="H4110" s="59" t="s">
        <v>8931</v>
      </c>
      <c r="I4110" s="12" t="s">
        <v>8932</v>
      </c>
      <c r="J4110" s="11" t="s">
        <v>1856</v>
      </c>
      <c r="K4110" s="11" t="s">
        <v>1852</v>
      </c>
      <c r="L4110" s="11" t="s">
        <v>1853</v>
      </c>
      <c r="M4110" s="12" t="s">
        <v>8933</v>
      </c>
      <c r="N4110" s="12"/>
      <c r="O4110" s="11" t="s">
        <v>1860</v>
      </c>
      <c r="P4110" s="56"/>
    </row>
    <row r="4111" spans="1:16" ht="15.75" customHeight="1" x14ac:dyDescent="0.2">
      <c r="A4111" s="48">
        <v>4775</v>
      </c>
      <c r="B4111" s="11" t="s">
        <v>1857</v>
      </c>
      <c r="C4111" s="11" t="s">
        <v>1849</v>
      </c>
      <c r="D4111" s="6" t="s">
        <v>1850</v>
      </c>
      <c r="E4111" s="11" t="s">
        <v>8816</v>
      </c>
      <c r="F4111" s="12" t="s">
        <v>8816</v>
      </c>
      <c r="G4111" s="12" t="s">
        <v>8844</v>
      </c>
      <c r="H4111" s="59" t="s">
        <v>2789</v>
      </c>
      <c r="I4111" s="12" t="s">
        <v>8934</v>
      </c>
      <c r="J4111" s="11" t="s">
        <v>1856</v>
      </c>
      <c r="K4111" s="11" t="s">
        <v>1852</v>
      </c>
      <c r="L4111" s="11" t="s">
        <v>1853</v>
      </c>
      <c r="M4111" s="11" t="s">
        <v>6131</v>
      </c>
      <c r="N4111" s="12" t="s">
        <v>8935</v>
      </c>
      <c r="O4111" s="11" t="s">
        <v>1867</v>
      </c>
      <c r="P4111" s="56" t="s">
        <v>1865</v>
      </c>
    </row>
    <row r="4112" spans="1:16" ht="15.75" customHeight="1" x14ac:dyDescent="0.2">
      <c r="A4112" s="48">
        <v>4349</v>
      </c>
      <c r="B4112" s="11" t="s">
        <v>1857</v>
      </c>
      <c r="C4112" s="11" t="s">
        <v>1849</v>
      </c>
      <c r="D4112" s="6" t="s">
        <v>1850</v>
      </c>
      <c r="E4112" s="11" t="s">
        <v>8816</v>
      </c>
      <c r="F4112" s="12" t="s">
        <v>8816</v>
      </c>
      <c r="G4112" s="12" t="s">
        <v>5635</v>
      </c>
      <c r="H4112" s="12" t="s">
        <v>8936</v>
      </c>
      <c r="I4112" s="12" t="s">
        <v>8937</v>
      </c>
      <c r="J4112" s="11" t="s">
        <v>1856</v>
      </c>
      <c r="K4112" s="11" t="s">
        <v>1852</v>
      </c>
      <c r="L4112" s="11" t="s">
        <v>1853</v>
      </c>
      <c r="M4112" s="11" t="s">
        <v>8938</v>
      </c>
      <c r="N4112" s="12" t="s">
        <v>8939</v>
      </c>
      <c r="O4112" s="11" t="s">
        <v>1860</v>
      </c>
      <c r="P4112" s="56"/>
    </row>
    <row r="4113" spans="1:16" ht="15.75" customHeight="1" x14ac:dyDescent="0.2">
      <c r="A4113" s="48">
        <v>4277</v>
      </c>
      <c r="B4113" s="11" t="s">
        <v>1857</v>
      </c>
      <c r="C4113" s="11" t="s">
        <v>1849</v>
      </c>
      <c r="D4113" s="6" t="s">
        <v>1850</v>
      </c>
      <c r="E4113" s="11" t="s">
        <v>8816</v>
      </c>
      <c r="F4113" s="12" t="s">
        <v>8816</v>
      </c>
      <c r="G4113" s="12" t="s">
        <v>2299</v>
      </c>
      <c r="H4113" s="12" t="s">
        <v>7910</v>
      </c>
      <c r="I4113" s="12" t="s">
        <v>8940</v>
      </c>
      <c r="J4113" s="11" t="s">
        <v>1856</v>
      </c>
      <c r="K4113" s="11" t="s">
        <v>1852</v>
      </c>
      <c r="L4113" s="11" t="s">
        <v>1853</v>
      </c>
      <c r="M4113" s="11" t="s">
        <v>8941</v>
      </c>
      <c r="N4113" s="12" t="s">
        <v>8942</v>
      </c>
      <c r="O4113" s="11" t="s">
        <v>1860</v>
      </c>
      <c r="P4113" s="56"/>
    </row>
    <row r="4114" spans="1:16" ht="15.75" customHeight="1" x14ac:dyDescent="0.2">
      <c r="A4114" s="48">
        <v>4393</v>
      </c>
      <c r="B4114" s="11" t="s">
        <v>1857</v>
      </c>
      <c r="C4114" s="11" t="s">
        <v>1849</v>
      </c>
      <c r="D4114" s="6" t="s">
        <v>1850</v>
      </c>
      <c r="E4114" s="11" t="s">
        <v>8816</v>
      </c>
      <c r="F4114" s="12" t="s">
        <v>8816</v>
      </c>
      <c r="G4114" s="12" t="s">
        <v>8858</v>
      </c>
      <c r="H4114" s="12" t="s">
        <v>8943</v>
      </c>
      <c r="I4114" s="12" t="s">
        <v>8944</v>
      </c>
      <c r="J4114" s="11" t="s">
        <v>1856</v>
      </c>
      <c r="K4114" s="11" t="s">
        <v>1852</v>
      </c>
      <c r="L4114" s="11" t="s">
        <v>1853</v>
      </c>
      <c r="M4114" s="11" t="s">
        <v>8945</v>
      </c>
      <c r="N4114" s="12"/>
      <c r="O4114" s="11" t="s">
        <v>2755</v>
      </c>
      <c r="P4114" s="56"/>
    </row>
    <row r="4115" spans="1:16" ht="15.75" customHeight="1" x14ac:dyDescent="0.2">
      <c r="A4115" s="48">
        <v>4746</v>
      </c>
      <c r="B4115" s="11" t="s">
        <v>1857</v>
      </c>
      <c r="C4115" s="11" t="s">
        <v>1849</v>
      </c>
      <c r="D4115" s="6" t="s">
        <v>1850</v>
      </c>
      <c r="E4115" s="11" t="s">
        <v>8816</v>
      </c>
      <c r="F4115" s="12" t="s">
        <v>8816</v>
      </c>
      <c r="G4115" s="12" t="s">
        <v>8844</v>
      </c>
      <c r="H4115" s="59" t="s">
        <v>5762</v>
      </c>
      <c r="I4115" s="12" t="s">
        <v>2265</v>
      </c>
      <c r="J4115" s="11" t="s">
        <v>1856</v>
      </c>
      <c r="K4115" s="11" t="s">
        <v>1852</v>
      </c>
      <c r="L4115" s="11" t="s">
        <v>1853</v>
      </c>
      <c r="M4115" s="11" t="s">
        <v>8946</v>
      </c>
      <c r="N4115" s="12" t="s">
        <v>8947</v>
      </c>
      <c r="O4115" s="11" t="s">
        <v>1860</v>
      </c>
      <c r="P4115" s="56"/>
    </row>
    <row r="4116" spans="1:16" ht="15.75" customHeight="1" x14ac:dyDescent="0.2">
      <c r="A4116" s="48">
        <v>4421</v>
      </c>
      <c r="B4116" s="11" t="s">
        <v>1857</v>
      </c>
      <c r="C4116" s="11" t="s">
        <v>1849</v>
      </c>
      <c r="D4116" s="6" t="s">
        <v>1850</v>
      </c>
      <c r="E4116" s="11" t="s">
        <v>8816</v>
      </c>
      <c r="F4116" s="12" t="s">
        <v>8816</v>
      </c>
      <c r="G4116" s="12" t="s">
        <v>8858</v>
      </c>
      <c r="H4116" s="12" t="s">
        <v>8883</v>
      </c>
      <c r="I4116" s="12" t="s">
        <v>2875</v>
      </c>
      <c r="J4116" s="11" t="s">
        <v>1856</v>
      </c>
      <c r="K4116" s="11" t="s">
        <v>1852</v>
      </c>
      <c r="L4116" s="11" t="s">
        <v>1853</v>
      </c>
      <c r="M4116" s="11" t="s">
        <v>1854</v>
      </c>
      <c r="N4116" s="12"/>
      <c r="O4116" s="11" t="s">
        <v>2755</v>
      </c>
      <c r="P4116" s="56"/>
    </row>
    <row r="4117" spans="1:16" ht="15.75" customHeight="1" x14ac:dyDescent="0.2">
      <c r="A4117" s="48">
        <v>4509</v>
      </c>
      <c r="B4117" s="11" t="s">
        <v>1857</v>
      </c>
      <c r="C4117" s="11" t="s">
        <v>1849</v>
      </c>
      <c r="D4117" s="6" t="s">
        <v>1850</v>
      </c>
      <c r="E4117" s="11" t="s">
        <v>8816</v>
      </c>
      <c r="F4117" s="12" t="s">
        <v>8816</v>
      </c>
      <c r="G4117" s="12" t="s">
        <v>4741</v>
      </c>
      <c r="H4117" s="12" t="s">
        <v>8948</v>
      </c>
      <c r="I4117" s="12" t="s">
        <v>8949</v>
      </c>
      <c r="J4117" s="11" t="s">
        <v>1856</v>
      </c>
      <c r="K4117" s="11" t="s">
        <v>1852</v>
      </c>
      <c r="L4117" s="11" t="s">
        <v>1853</v>
      </c>
      <c r="M4117" s="11" t="s">
        <v>8900</v>
      </c>
      <c r="N4117" s="12" t="s">
        <v>8950</v>
      </c>
      <c r="O4117" s="11" t="s">
        <v>1860</v>
      </c>
      <c r="P4117" s="56"/>
    </row>
    <row r="4118" spans="1:16" ht="15.75" customHeight="1" x14ac:dyDescent="0.2">
      <c r="A4118" s="48">
        <v>4519</v>
      </c>
      <c r="B4118" s="11" t="s">
        <v>1857</v>
      </c>
      <c r="C4118" s="11" t="s">
        <v>1849</v>
      </c>
      <c r="D4118" s="6" t="s">
        <v>1850</v>
      </c>
      <c r="E4118" s="11" t="s">
        <v>8816</v>
      </c>
      <c r="F4118" s="12" t="s">
        <v>8816</v>
      </c>
      <c r="G4118" s="12" t="s">
        <v>4741</v>
      </c>
      <c r="H4118" s="12" t="s">
        <v>8948</v>
      </c>
      <c r="I4118" s="12" t="s">
        <v>8951</v>
      </c>
      <c r="J4118" s="11" t="s">
        <v>1856</v>
      </c>
      <c r="K4118" s="11" t="s">
        <v>1852</v>
      </c>
      <c r="L4118" s="11" t="s">
        <v>1853</v>
      </c>
      <c r="M4118" s="11" t="s">
        <v>8952</v>
      </c>
      <c r="N4118" s="12" t="s">
        <v>8953</v>
      </c>
      <c r="O4118" s="11" t="s">
        <v>1867</v>
      </c>
      <c r="P4118" s="56" t="s">
        <v>1865</v>
      </c>
    </row>
    <row r="4119" spans="1:16" ht="15.75" customHeight="1" x14ac:dyDescent="0.2">
      <c r="A4119" s="48">
        <v>4769</v>
      </c>
      <c r="B4119" s="11" t="s">
        <v>1857</v>
      </c>
      <c r="C4119" s="11" t="s">
        <v>1849</v>
      </c>
      <c r="D4119" s="6" t="s">
        <v>1850</v>
      </c>
      <c r="E4119" s="11" t="s">
        <v>8816</v>
      </c>
      <c r="F4119" s="12" t="s">
        <v>8816</v>
      </c>
      <c r="G4119" s="12" t="s">
        <v>8844</v>
      </c>
      <c r="H4119" s="59" t="s">
        <v>8912</v>
      </c>
      <c r="I4119" s="12" t="s">
        <v>8954</v>
      </c>
      <c r="J4119" s="11" t="s">
        <v>1856</v>
      </c>
      <c r="K4119" s="11" t="s">
        <v>1852</v>
      </c>
      <c r="L4119" s="11" t="s">
        <v>1853</v>
      </c>
      <c r="M4119" s="11" t="s">
        <v>8955</v>
      </c>
      <c r="N4119" s="12"/>
      <c r="O4119" s="11" t="s">
        <v>1860</v>
      </c>
      <c r="P4119" s="56"/>
    </row>
    <row r="4120" spans="1:16" ht="15.75" customHeight="1" x14ac:dyDescent="0.2">
      <c r="A4120" s="48">
        <v>4520</v>
      </c>
      <c r="B4120" s="11" t="s">
        <v>1857</v>
      </c>
      <c r="C4120" s="11" t="s">
        <v>1849</v>
      </c>
      <c r="D4120" s="6" t="s">
        <v>1850</v>
      </c>
      <c r="E4120" s="11" t="s">
        <v>8816</v>
      </c>
      <c r="F4120" s="12" t="s">
        <v>8816</v>
      </c>
      <c r="G4120" s="12" t="s">
        <v>4741</v>
      </c>
      <c r="H4120" s="12" t="s">
        <v>8948</v>
      </c>
      <c r="I4120" s="12" t="s">
        <v>8956</v>
      </c>
      <c r="J4120" s="11" t="s">
        <v>1856</v>
      </c>
      <c r="K4120" s="11" t="s">
        <v>1852</v>
      </c>
      <c r="L4120" s="11" t="s">
        <v>1853</v>
      </c>
      <c r="M4120" s="11" t="s">
        <v>8957</v>
      </c>
      <c r="N4120" s="12"/>
      <c r="O4120" s="11" t="s">
        <v>1860</v>
      </c>
      <c r="P4120" s="56"/>
    </row>
    <row r="4121" spans="1:16" ht="15.75" customHeight="1" x14ac:dyDescent="0.2">
      <c r="A4121" s="48">
        <v>4508</v>
      </c>
      <c r="B4121" s="11" t="s">
        <v>1857</v>
      </c>
      <c r="C4121" s="11" t="s">
        <v>1849</v>
      </c>
      <c r="D4121" s="6" t="s">
        <v>1850</v>
      </c>
      <c r="E4121" s="11" t="s">
        <v>8816</v>
      </c>
      <c r="F4121" s="12" t="s">
        <v>8816</v>
      </c>
      <c r="G4121" s="12" t="s">
        <v>4741</v>
      </c>
      <c r="H4121" s="59" t="s">
        <v>8868</v>
      </c>
      <c r="I4121" s="12" t="s">
        <v>8958</v>
      </c>
      <c r="J4121" s="11" t="s">
        <v>1856</v>
      </c>
      <c r="K4121" s="11" t="s">
        <v>1852</v>
      </c>
      <c r="L4121" s="11" t="s">
        <v>1853</v>
      </c>
      <c r="M4121" s="11" t="s">
        <v>8959</v>
      </c>
      <c r="N4121" s="12"/>
      <c r="O4121" s="11" t="s">
        <v>1860</v>
      </c>
      <c r="P4121" s="56"/>
    </row>
    <row r="4122" spans="1:16" ht="15.75" customHeight="1" x14ac:dyDescent="0.2">
      <c r="A4122" s="48">
        <v>4667</v>
      </c>
      <c r="B4122" s="11" t="s">
        <v>1857</v>
      </c>
      <c r="C4122" s="11" t="s">
        <v>1849</v>
      </c>
      <c r="D4122" s="6" t="s">
        <v>1850</v>
      </c>
      <c r="E4122" s="11" t="s">
        <v>8816</v>
      </c>
      <c r="F4122" s="12" t="s">
        <v>8816</v>
      </c>
      <c r="G4122" s="12" t="s">
        <v>8817</v>
      </c>
      <c r="H4122" s="59" t="s">
        <v>8960</v>
      </c>
      <c r="I4122" s="12" t="s">
        <v>8961</v>
      </c>
      <c r="J4122" s="11" t="s">
        <v>1856</v>
      </c>
      <c r="K4122" s="11" t="s">
        <v>1852</v>
      </c>
      <c r="L4122" s="11" t="s">
        <v>1853</v>
      </c>
      <c r="M4122" s="11" t="s">
        <v>8962</v>
      </c>
      <c r="N4122" s="12"/>
      <c r="O4122" s="11" t="s">
        <v>1860</v>
      </c>
      <c r="P4122" s="56"/>
    </row>
    <row r="4123" spans="1:16" ht="15.75" customHeight="1" x14ac:dyDescent="0.2">
      <c r="A4123" s="48">
        <v>4761</v>
      </c>
      <c r="B4123" s="11" t="s">
        <v>1857</v>
      </c>
      <c r="C4123" s="11" t="s">
        <v>1849</v>
      </c>
      <c r="D4123" s="6" t="s">
        <v>1850</v>
      </c>
      <c r="E4123" s="11" t="s">
        <v>8816</v>
      </c>
      <c r="F4123" s="12" t="s">
        <v>8816</v>
      </c>
      <c r="G4123" s="12" t="s">
        <v>8844</v>
      </c>
      <c r="H4123" s="59" t="s">
        <v>8963</v>
      </c>
      <c r="I4123" s="12" t="s">
        <v>8964</v>
      </c>
      <c r="J4123" s="11" t="s">
        <v>1856</v>
      </c>
      <c r="K4123" s="11" t="s">
        <v>1852</v>
      </c>
      <c r="L4123" s="11" t="s">
        <v>1853</v>
      </c>
      <c r="M4123" s="11" t="s">
        <v>6131</v>
      </c>
      <c r="N4123" s="12" t="s">
        <v>8965</v>
      </c>
      <c r="O4123" s="11" t="s">
        <v>2755</v>
      </c>
      <c r="P4123" s="56"/>
    </row>
    <row r="4124" spans="1:16" ht="15.75" customHeight="1" x14ac:dyDescent="0.2">
      <c r="A4124" s="48">
        <v>4303</v>
      </c>
      <c r="B4124" s="11" t="s">
        <v>1857</v>
      </c>
      <c r="C4124" s="11" t="s">
        <v>1849</v>
      </c>
      <c r="D4124" s="6" t="s">
        <v>1850</v>
      </c>
      <c r="E4124" s="11" t="s">
        <v>8816</v>
      </c>
      <c r="F4124" s="12" t="s">
        <v>8816</v>
      </c>
      <c r="G4124" s="12" t="s">
        <v>5635</v>
      </c>
      <c r="H4124" s="12" t="s">
        <v>8839</v>
      </c>
      <c r="I4124" s="12" t="s">
        <v>8966</v>
      </c>
      <c r="J4124" s="11" t="s">
        <v>1856</v>
      </c>
      <c r="K4124" s="11" t="s">
        <v>1852</v>
      </c>
      <c r="L4124" s="11" t="s">
        <v>1853</v>
      </c>
      <c r="M4124" s="11" t="s">
        <v>1854</v>
      </c>
      <c r="N4124" s="12"/>
      <c r="O4124" s="11" t="s">
        <v>2755</v>
      </c>
      <c r="P4124" s="56"/>
    </row>
    <row r="4125" spans="1:16" ht="15.75" customHeight="1" x14ac:dyDescent="0.2">
      <c r="A4125" s="48">
        <v>4176</v>
      </c>
      <c r="B4125" s="11" t="s">
        <v>1857</v>
      </c>
      <c r="C4125" s="11" t="s">
        <v>1849</v>
      </c>
      <c r="D4125" s="6" t="s">
        <v>1850</v>
      </c>
      <c r="E4125" s="11" t="s">
        <v>8816</v>
      </c>
      <c r="F4125" s="12" t="s">
        <v>8816</v>
      </c>
      <c r="G4125" s="12" t="s">
        <v>8851</v>
      </c>
      <c r="H4125" s="12" t="s">
        <v>8836</v>
      </c>
      <c r="I4125" s="12" t="s">
        <v>6092</v>
      </c>
      <c r="J4125" s="11" t="s">
        <v>1856</v>
      </c>
      <c r="K4125" s="11" t="s">
        <v>1852</v>
      </c>
      <c r="L4125" s="11" t="s">
        <v>1853</v>
      </c>
      <c r="M4125" s="11" t="s">
        <v>1854</v>
      </c>
      <c r="N4125" s="12"/>
      <c r="O4125" s="11" t="s">
        <v>1860</v>
      </c>
      <c r="P4125" s="56"/>
    </row>
    <row r="4126" spans="1:16" ht="15.75" customHeight="1" x14ac:dyDescent="0.2">
      <c r="A4126" s="48">
        <v>4527</v>
      </c>
      <c r="B4126" s="11" t="s">
        <v>1857</v>
      </c>
      <c r="C4126" s="11" t="s">
        <v>1849</v>
      </c>
      <c r="D4126" s="6" t="s">
        <v>1850</v>
      </c>
      <c r="E4126" s="11" t="s">
        <v>8816</v>
      </c>
      <c r="F4126" s="12" t="s">
        <v>8816</v>
      </c>
      <c r="G4126" s="12" t="s">
        <v>4741</v>
      </c>
      <c r="H4126" s="59" t="s">
        <v>8967</v>
      </c>
      <c r="I4126" s="12" t="s">
        <v>8968</v>
      </c>
      <c r="J4126" s="11" t="s">
        <v>1856</v>
      </c>
      <c r="K4126" s="11" t="s">
        <v>1852</v>
      </c>
      <c r="L4126" s="11" t="s">
        <v>1853</v>
      </c>
      <c r="M4126" s="11" t="s">
        <v>8969</v>
      </c>
      <c r="N4126" s="12"/>
      <c r="O4126" s="11" t="s">
        <v>1860</v>
      </c>
      <c r="P4126" s="56"/>
    </row>
    <row r="4127" spans="1:16" ht="15.75" customHeight="1" x14ac:dyDescent="0.2">
      <c r="A4127" s="48">
        <v>4300</v>
      </c>
      <c r="B4127" s="11" t="s">
        <v>1857</v>
      </c>
      <c r="C4127" s="11" t="s">
        <v>1849</v>
      </c>
      <c r="D4127" s="6" t="s">
        <v>1850</v>
      </c>
      <c r="E4127" s="11" t="s">
        <v>8816</v>
      </c>
      <c r="F4127" s="12" t="s">
        <v>8816</v>
      </c>
      <c r="G4127" s="12" t="s">
        <v>5635</v>
      </c>
      <c r="H4127" s="12" t="s">
        <v>8839</v>
      </c>
      <c r="I4127" s="12" t="s">
        <v>5636</v>
      </c>
      <c r="J4127" s="11" t="s">
        <v>1856</v>
      </c>
      <c r="K4127" s="11" t="s">
        <v>1852</v>
      </c>
      <c r="L4127" s="11" t="s">
        <v>1853</v>
      </c>
      <c r="M4127" s="11" t="s">
        <v>3222</v>
      </c>
      <c r="N4127" s="12"/>
      <c r="O4127" s="11" t="s">
        <v>1860</v>
      </c>
      <c r="P4127" s="56"/>
    </row>
    <row r="4128" spans="1:16" ht="15.75" customHeight="1" x14ac:dyDescent="0.2">
      <c r="A4128" s="48">
        <v>4796</v>
      </c>
      <c r="B4128" s="11" t="s">
        <v>1857</v>
      </c>
      <c r="C4128" s="11" t="s">
        <v>1849</v>
      </c>
      <c r="D4128" s="6" t="s">
        <v>1850</v>
      </c>
      <c r="E4128" s="11" t="s">
        <v>8816</v>
      </c>
      <c r="F4128" s="12" t="s">
        <v>8816</v>
      </c>
      <c r="G4128" s="12" t="s">
        <v>8844</v>
      </c>
      <c r="H4128" s="59" t="s">
        <v>8970</v>
      </c>
      <c r="I4128" s="12" t="s">
        <v>8242</v>
      </c>
      <c r="J4128" s="11" t="s">
        <v>1856</v>
      </c>
      <c r="K4128" s="11" t="s">
        <v>1852</v>
      </c>
      <c r="L4128" s="11" t="s">
        <v>1853</v>
      </c>
      <c r="M4128" s="11" t="s">
        <v>8971</v>
      </c>
      <c r="N4128" s="12" t="s">
        <v>8972</v>
      </c>
      <c r="O4128" s="11" t="s">
        <v>2755</v>
      </c>
      <c r="P4128" s="56"/>
    </row>
    <row r="4129" spans="1:16" ht="15.75" customHeight="1" x14ac:dyDescent="0.2">
      <c r="A4129" s="48">
        <v>4549</v>
      </c>
      <c r="B4129" s="11" t="s">
        <v>1857</v>
      </c>
      <c r="C4129" s="11" t="s">
        <v>1849</v>
      </c>
      <c r="D4129" s="6" t="s">
        <v>1850</v>
      </c>
      <c r="E4129" s="11" t="s">
        <v>8816</v>
      </c>
      <c r="F4129" s="12" t="s">
        <v>8816</v>
      </c>
      <c r="G4129" s="12" t="s">
        <v>4741</v>
      </c>
      <c r="H4129" s="59" t="s">
        <v>8868</v>
      </c>
      <c r="I4129" s="12" t="s">
        <v>8973</v>
      </c>
      <c r="J4129" s="11" t="s">
        <v>1856</v>
      </c>
      <c r="K4129" s="11" t="s">
        <v>1852</v>
      </c>
      <c r="L4129" s="11" t="s">
        <v>1853</v>
      </c>
      <c r="M4129" s="11" t="s">
        <v>2276</v>
      </c>
      <c r="N4129" s="12"/>
      <c r="O4129" s="11" t="s">
        <v>1860</v>
      </c>
      <c r="P4129" s="56"/>
    </row>
    <row r="4130" spans="1:16" ht="15.75" customHeight="1" x14ac:dyDescent="0.2">
      <c r="A4130" s="48">
        <v>4234</v>
      </c>
      <c r="B4130" s="11" t="s">
        <v>1857</v>
      </c>
      <c r="C4130" s="11" t="s">
        <v>1849</v>
      </c>
      <c r="D4130" s="6" t="s">
        <v>1850</v>
      </c>
      <c r="E4130" s="11" t="s">
        <v>8816</v>
      </c>
      <c r="F4130" s="12" t="s">
        <v>8816</v>
      </c>
      <c r="G4130" s="12" t="s">
        <v>8851</v>
      </c>
      <c r="H4130" s="12" t="s">
        <v>8974</v>
      </c>
      <c r="I4130" s="12" t="s">
        <v>8975</v>
      </c>
      <c r="J4130" s="11" t="s">
        <v>1856</v>
      </c>
      <c r="K4130" s="11" t="s">
        <v>1852</v>
      </c>
      <c r="L4130" s="11" t="s">
        <v>1853</v>
      </c>
      <c r="M4130" s="11" t="s">
        <v>8976</v>
      </c>
      <c r="N4130" s="12"/>
      <c r="O4130" s="11" t="s">
        <v>1860</v>
      </c>
      <c r="P4130" s="56"/>
    </row>
    <row r="4131" spans="1:16" ht="15.75" customHeight="1" x14ac:dyDescent="0.2">
      <c r="A4131" s="48">
        <v>4805</v>
      </c>
      <c r="B4131" s="11" t="s">
        <v>1857</v>
      </c>
      <c r="C4131" s="11" t="s">
        <v>1849</v>
      </c>
      <c r="D4131" s="6" t="s">
        <v>1850</v>
      </c>
      <c r="E4131" s="11" t="s">
        <v>8816</v>
      </c>
      <c r="F4131" s="12" t="s">
        <v>8816</v>
      </c>
      <c r="G4131" s="12" t="s">
        <v>8844</v>
      </c>
      <c r="H4131" s="59" t="s">
        <v>8977</v>
      </c>
      <c r="I4131" s="12" t="s">
        <v>8978</v>
      </c>
      <c r="J4131" s="11" t="s">
        <v>1856</v>
      </c>
      <c r="K4131" s="11" t="s">
        <v>1852</v>
      </c>
      <c r="L4131" s="11" t="s">
        <v>1853</v>
      </c>
      <c r="M4131" s="11" t="s">
        <v>8979</v>
      </c>
      <c r="N4131" s="12" t="s">
        <v>8980</v>
      </c>
      <c r="O4131" s="11" t="s">
        <v>1860</v>
      </c>
      <c r="P4131" s="56"/>
    </row>
    <row r="4132" spans="1:16" ht="15.75" customHeight="1" x14ac:dyDescent="0.2">
      <c r="A4132" s="48">
        <v>4302</v>
      </c>
      <c r="B4132" s="11" t="s">
        <v>1857</v>
      </c>
      <c r="C4132" s="11" t="s">
        <v>1849</v>
      </c>
      <c r="D4132" s="6" t="s">
        <v>1850</v>
      </c>
      <c r="E4132" s="11" t="s">
        <v>8816</v>
      </c>
      <c r="F4132" s="12" t="s">
        <v>8816</v>
      </c>
      <c r="G4132" s="12" t="s">
        <v>5635</v>
      </c>
      <c r="H4132" s="12" t="s">
        <v>8839</v>
      </c>
      <c r="I4132" s="12" t="s">
        <v>8981</v>
      </c>
      <c r="J4132" s="11" t="s">
        <v>1856</v>
      </c>
      <c r="K4132" s="11" t="s">
        <v>1852</v>
      </c>
      <c r="L4132" s="11" t="s">
        <v>1853</v>
      </c>
      <c r="M4132" s="11" t="s">
        <v>8982</v>
      </c>
      <c r="N4132" s="12" t="s">
        <v>8983</v>
      </c>
      <c r="O4132" s="11" t="s">
        <v>1860</v>
      </c>
      <c r="P4132" s="56"/>
    </row>
    <row r="4133" spans="1:16" ht="15.75" customHeight="1" x14ac:dyDescent="0.2">
      <c r="A4133" s="48">
        <v>4542</v>
      </c>
      <c r="B4133" s="11" t="s">
        <v>1857</v>
      </c>
      <c r="C4133" s="11" t="s">
        <v>1849</v>
      </c>
      <c r="D4133" s="6" t="s">
        <v>1850</v>
      </c>
      <c r="E4133" s="11" t="s">
        <v>8816</v>
      </c>
      <c r="F4133" s="12" t="s">
        <v>8816</v>
      </c>
      <c r="G4133" s="12" t="s">
        <v>4741</v>
      </c>
      <c r="H4133" s="59" t="s">
        <v>8856</v>
      </c>
      <c r="I4133" s="12" t="s">
        <v>8984</v>
      </c>
      <c r="J4133" s="11" t="s">
        <v>1856</v>
      </c>
      <c r="K4133" s="11" t="s">
        <v>1852</v>
      </c>
      <c r="L4133" s="11" t="s">
        <v>1853</v>
      </c>
      <c r="M4133" s="11" t="s">
        <v>1854</v>
      </c>
      <c r="N4133" s="12"/>
      <c r="O4133" s="11" t="s">
        <v>1860</v>
      </c>
      <c r="P4133" s="56"/>
    </row>
    <row r="4134" spans="1:16" ht="15.75" customHeight="1" x14ac:dyDescent="0.2">
      <c r="A4134" s="48">
        <v>4295</v>
      </c>
      <c r="B4134" s="11" t="s">
        <v>1857</v>
      </c>
      <c r="C4134" s="11" t="s">
        <v>1849</v>
      </c>
      <c r="D4134" s="6" t="s">
        <v>1850</v>
      </c>
      <c r="E4134" s="11" t="s">
        <v>8816</v>
      </c>
      <c r="F4134" s="12" t="s">
        <v>8816</v>
      </c>
      <c r="G4134" s="12" t="s">
        <v>5635</v>
      </c>
      <c r="H4134" s="12" t="s">
        <v>8985</v>
      </c>
      <c r="I4134" s="12" t="s">
        <v>8986</v>
      </c>
      <c r="J4134" s="11" t="s">
        <v>1856</v>
      </c>
      <c r="K4134" s="11" t="s">
        <v>1852</v>
      </c>
      <c r="L4134" s="11" t="s">
        <v>1853</v>
      </c>
      <c r="M4134" s="11" t="s">
        <v>2549</v>
      </c>
      <c r="N4134" s="12" t="s">
        <v>8987</v>
      </c>
      <c r="O4134" s="11" t="s">
        <v>2755</v>
      </c>
      <c r="P4134" s="56"/>
    </row>
    <row r="4135" spans="1:16" ht="15.75" customHeight="1" x14ac:dyDescent="0.2">
      <c r="A4135" s="48">
        <v>4346</v>
      </c>
      <c r="B4135" s="11" t="s">
        <v>1857</v>
      </c>
      <c r="C4135" s="11" t="s">
        <v>1849</v>
      </c>
      <c r="D4135" s="6" t="s">
        <v>1850</v>
      </c>
      <c r="E4135" s="11" t="s">
        <v>8816</v>
      </c>
      <c r="F4135" s="12" t="s">
        <v>8816</v>
      </c>
      <c r="G4135" s="12" t="s">
        <v>5635</v>
      </c>
      <c r="H4135" s="12" t="s">
        <v>8936</v>
      </c>
      <c r="I4135" s="12" t="s">
        <v>8988</v>
      </c>
      <c r="J4135" s="11" t="s">
        <v>1856</v>
      </c>
      <c r="K4135" s="11" t="s">
        <v>1852</v>
      </c>
      <c r="L4135" s="11" t="s">
        <v>1853</v>
      </c>
      <c r="M4135" s="11" t="s">
        <v>2276</v>
      </c>
      <c r="N4135" s="12" t="s">
        <v>8989</v>
      </c>
      <c r="O4135" s="11" t="s">
        <v>2755</v>
      </c>
      <c r="P4135" s="56"/>
    </row>
    <row r="4136" spans="1:16" ht="15.75" customHeight="1" x14ac:dyDescent="0.2">
      <c r="A4136" s="48">
        <v>4102</v>
      </c>
      <c r="B4136" s="11" t="s">
        <v>1857</v>
      </c>
      <c r="C4136" s="11" t="s">
        <v>1849</v>
      </c>
      <c r="D4136" s="6" t="s">
        <v>1850</v>
      </c>
      <c r="E4136" s="11" t="s">
        <v>8816</v>
      </c>
      <c r="F4136" s="12" t="s">
        <v>8816</v>
      </c>
      <c r="G4136" s="12" t="s">
        <v>8895</v>
      </c>
      <c r="H4136" s="12" t="s">
        <v>8990</v>
      </c>
      <c r="I4136" s="12" t="s">
        <v>8991</v>
      </c>
      <c r="J4136" s="11" t="s">
        <v>1856</v>
      </c>
      <c r="K4136" s="11" t="s">
        <v>1852</v>
      </c>
      <c r="L4136" s="11" t="s">
        <v>1853</v>
      </c>
      <c r="M4136" s="11" t="s">
        <v>1854</v>
      </c>
      <c r="N4136" s="12"/>
      <c r="O4136" s="11" t="s">
        <v>1860</v>
      </c>
      <c r="P4136" s="56"/>
    </row>
    <row r="4137" spans="1:16" ht="15.75" customHeight="1" x14ac:dyDescent="0.2">
      <c r="A4137" s="48">
        <v>4242</v>
      </c>
      <c r="B4137" s="11" t="s">
        <v>1857</v>
      </c>
      <c r="C4137" s="11" t="s">
        <v>1849</v>
      </c>
      <c r="D4137" s="6" t="s">
        <v>1850</v>
      </c>
      <c r="E4137" s="11" t="s">
        <v>8816</v>
      </c>
      <c r="F4137" s="12" t="s">
        <v>8816</v>
      </c>
      <c r="G4137" s="12" t="s">
        <v>8851</v>
      </c>
      <c r="H4137" s="12" t="s">
        <v>8908</v>
      </c>
      <c r="I4137" s="12" t="s">
        <v>3319</v>
      </c>
      <c r="J4137" s="11" t="s">
        <v>1856</v>
      </c>
      <c r="K4137" s="11" t="s">
        <v>1852</v>
      </c>
      <c r="L4137" s="11" t="s">
        <v>1853</v>
      </c>
      <c r="M4137" s="11" t="s">
        <v>8992</v>
      </c>
      <c r="N4137" s="12"/>
      <c r="O4137" s="11" t="s">
        <v>2755</v>
      </c>
      <c r="P4137" s="56"/>
    </row>
    <row r="4138" spans="1:16" ht="15.75" customHeight="1" x14ac:dyDescent="0.2">
      <c r="A4138" s="48">
        <v>4359</v>
      </c>
      <c r="B4138" s="11" t="s">
        <v>1857</v>
      </c>
      <c r="C4138" s="11" t="s">
        <v>1849</v>
      </c>
      <c r="D4138" s="6" t="s">
        <v>1850</v>
      </c>
      <c r="E4138" s="11" t="s">
        <v>8816</v>
      </c>
      <c r="F4138" s="12" t="s">
        <v>8816</v>
      </c>
      <c r="G4138" s="12" t="s">
        <v>5635</v>
      </c>
      <c r="H4138" s="12" t="s">
        <v>8993</v>
      </c>
      <c r="I4138" s="12" t="s">
        <v>8994</v>
      </c>
      <c r="J4138" s="11" t="s">
        <v>1856</v>
      </c>
      <c r="K4138" s="11" t="s">
        <v>1852</v>
      </c>
      <c r="L4138" s="11" t="s">
        <v>1853</v>
      </c>
      <c r="M4138" s="11" t="s">
        <v>8995</v>
      </c>
      <c r="N4138" s="12" t="s">
        <v>8996</v>
      </c>
      <c r="O4138" s="11" t="s">
        <v>1860</v>
      </c>
      <c r="P4138" s="56"/>
    </row>
    <row r="4139" spans="1:16" ht="15.75" customHeight="1" x14ac:dyDescent="0.2">
      <c r="A4139" s="48">
        <v>4106</v>
      </c>
      <c r="B4139" s="11" t="s">
        <v>1857</v>
      </c>
      <c r="C4139" s="11" t="s">
        <v>1849</v>
      </c>
      <c r="D4139" s="6" t="s">
        <v>1850</v>
      </c>
      <c r="E4139" s="11" t="s">
        <v>8816</v>
      </c>
      <c r="F4139" s="12" t="s">
        <v>8816</v>
      </c>
      <c r="G4139" s="12" t="s">
        <v>8820</v>
      </c>
      <c r="H4139" s="12" t="s">
        <v>5839</v>
      </c>
      <c r="I4139" s="12" t="s">
        <v>8997</v>
      </c>
      <c r="J4139" s="11" t="s">
        <v>1856</v>
      </c>
      <c r="K4139" s="11" t="s">
        <v>1852</v>
      </c>
      <c r="L4139" s="11" t="s">
        <v>1853</v>
      </c>
      <c r="M4139" s="11" t="s">
        <v>1854</v>
      </c>
      <c r="N4139" s="12"/>
      <c r="O4139" s="11" t="s">
        <v>2755</v>
      </c>
      <c r="P4139" s="56"/>
    </row>
    <row r="4140" spans="1:16" ht="15.75" customHeight="1" x14ac:dyDescent="0.2">
      <c r="A4140" s="48">
        <v>4146</v>
      </c>
      <c r="B4140" s="11" t="s">
        <v>1857</v>
      </c>
      <c r="C4140" s="11" t="s">
        <v>1849</v>
      </c>
      <c r="D4140" s="6" t="s">
        <v>1850</v>
      </c>
      <c r="E4140" s="11" t="s">
        <v>8816</v>
      </c>
      <c r="F4140" s="12" t="s">
        <v>8816</v>
      </c>
      <c r="G4140" s="12" t="s">
        <v>8820</v>
      </c>
      <c r="H4140" s="12" t="s">
        <v>8904</v>
      </c>
      <c r="I4140" s="12" t="s">
        <v>8998</v>
      </c>
      <c r="J4140" s="11" t="s">
        <v>1856</v>
      </c>
      <c r="K4140" s="11" t="s">
        <v>1852</v>
      </c>
      <c r="L4140" s="11" t="s">
        <v>1853</v>
      </c>
      <c r="M4140" s="11" t="s">
        <v>1854</v>
      </c>
      <c r="N4140" s="12"/>
      <c r="O4140" s="11" t="s">
        <v>1860</v>
      </c>
      <c r="P4140" s="56"/>
    </row>
    <row r="4141" spans="1:16" ht="15.75" customHeight="1" x14ac:dyDescent="0.2">
      <c r="A4141" s="48">
        <v>4623</v>
      </c>
      <c r="B4141" s="11" t="s">
        <v>1857</v>
      </c>
      <c r="C4141" s="11" t="s">
        <v>1849</v>
      </c>
      <c r="D4141" s="6" t="s">
        <v>1850</v>
      </c>
      <c r="E4141" s="11" t="s">
        <v>8816</v>
      </c>
      <c r="F4141" s="12" t="s">
        <v>8816</v>
      </c>
      <c r="G4141" s="12" t="s">
        <v>8817</v>
      </c>
      <c r="H4141" s="59" t="s">
        <v>8999</v>
      </c>
      <c r="I4141" s="12" t="s">
        <v>9000</v>
      </c>
      <c r="J4141" s="11" t="s">
        <v>1856</v>
      </c>
      <c r="K4141" s="11" t="s">
        <v>1852</v>
      </c>
      <c r="L4141" s="11" t="s">
        <v>1853</v>
      </c>
      <c r="M4141" s="11" t="s">
        <v>1854</v>
      </c>
      <c r="N4141" s="12"/>
      <c r="O4141" s="11" t="s">
        <v>1860</v>
      </c>
      <c r="P4141" s="56"/>
    </row>
    <row r="4142" spans="1:16" ht="15.75" customHeight="1" x14ac:dyDescent="0.2">
      <c r="A4142" s="48">
        <v>4280</v>
      </c>
      <c r="B4142" s="11" t="s">
        <v>1857</v>
      </c>
      <c r="C4142" s="11" t="s">
        <v>1849</v>
      </c>
      <c r="D4142" s="6" t="s">
        <v>1850</v>
      </c>
      <c r="E4142" s="11" t="s">
        <v>8816</v>
      </c>
      <c r="F4142" s="12" t="s">
        <v>8816</v>
      </c>
      <c r="G4142" s="12" t="s">
        <v>2299</v>
      </c>
      <c r="H4142" s="12" t="s">
        <v>9001</v>
      </c>
      <c r="I4142" s="12" t="s">
        <v>9002</v>
      </c>
      <c r="J4142" s="11" t="s">
        <v>1856</v>
      </c>
      <c r="K4142" s="11" t="s">
        <v>1852</v>
      </c>
      <c r="L4142" s="11" t="s">
        <v>1853</v>
      </c>
      <c r="M4142" s="11" t="s">
        <v>9003</v>
      </c>
      <c r="N4142" s="12" t="s">
        <v>9004</v>
      </c>
      <c r="O4142" s="11" t="s">
        <v>1860</v>
      </c>
      <c r="P4142" s="56"/>
    </row>
    <row r="4143" spans="1:16" ht="15.75" customHeight="1" x14ac:dyDescent="0.2">
      <c r="A4143" s="48">
        <v>4548</v>
      </c>
      <c r="B4143" s="11" t="s">
        <v>1857</v>
      </c>
      <c r="C4143" s="11" t="s">
        <v>1849</v>
      </c>
      <c r="D4143" s="6" t="s">
        <v>1850</v>
      </c>
      <c r="E4143" s="11" t="s">
        <v>8816</v>
      </c>
      <c r="F4143" s="12" t="s">
        <v>8816</v>
      </c>
      <c r="G4143" s="12" t="s">
        <v>4741</v>
      </c>
      <c r="H4143" s="59" t="s">
        <v>8856</v>
      </c>
      <c r="I4143" s="12" t="s">
        <v>9005</v>
      </c>
      <c r="J4143" s="11" t="s">
        <v>1856</v>
      </c>
      <c r="K4143" s="11" t="s">
        <v>1852</v>
      </c>
      <c r="L4143" s="11" t="s">
        <v>1853</v>
      </c>
      <c r="M4143" s="11" t="s">
        <v>1862</v>
      </c>
      <c r="N4143" s="12" t="s">
        <v>9006</v>
      </c>
      <c r="O4143" s="11" t="s">
        <v>2334</v>
      </c>
      <c r="P4143" s="56" t="s">
        <v>2323</v>
      </c>
    </row>
    <row r="4144" spans="1:16" ht="15.75" customHeight="1" x14ac:dyDescent="0.2">
      <c r="A4144" s="48">
        <v>4167</v>
      </c>
      <c r="B4144" s="11" t="s">
        <v>1857</v>
      </c>
      <c r="C4144" s="11" t="s">
        <v>1849</v>
      </c>
      <c r="D4144" s="6" t="s">
        <v>1850</v>
      </c>
      <c r="E4144" s="11" t="s">
        <v>8816</v>
      </c>
      <c r="F4144" s="12" t="s">
        <v>8816</v>
      </c>
      <c r="G4144" s="12" t="s">
        <v>8851</v>
      </c>
      <c r="H4144" s="12" t="s">
        <v>8916</v>
      </c>
      <c r="I4144" s="12" t="s">
        <v>9007</v>
      </c>
      <c r="J4144" s="11" t="s">
        <v>1856</v>
      </c>
      <c r="K4144" s="11" t="s">
        <v>1852</v>
      </c>
      <c r="L4144" s="11" t="s">
        <v>1853</v>
      </c>
      <c r="M4144" s="11" t="s">
        <v>2297</v>
      </c>
      <c r="N4144" s="12" t="s">
        <v>9008</v>
      </c>
      <c r="O4144" s="11" t="s">
        <v>1860</v>
      </c>
      <c r="P4144" s="56"/>
    </row>
    <row r="4145" spans="1:16" ht="15.75" customHeight="1" x14ac:dyDescent="0.2">
      <c r="A4145" s="48">
        <v>4362</v>
      </c>
      <c r="B4145" s="11" t="s">
        <v>1857</v>
      </c>
      <c r="C4145" s="11" t="s">
        <v>1849</v>
      </c>
      <c r="D4145" s="6" t="s">
        <v>1850</v>
      </c>
      <c r="E4145" s="11" t="s">
        <v>8816</v>
      </c>
      <c r="F4145" s="12" t="s">
        <v>8816</v>
      </c>
      <c r="G4145" s="12" t="s">
        <v>5635</v>
      </c>
      <c r="H4145" s="12" t="s">
        <v>9009</v>
      </c>
      <c r="I4145" s="12" t="s">
        <v>9010</v>
      </c>
      <c r="J4145" s="11" t="s">
        <v>1856</v>
      </c>
      <c r="K4145" s="11" t="s">
        <v>1852</v>
      </c>
      <c r="L4145" s="11" t="s">
        <v>1853</v>
      </c>
      <c r="M4145" s="11" t="s">
        <v>8828</v>
      </c>
      <c r="N4145" s="12" t="s">
        <v>9011</v>
      </c>
      <c r="O4145" s="11" t="s">
        <v>1860</v>
      </c>
      <c r="P4145" s="56"/>
    </row>
    <row r="4146" spans="1:16" ht="15.75" customHeight="1" x14ac:dyDescent="0.2">
      <c r="A4146" s="48">
        <v>4305</v>
      </c>
      <c r="B4146" s="11" t="s">
        <v>1857</v>
      </c>
      <c r="C4146" s="11" t="s">
        <v>1849</v>
      </c>
      <c r="D4146" s="6" t="s">
        <v>1850</v>
      </c>
      <c r="E4146" s="11" t="s">
        <v>8816</v>
      </c>
      <c r="F4146" s="12" t="s">
        <v>8816</v>
      </c>
      <c r="G4146" s="12" t="s">
        <v>5635</v>
      </c>
      <c r="H4146" s="12" t="s">
        <v>8839</v>
      </c>
      <c r="I4146" s="12" t="s">
        <v>3175</v>
      </c>
      <c r="J4146" s="11" t="s">
        <v>1856</v>
      </c>
      <c r="K4146" s="11" t="s">
        <v>1852</v>
      </c>
      <c r="L4146" s="11" t="s">
        <v>1853</v>
      </c>
      <c r="M4146" s="11" t="s">
        <v>9012</v>
      </c>
      <c r="N4146" s="12"/>
      <c r="O4146" s="11" t="s">
        <v>1860</v>
      </c>
      <c r="P4146" s="56"/>
    </row>
    <row r="4147" spans="1:16" ht="15.75" customHeight="1" x14ac:dyDescent="0.2">
      <c r="A4147" s="48">
        <v>4524</v>
      </c>
      <c r="B4147" s="11" t="s">
        <v>1857</v>
      </c>
      <c r="C4147" s="11" t="s">
        <v>1849</v>
      </c>
      <c r="D4147" s="6" t="s">
        <v>1850</v>
      </c>
      <c r="E4147" s="11" t="s">
        <v>8816</v>
      </c>
      <c r="F4147" s="12" t="s">
        <v>8816</v>
      </c>
      <c r="G4147" s="12" t="s">
        <v>4741</v>
      </c>
      <c r="H4147" s="12" t="s">
        <v>8948</v>
      </c>
      <c r="I4147" s="12" t="s">
        <v>9013</v>
      </c>
      <c r="J4147" s="11" t="s">
        <v>1856</v>
      </c>
      <c r="K4147" s="11" t="s">
        <v>1852</v>
      </c>
      <c r="L4147" s="11" t="s">
        <v>1853</v>
      </c>
      <c r="M4147" s="11" t="s">
        <v>9014</v>
      </c>
      <c r="N4147" s="12"/>
      <c r="O4147" s="11" t="s">
        <v>1860</v>
      </c>
      <c r="P4147" s="56"/>
    </row>
    <row r="4148" spans="1:16" ht="15.75" customHeight="1" x14ac:dyDescent="0.2">
      <c r="A4148" s="48">
        <v>4186</v>
      </c>
      <c r="B4148" s="11" t="s">
        <v>1857</v>
      </c>
      <c r="C4148" s="11" t="s">
        <v>1849</v>
      </c>
      <c r="D4148" s="6" t="s">
        <v>1850</v>
      </c>
      <c r="E4148" s="11" t="s">
        <v>8816</v>
      </c>
      <c r="F4148" s="12" t="s">
        <v>8816</v>
      </c>
      <c r="G4148" s="12" t="s">
        <v>8851</v>
      </c>
      <c r="H4148" s="12" t="s">
        <v>8916</v>
      </c>
      <c r="I4148" s="12" t="s">
        <v>9015</v>
      </c>
      <c r="J4148" s="11" t="s">
        <v>1856</v>
      </c>
      <c r="K4148" s="11" t="s">
        <v>1852</v>
      </c>
      <c r="L4148" s="11" t="s">
        <v>1853</v>
      </c>
      <c r="M4148" s="11" t="s">
        <v>9016</v>
      </c>
      <c r="N4148" s="12"/>
      <c r="O4148" s="11" t="s">
        <v>1867</v>
      </c>
      <c r="P4148" s="56"/>
    </row>
    <row r="4149" spans="1:16" ht="15.75" customHeight="1" x14ac:dyDescent="0.2">
      <c r="A4149" s="48">
        <v>4514</v>
      </c>
      <c r="B4149" s="11" t="s">
        <v>1857</v>
      </c>
      <c r="C4149" s="11" t="s">
        <v>1849</v>
      </c>
      <c r="D4149" s="6" t="s">
        <v>1850</v>
      </c>
      <c r="E4149" s="11" t="s">
        <v>8816</v>
      </c>
      <c r="F4149" s="12" t="s">
        <v>8816</v>
      </c>
      <c r="G4149" s="12" t="s">
        <v>4741</v>
      </c>
      <c r="H4149" s="59" t="s">
        <v>8868</v>
      </c>
      <c r="I4149" s="12" t="s">
        <v>9017</v>
      </c>
      <c r="J4149" s="11" t="s">
        <v>1856</v>
      </c>
      <c r="K4149" s="11" t="s">
        <v>1852</v>
      </c>
      <c r="L4149" s="11" t="s">
        <v>1853</v>
      </c>
      <c r="M4149" s="11" t="s">
        <v>6131</v>
      </c>
      <c r="N4149" s="12" t="s">
        <v>9018</v>
      </c>
      <c r="O4149" s="11" t="s">
        <v>1860</v>
      </c>
      <c r="P4149" s="56"/>
    </row>
    <row r="4150" spans="1:16" ht="15.75" customHeight="1" x14ac:dyDescent="0.2">
      <c r="A4150" s="48">
        <v>4813</v>
      </c>
      <c r="B4150" s="11" t="s">
        <v>1857</v>
      </c>
      <c r="C4150" s="11" t="s">
        <v>1849</v>
      </c>
      <c r="D4150" s="6" t="s">
        <v>1850</v>
      </c>
      <c r="E4150" s="11" t="s">
        <v>8816</v>
      </c>
      <c r="F4150" s="12" t="s">
        <v>8816</v>
      </c>
      <c r="G4150" s="12" t="s">
        <v>8844</v>
      </c>
      <c r="H4150" s="59" t="s">
        <v>8890</v>
      </c>
      <c r="I4150" s="12" t="s">
        <v>8296</v>
      </c>
      <c r="J4150" s="11" t="s">
        <v>1856</v>
      </c>
      <c r="K4150" s="11" t="s">
        <v>1852</v>
      </c>
      <c r="L4150" s="11" t="s">
        <v>1853</v>
      </c>
      <c r="M4150" s="11" t="s">
        <v>9019</v>
      </c>
      <c r="N4150" s="12"/>
      <c r="O4150" s="11" t="s">
        <v>2755</v>
      </c>
      <c r="P4150" s="56"/>
    </row>
    <row r="4151" spans="1:16" ht="15.75" customHeight="1" x14ac:dyDescent="0.2">
      <c r="A4151" s="48">
        <v>4744</v>
      </c>
      <c r="B4151" s="11" t="s">
        <v>1857</v>
      </c>
      <c r="C4151" s="11" t="s">
        <v>1849</v>
      </c>
      <c r="D4151" s="6" t="s">
        <v>1850</v>
      </c>
      <c r="E4151" s="11" t="s">
        <v>8816</v>
      </c>
      <c r="F4151" s="12" t="s">
        <v>8816</v>
      </c>
      <c r="G4151" s="12" t="s">
        <v>8844</v>
      </c>
      <c r="H4151" s="59" t="s">
        <v>5762</v>
      </c>
      <c r="I4151" s="12" t="s">
        <v>9020</v>
      </c>
      <c r="J4151" s="11" t="s">
        <v>1856</v>
      </c>
      <c r="K4151" s="11" t="s">
        <v>1852</v>
      </c>
      <c r="L4151" s="11" t="s">
        <v>1853</v>
      </c>
      <c r="M4151" s="11" t="s">
        <v>9021</v>
      </c>
      <c r="N4151" s="12"/>
      <c r="O4151" s="11" t="s">
        <v>2755</v>
      </c>
      <c r="P4151" s="56"/>
    </row>
    <row r="4152" spans="1:16" ht="15.75" customHeight="1" x14ac:dyDescent="0.2">
      <c r="A4152" s="48">
        <v>4474</v>
      </c>
      <c r="B4152" s="11" t="s">
        <v>1857</v>
      </c>
      <c r="C4152" s="11" t="s">
        <v>1849</v>
      </c>
      <c r="D4152" s="6" t="s">
        <v>1850</v>
      </c>
      <c r="E4152" s="11" t="s">
        <v>8816</v>
      </c>
      <c r="F4152" s="12" t="s">
        <v>8816</v>
      </c>
      <c r="G4152" s="12" t="s">
        <v>6658</v>
      </c>
      <c r="H4152" s="59" t="s">
        <v>9022</v>
      </c>
      <c r="I4152" s="12" t="s">
        <v>9023</v>
      </c>
      <c r="J4152" s="11" t="s">
        <v>1856</v>
      </c>
      <c r="K4152" s="11" t="s">
        <v>1852</v>
      </c>
      <c r="L4152" s="11" t="s">
        <v>1853</v>
      </c>
      <c r="M4152" s="11" t="s">
        <v>2276</v>
      </c>
      <c r="N4152" s="12" t="s">
        <v>9024</v>
      </c>
      <c r="O4152" s="11" t="s">
        <v>2755</v>
      </c>
      <c r="P4152" s="56"/>
    </row>
    <row r="4153" spans="1:16" ht="15.75" customHeight="1" x14ac:dyDescent="0.2">
      <c r="A4153" s="48">
        <v>4457</v>
      </c>
      <c r="B4153" s="11" t="s">
        <v>1857</v>
      </c>
      <c r="C4153" s="11" t="s">
        <v>1849</v>
      </c>
      <c r="D4153" s="6" t="s">
        <v>1850</v>
      </c>
      <c r="E4153" s="11" t="s">
        <v>8816</v>
      </c>
      <c r="F4153" s="12" t="s">
        <v>8816</v>
      </c>
      <c r="G4153" s="12" t="s">
        <v>6658</v>
      </c>
      <c r="H4153" s="59" t="s">
        <v>5839</v>
      </c>
      <c r="I4153" s="12" t="s">
        <v>9025</v>
      </c>
      <c r="J4153" s="11" t="s">
        <v>1856</v>
      </c>
      <c r="K4153" s="11" t="s">
        <v>1852</v>
      </c>
      <c r="L4153" s="11" t="s">
        <v>1853</v>
      </c>
      <c r="M4153" s="11" t="s">
        <v>9026</v>
      </c>
      <c r="N4153" s="12"/>
      <c r="O4153" s="11" t="s">
        <v>1860</v>
      </c>
      <c r="P4153" s="56"/>
    </row>
    <row r="4154" spans="1:16" ht="15.75" customHeight="1" x14ac:dyDescent="0.2">
      <c r="A4154" s="48">
        <v>4182</v>
      </c>
      <c r="B4154" s="11" t="s">
        <v>1857</v>
      </c>
      <c r="C4154" s="11" t="s">
        <v>1849</v>
      </c>
      <c r="D4154" s="6" t="s">
        <v>1850</v>
      </c>
      <c r="E4154" s="11" t="s">
        <v>8816</v>
      </c>
      <c r="F4154" s="12" t="s">
        <v>8816</v>
      </c>
      <c r="G4154" s="12" t="s">
        <v>8851</v>
      </c>
      <c r="H4154" s="12" t="s">
        <v>5755</v>
      </c>
      <c r="I4154" s="12" t="s">
        <v>9027</v>
      </c>
      <c r="J4154" s="11" t="s">
        <v>1856</v>
      </c>
      <c r="K4154" s="11" t="s">
        <v>1852</v>
      </c>
      <c r="L4154" s="11" t="s">
        <v>1853</v>
      </c>
      <c r="M4154" s="11" t="s">
        <v>1854</v>
      </c>
      <c r="N4154" s="12"/>
      <c r="O4154" s="11" t="s">
        <v>1860</v>
      </c>
      <c r="P4154" s="56"/>
    </row>
    <row r="4155" spans="1:16" ht="15.75" customHeight="1" x14ac:dyDescent="0.2">
      <c r="A4155" s="48">
        <v>4117</v>
      </c>
      <c r="B4155" s="11" t="s">
        <v>1857</v>
      </c>
      <c r="C4155" s="11" t="s">
        <v>1849</v>
      </c>
      <c r="D4155" s="6" t="s">
        <v>1850</v>
      </c>
      <c r="E4155" s="11" t="s">
        <v>8816</v>
      </c>
      <c r="F4155" s="12" t="s">
        <v>8816</v>
      </c>
      <c r="G4155" s="12" t="s">
        <v>8820</v>
      </c>
      <c r="H4155" s="12" t="s">
        <v>8820</v>
      </c>
      <c r="I4155" s="12" t="s">
        <v>4928</v>
      </c>
      <c r="J4155" s="11" t="s">
        <v>1856</v>
      </c>
      <c r="K4155" s="11" t="s">
        <v>1852</v>
      </c>
      <c r="L4155" s="11" t="s">
        <v>1853</v>
      </c>
      <c r="M4155" s="11" t="s">
        <v>1854</v>
      </c>
      <c r="N4155" s="12"/>
      <c r="O4155" s="11" t="s">
        <v>1860</v>
      </c>
      <c r="P4155" s="56"/>
    </row>
    <row r="4156" spans="1:16" ht="15.75" customHeight="1" x14ac:dyDescent="0.2">
      <c r="A4156" s="48">
        <v>4491</v>
      </c>
      <c r="B4156" s="11" t="s">
        <v>1857</v>
      </c>
      <c r="C4156" s="11" t="s">
        <v>1849</v>
      </c>
      <c r="D4156" s="6" t="s">
        <v>1850</v>
      </c>
      <c r="E4156" s="11" t="s">
        <v>8816</v>
      </c>
      <c r="F4156" s="12" t="s">
        <v>8816</v>
      </c>
      <c r="G4156" s="12" t="s">
        <v>4741</v>
      </c>
      <c r="H4156" s="12" t="s">
        <v>4741</v>
      </c>
      <c r="I4156" s="12" t="s">
        <v>9028</v>
      </c>
      <c r="J4156" s="11" t="s">
        <v>1856</v>
      </c>
      <c r="K4156" s="11" t="s">
        <v>1852</v>
      </c>
      <c r="L4156" s="11" t="s">
        <v>1853</v>
      </c>
      <c r="M4156" s="11" t="s">
        <v>1854</v>
      </c>
      <c r="N4156" s="12"/>
      <c r="O4156" s="11" t="s">
        <v>1860</v>
      </c>
      <c r="P4156" s="56"/>
    </row>
    <row r="4157" spans="1:16" ht="15.75" customHeight="1" x14ac:dyDescent="0.2">
      <c r="A4157" s="48">
        <v>5451</v>
      </c>
      <c r="B4157" s="11" t="s">
        <v>1857</v>
      </c>
      <c r="C4157" s="11" t="s">
        <v>1849</v>
      </c>
      <c r="D4157" s="6" t="s">
        <v>1850</v>
      </c>
      <c r="E4157" s="11" t="s">
        <v>8816</v>
      </c>
      <c r="F4157" s="12" t="s">
        <v>8816</v>
      </c>
      <c r="G4157" s="12" t="s">
        <v>4741</v>
      </c>
      <c r="H4157" s="12" t="s">
        <v>8948</v>
      </c>
      <c r="I4157" s="12" t="s">
        <v>9029</v>
      </c>
      <c r="J4157" s="11" t="s">
        <v>1856</v>
      </c>
      <c r="K4157" s="11" t="s">
        <v>1852</v>
      </c>
      <c r="L4157" s="11" t="s">
        <v>1853</v>
      </c>
      <c r="M4157" s="11" t="s">
        <v>9030</v>
      </c>
      <c r="N4157" s="12"/>
      <c r="O4157" s="11" t="s">
        <v>1860</v>
      </c>
      <c r="P4157" s="56"/>
    </row>
    <row r="4158" spans="1:16" ht="15.75" customHeight="1" x14ac:dyDescent="0.2">
      <c r="A4158" s="48">
        <v>4185</v>
      </c>
      <c r="B4158" s="11" t="s">
        <v>1857</v>
      </c>
      <c r="C4158" s="11" t="s">
        <v>1849</v>
      </c>
      <c r="D4158" s="6" t="s">
        <v>1850</v>
      </c>
      <c r="E4158" s="11" t="s">
        <v>8816</v>
      </c>
      <c r="F4158" s="12" t="s">
        <v>8816</v>
      </c>
      <c r="G4158" s="12" t="s">
        <v>8851</v>
      </c>
      <c r="H4158" s="12" t="s">
        <v>8916</v>
      </c>
      <c r="I4158" s="12" t="s">
        <v>9031</v>
      </c>
      <c r="J4158" s="11" t="s">
        <v>1856</v>
      </c>
      <c r="K4158" s="11" t="s">
        <v>1852</v>
      </c>
      <c r="L4158" s="11" t="s">
        <v>1853</v>
      </c>
      <c r="M4158" s="11" t="s">
        <v>1854</v>
      </c>
      <c r="N4158" s="12"/>
      <c r="O4158" s="11" t="s">
        <v>2755</v>
      </c>
      <c r="P4158" s="56"/>
    </row>
    <row r="4159" spans="1:16" ht="15.75" customHeight="1" x14ac:dyDescent="0.2">
      <c r="A4159" s="48">
        <v>4512</v>
      </c>
      <c r="B4159" s="11" t="s">
        <v>1857</v>
      </c>
      <c r="C4159" s="11" t="s">
        <v>1849</v>
      </c>
      <c r="D4159" s="6" t="s">
        <v>1850</v>
      </c>
      <c r="E4159" s="11" t="s">
        <v>8816</v>
      </c>
      <c r="F4159" s="12" t="s">
        <v>8816</v>
      </c>
      <c r="G4159" s="12" t="s">
        <v>4741</v>
      </c>
      <c r="H4159" s="12" t="s">
        <v>8948</v>
      </c>
      <c r="I4159" s="12" t="s">
        <v>9032</v>
      </c>
      <c r="J4159" s="11" t="s">
        <v>1856</v>
      </c>
      <c r="K4159" s="11" t="s">
        <v>1852</v>
      </c>
      <c r="L4159" s="11" t="s">
        <v>1853</v>
      </c>
      <c r="M4159" s="11" t="s">
        <v>9033</v>
      </c>
      <c r="N4159" s="12"/>
      <c r="O4159" s="11" t="s">
        <v>1860</v>
      </c>
      <c r="P4159" s="56"/>
    </row>
    <row r="4160" spans="1:16" ht="15.75" customHeight="1" x14ac:dyDescent="0.2">
      <c r="A4160" s="48">
        <v>5271</v>
      </c>
      <c r="B4160" s="11" t="s">
        <v>1857</v>
      </c>
      <c r="C4160" s="11" t="s">
        <v>1849</v>
      </c>
      <c r="D4160" s="6" t="s">
        <v>1850</v>
      </c>
      <c r="E4160" s="11" t="s">
        <v>8816</v>
      </c>
      <c r="F4160" s="12" t="s">
        <v>8816</v>
      </c>
      <c r="G4160" s="12" t="s">
        <v>5635</v>
      </c>
      <c r="H4160" s="12" t="s">
        <v>8926</v>
      </c>
      <c r="I4160" s="12" t="s">
        <v>9034</v>
      </c>
      <c r="J4160" s="11" t="s">
        <v>1856</v>
      </c>
      <c r="K4160" s="11" t="s">
        <v>1852</v>
      </c>
      <c r="L4160" s="11" t="s">
        <v>1853</v>
      </c>
      <c r="M4160" s="11" t="s">
        <v>6131</v>
      </c>
      <c r="N4160" s="12"/>
      <c r="O4160" s="11" t="s">
        <v>1860</v>
      </c>
      <c r="P4160" s="56"/>
    </row>
    <row r="4161" spans="1:16" ht="15.75" customHeight="1" x14ac:dyDescent="0.2">
      <c r="A4161" s="48">
        <v>4756</v>
      </c>
      <c r="B4161" s="11" t="s">
        <v>1857</v>
      </c>
      <c r="C4161" s="11" t="s">
        <v>1849</v>
      </c>
      <c r="D4161" s="6" t="s">
        <v>1850</v>
      </c>
      <c r="E4161" s="11" t="s">
        <v>8816</v>
      </c>
      <c r="F4161" s="12" t="s">
        <v>8816</v>
      </c>
      <c r="G4161" s="12" t="s">
        <v>8844</v>
      </c>
      <c r="H4161" s="59" t="s">
        <v>9035</v>
      </c>
      <c r="I4161" s="12" t="s">
        <v>9036</v>
      </c>
      <c r="J4161" s="11" t="s">
        <v>1856</v>
      </c>
      <c r="K4161" s="11" t="s">
        <v>1852</v>
      </c>
      <c r="L4161" s="11" t="s">
        <v>1853</v>
      </c>
      <c r="M4161" s="11" t="s">
        <v>9037</v>
      </c>
      <c r="N4161" s="12"/>
      <c r="O4161" s="11" t="s">
        <v>1859</v>
      </c>
      <c r="P4161" s="56"/>
    </row>
    <row r="4162" spans="1:16" ht="15.75" customHeight="1" x14ac:dyDescent="0.2">
      <c r="A4162" s="48">
        <v>4802</v>
      </c>
      <c r="B4162" s="11" t="s">
        <v>1857</v>
      </c>
      <c r="C4162" s="11" t="s">
        <v>1849</v>
      </c>
      <c r="D4162" s="6" t="s">
        <v>1850</v>
      </c>
      <c r="E4162" s="11" t="s">
        <v>8816</v>
      </c>
      <c r="F4162" s="12" t="s">
        <v>8816</v>
      </c>
      <c r="G4162" s="12" t="s">
        <v>8844</v>
      </c>
      <c r="H4162" s="59" t="s">
        <v>3676</v>
      </c>
      <c r="I4162" s="12" t="s">
        <v>9038</v>
      </c>
      <c r="J4162" s="11" t="s">
        <v>1856</v>
      </c>
      <c r="K4162" s="11" t="s">
        <v>1852</v>
      </c>
      <c r="L4162" s="11" t="s">
        <v>1853</v>
      </c>
      <c r="M4162" s="11" t="s">
        <v>1854</v>
      </c>
      <c r="N4162" s="12"/>
      <c r="O4162" s="11" t="s">
        <v>1859</v>
      </c>
      <c r="P4162" s="56"/>
    </row>
    <row r="4163" spans="1:16" ht="15.75" customHeight="1" x14ac:dyDescent="0.2">
      <c r="A4163" s="48">
        <v>4753</v>
      </c>
      <c r="B4163" s="11" t="s">
        <v>1857</v>
      </c>
      <c r="C4163" s="11" t="s">
        <v>1849</v>
      </c>
      <c r="D4163" s="6" t="s">
        <v>1850</v>
      </c>
      <c r="E4163" s="11" t="s">
        <v>8816</v>
      </c>
      <c r="F4163" s="12" t="s">
        <v>8816</v>
      </c>
      <c r="G4163" s="12" t="s">
        <v>8844</v>
      </c>
      <c r="H4163" s="59" t="s">
        <v>9035</v>
      </c>
      <c r="I4163" s="12" t="s">
        <v>9039</v>
      </c>
      <c r="J4163" s="11" t="s">
        <v>1856</v>
      </c>
      <c r="K4163" s="11" t="s">
        <v>1852</v>
      </c>
      <c r="L4163" s="11" t="s">
        <v>1853</v>
      </c>
      <c r="M4163" s="11" t="s">
        <v>6185</v>
      </c>
      <c r="N4163" s="12"/>
      <c r="O4163" s="11" t="s">
        <v>1859</v>
      </c>
      <c r="P4163" s="56"/>
    </row>
    <row r="4164" spans="1:16" ht="15.75" customHeight="1" x14ac:dyDescent="0.2">
      <c r="A4164" s="48">
        <v>4763</v>
      </c>
      <c r="B4164" s="11" t="s">
        <v>1857</v>
      </c>
      <c r="C4164" s="11" t="s">
        <v>1849</v>
      </c>
      <c r="D4164" s="6" t="s">
        <v>1850</v>
      </c>
      <c r="E4164" s="11" t="s">
        <v>8816</v>
      </c>
      <c r="F4164" s="12" t="s">
        <v>8816</v>
      </c>
      <c r="G4164" s="12" t="s">
        <v>8844</v>
      </c>
      <c r="H4164" s="59" t="s">
        <v>8963</v>
      </c>
      <c r="I4164" s="12" t="s">
        <v>9040</v>
      </c>
      <c r="J4164" s="11" t="s">
        <v>1856</v>
      </c>
      <c r="K4164" s="11" t="s">
        <v>1852</v>
      </c>
      <c r="L4164" s="11" t="s">
        <v>1853</v>
      </c>
      <c r="M4164" s="11" t="s">
        <v>1854</v>
      </c>
      <c r="N4164" s="12"/>
      <c r="O4164" s="11" t="s">
        <v>1859</v>
      </c>
      <c r="P4164" s="56"/>
    </row>
    <row r="4165" spans="1:16" ht="15.75" customHeight="1" x14ac:dyDescent="0.2">
      <c r="A4165" s="48">
        <v>4255</v>
      </c>
      <c r="B4165" s="11" t="s">
        <v>1857</v>
      </c>
      <c r="C4165" s="11" t="s">
        <v>1849</v>
      </c>
      <c r="D4165" s="6" t="s">
        <v>1850</v>
      </c>
      <c r="E4165" s="11" t="s">
        <v>8816</v>
      </c>
      <c r="F4165" s="12" t="s">
        <v>8816</v>
      </c>
      <c r="G4165" s="12" t="s">
        <v>2299</v>
      </c>
      <c r="H4165" s="12" t="s">
        <v>9041</v>
      </c>
      <c r="I4165" s="12" t="s">
        <v>9042</v>
      </c>
      <c r="J4165" s="11" t="s">
        <v>1856</v>
      </c>
      <c r="K4165" s="11" t="s">
        <v>1852</v>
      </c>
      <c r="L4165" s="11" t="s">
        <v>1853</v>
      </c>
      <c r="M4165" s="11" t="s">
        <v>8863</v>
      </c>
      <c r="N4165" s="12"/>
      <c r="O4165" s="11" t="s">
        <v>1859</v>
      </c>
      <c r="P4165" s="56"/>
    </row>
    <row r="4166" spans="1:16" ht="15.75" customHeight="1" x14ac:dyDescent="0.2">
      <c r="A4166" s="48">
        <v>4666</v>
      </c>
      <c r="B4166" s="11" t="s">
        <v>1857</v>
      </c>
      <c r="C4166" s="11" t="s">
        <v>1849</v>
      </c>
      <c r="D4166" s="6" t="s">
        <v>1850</v>
      </c>
      <c r="E4166" s="11" t="s">
        <v>8816</v>
      </c>
      <c r="F4166" s="12" t="s">
        <v>8816</v>
      </c>
      <c r="G4166" s="12" t="s">
        <v>8817</v>
      </c>
      <c r="H4166" s="59" t="s">
        <v>9043</v>
      </c>
      <c r="I4166" s="12" t="s">
        <v>9044</v>
      </c>
      <c r="J4166" s="11" t="s">
        <v>1856</v>
      </c>
      <c r="K4166" s="11" t="s">
        <v>1852</v>
      </c>
      <c r="L4166" s="11" t="s">
        <v>1853</v>
      </c>
      <c r="M4166" s="11" t="s">
        <v>3213</v>
      </c>
      <c r="N4166" s="12" t="s">
        <v>9045</v>
      </c>
      <c r="O4166" s="11" t="s">
        <v>1859</v>
      </c>
      <c r="P4166" s="56"/>
    </row>
    <row r="4167" spans="1:16" ht="15.75" customHeight="1" x14ac:dyDescent="0.2">
      <c r="A4167" s="48">
        <v>4472</v>
      </c>
      <c r="B4167" s="11" t="s">
        <v>1857</v>
      </c>
      <c r="C4167" s="11" t="s">
        <v>1849</v>
      </c>
      <c r="D4167" s="6" t="s">
        <v>1850</v>
      </c>
      <c r="E4167" s="11" t="s">
        <v>8816</v>
      </c>
      <c r="F4167" s="12" t="s">
        <v>8816</v>
      </c>
      <c r="G4167" s="12" t="s">
        <v>6658</v>
      </c>
      <c r="H4167" s="59" t="s">
        <v>8849</v>
      </c>
      <c r="I4167" s="12" t="s">
        <v>9046</v>
      </c>
      <c r="J4167" s="11" t="s">
        <v>1856</v>
      </c>
      <c r="K4167" s="11" t="s">
        <v>1852</v>
      </c>
      <c r="L4167" s="11" t="s">
        <v>1853</v>
      </c>
      <c r="M4167" s="11" t="s">
        <v>1854</v>
      </c>
      <c r="N4167" s="12"/>
      <c r="O4167" s="11" t="s">
        <v>1859</v>
      </c>
      <c r="P4167" s="56"/>
    </row>
    <row r="4168" spans="1:16" ht="15.75" customHeight="1" x14ac:dyDescent="0.2">
      <c r="A4168" s="48">
        <v>4402</v>
      </c>
      <c r="B4168" s="11" t="s">
        <v>1857</v>
      </c>
      <c r="C4168" s="11" t="s">
        <v>1849</v>
      </c>
      <c r="D4168" s="6" t="s">
        <v>1850</v>
      </c>
      <c r="E4168" s="11" t="s">
        <v>8816</v>
      </c>
      <c r="F4168" s="12" t="s">
        <v>8816</v>
      </c>
      <c r="G4168" s="12" t="s">
        <v>8858</v>
      </c>
      <c r="H4168" s="12" t="s">
        <v>8943</v>
      </c>
      <c r="I4168" s="12" t="s">
        <v>9047</v>
      </c>
      <c r="J4168" s="11" t="s">
        <v>1856</v>
      </c>
      <c r="K4168" s="11" t="s">
        <v>1852</v>
      </c>
      <c r="L4168" s="11" t="s">
        <v>1853</v>
      </c>
      <c r="M4168" s="11" t="s">
        <v>9048</v>
      </c>
      <c r="N4168" s="12"/>
      <c r="O4168" s="11" t="s">
        <v>1859</v>
      </c>
      <c r="P4168" s="56"/>
    </row>
    <row r="4169" spans="1:16" ht="15.75" customHeight="1" x14ac:dyDescent="0.2">
      <c r="A4169" s="48">
        <v>4755</v>
      </c>
      <c r="B4169" s="11" t="s">
        <v>1857</v>
      </c>
      <c r="C4169" s="11" t="s">
        <v>1849</v>
      </c>
      <c r="D4169" s="6" t="s">
        <v>1850</v>
      </c>
      <c r="E4169" s="11" t="s">
        <v>8816</v>
      </c>
      <c r="F4169" s="12" t="s">
        <v>8816</v>
      </c>
      <c r="G4169" s="12" t="s">
        <v>8844</v>
      </c>
      <c r="H4169" s="59" t="s">
        <v>9035</v>
      </c>
      <c r="I4169" s="12" t="s">
        <v>9049</v>
      </c>
      <c r="J4169" s="11" t="s">
        <v>1856</v>
      </c>
      <c r="K4169" s="11" t="s">
        <v>1852</v>
      </c>
      <c r="L4169" s="11" t="s">
        <v>1853</v>
      </c>
      <c r="M4169" s="11" t="s">
        <v>6635</v>
      </c>
      <c r="N4169" s="12" t="s">
        <v>9050</v>
      </c>
      <c r="O4169" s="11" t="s">
        <v>1859</v>
      </c>
      <c r="P4169" s="56"/>
    </row>
    <row r="4170" spans="1:16" ht="15.75" customHeight="1" x14ac:dyDescent="0.2">
      <c r="A4170" s="48">
        <v>4410</v>
      </c>
      <c r="B4170" s="11" t="s">
        <v>1857</v>
      </c>
      <c r="C4170" s="11" t="s">
        <v>1849</v>
      </c>
      <c r="D4170" s="6" t="s">
        <v>1850</v>
      </c>
      <c r="E4170" s="11" t="s">
        <v>8816</v>
      </c>
      <c r="F4170" s="12" t="s">
        <v>8816</v>
      </c>
      <c r="G4170" s="12" t="s">
        <v>8928</v>
      </c>
      <c r="H4170" s="59" t="s">
        <v>9051</v>
      </c>
      <c r="I4170" s="12" t="s">
        <v>9052</v>
      </c>
      <c r="J4170" s="11" t="s">
        <v>1856</v>
      </c>
      <c r="K4170" s="11" t="s">
        <v>1852</v>
      </c>
      <c r="L4170" s="11" t="s">
        <v>1853</v>
      </c>
      <c r="M4170" s="11" t="s">
        <v>2539</v>
      </c>
      <c r="N4170" s="12"/>
      <c r="O4170" s="11" t="s">
        <v>1859</v>
      </c>
      <c r="P4170" s="56"/>
    </row>
    <row r="4171" spans="1:16" ht="15.75" customHeight="1" x14ac:dyDescent="0.2">
      <c r="A4171" s="48">
        <v>4086</v>
      </c>
      <c r="B4171" s="11" t="s">
        <v>1857</v>
      </c>
      <c r="C4171" s="11" t="s">
        <v>1849</v>
      </c>
      <c r="D4171" s="6" t="s">
        <v>1850</v>
      </c>
      <c r="E4171" s="11" t="s">
        <v>8816</v>
      </c>
      <c r="F4171" s="12" t="s">
        <v>8816</v>
      </c>
      <c r="G4171" s="12" t="s">
        <v>8895</v>
      </c>
      <c r="H4171" s="12" t="s">
        <v>8895</v>
      </c>
      <c r="I4171" s="12" t="s">
        <v>9053</v>
      </c>
      <c r="J4171" s="11" t="s">
        <v>1856</v>
      </c>
      <c r="K4171" s="11" t="s">
        <v>1852</v>
      </c>
      <c r="L4171" s="11" t="s">
        <v>1853</v>
      </c>
      <c r="M4171" s="11" t="s">
        <v>9054</v>
      </c>
      <c r="N4171" s="12"/>
      <c r="O4171" s="11" t="s">
        <v>1858</v>
      </c>
      <c r="P4171" s="56"/>
    </row>
    <row r="4172" spans="1:16" ht="15.75" customHeight="1" x14ac:dyDescent="0.2">
      <c r="A4172" s="48">
        <v>4691</v>
      </c>
      <c r="B4172" s="11" t="s">
        <v>1857</v>
      </c>
      <c r="C4172" s="11" t="s">
        <v>1849</v>
      </c>
      <c r="D4172" s="6" t="s">
        <v>1850</v>
      </c>
      <c r="E4172" s="11" t="s">
        <v>8816</v>
      </c>
      <c r="F4172" s="12" t="s">
        <v>8816</v>
      </c>
      <c r="G4172" s="12" t="s">
        <v>8817</v>
      </c>
      <c r="H4172" s="59" t="s">
        <v>9055</v>
      </c>
      <c r="I4172" s="12" t="s">
        <v>9056</v>
      </c>
      <c r="J4172" s="11" t="s">
        <v>1856</v>
      </c>
      <c r="K4172" s="11" t="s">
        <v>1852</v>
      </c>
      <c r="L4172" s="11" t="s">
        <v>1853</v>
      </c>
      <c r="M4172" s="11" t="s">
        <v>2281</v>
      </c>
      <c r="N4172" s="12"/>
      <c r="O4172" s="11" t="s">
        <v>1858</v>
      </c>
      <c r="P4172" s="56"/>
    </row>
    <row r="4173" spans="1:16" ht="15.75" customHeight="1" x14ac:dyDescent="0.2">
      <c r="A4173" s="48">
        <v>4391</v>
      </c>
      <c r="B4173" s="11" t="s">
        <v>1857</v>
      </c>
      <c r="C4173" s="11" t="s">
        <v>1849</v>
      </c>
      <c r="D4173" s="6" t="s">
        <v>1850</v>
      </c>
      <c r="E4173" s="11" t="s">
        <v>8816</v>
      </c>
      <c r="F4173" s="12" t="s">
        <v>8816</v>
      </c>
      <c r="G4173" s="12" t="s">
        <v>8928</v>
      </c>
      <c r="H4173" s="59" t="s">
        <v>8928</v>
      </c>
      <c r="I4173" s="12" t="s">
        <v>9057</v>
      </c>
      <c r="J4173" s="11" t="s">
        <v>1856</v>
      </c>
      <c r="K4173" s="11" t="s">
        <v>1852</v>
      </c>
      <c r="L4173" s="11" t="s">
        <v>1853</v>
      </c>
      <c r="M4173" s="11" t="s">
        <v>9058</v>
      </c>
      <c r="N4173" s="12" t="s">
        <v>9059</v>
      </c>
      <c r="O4173" s="11" t="s">
        <v>1858</v>
      </c>
      <c r="P4173" s="56"/>
    </row>
    <row r="4174" spans="1:16" ht="15.75" customHeight="1" x14ac:dyDescent="0.2">
      <c r="A4174" s="48">
        <v>4656</v>
      </c>
      <c r="B4174" s="11" t="s">
        <v>1857</v>
      </c>
      <c r="C4174" s="11" t="s">
        <v>1849</v>
      </c>
      <c r="D4174" s="6" t="s">
        <v>1850</v>
      </c>
      <c r="E4174" s="11" t="s">
        <v>8816</v>
      </c>
      <c r="F4174" s="12" t="s">
        <v>8816</v>
      </c>
      <c r="G4174" s="12" t="s">
        <v>8817</v>
      </c>
      <c r="H4174" s="59" t="s">
        <v>8830</v>
      </c>
      <c r="I4174" s="12" t="s">
        <v>9060</v>
      </c>
      <c r="J4174" s="11" t="s">
        <v>1856</v>
      </c>
      <c r="K4174" s="11" t="s">
        <v>1852</v>
      </c>
      <c r="L4174" s="11" t="s">
        <v>1853</v>
      </c>
      <c r="M4174" s="11" t="s">
        <v>9061</v>
      </c>
      <c r="N4174" s="12" t="s">
        <v>9062</v>
      </c>
      <c r="O4174" s="11" t="s">
        <v>1858</v>
      </c>
      <c r="P4174" s="56"/>
    </row>
    <row r="4175" spans="1:16" ht="15.75" customHeight="1" x14ac:dyDescent="0.2">
      <c r="A4175" s="48">
        <v>4607</v>
      </c>
      <c r="B4175" s="11" t="s">
        <v>1857</v>
      </c>
      <c r="C4175" s="11" t="s">
        <v>1849</v>
      </c>
      <c r="D4175" s="6" t="s">
        <v>1850</v>
      </c>
      <c r="E4175" s="11" t="s">
        <v>8816</v>
      </c>
      <c r="F4175" s="12" t="s">
        <v>8816</v>
      </c>
      <c r="G4175" s="12" t="s">
        <v>8817</v>
      </c>
      <c r="H4175" s="59" t="s">
        <v>8817</v>
      </c>
      <c r="I4175" s="12" t="s">
        <v>9063</v>
      </c>
      <c r="J4175" s="11" t="s">
        <v>1851</v>
      </c>
      <c r="K4175" s="11" t="s">
        <v>1852</v>
      </c>
      <c r="L4175" s="11" t="s">
        <v>1853</v>
      </c>
      <c r="M4175" s="11" t="s">
        <v>9064</v>
      </c>
      <c r="N4175" s="12" t="s">
        <v>9065</v>
      </c>
      <c r="O4175" s="11" t="s">
        <v>1858</v>
      </c>
      <c r="P4175" s="56"/>
    </row>
    <row r="4176" spans="1:16" ht="15.75" customHeight="1" x14ac:dyDescent="0.2">
      <c r="A4176" s="48">
        <v>4727</v>
      </c>
      <c r="B4176" s="11" t="s">
        <v>1857</v>
      </c>
      <c r="C4176" s="11" t="s">
        <v>1849</v>
      </c>
      <c r="D4176" s="6" t="s">
        <v>1850</v>
      </c>
      <c r="E4176" s="11" t="s">
        <v>8816</v>
      </c>
      <c r="F4176" s="12" t="s">
        <v>8816</v>
      </c>
      <c r="G4176" s="12" t="s">
        <v>8844</v>
      </c>
      <c r="H4176" s="12" t="s">
        <v>8823</v>
      </c>
      <c r="I4176" s="12" t="s">
        <v>9066</v>
      </c>
      <c r="J4176" s="11" t="s">
        <v>1856</v>
      </c>
      <c r="K4176" s="11" t="s">
        <v>1852</v>
      </c>
      <c r="L4176" s="11" t="s">
        <v>1853</v>
      </c>
      <c r="M4176" s="11" t="s">
        <v>9067</v>
      </c>
      <c r="N4176" s="12" t="s">
        <v>9068</v>
      </c>
      <c r="O4176" s="11" t="s">
        <v>1860</v>
      </c>
      <c r="P4176" s="56"/>
    </row>
    <row r="4177" spans="1:16" ht="15.75" customHeight="1" x14ac:dyDescent="0.2">
      <c r="A4177" s="48">
        <v>4170</v>
      </c>
      <c r="B4177" s="11" t="s">
        <v>1857</v>
      </c>
      <c r="C4177" s="11" t="s">
        <v>1849</v>
      </c>
      <c r="D4177" s="6" t="s">
        <v>1850</v>
      </c>
      <c r="E4177" s="11" t="s">
        <v>8816</v>
      </c>
      <c r="F4177" s="12" t="s">
        <v>8816</v>
      </c>
      <c r="G4177" s="12" t="s">
        <v>8851</v>
      </c>
      <c r="H4177" s="12" t="s">
        <v>8851</v>
      </c>
      <c r="I4177" s="12" t="s">
        <v>9069</v>
      </c>
      <c r="J4177" s="11" t="s">
        <v>1856</v>
      </c>
      <c r="K4177" s="11" t="s">
        <v>1852</v>
      </c>
      <c r="L4177" s="11" t="s">
        <v>1853</v>
      </c>
      <c r="M4177" s="11" t="s">
        <v>6131</v>
      </c>
      <c r="N4177" s="12" t="s">
        <v>9070</v>
      </c>
      <c r="O4177" s="11" t="s">
        <v>1858</v>
      </c>
      <c r="P4177" s="56"/>
    </row>
    <row r="4178" spans="1:16" ht="15.75" customHeight="1" x14ac:dyDescent="0.2">
      <c r="A4178" s="48">
        <v>4627</v>
      </c>
      <c r="B4178" s="11" t="s">
        <v>1857</v>
      </c>
      <c r="C4178" s="11" t="s">
        <v>1849</v>
      </c>
      <c r="D4178" s="6" t="s">
        <v>1850</v>
      </c>
      <c r="E4178" s="11" t="s">
        <v>8816</v>
      </c>
      <c r="F4178" s="12" t="s">
        <v>8816</v>
      </c>
      <c r="G4178" s="12" t="s">
        <v>8817</v>
      </c>
      <c r="H4178" s="59" t="s">
        <v>8817</v>
      </c>
      <c r="I4178" s="12" t="s">
        <v>9071</v>
      </c>
      <c r="J4178" s="11" t="s">
        <v>1851</v>
      </c>
      <c r="K4178" s="11" t="s">
        <v>1852</v>
      </c>
      <c r="L4178" s="11" t="s">
        <v>1853</v>
      </c>
      <c r="M4178" s="11" t="s">
        <v>8828</v>
      </c>
      <c r="N4178" s="12" t="s">
        <v>9072</v>
      </c>
      <c r="O4178" s="11" t="s">
        <v>1869</v>
      </c>
      <c r="P4178" s="56"/>
    </row>
    <row r="4179" spans="1:16" ht="15.75" customHeight="1" x14ac:dyDescent="0.2">
      <c r="A4179" s="48">
        <v>4423</v>
      </c>
      <c r="B4179" s="11" t="s">
        <v>1857</v>
      </c>
      <c r="C4179" s="11" t="s">
        <v>1849</v>
      </c>
      <c r="D4179" s="6" t="s">
        <v>1850</v>
      </c>
      <c r="E4179" s="11" t="s">
        <v>8816</v>
      </c>
      <c r="F4179" s="12" t="s">
        <v>8816</v>
      </c>
      <c r="G4179" s="12" t="s">
        <v>8858</v>
      </c>
      <c r="H4179" s="12" t="s">
        <v>8883</v>
      </c>
      <c r="I4179" s="12" t="s">
        <v>9073</v>
      </c>
      <c r="J4179" s="11" t="s">
        <v>1856</v>
      </c>
      <c r="K4179" s="11" t="s">
        <v>1852</v>
      </c>
      <c r="L4179" s="11" t="s">
        <v>1853</v>
      </c>
      <c r="M4179" s="11" t="s">
        <v>6131</v>
      </c>
      <c r="N4179" s="12" t="s">
        <v>9074</v>
      </c>
      <c r="O4179" s="11" t="s">
        <v>1858</v>
      </c>
      <c r="P4179" s="56"/>
    </row>
    <row r="4180" spans="1:16" ht="15.75" customHeight="1" x14ac:dyDescent="0.2">
      <c r="A4180" s="48">
        <v>4620</v>
      </c>
      <c r="B4180" s="11" t="s">
        <v>1857</v>
      </c>
      <c r="C4180" s="11" t="s">
        <v>1849</v>
      </c>
      <c r="D4180" s="6" t="s">
        <v>1850</v>
      </c>
      <c r="E4180" s="11" t="s">
        <v>8816</v>
      </c>
      <c r="F4180" s="12" t="s">
        <v>8816</v>
      </c>
      <c r="G4180" s="12" t="s">
        <v>8817</v>
      </c>
      <c r="H4180" s="59" t="s">
        <v>8817</v>
      </c>
      <c r="I4180" s="12" t="s">
        <v>9075</v>
      </c>
      <c r="J4180" s="11" t="s">
        <v>1851</v>
      </c>
      <c r="K4180" s="11" t="s">
        <v>1852</v>
      </c>
      <c r="L4180" s="11" t="s">
        <v>1853</v>
      </c>
      <c r="M4180" s="11" t="s">
        <v>9076</v>
      </c>
      <c r="N4180" s="12" t="s">
        <v>9077</v>
      </c>
      <c r="O4180" s="11" t="s">
        <v>1858</v>
      </c>
      <c r="P4180" s="56"/>
    </row>
    <row r="4181" spans="1:16" ht="15.75" customHeight="1" x14ac:dyDescent="0.2">
      <c r="A4181" s="48">
        <v>4729</v>
      </c>
      <c r="B4181" s="11" t="s">
        <v>1857</v>
      </c>
      <c r="C4181" s="11" t="s">
        <v>1849</v>
      </c>
      <c r="D4181" s="6" t="s">
        <v>1850</v>
      </c>
      <c r="E4181" s="11" t="s">
        <v>8816</v>
      </c>
      <c r="F4181" s="12" t="s">
        <v>8816</v>
      </c>
      <c r="G4181" s="12" t="s">
        <v>8844</v>
      </c>
      <c r="H4181" s="12" t="s">
        <v>8823</v>
      </c>
      <c r="I4181" s="12" t="s">
        <v>9078</v>
      </c>
      <c r="J4181" s="11" t="s">
        <v>1851</v>
      </c>
      <c r="K4181" s="11" t="s">
        <v>1852</v>
      </c>
      <c r="L4181" s="11" t="s">
        <v>1853</v>
      </c>
      <c r="M4181" s="11" t="s">
        <v>9079</v>
      </c>
      <c r="N4181" s="12" t="s">
        <v>9080</v>
      </c>
      <c r="O4181" s="11" t="s">
        <v>1869</v>
      </c>
      <c r="P4181" s="56"/>
    </row>
    <row r="4182" spans="1:16" ht="15.75" customHeight="1" x14ac:dyDescent="0.2">
      <c r="A4182" s="48">
        <v>4455</v>
      </c>
      <c r="B4182" s="11" t="s">
        <v>1857</v>
      </c>
      <c r="C4182" s="11" t="s">
        <v>1849</v>
      </c>
      <c r="D4182" s="6" t="s">
        <v>1850</v>
      </c>
      <c r="E4182" s="11" t="s">
        <v>8816</v>
      </c>
      <c r="F4182" s="12" t="s">
        <v>8816</v>
      </c>
      <c r="G4182" s="12" t="s">
        <v>6658</v>
      </c>
      <c r="H4182" s="59" t="s">
        <v>6658</v>
      </c>
      <c r="I4182" s="12" t="s">
        <v>9081</v>
      </c>
      <c r="J4182" s="11" t="s">
        <v>1856</v>
      </c>
      <c r="K4182" s="11" t="s">
        <v>1852</v>
      </c>
      <c r="L4182" s="11" t="s">
        <v>1853</v>
      </c>
      <c r="M4182" s="11" t="s">
        <v>2244</v>
      </c>
      <c r="N4182" s="12"/>
      <c r="O4182" s="11" t="s">
        <v>2378</v>
      </c>
      <c r="P4182" s="56" t="s">
        <v>1865</v>
      </c>
    </row>
    <row r="4183" spans="1:16" ht="15.75" customHeight="1" x14ac:dyDescent="0.2">
      <c r="A4183" s="48">
        <v>4690</v>
      </c>
      <c r="B4183" s="11" t="s">
        <v>1857</v>
      </c>
      <c r="C4183" s="11" t="s">
        <v>1849</v>
      </c>
      <c r="D4183" s="6" t="s">
        <v>1850</v>
      </c>
      <c r="E4183" s="11" t="s">
        <v>8816</v>
      </c>
      <c r="F4183" s="12" t="s">
        <v>8816</v>
      </c>
      <c r="G4183" s="12" t="s">
        <v>8817</v>
      </c>
      <c r="H4183" s="59" t="s">
        <v>9082</v>
      </c>
      <c r="I4183" s="12" t="s">
        <v>9083</v>
      </c>
      <c r="J4183" s="11" t="s">
        <v>1851</v>
      </c>
      <c r="K4183" s="11" t="s">
        <v>1852</v>
      </c>
      <c r="L4183" s="11" t="s">
        <v>1853</v>
      </c>
      <c r="M4183" s="11" t="s">
        <v>6129</v>
      </c>
      <c r="N4183" s="12" t="s">
        <v>9084</v>
      </c>
      <c r="O4183" s="11" t="s">
        <v>1858</v>
      </c>
      <c r="P4183" s="56"/>
    </row>
    <row r="4184" spans="1:16" ht="15.75" customHeight="1" x14ac:dyDescent="0.2">
      <c r="A4184" s="48">
        <v>4629</v>
      </c>
      <c r="B4184" s="11" t="s">
        <v>1857</v>
      </c>
      <c r="C4184" s="11" t="s">
        <v>1849</v>
      </c>
      <c r="D4184" s="6" t="s">
        <v>1850</v>
      </c>
      <c r="E4184" s="11" t="s">
        <v>8816</v>
      </c>
      <c r="F4184" s="12" t="s">
        <v>8816</v>
      </c>
      <c r="G4184" s="12" t="s">
        <v>8817</v>
      </c>
      <c r="H4184" s="59" t="s">
        <v>9082</v>
      </c>
      <c r="I4184" s="12" t="s">
        <v>9085</v>
      </c>
      <c r="J4184" s="11" t="s">
        <v>1856</v>
      </c>
      <c r="K4184" s="11" t="s">
        <v>1852</v>
      </c>
      <c r="L4184" s="11" t="s">
        <v>1853</v>
      </c>
      <c r="M4184" s="11" t="s">
        <v>2244</v>
      </c>
      <c r="N4184" s="12" t="s">
        <v>9086</v>
      </c>
      <c r="O4184" s="11" t="s">
        <v>1858</v>
      </c>
      <c r="P4184" s="56"/>
    </row>
    <row r="4185" spans="1:16" ht="15.75" customHeight="1" x14ac:dyDescent="0.2">
      <c r="A4185" s="48">
        <v>4633</v>
      </c>
      <c r="B4185" s="11" t="s">
        <v>1857</v>
      </c>
      <c r="C4185" s="11" t="s">
        <v>1849</v>
      </c>
      <c r="D4185" s="6" t="s">
        <v>1850</v>
      </c>
      <c r="E4185" s="11" t="s">
        <v>8816</v>
      </c>
      <c r="F4185" s="12" t="s">
        <v>8816</v>
      </c>
      <c r="G4185" s="12" t="s">
        <v>8817</v>
      </c>
      <c r="H4185" s="59" t="s">
        <v>8817</v>
      </c>
      <c r="I4185" s="12" t="s">
        <v>9087</v>
      </c>
      <c r="J4185" s="11" t="s">
        <v>1851</v>
      </c>
      <c r="K4185" s="11" t="s">
        <v>1852</v>
      </c>
      <c r="L4185" s="11" t="s">
        <v>1853</v>
      </c>
      <c r="M4185" s="11" t="s">
        <v>1971</v>
      </c>
      <c r="N4185" s="12" t="s">
        <v>9088</v>
      </c>
      <c r="O4185" s="11" t="s">
        <v>1858</v>
      </c>
      <c r="P4185" s="56"/>
    </row>
    <row r="4186" spans="1:16" ht="15.75" customHeight="1" x14ac:dyDescent="0.2">
      <c r="A4186" s="48">
        <v>4357</v>
      </c>
      <c r="B4186" s="11" t="s">
        <v>1857</v>
      </c>
      <c r="C4186" s="11" t="s">
        <v>1849</v>
      </c>
      <c r="D4186" s="6" t="s">
        <v>1850</v>
      </c>
      <c r="E4186" s="11" t="s">
        <v>8816</v>
      </c>
      <c r="F4186" s="12" t="s">
        <v>8816</v>
      </c>
      <c r="G4186" s="12" t="s">
        <v>5635</v>
      </c>
      <c r="H4186" s="12" t="s">
        <v>8993</v>
      </c>
      <c r="I4186" s="12" t="s">
        <v>682</v>
      </c>
      <c r="J4186" s="11" t="s">
        <v>1856</v>
      </c>
      <c r="K4186" s="11" t="s">
        <v>1852</v>
      </c>
      <c r="L4186" s="11" t="s">
        <v>1853</v>
      </c>
      <c r="M4186" s="11" t="s">
        <v>9089</v>
      </c>
      <c r="N4186" s="12"/>
      <c r="O4186" s="11" t="s">
        <v>1859</v>
      </c>
      <c r="P4186" s="56"/>
    </row>
    <row r="4187" spans="1:16" ht="15.75" customHeight="1" x14ac:dyDescent="0.2">
      <c r="A4187" s="48">
        <v>4438</v>
      </c>
      <c r="B4187" s="11" t="s">
        <v>1857</v>
      </c>
      <c r="C4187" s="11" t="s">
        <v>1849</v>
      </c>
      <c r="D4187" s="6" t="s">
        <v>1850</v>
      </c>
      <c r="E4187" s="11" t="s">
        <v>8816</v>
      </c>
      <c r="F4187" s="12" t="s">
        <v>8816</v>
      </c>
      <c r="G4187" s="12" t="s">
        <v>8825</v>
      </c>
      <c r="H4187" s="59" t="s">
        <v>8825</v>
      </c>
      <c r="I4187" s="12" t="s">
        <v>5241</v>
      </c>
      <c r="J4187" s="11" t="s">
        <v>1856</v>
      </c>
      <c r="K4187" s="11" t="s">
        <v>1852</v>
      </c>
      <c r="L4187" s="11" t="s">
        <v>1853</v>
      </c>
      <c r="M4187" s="11" t="s">
        <v>1854</v>
      </c>
      <c r="N4187" s="12"/>
      <c r="O4187" s="11" t="s">
        <v>1858</v>
      </c>
      <c r="P4187" s="56"/>
    </row>
    <row r="4188" spans="1:16" ht="15.75" customHeight="1" x14ac:dyDescent="0.2">
      <c r="A4188" s="48">
        <v>4768</v>
      </c>
      <c r="B4188" s="11" t="s">
        <v>1857</v>
      </c>
      <c r="C4188" s="11" t="s">
        <v>1849</v>
      </c>
      <c r="D4188" s="6" t="s">
        <v>1850</v>
      </c>
      <c r="E4188" s="11" t="s">
        <v>8816</v>
      </c>
      <c r="F4188" s="12" t="s">
        <v>8816</v>
      </c>
      <c r="G4188" s="12" t="s">
        <v>8844</v>
      </c>
      <c r="H4188" s="59" t="s">
        <v>8912</v>
      </c>
      <c r="I4188" s="12" t="s">
        <v>5243</v>
      </c>
      <c r="J4188" s="11" t="s">
        <v>1856</v>
      </c>
      <c r="K4188" s="11" t="s">
        <v>1852</v>
      </c>
      <c r="L4188" s="11" t="s">
        <v>1853</v>
      </c>
      <c r="M4188" s="11" t="s">
        <v>8863</v>
      </c>
      <c r="N4188" s="12"/>
      <c r="O4188" s="11" t="s">
        <v>1859</v>
      </c>
      <c r="P4188" s="56"/>
    </row>
    <row r="4189" spans="1:16" ht="15.75" customHeight="1" x14ac:dyDescent="0.2">
      <c r="A4189" s="48">
        <v>4356</v>
      </c>
      <c r="B4189" s="11" t="s">
        <v>1857</v>
      </c>
      <c r="C4189" s="11" t="s">
        <v>1849</v>
      </c>
      <c r="D4189" s="6" t="s">
        <v>1850</v>
      </c>
      <c r="E4189" s="11" t="s">
        <v>8816</v>
      </c>
      <c r="F4189" s="12" t="s">
        <v>8816</v>
      </c>
      <c r="G4189" s="12" t="s">
        <v>5635</v>
      </c>
      <c r="H4189" s="12" t="s">
        <v>5231</v>
      </c>
      <c r="I4189" s="12" t="s">
        <v>9090</v>
      </c>
      <c r="J4189" s="11" t="s">
        <v>1856</v>
      </c>
      <c r="K4189" s="11" t="s">
        <v>1852</v>
      </c>
      <c r="L4189" s="11" t="s">
        <v>1853</v>
      </c>
      <c r="M4189" s="11" t="s">
        <v>9091</v>
      </c>
      <c r="N4189" s="12"/>
      <c r="O4189" s="11" t="s">
        <v>1858</v>
      </c>
      <c r="P4189" s="56"/>
    </row>
    <row r="4190" spans="1:16" ht="15.75" customHeight="1" x14ac:dyDescent="0.2">
      <c r="A4190" s="48">
        <v>4162</v>
      </c>
      <c r="B4190" s="11" t="s">
        <v>1857</v>
      </c>
      <c r="C4190" s="11" t="s">
        <v>1849</v>
      </c>
      <c r="D4190" s="6" t="s">
        <v>1850</v>
      </c>
      <c r="E4190" s="11" t="s">
        <v>8816</v>
      </c>
      <c r="F4190" s="12" t="s">
        <v>8816</v>
      </c>
      <c r="G4190" s="12" t="s">
        <v>8851</v>
      </c>
      <c r="H4190" s="12" t="s">
        <v>8851</v>
      </c>
      <c r="I4190" s="12" t="s">
        <v>6244</v>
      </c>
      <c r="J4190" s="11" t="s">
        <v>1856</v>
      </c>
      <c r="K4190" s="11" t="s">
        <v>1852</v>
      </c>
      <c r="L4190" s="11" t="s">
        <v>1853</v>
      </c>
      <c r="M4190" s="11" t="s">
        <v>2539</v>
      </c>
      <c r="N4190" s="12"/>
      <c r="O4190" s="11" t="s">
        <v>1859</v>
      </c>
      <c r="P4190" s="56"/>
    </row>
    <row r="4191" spans="1:16" ht="15.75" customHeight="1" x14ac:dyDescent="0.2">
      <c r="A4191" s="48">
        <v>4273</v>
      </c>
      <c r="B4191" s="11" t="s">
        <v>1857</v>
      </c>
      <c r="C4191" s="11" t="s">
        <v>1849</v>
      </c>
      <c r="D4191" s="6" t="s">
        <v>1850</v>
      </c>
      <c r="E4191" s="11" t="s">
        <v>8816</v>
      </c>
      <c r="F4191" s="12" t="s">
        <v>8816</v>
      </c>
      <c r="G4191" s="12" t="s">
        <v>2299</v>
      </c>
      <c r="H4191" s="12" t="s">
        <v>3548</v>
      </c>
      <c r="I4191" s="12" t="s">
        <v>9092</v>
      </c>
      <c r="J4191" s="11" t="s">
        <v>1856</v>
      </c>
      <c r="K4191" s="11" t="s">
        <v>1852</v>
      </c>
      <c r="L4191" s="11" t="s">
        <v>1853</v>
      </c>
      <c r="M4191" s="11" t="s">
        <v>1854</v>
      </c>
      <c r="N4191" s="12"/>
      <c r="O4191" s="11" t="s">
        <v>7931</v>
      </c>
      <c r="P4191" s="56"/>
    </row>
    <row r="4192" spans="1:16" ht="15.75" customHeight="1" x14ac:dyDescent="0.2">
      <c r="A4192" s="48">
        <v>4379</v>
      </c>
      <c r="B4192" s="11" t="s">
        <v>1857</v>
      </c>
      <c r="C4192" s="11" t="s">
        <v>1849</v>
      </c>
      <c r="D4192" s="6" t="s">
        <v>1850</v>
      </c>
      <c r="E4192" s="11" t="s">
        <v>8816</v>
      </c>
      <c r="F4192" s="12" t="s">
        <v>8816</v>
      </c>
      <c r="G4192" s="12" t="s">
        <v>8928</v>
      </c>
      <c r="H4192" s="59" t="s">
        <v>9093</v>
      </c>
      <c r="I4192" s="12" t="s">
        <v>9094</v>
      </c>
      <c r="J4192" s="11" t="s">
        <v>1856</v>
      </c>
      <c r="K4192" s="11" t="s">
        <v>1852</v>
      </c>
      <c r="L4192" s="11" t="s">
        <v>1853</v>
      </c>
      <c r="M4192" s="11" t="s">
        <v>2390</v>
      </c>
      <c r="N4192" s="12"/>
      <c r="O4192" s="11" t="s">
        <v>1859</v>
      </c>
      <c r="P4192" s="56"/>
    </row>
    <row r="4193" spans="1:16" ht="15.75" customHeight="1" x14ac:dyDescent="0.2">
      <c r="A4193" s="48">
        <v>4148</v>
      </c>
      <c r="B4193" s="11" t="s">
        <v>1857</v>
      </c>
      <c r="C4193" s="11" t="s">
        <v>1849</v>
      </c>
      <c r="D4193" s="6" t="s">
        <v>1850</v>
      </c>
      <c r="E4193" s="11" t="s">
        <v>8816</v>
      </c>
      <c r="F4193" s="12" t="s">
        <v>8816</v>
      </c>
      <c r="G4193" s="12" t="s">
        <v>8820</v>
      </c>
      <c r="H4193" s="12" t="s">
        <v>9095</v>
      </c>
      <c r="I4193" s="12" t="s">
        <v>9096</v>
      </c>
      <c r="J4193" s="11" t="s">
        <v>1856</v>
      </c>
      <c r="K4193" s="11" t="s">
        <v>1852</v>
      </c>
      <c r="L4193" s="11" t="s">
        <v>1853</v>
      </c>
      <c r="M4193" s="11" t="s">
        <v>6635</v>
      </c>
      <c r="N4193" s="12"/>
      <c r="O4193" s="11" t="s">
        <v>1859</v>
      </c>
      <c r="P4193" s="56"/>
    </row>
    <row r="4194" spans="1:16" ht="15.75" customHeight="1" x14ac:dyDescent="0.2">
      <c r="A4194" s="48">
        <v>4819</v>
      </c>
      <c r="B4194" s="11" t="s">
        <v>1857</v>
      </c>
      <c r="C4194" s="11" t="s">
        <v>1849</v>
      </c>
      <c r="D4194" s="6" t="s">
        <v>1850</v>
      </c>
      <c r="E4194" s="11" t="s">
        <v>8816</v>
      </c>
      <c r="F4194" s="12" t="s">
        <v>8816</v>
      </c>
      <c r="G4194" s="12" t="s">
        <v>8844</v>
      </c>
      <c r="H4194" s="59" t="s">
        <v>8890</v>
      </c>
      <c r="I4194" s="12" t="s">
        <v>9097</v>
      </c>
      <c r="J4194" s="11" t="s">
        <v>1856</v>
      </c>
      <c r="K4194" s="11" t="s">
        <v>1852</v>
      </c>
      <c r="L4194" s="11" t="s">
        <v>1853</v>
      </c>
      <c r="M4194" s="11" t="s">
        <v>9098</v>
      </c>
      <c r="N4194" s="12"/>
      <c r="O4194" s="11" t="s">
        <v>1859</v>
      </c>
      <c r="P4194" s="56"/>
    </row>
    <row r="4195" spans="1:16" ht="15.75" customHeight="1" x14ac:dyDescent="0.2">
      <c r="A4195" s="48">
        <v>4568</v>
      </c>
      <c r="B4195" s="11" t="s">
        <v>1857</v>
      </c>
      <c r="C4195" s="11" t="s">
        <v>1849</v>
      </c>
      <c r="D4195" s="6" t="s">
        <v>1850</v>
      </c>
      <c r="E4195" s="11" t="s">
        <v>8816</v>
      </c>
      <c r="F4195" s="12" t="s">
        <v>8816</v>
      </c>
      <c r="G4195" s="12" t="s">
        <v>8817</v>
      </c>
      <c r="H4195" s="59" t="s">
        <v>8817</v>
      </c>
      <c r="I4195" s="12" t="s">
        <v>9099</v>
      </c>
      <c r="J4195" s="11" t="s">
        <v>1851</v>
      </c>
      <c r="K4195" s="11" t="s">
        <v>1852</v>
      </c>
      <c r="L4195" s="11" t="s">
        <v>1853</v>
      </c>
      <c r="M4195" s="11" t="s">
        <v>9100</v>
      </c>
      <c r="N4195" s="12" t="s">
        <v>9101</v>
      </c>
      <c r="O4195" s="11" t="s">
        <v>2587</v>
      </c>
      <c r="P4195" s="56" t="s">
        <v>1865</v>
      </c>
    </row>
    <row r="4196" spans="1:16" ht="15.75" customHeight="1" x14ac:dyDescent="0.2">
      <c r="A4196" s="48">
        <v>4812</v>
      </c>
      <c r="B4196" s="11" t="s">
        <v>1857</v>
      </c>
      <c r="C4196" s="11" t="s">
        <v>1849</v>
      </c>
      <c r="D4196" s="6" t="s">
        <v>1850</v>
      </c>
      <c r="E4196" s="11" t="s">
        <v>8816</v>
      </c>
      <c r="F4196" s="12" t="s">
        <v>8816</v>
      </c>
      <c r="G4196" s="12" t="s">
        <v>8844</v>
      </c>
      <c r="H4196" s="59" t="s">
        <v>3676</v>
      </c>
      <c r="I4196" s="12" t="s">
        <v>9102</v>
      </c>
      <c r="J4196" s="11" t="s">
        <v>1856</v>
      </c>
      <c r="K4196" s="11" t="s">
        <v>1852</v>
      </c>
      <c r="L4196" s="11" t="s">
        <v>1853</v>
      </c>
      <c r="M4196" s="11" t="s">
        <v>6131</v>
      </c>
      <c r="N4196" s="12" t="s">
        <v>9103</v>
      </c>
      <c r="O4196" s="11" t="s">
        <v>2412</v>
      </c>
      <c r="P4196" s="56" t="s">
        <v>9104</v>
      </c>
    </row>
    <row r="4197" spans="1:16" ht="15.75" customHeight="1" x14ac:dyDescent="0.2">
      <c r="A4197" s="48">
        <v>4566</v>
      </c>
      <c r="B4197" s="11" t="s">
        <v>1857</v>
      </c>
      <c r="C4197" s="11" t="s">
        <v>1849</v>
      </c>
      <c r="D4197" s="6" t="s">
        <v>1850</v>
      </c>
      <c r="E4197" s="11" t="s">
        <v>8816</v>
      </c>
      <c r="F4197" s="12" t="s">
        <v>8816</v>
      </c>
      <c r="G4197" s="12" t="s">
        <v>8858</v>
      </c>
      <c r="H4197" s="12" t="s">
        <v>8883</v>
      </c>
      <c r="I4197" s="12" t="s">
        <v>9105</v>
      </c>
      <c r="J4197" s="11" t="s">
        <v>1856</v>
      </c>
      <c r="K4197" s="11" t="s">
        <v>1852</v>
      </c>
      <c r="L4197" s="11" t="s">
        <v>1853</v>
      </c>
      <c r="M4197" s="11" t="s">
        <v>9106</v>
      </c>
      <c r="N4197" s="12"/>
      <c r="O4197" s="11" t="s">
        <v>1864</v>
      </c>
      <c r="P4197" s="56" t="s">
        <v>1865</v>
      </c>
    </row>
    <row r="4198" spans="1:16" ht="15.75" customHeight="1" x14ac:dyDescent="0.2">
      <c r="A4198" s="48">
        <v>4107</v>
      </c>
      <c r="B4198" s="11" t="s">
        <v>1857</v>
      </c>
      <c r="C4198" s="11" t="s">
        <v>1849</v>
      </c>
      <c r="D4198" s="6" t="s">
        <v>1850</v>
      </c>
      <c r="E4198" s="11" t="s">
        <v>8816</v>
      </c>
      <c r="F4198" s="12" t="s">
        <v>8816</v>
      </c>
      <c r="G4198" s="12" t="s">
        <v>8820</v>
      </c>
      <c r="H4198" s="12" t="s">
        <v>8820</v>
      </c>
      <c r="I4198" s="12" t="s">
        <v>9107</v>
      </c>
      <c r="J4198" s="11" t="s">
        <v>1856</v>
      </c>
      <c r="K4198" s="11" t="s">
        <v>1852</v>
      </c>
      <c r="L4198" s="11" t="s">
        <v>1853</v>
      </c>
      <c r="M4198" s="11" t="s">
        <v>9108</v>
      </c>
      <c r="N4198" s="12" t="s">
        <v>9109</v>
      </c>
      <c r="O4198" s="11" t="s">
        <v>2412</v>
      </c>
      <c r="P4198" s="56" t="s">
        <v>9110</v>
      </c>
    </row>
    <row r="4199" spans="1:16" ht="15.75" customHeight="1" x14ac:dyDescent="0.2">
      <c r="A4199" s="48">
        <v>4654</v>
      </c>
      <c r="B4199" s="11" t="s">
        <v>1857</v>
      </c>
      <c r="C4199" s="11" t="s">
        <v>1849</v>
      </c>
      <c r="D4199" s="6" t="s">
        <v>1850</v>
      </c>
      <c r="E4199" s="11" t="s">
        <v>8816</v>
      </c>
      <c r="F4199" s="12" t="s">
        <v>8816</v>
      </c>
      <c r="G4199" s="12" t="s">
        <v>8817</v>
      </c>
      <c r="H4199" s="12" t="s">
        <v>8830</v>
      </c>
      <c r="I4199" s="12" t="s">
        <v>9111</v>
      </c>
      <c r="J4199" s="11" t="s">
        <v>1856</v>
      </c>
      <c r="K4199" s="11" t="s">
        <v>1852</v>
      </c>
      <c r="L4199" s="11" t="s">
        <v>1853</v>
      </c>
      <c r="M4199" s="11" t="s">
        <v>9112</v>
      </c>
      <c r="N4199" s="12" t="s">
        <v>9113</v>
      </c>
      <c r="O4199" s="11" t="s">
        <v>2412</v>
      </c>
      <c r="P4199" s="56" t="s">
        <v>2184</v>
      </c>
    </row>
    <row r="4200" spans="1:16" ht="15.75" customHeight="1" x14ac:dyDescent="0.2">
      <c r="A4200" s="48">
        <v>4244</v>
      </c>
      <c r="B4200" s="11" t="s">
        <v>1857</v>
      </c>
      <c r="C4200" s="11" t="s">
        <v>1849</v>
      </c>
      <c r="D4200" s="6" t="s">
        <v>1850</v>
      </c>
      <c r="E4200" s="11" t="s">
        <v>8816</v>
      </c>
      <c r="F4200" s="12" t="s">
        <v>8816</v>
      </c>
      <c r="G4200" s="12" t="s">
        <v>8851</v>
      </c>
      <c r="H4200" s="12" t="s">
        <v>8908</v>
      </c>
      <c r="I4200" s="12" t="s">
        <v>9114</v>
      </c>
      <c r="J4200" s="11" t="s">
        <v>1856</v>
      </c>
      <c r="K4200" s="11" t="s">
        <v>1852</v>
      </c>
      <c r="L4200" s="11" t="s">
        <v>1853</v>
      </c>
      <c r="M4200" s="11" t="s">
        <v>9115</v>
      </c>
      <c r="N4200" s="12"/>
      <c r="O4200" s="11" t="s">
        <v>1859</v>
      </c>
      <c r="P4200" s="56"/>
    </row>
    <row r="4201" spans="1:16" ht="15.75" customHeight="1" x14ac:dyDescent="0.2">
      <c r="A4201" s="48">
        <v>4464</v>
      </c>
      <c r="B4201" s="11" t="s">
        <v>1857</v>
      </c>
      <c r="C4201" s="11" t="s">
        <v>1849</v>
      </c>
      <c r="D4201" s="6" t="s">
        <v>1850</v>
      </c>
      <c r="E4201" s="11" t="s">
        <v>8816</v>
      </c>
      <c r="F4201" s="12" t="s">
        <v>8816</v>
      </c>
      <c r="G4201" s="12" t="s">
        <v>6658</v>
      </c>
      <c r="H4201" s="59" t="s">
        <v>9116</v>
      </c>
      <c r="I4201" s="12" t="s">
        <v>9117</v>
      </c>
      <c r="J4201" s="11" t="s">
        <v>1856</v>
      </c>
      <c r="K4201" s="11" t="s">
        <v>1852</v>
      </c>
      <c r="L4201" s="11" t="s">
        <v>1853</v>
      </c>
      <c r="M4201" s="11" t="s">
        <v>1854</v>
      </c>
      <c r="N4201" s="12"/>
      <c r="O4201" s="11" t="s">
        <v>1859</v>
      </c>
      <c r="P4201" s="56"/>
    </row>
    <row r="4202" spans="1:16" ht="15.75" customHeight="1" x14ac:dyDescent="0.2">
      <c r="A4202" s="48">
        <v>4536</v>
      </c>
      <c r="B4202" s="11" t="s">
        <v>1857</v>
      </c>
      <c r="C4202" s="11" t="s">
        <v>1849</v>
      </c>
      <c r="D4202" s="6" t="s">
        <v>1850</v>
      </c>
      <c r="E4202" s="11" t="s">
        <v>8816</v>
      </c>
      <c r="F4202" s="12" t="s">
        <v>8816</v>
      </c>
      <c r="G4202" s="12" t="s">
        <v>4741</v>
      </c>
      <c r="H4202" s="59" t="s">
        <v>9118</v>
      </c>
      <c r="I4202" s="12" t="s">
        <v>9119</v>
      </c>
      <c r="J4202" s="11" t="s">
        <v>1856</v>
      </c>
      <c r="K4202" s="11" t="s">
        <v>1852</v>
      </c>
      <c r="L4202" s="11" t="s">
        <v>1853</v>
      </c>
      <c r="M4202" s="11" t="s">
        <v>2276</v>
      </c>
      <c r="N4202" s="12"/>
      <c r="O4202" s="11" t="s">
        <v>1859</v>
      </c>
      <c r="P4202" s="56"/>
    </row>
    <row r="4203" spans="1:16" ht="15.75" customHeight="1" x14ac:dyDescent="0.2">
      <c r="A4203" s="48">
        <v>5846</v>
      </c>
      <c r="B4203" s="11" t="s">
        <v>1857</v>
      </c>
      <c r="C4203" s="11" t="s">
        <v>1849</v>
      </c>
      <c r="D4203" s="6" t="s">
        <v>1850</v>
      </c>
      <c r="E4203" s="11" t="s">
        <v>8816</v>
      </c>
      <c r="F4203" s="12" t="s">
        <v>8816</v>
      </c>
      <c r="G4203" s="12" t="s">
        <v>5635</v>
      </c>
      <c r="H4203" s="12" t="s">
        <v>9120</v>
      </c>
      <c r="I4203" s="12" t="s">
        <v>1667</v>
      </c>
      <c r="J4203" s="11" t="s">
        <v>1856</v>
      </c>
      <c r="K4203" s="11" t="s">
        <v>1852</v>
      </c>
      <c r="L4203" s="11" t="s">
        <v>1853</v>
      </c>
      <c r="M4203" s="11" t="s">
        <v>1854</v>
      </c>
      <c r="N4203" s="12"/>
      <c r="O4203" s="11" t="s">
        <v>1859</v>
      </c>
      <c r="P4203" s="56"/>
    </row>
    <row r="4204" spans="1:16" ht="15.75" customHeight="1" x14ac:dyDescent="0.2">
      <c r="A4204" s="48">
        <v>4693</v>
      </c>
      <c r="B4204" s="11" t="s">
        <v>1857</v>
      </c>
      <c r="C4204" s="11" t="s">
        <v>1849</v>
      </c>
      <c r="D4204" s="6" t="s">
        <v>1850</v>
      </c>
      <c r="E4204" s="11" t="s">
        <v>8816</v>
      </c>
      <c r="F4204" s="12" t="s">
        <v>8816</v>
      </c>
      <c r="G4204" s="12" t="s">
        <v>8817</v>
      </c>
      <c r="H4204" s="59" t="s">
        <v>9082</v>
      </c>
      <c r="I4204" s="12" t="s">
        <v>9121</v>
      </c>
      <c r="J4204" s="11" t="s">
        <v>1856</v>
      </c>
      <c r="K4204" s="11" t="s">
        <v>1852</v>
      </c>
      <c r="L4204" s="11" t="s">
        <v>1853</v>
      </c>
      <c r="M4204" s="11" t="s">
        <v>3611</v>
      </c>
      <c r="N4204" s="12"/>
      <c r="O4204" s="11" t="s">
        <v>1859</v>
      </c>
      <c r="P4204" s="56"/>
    </row>
    <row r="4205" spans="1:16" ht="15.75" customHeight="1" x14ac:dyDescent="0.2">
      <c r="A4205" s="48">
        <v>4245</v>
      </c>
      <c r="B4205" s="11" t="s">
        <v>1857</v>
      </c>
      <c r="C4205" s="11" t="s">
        <v>1849</v>
      </c>
      <c r="D4205" s="6" t="s">
        <v>1850</v>
      </c>
      <c r="E4205" s="11" t="s">
        <v>8816</v>
      </c>
      <c r="F4205" s="12" t="s">
        <v>8816</v>
      </c>
      <c r="G4205" s="12" t="s">
        <v>8851</v>
      </c>
      <c r="H4205" s="12" t="s">
        <v>8974</v>
      </c>
      <c r="I4205" s="12" t="s">
        <v>9122</v>
      </c>
      <c r="J4205" s="11" t="s">
        <v>1856</v>
      </c>
      <c r="K4205" s="11" t="s">
        <v>1852</v>
      </c>
      <c r="L4205" s="11" t="s">
        <v>1853</v>
      </c>
      <c r="M4205" s="12" t="s">
        <v>3569</v>
      </c>
      <c r="N4205" s="12"/>
      <c r="O4205" s="11" t="s">
        <v>1859</v>
      </c>
      <c r="P4205" s="56"/>
    </row>
    <row r="4206" spans="1:16" ht="15.75" customHeight="1" x14ac:dyDescent="0.2">
      <c r="A4206" s="48">
        <v>4139</v>
      </c>
      <c r="B4206" s="11" t="s">
        <v>1857</v>
      </c>
      <c r="C4206" s="11" t="s">
        <v>1849</v>
      </c>
      <c r="D4206" s="6" t="s">
        <v>1850</v>
      </c>
      <c r="E4206" s="11" t="s">
        <v>8816</v>
      </c>
      <c r="F4206" s="12" t="s">
        <v>8816</v>
      </c>
      <c r="G4206" s="12" t="s">
        <v>8820</v>
      </c>
      <c r="H4206" s="12" t="s">
        <v>9123</v>
      </c>
      <c r="I4206" s="12" t="s">
        <v>9124</v>
      </c>
      <c r="J4206" s="11" t="s">
        <v>1856</v>
      </c>
      <c r="K4206" s="11" t="s">
        <v>1852</v>
      </c>
      <c r="L4206" s="11" t="s">
        <v>1853</v>
      </c>
      <c r="M4206" s="11" t="s">
        <v>1854</v>
      </c>
      <c r="N4206" s="12"/>
      <c r="O4206" s="11" t="s">
        <v>1858</v>
      </c>
      <c r="P4206" s="56"/>
    </row>
    <row r="4207" spans="1:16" ht="15.75" customHeight="1" x14ac:dyDescent="0.2">
      <c r="A4207" s="48">
        <v>4343</v>
      </c>
      <c r="B4207" s="11" t="s">
        <v>1857</v>
      </c>
      <c r="C4207" s="11" t="s">
        <v>1849</v>
      </c>
      <c r="D4207" s="6" t="s">
        <v>1850</v>
      </c>
      <c r="E4207" s="11" t="s">
        <v>8816</v>
      </c>
      <c r="F4207" s="12" t="s">
        <v>8816</v>
      </c>
      <c r="G4207" s="12" t="s">
        <v>5635</v>
      </c>
      <c r="H4207" s="12" t="s">
        <v>9120</v>
      </c>
      <c r="I4207" s="12" t="s">
        <v>9125</v>
      </c>
      <c r="J4207" s="11" t="s">
        <v>1856</v>
      </c>
      <c r="K4207" s="11" t="s">
        <v>1852</v>
      </c>
      <c r="L4207" s="11" t="s">
        <v>1853</v>
      </c>
      <c r="M4207" s="11" t="s">
        <v>2276</v>
      </c>
      <c r="N4207" s="12"/>
      <c r="O4207" s="11" t="s">
        <v>1858</v>
      </c>
      <c r="P4207" s="56"/>
    </row>
    <row r="4208" spans="1:16" ht="15.75" customHeight="1" x14ac:dyDescent="0.2">
      <c r="A4208" s="48">
        <v>4097</v>
      </c>
      <c r="B4208" s="11" t="s">
        <v>1857</v>
      </c>
      <c r="C4208" s="11" t="s">
        <v>1849</v>
      </c>
      <c r="D4208" s="6" t="s">
        <v>1850</v>
      </c>
      <c r="E4208" s="11" t="s">
        <v>8816</v>
      </c>
      <c r="F4208" s="12" t="s">
        <v>8816</v>
      </c>
      <c r="G4208" s="12" t="s">
        <v>8895</v>
      </c>
      <c r="H4208" s="12" t="s">
        <v>9126</v>
      </c>
      <c r="I4208" s="12" t="s">
        <v>9127</v>
      </c>
      <c r="J4208" s="11" t="s">
        <v>1856</v>
      </c>
      <c r="K4208" s="11" t="s">
        <v>1852</v>
      </c>
      <c r="L4208" s="11" t="s">
        <v>1853</v>
      </c>
      <c r="M4208" s="11" t="s">
        <v>1854</v>
      </c>
      <c r="N4208" s="12"/>
      <c r="O4208" s="11" t="s">
        <v>1858</v>
      </c>
      <c r="P4208" s="56"/>
    </row>
    <row r="4209" spans="1:16" ht="15.75" customHeight="1" x14ac:dyDescent="0.2">
      <c r="A4209" s="48">
        <v>4389</v>
      </c>
      <c r="B4209" s="11" t="s">
        <v>1857</v>
      </c>
      <c r="C4209" s="11" t="s">
        <v>1849</v>
      </c>
      <c r="D4209" s="6" t="s">
        <v>1850</v>
      </c>
      <c r="E4209" s="11" t="s">
        <v>8816</v>
      </c>
      <c r="F4209" s="12" t="s">
        <v>8816</v>
      </c>
      <c r="G4209" s="12" t="s">
        <v>8928</v>
      </c>
      <c r="H4209" s="59" t="s">
        <v>9128</v>
      </c>
      <c r="I4209" s="12" t="s">
        <v>9129</v>
      </c>
      <c r="J4209" s="11" t="s">
        <v>1856</v>
      </c>
      <c r="K4209" s="11" t="s">
        <v>1852</v>
      </c>
      <c r="L4209" s="11" t="s">
        <v>1853</v>
      </c>
      <c r="M4209" s="11" t="s">
        <v>1854</v>
      </c>
      <c r="N4209" s="12"/>
      <c r="O4209" s="11" t="s">
        <v>1858</v>
      </c>
      <c r="P4209" s="56"/>
    </row>
    <row r="4210" spans="1:16" ht="15.75" customHeight="1" x14ac:dyDescent="0.2">
      <c r="A4210" s="48">
        <v>4394</v>
      </c>
      <c r="B4210" s="11" t="s">
        <v>1857</v>
      </c>
      <c r="C4210" s="11" t="s">
        <v>1849</v>
      </c>
      <c r="D4210" s="6" t="s">
        <v>1850</v>
      </c>
      <c r="E4210" s="11" t="s">
        <v>8816</v>
      </c>
      <c r="F4210" s="12" t="s">
        <v>8816</v>
      </c>
      <c r="G4210" s="12" t="s">
        <v>8858</v>
      </c>
      <c r="H4210" s="12" t="s">
        <v>5715</v>
      </c>
      <c r="I4210" s="12" t="s">
        <v>5811</v>
      </c>
      <c r="J4210" s="11" t="s">
        <v>1856</v>
      </c>
      <c r="K4210" s="11" t="s">
        <v>1852</v>
      </c>
      <c r="L4210" s="11" t="s">
        <v>1853</v>
      </c>
      <c r="M4210" s="11" t="s">
        <v>9130</v>
      </c>
      <c r="N4210" s="12"/>
      <c r="O4210" s="11" t="s">
        <v>1859</v>
      </c>
      <c r="P4210" s="56"/>
    </row>
    <row r="4211" spans="1:16" ht="15.75" customHeight="1" x14ac:dyDescent="0.2">
      <c r="A4211" s="48">
        <v>4504</v>
      </c>
      <c r="B4211" s="11" t="s">
        <v>1857</v>
      </c>
      <c r="C4211" s="11" t="s">
        <v>1849</v>
      </c>
      <c r="D4211" s="6" t="s">
        <v>1850</v>
      </c>
      <c r="E4211" s="11" t="s">
        <v>8816</v>
      </c>
      <c r="F4211" s="12" t="s">
        <v>8816</v>
      </c>
      <c r="G4211" s="12" t="s">
        <v>4741</v>
      </c>
      <c r="H4211" s="59" t="s">
        <v>9131</v>
      </c>
      <c r="I4211" s="12" t="s">
        <v>8241</v>
      </c>
      <c r="J4211" s="11" t="s">
        <v>1856</v>
      </c>
      <c r="K4211" s="11" t="s">
        <v>1852</v>
      </c>
      <c r="L4211" s="11" t="s">
        <v>1853</v>
      </c>
      <c r="M4211" s="11" t="s">
        <v>2549</v>
      </c>
      <c r="N4211" s="12" t="s">
        <v>9132</v>
      </c>
      <c r="O4211" s="11" t="s">
        <v>1859</v>
      </c>
      <c r="P4211" s="56"/>
    </row>
    <row r="4212" spans="1:16" ht="15.75" customHeight="1" x14ac:dyDescent="0.2">
      <c r="A4212" s="48">
        <v>4350</v>
      </c>
      <c r="B4212" s="11" t="s">
        <v>1857</v>
      </c>
      <c r="C4212" s="11" t="s">
        <v>1849</v>
      </c>
      <c r="D4212" s="6" t="s">
        <v>1850</v>
      </c>
      <c r="E4212" s="11" t="s">
        <v>8816</v>
      </c>
      <c r="F4212" s="12" t="s">
        <v>8816</v>
      </c>
      <c r="G4212" s="12" t="s">
        <v>5635</v>
      </c>
      <c r="H4212" s="12" t="s">
        <v>5231</v>
      </c>
      <c r="I4212" s="12" t="s">
        <v>8241</v>
      </c>
      <c r="J4212" s="11" t="s">
        <v>1856</v>
      </c>
      <c r="K4212" s="11" t="s">
        <v>1852</v>
      </c>
      <c r="L4212" s="11" t="s">
        <v>1853</v>
      </c>
      <c r="M4212" s="12" t="s">
        <v>2549</v>
      </c>
      <c r="N4212" s="12"/>
      <c r="O4212" s="11" t="s">
        <v>1859</v>
      </c>
      <c r="P4212" s="56"/>
    </row>
    <row r="4213" spans="1:16" ht="15.75" customHeight="1" x14ac:dyDescent="0.2">
      <c r="A4213" s="48">
        <v>5845</v>
      </c>
      <c r="B4213" s="11" t="s">
        <v>1857</v>
      </c>
      <c r="C4213" s="11" t="s">
        <v>1849</v>
      </c>
      <c r="D4213" s="6" t="s">
        <v>1850</v>
      </c>
      <c r="E4213" s="11" t="s">
        <v>8816</v>
      </c>
      <c r="F4213" s="12" t="s">
        <v>8816</v>
      </c>
      <c r="G4213" s="12" t="s">
        <v>8851</v>
      </c>
      <c r="H4213" s="59" t="s">
        <v>5839</v>
      </c>
      <c r="I4213" s="12" t="s">
        <v>9133</v>
      </c>
      <c r="J4213" s="11" t="s">
        <v>1856</v>
      </c>
      <c r="K4213" s="11" t="s">
        <v>1852</v>
      </c>
      <c r="L4213" s="11" t="s">
        <v>1853</v>
      </c>
      <c r="M4213" s="11" t="s">
        <v>1854</v>
      </c>
      <c r="N4213" s="12"/>
      <c r="O4213" s="11" t="s">
        <v>1859</v>
      </c>
      <c r="P4213" s="56"/>
    </row>
    <row r="4214" spans="1:16" ht="15.75" customHeight="1" x14ac:dyDescent="0.2">
      <c r="A4214" s="48">
        <v>4649</v>
      </c>
      <c r="B4214" s="11" t="s">
        <v>1857</v>
      </c>
      <c r="C4214" s="11" t="s">
        <v>1849</v>
      </c>
      <c r="D4214" s="6" t="s">
        <v>1850</v>
      </c>
      <c r="E4214" s="11" t="s">
        <v>8816</v>
      </c>
      <c r="F4214" s="12" t="s">
        <v>8816</v>
      </c>
      <c r="G4214" s="12" t="s">
        <v>8817</v>
      </c>
      <c r="H4214" s="59" t="s">
        <v>1892</v>
      </c>
      <c r="I4214" s="12" t="s">
        <v>9134</v>
      </c>
      <c r="J4214" s="11" t="s">
        <v>1856</v>
      </c>
      <c r="K4214" s="11" t="s">
        <v>1852</v>
      </c>
      <c r="L4214" s="11" t="s">
        <v>1853</v>
      </c>
      <c r="M4214" s="11" t="s">
        <v>8893</v>
      </c>
      <c r="N4214" s="12"/>
      <c r="O4214" s="11" t="s">
        <v>1859</v>
      </c>
      <c r="P4214" s="56"/>
    </row>
    <row r="4215" spans="1:16" ht="15.75" customHeight="1" x14ac:dyDescent="0.2">
      <c r="A4215" s="48">
        <v>4475</v>
      </c>
      <c r="B4215" s="11" t="s">
        <v>1857</v>
      </c>
      <c r="C4215" s="11" t="s">
        <v>1849</v>
      </c>
      <c r="D4215" s="6" t="s">
        <v>1850</v>
      </c>
      <c r="E4215" s="11" t="s">
        <v>8816</v>
      </c>
      <c r="F4215" s="12" t="s">
        <v>8816</v>
      </c>
      <c r="G4215" s="12" t="s">
        <v>6658</v>
      </c>
      <c r="H4215" s="59" t="s">
        <v>9022</v>
      </c>
      <c r="I4215" s="12" t="s">
        <v>4377</v>
      </c>
      <c r="J4215" s="11" t="s">
        <v>1856</v>
      </c>
      <c r="K4215" s="11" t="s">
        <v>1852</v>
      </c>
      <c r="L4215" s="11" t="s">
        <v>1853</v>
      </c>
      <c r="M4215" s="11" t="s">
        <v>1854</v>
      </c>
      <c r="N4215" s="12"/>
      <c r="O4215" s="11" t="s">
        <v>1859</v>
      </c>
      <c r="P4215" s="56"/>
    </row>
    <row r="4216" spans="1:16" ht="15.75" customHeight="1" x14ac:dyDescent="0.2">
      <c r="A4216" s="48">
        <v>4764</v>
      </c>
      <c r="B4216" s="11" t="s">
        <v>1857</v>
      </c>
      <c r="C4216" s="11" t="s">
        <v>1849</v>
      </c>
      <c r="D4216" s="6" t="s">
        <v>1850</v>
      </c>
      <c r="E4216" s="11" t="s">
        <v>8816</v>
      </c>
      <c r="F4216" s="12" t="s">
        <v>8816</v>
      </c>
      <c r="G4216" s="12" t="s">
        <v>8844</v>
      </c>
      <c r="H4216" s="59" t="s">
        <v>8963</v>
      </c>
      <c r="I4216" s="12" t="s">
        <v>9135</v>
      </c>
      <c r="J4216" s="11" t="s">
        <v>1856</v>
      </c>
      <c r="K4216" s="11" t="s">
        <v>1852</v>
      </c>
      <c r="L4216" s="11" t="s">
        <v>1853</v>
      </c>
      <c r="M4216" s="11" t="s">
        <v>9037</v>
      </c>
      <c r="N4216" s="12"/>
      <c r="O4216" s="11" t="s">
        <v>1859</v>
      </c>
      <c r="P4216" s="56"/>
    </row>
    <row r="4217" spans="1:16" ht="15.75" customHeight="1" x14ac:dyDescent="0.2">
      <c r="A4217" s="48">
        <v>4538</v>
      </c>
      <c r="B4217" s="11" t="s">
        <v>1857</v>
      </c>
      <c r="C4217" s="11" t="s">
        <v>1849</v>
      </c>
      <c r="D4217" s="6" t="s">
        <v>1850</v>
      </c>
      <c r="E4217" s="11" t="s">
        <v>8816</v>
      </c>
      <c r="F4217" s="12" t="s">
        <v>8816</v>
      </c>
      <c r="G4217" s="12" t="s">
        <v>4741</v>
      </c>
      <c r="H4217" s="59" t="s">
        <v>9118</v>
      </c>
      <c r="I4217" s="12" t="s">
        <v>5638</v>
      </c>
      <c r="J4217" s="11" t="s">
        <v>1856</v>
      </c>
      <c r="K4217" s="11" t="s">
        <v>1852</v>
      </c>
      <c r="L4217" s="11" t="s">
        <v>1853</v>
      </c>
      <c r="M4217" s="11" t="s">
        <v>9136</v>
      </c>
      <c r="N4217" s="12"/>
      <c r="O4217" s="11" t="s">
        <v>1859</v>
      </c>
      <c r="P4217" s="56"/>
    </row>
    <row r="4218" spans="1:16" ht="15.75" customHeight="1" x14ac:dyDescent="0.2">
      <c r="A4218" s="48">
        <v>4248</v>
      </c>
      <c r="B4218" s="11" t="s">
        <v>1857</v>
      </c>
      <c r="C4218" s="11" t="s">
        <v>1849</v>
      </c>
      <c r="D4218" s="6" t="s">
        <v>1850</v>
      </c>
      <c r="E4218" s="11" t="s">
        <v>8816</v>
      </c>
      <c r="F4218" s="12" t="s">
        <v>8816</v>
      </c>
      <c r="G4218" s="12" t="s">
        <v>8851</v>
      </c>
      <c r="H4218" s="12" t="s">
        <v>8974</v>
      </c>
      <c r="I4218" s="12" t="s">
        <v>9137</v>
      </c>
      <c r="J4218" s="11" t="s">
        <v>1856</v>
      </c>
      <c r="K4218" s="11" t="s">
        <v>1852</v>
      </c>
      <c r="L4218" s="11" t="s">
        <v>1853</v>
      </c>
      <c r="M4218" s="11" t="s">
        <v>3811</v>
      </c>
      <c r="N4218" s="12" t="s">
        <v>9138</v>
      </c>
      <c r="O4218" s="11" t="s">
        <v>1859</v>
      </c>
      <c r="P4218" s="56"/>
    </row>
    <row r="4219" spans="1:16" ht="15.75" customHeight="1" x14ac:dyDescent="0.2">
      <c r="A4219" s="48">
        <v>4642</v>
      </c>
      <c r="B4219" s="11" t="s">
        <v>1857</v>
      </c>
      <c r="C4219" s="11" t="s">
        <v>1849</v>
      </c>
      <c r="D4219" s="6" t="s">
        <v>1850</v>
      </c>
      <c r="E4219" s="11" t="s">
        <v>8816</v>
      </c>
      <c r="F4219" s="12" t="s">
        <v>8816</v>
      </c>
      <c r="G4219" s="12" t="s">
        <v>8817</v>
      </c>
      <c r="H4219" s="59" t="s">
        <v>5671</v>
      </c>
      <c r="I4219" s="12" t="s">
        <v>9139</v>
      </c>
      <c r="J4219" s="11" t="s">
        <v>1856</v>
      </c>
      <c r="K4219" s="11" t="s">
        <v>1852</v>
      </c>
      <c r="L4219" s="11" t="s">
        <v>1853</v>
      </c>
      <c r="M4219" s="11" t="s">
        <v>8910</v>
      </c>
      <c r="N4219" s="12"/>
      <c r="O4219" s="11" t="s">
        <v>1859</v>
      </c>
      <c r="P4219" s="56"/>
    </row>
    <row r="4220" spans="1:16" ht="15.75" customHeight="1" x14ac:dyDescent="0.2">
      <c r="A4220" s="48">
        <v>4468</v>
      </c>
      <c r="B4220" s="11" t="s">
        <v>1857</v>
      </c>
      <c r="C4220" s="11" t="s">
        <v>1849</v>
      </c>
      <c r="D4220" s="6" t="s">
        <v>1850</v>
      </c>
      <c r="E4220" s="11" t="s">
        <v>8816</v>
      </c>
      <c r="F4220" s="12" t="s">
        <v>8816</v>
      </c>
      <c r="G4220" s="12" t="s">
        <v>6658</v>
      </c>
      <c r="H4220" s="59" t="s">
        <v>8849</v>
      </c>
      <c r="I4220" s="12" t="s">
        <v>9140</v>
      </c>
      <c r="J4220" s="11" t="s">
        <v>1856</v>
      </c>
      <c r="K4220" s="11" t="s">
        <v>1852</v>
      </c>
      <c r="L4220" s="11" t="s">
        <v>1853</v>
      </c>
      <c r="M4220" s="11" t="s">
        <v>3894</v>
      </c>
      <c r="N4220" s="12" t="s">
        <v>9141</v>
      </c>
      <c r="O4220" s="11" t="s">
        <v>1859</v>
      </c>
      <c r="P4220" s="56"/>
    </row>
    <row r="4221" spans="1:16" ht="15.75" customHeight="1" x14ac:dyDescent="0.2">
      <c r="A4221" s="48">
        <v>4473</v>
      </c>
      <c r="B4221" s="11" t="s">
        <v>1857</v>
      </c>
      <c r="C4221" s="11" t="s">
        <v>1849</v>
      </c>
      <c r="D4221" s="6" t="s">
        <v>1850</v>
      </c>
      <c r="E4221" s="11" t="s">
        <v>8816</v>
      </c>
      <c r="F4221" s="12" t="s">
        <v>8816</v>
      </c>
      <c r="G4221" s="12" t="s">
        <v>6658</v>
      </c>
      <c r="H4221" s="59" t="s">
        <v>8849</v>
      </c>
      <c r="I4221" s="12" t="s">
        <v>9142</v>
      </c>
      <c r="J4221" s="11" t="s">
        <v>1856</v>
      </c>
      <c r="K4221" s="11" t="s">
        <v>1852</v>
      </c>
      <c r="L4221" s="11" t="s">
        <v>1853</v>
      </c>
      <c r="M4221" s="11" t="s">
        <v>8863</v>
      </c>
      <c r="N4221" s="12" t="s">
        <v>9143</v>
      </c>
      <c r="O4221" s="11" t="s">
        <v>1859</v>
      </c>
      <c r="P4221" s="56"/>
    </row>
    <row r="4222" spans="1:16" ht="15.75" customHeight="1" x14ac:dyDescent="0.2">
      <c r="A4222" s="48">
        <v>4200</v>
      </c>
      <c r="B4222" s="11" t="s">
        <v>1857</v>
      </c>
      <c r="C4222" s="11" t="s">
        <v>1849</v>
      </c>
      <c r="D4222" s="6" t="s">
        <v>1850</v>
      </c>
      <c r="E4222" s="11" t="s">
        <v>8816</v>
      </c>
      <c r="F4222" s="12" t="s">
        <v>8816</v>
      </c>
      <c r="G4222" s="12" t="s">
        <v>8851</v>
      </c>
      <c r="H4222" s="59" t="s">
        <v>5839</v>
      </c>
      <c r="I4222" s="12" t="s">
        <v>9144</v>
      </c>
      <c r="J4222" s="11" t="s">
        <v>1856</v>
      </c>
      <c r="K4222" s="11" t="s">
        <v>1852</v>
      </c>
      <c r="L4222" s="11" t="s">
        <v>1853</v>
      </c>
      <c r="M4222" s="12" t="s">
        <v>2316</v>
      </c>
      <c r="N4222" s="12"/>
      <c r="O4222" s="11" t="s">
        <v>1858</v>
      </c>
      <c r="P4222" s="56"/>
    </row>
    <row r="4223" spans="1:16" ht="15.75" customHeight="1" x14ac:dyDescent="0.2">
      <c r="A4223" s="48">
        <v>4126</v>
      </c>
      <c r="B4223" s="11" t="s">
        <v>1857</v>
      </c>
      <c r="C4223" s="11" t="s">
        <v>1849</v>
      </c>
      <c r="D4223" s="6" t="s">
        <v>1850</v>
      </c>
      <c r="E4223" s="11" t="s">
        <v>8816</v>
      </c>
      <c r="F4223" s="12" t="s">
        <v>8816</v>
      </c>
      <c r="G4223" s="12" t="s">
        <v>8820</v>
      </c>
      <c r="H4223" s="12" t="s">
        <v>9145</v>
      </c>
      <c r="I4223" s="12" t="s">
        <v>9146</v>
      </c>
      <c r="J4223" s="11" t="s">
        <v>1856</v>
      </c>
      <c r="K4223" s="11" t="s">
        <v>1852</v>
      </c>
      <c r="L4223" s="11" t="s">
        <v>1853</v>
      </c>
      <c r="M4223" s="11" t="s">
        <v>1854</v>
      </c>
      <c r="N4223" s="12"/>
      <c r="O4223" s="11" t="s">
        <v>1859</v>
      </c>
      <c r="P4223" s="56"/>
    </row>
    <row r="4224" spans="1:16" ht="15.75" customHeight="1" x14ac:dyDescent="0.2">
      <c r="A4224" s="48">
        <v>4101</v>
      </c>
      <c r="B4224" s="11" t="s">
        <v>1857</v>
      </c>
      <c r="C4224" s="11" t="s">
        <v>1849</v>
      </c>
      <c r="D4224" s="6" t="s">
        <v>1850</v>
      </c>
      <c r="E4224" s="11" t="s">
        <v>8816</v>
      </c>
      <c r="F4224" s="12" t="s">
        <v>8816</v>
      </c>
      <c r="G4224" s="12" t="s">
        <v>8895</v>
      </c>
      <c r="H4224" s="12" t="s">
        <v>8990</v>
      </c>
      <c r="I4224" s="12" t="s">
        <v>4807</v>
      </c>
      <c r="J4224" s="11" t="s">
        <v>1856</v>
      </c>
      <c r="K4224" s="11" t="s">
        <v>1852</v>
      </c>
      <c r="L4224" s="11" t="s">
        <v>1853</v>
      </c>
      <c r="M4224" s="11" t="s">
        <v>9147</v>
      </c>
      <c r="N4224" s="12" t="s">
        <v>9148</v>
      </c>
      <c r="O4224" s="11" t="s">
        <v>1859</v>
      </c>
      <c r="P4224" s="56"/>
    </row>
    <row r="4225" spans="1:16" ht="15.75" customHeight="1" x14ac:dyDescent="0.2">
      <c r="A4225" s="48">
        <v>4390</v>
      </c>
      <c r="B4225" s="11" t="s">
        <v>1857</v>
      </c>
      <c r="C4225" s="11" t="s">
        <v>1849</v>
      </c>
      <c r="D4225" s="6" t="s">
        <v>1850</v>
      </c>
      <c r="E4225" s="11" t="s">
        <v>8816</v>
      </c>
      <c r="F4225" s="12" t="s">
        <v>8816</v>
      </c>
      <c r="G4225" s="12" t="s">
        <v>8928</v>
      </c>
      <c r="H4225" s="59" t="s">
        <v>8928</v>
      </c>
      <c r="I4225" s="12" t="s">
        <v>4807</v>
      </c>
      <c r="J4225" s="11" t="s">
        <v>1856</v>
      </c>
      <c r="K4225" s="11" t="s">
        <v>1852</v>
      </c>
      <c r="L4225" s="11" t="s">
        <v>1853</v>
      </c>
      <c r="M4225" s="11" t="s">
        <v>8893</v>
      </c>
      <c r="N4225" s="12" t="s">
        <v>9149</v>
      </c>
      <c r="O4225" s="11" t="s">
        <v>1859</v>
      </c>
      <c r="P4225" s="56"/>
    </row>
    <row r="4226" spans="1:16" ht="15.75" customHeight="1" x14ac:dyDescent="0.2">
      <c r="A4226" s="48">
        <v>4230</v>
      </c>
      <c r="B4226" s="11" t="s">
        <v>1857</v>
      </c>
      <c r="C4226" s="11" t="s">
        <v>1849</v>
      </c>
      <c r="D4226" s="6" t="s">
        <v>1850</v>
      </c>
      <c r="E4226" s="11" t="s">
        <v>8816</v>
      </c>
      <c r="F4226" s="12" t="s">
        <v>8816</v>
      </c>
      <c r="G4226" s="12" t="s">
        <v>8851</v>
      </c>
      <c r="H4226" s="12" t="s">
        <v>8851</v>
      </c>
      <c r="I4226" s="12" t="s">
        <v>2888</v>
      </c>
      <c r="J4226" s="11" t="s">
        <v>1856</v>
      </c>
      <c r="K4226" s="11" t="s">
        <v>1852</v>
      </c>
      <c r="L4226" s="11" t="s">
        <v>1853</v>
      </c>
      <c r="M4226" s="11" t="s">
        <v>1862</v>
      </c>
      <c r="N4226" s="12"/>
      <c r="O4226" s="11" t="s">
        <v>1859</v>
      </c>
      <c r="P4226" s="56"/>
    </row>
    <row r="4227" spans="1:16" ht="15.75" customHeight="1" x14ac:dyDescent="0.2">
      <c r="A4227" s="48">
        <v>4247</v>
      </c>
      <c r="B4227" s="11" t="s">
        <v>1857</v>
      </c>
      <c r="C4227" s="11" t="s">
        <v>1849</v>
      </c>
      <c r="D4227" s="6" t="s">
        <v>1850</v>
      </c>
      <c r="E4227" s="11" t="s">
        <v>8816</v>
      </c>
      <c r="F4227" s="12" t="s">
        <v>8816</v>
      </c>
      <c r="G4227" s="12" t="s">
        <v>8851</v>
      </c>
      <c r="H4227" s="12" t="s">
        <v>8974</v>
      </c>
      <c r="I4227" s="12" t="s">
        <v>9150</v>
      </c>
      <c r="J4227" s="11" t="s">
        <v>1856</v>
      </c>
      <c r="K4227" s="11" t="s">
        <v>1852</v>
      </c>
      <c r="L4227" s="11" t="s">
        <v>1853</v>
      </c>
      <c r="M4227" s="11" t="s">
        <v>1854</v>
      </c>
      <c r="N4227" s="12"/>
      <c r="O4227" s="11" t="s">
        <v>1859</v>
      </c>
      <c r="P4227" s="56"/>
    </row>
    <row r="4228" spans="1:16" ht="15.75" customHeight="1" x14ac:dyDescent="0.2">
      <c r="A4228" s="48">
        <v>4218</v>
      </c>
      <c r="B4228" s="11" t="s">
        <v>1857</v>
      </c>
      <c r="C4228" s="11" t="s">
        <v>1849</v>
      </c>
      <c r="D4228" s="6" t="s">
        <v>1850</v>
      </c>
      <c r="E4228" s="11" t="s">
        <v>8816</v>
      </c>
      <c r="F4228" s="12" t="s">
        <v>8816</v>
      </c>
      <c r="G4228" s="12" t="s">
        <v>8851</v>
      </c>
      <c r="H4228" s="59" t="s">
        <v>5839</v>
      </c>
      <c r="I4228" s="12" t="s">
        <v>9151</v>
      </c>
      <c r="J4228" s="11" t="s">
        <v>1856</v>
      </c>
      <c r="K4228" s="11" t="s">
        <v>1852</v>
      </c>
      <c r="L4228" s="11" t="s">
        <v>1853</v>
      </c>
      <c r="M4228" s="11" t="s">
        <v>6185</v>
      </c>
      <c r="N4228" s="12"/>
      <c r="O4228" s="11" t="s">
        <v>1859</v>
      </c>
      <c r="P4228" s="56"/>
    </row>
    <row r="4229" spans="1:16" ht="15.75" customHeight="1" x14ac:dyDescent="0.2">
      <c r="A4229" s="48">
        <v>4411</v>
      </c>
      <c r="B4229" s="11" t="s">
        <v>1857</v>
      </c>
      <c r="C4229" s="11" t="s">
        <v>1849</v>
      </c>
      <c r="D4229" s="6" t="s">
        <v>1850</v>
      </c>
      <c r="E4229" s="11" t="s">
        <v>8816</v>
      </c>
      <c r="F4229" s="12" t="s">
        <v>8816</v>
      </c>
      <c r="G4229" s="12" t="s">
        <v>8928</v>
      </c>
      <c r="H4229" s="59" t="s">
        <v>9152</v>
      </c>
      <c r="I4229" s="12" t="s">
        <v>4182</v>
      </c>
      <c r="J4229" s="11" t="s">
        <v>1856</v>
      </c>
      <c r="K4229" s="11" t="s">
        <v>1852</v>
      </c>
      <c r="L4229" s="11" t="s">
        <v>1853</v>
      </c>
      <c r="M4229" s="11" t="s">
        <v>9153</v>
      </c>
      <c r="N4229" s="12"/>
      <c r="O4229" s="11" t="s">
        <v>1859</v>
      </c>
      <c r="P4229" s="56"/>
    </row>
    <row r="4230" spans="1:16" ht="15.75" customHeight="1" x14ac:dyDescent="0.2">
      <c r="A4230" s="48">
        <v>4697</v>
      </c>
      <c r="B4230" s="11" t="s">
        <v>1857</v>
      </c>
      <c r="C4230" s="11" t="s">
        <v>1849</v>
      </c>
      <c r="D4230" s="6" t="s">
        <v>1850</v>
      </c>
      <c r="E4230" s="11" t="s">
        <v>8816</v>
      </c>
      <c r="F4230" s="12" t="s">
        <v>8816</v>
      </c>
      <c r="G4230" s="12" t="s">
        <v>8817</v>
      </c>
      <c r="H4230" s="59" t="s">
        <v>1892</v>
      </c>
      <c r="I4230" s="12" t="s">
        <v>9154</v>
      </c>
      <c r="J4230" s="11" t="s">
        <v>1856</v>
      </c>
      <c r="K4230" s="11" t="s">
        <v>1852</v>
      </c>
      <c r="L4230" s="11" t="s">
        <v>1853</v>
      </c>
      <c r="M4230" s="11" t="s">
        <v>1854</v>
      </c>
      <c r="N4230" s="12"/>
      <c r="O4230" s="11" t="s">
        <v>1858</v>
      </c>
      <c r="P4230" s="56"/>
    </row>
    <row r="4231" spans="1:16" ht="15.75" customHeight="1" x14ac:dyDescent="0.2">
      <c r="A4231" s="48">
        <v>4465</v>
      </c>
      <c r="B4231" s="11" t="s">
        <v>1857</v>
      </c>
      <c r="C4231" s="11" t="s">
        <v>1849</v>
      </c>
      <c r="D4231" s="6" t="s">
        <v>1850</v>
      </c>
      <c r="E4231" s="11" t="s">
        <v>8816</v>
      </c>
      <c r="F4231" s="12" t="s">
        <v>8816</v>
      </c>
      <c r="G4231" s="12" t="s">
        <v>6658</v>
      </c>
      <c r="H4231" s="59" t="s">
        <v>9116</v>
      </c>
      <c r="I4231" s="12" t="s">
        <v>5645</v>
      </c>
      <c r="J4231" s="11" t="s">
        <v>1856</v>
      </c>
      <c r="K4231" s="11" t="s">
        <v>1852</v>
      </c>
      <c r="L4231" s="11" t="s">
        <v>1853</v>
      </c>
      <c r="M4231" s="11" t="s">
        <v>9155</v>
      </c>
      <c r="N4231" s="12" t="s">
        <v>9156</v>
      </c>
      <c r="O4231" s="11" t="s">
        <v>1858</v>
      </c>
      <c r="P4231" s="56"/>
    </row>
    <row r="4232" spans="1:16" ht="15.75" customHeight="1" x14ac:dyDescent="0.2">
      <c r="A4232" s="48">
        <v>4299</v>
      </c>
      <c r="B4232" s="11" t="s">
        <v>1857</v>
      </c>
      <c r="C4232" s="11" t="s">
        <v>1849</v>
      </c>
      <c r="D4232" s="6" t="s">
        <v>1850</v>
      </c>
      <c r="E4232" s="11" t="s">
        <v>8816</v>
      </c>
      <c r="F4232" s="12" t="s">
        <v>8816</v>
      </c>
      <c r="G4232" s="12" t="s">
        <v>5635</v>
      </c>
      <c r="H4232" s="12" t="s">
        <v>5635</v>
      </c>
      <c r="I4232" s="12" t="s">
        <v>9157</v>
      </c>
      <c r="J4232" s="11" t="s">
        <v>1856</v>
      </c>
      <c r="K4232" s="11" t="s">
        <v>1852</v>
      </c>
      <c r="L4232" s="11" t="s">
        <v>1853</v>
      </c>
      <c r="M4232" s="11" t="s">
        <v>3222</v>
      </c>
      <c r="N4232" s="12"/>
      <c r="O4232" s="11" t="s">
        <v>1859</v>
      </c>
      <c r="P4232" s="56"/>
    </row>
    <row r="4233" spans="1:16" ht="15.75" customHeight="1" x14ac:dyDescent="0.2">
      <c r="A4233" s="48">
        <v>4129</v>
      </c>
      <c r="B4233" s="11" t="s">
        <v>1857</v>
      </c>
      <c r="C4233" s="11" t="s">
        <v>1849</v>
      </c>
      <c r="D4233" s="6" t="s">
        <v>1850</v>
      </c>
      <c r="E4233" s="11" t="s">
        <v>8816</v>
      </c>
      <c r="F4233" s="12" t="s">
        <v>8816</v>
      </c>
      <c r="G4233" s="12" t="s">
        <v>8820</v>
      </c>
      <c r="H4233" s="12" t="s">
        <v>9145</v>
      </c>
      <c r="I4233" s="12" t="s">
        <v>9158</v>
      </c>
      <c r="J4233" s="11" t="s">
        <v>1856</v>
      </c>
      <c r="K4233" s="11" t="s">
        <v>1852</v>
      </c>
      <c r="L4233" s="11" t="s">
        <v>1853</v>
      </c>
      <c r="M4233" s="11" t="s">
        <v>8910</v>
      </c>
      <c r="N4233" s="12"/>
      <c r="O4233" s="11" t="s">
        <v>1859</v>
      </c>
      <c r="P4233" s="56"/>
    </row>
    <row r="4234" spans="1:16" ht="15.75" customHeight="1" x14ac:dyDescent="0.2">
      <c r="A4234" s="48">
        <v>6781</v>
      </c>
      <c r="B4234" s="11" t="s">
        <v>1857</v>
      </c>
      <c r="C4234" s="11" t="s">
        <v>1849</v>
      </c>
      <c r="D4234" s="6" t="s">
        <v>1850</v>
      </c>
      <c r="E4234" s="11" t="s">
        <v>8816</v>
      </c>
      <c r="F4234" s="12" t="s">
        <v>8816</v>
      </c>
      <c r="G4234" s="12" t="s">
        <v>5635</v>
      </c>
      <c r="H4234" s="12" t="s">
        <v>8985</v>
      </c>
      <c r="I4234" s="12" t="s">
        <v>9159</v>
      </c>
      <c r="J4234" s="11" t="s">
        <v>1856</v>
      </c>
      <c r="K4234" s="11" t="s">
        <v>1852</v>
      </c>
      <c r="L4234" s="11" t="s">
        <v>1853</v>
      </c>
      <c r="M4234" s="11" t="s">
        <v>1854</v>
      </c>
      <c r="N4234" s="12"/>
      <c r="O4234" s="11" t="s">
        <v>1859</v>
      </c>
      <c r="P4234" s="56"/>
    </row>
    <row r="4235" spans="1:16" ht="15.75" customHeight="1" x14ac:dyDescent="0.2">
      <c r="A4235" s="48">
        <v>4159</v>
      </c>
      <c r="B4235" s="11" t="s">
        <v>1857</v>
      </c>
      <c r="C4235" s="11" t="s">
        <v>1849</v>
      </c>
      <c r="D4235" s="6" t="s">
        <v>1850</v>
      </c>
      <c r="E4235" s="11" t="s">
        <v>8816</v>
      </c>
      <c r="F4235" s="12" t="s">
        <v>8816</v>
      </c>
      <c r="G4235" s="12" t="s">
        <v>8820</v>
      </c>
      <c r="H4235" s="59" t="s">
        <v>5839</v>
      </c>
      <c r="I4235" s="12" t="s">
        <v>3000</v>
      </c>
      <c r="J4235" s="11" t="s">
        <v>1856</v>
      </c>
      <c r="K4235" s="11" t="s">
        <v>1852</v>
      </c>
      <c r="L4235" s="11" t="s">
        <v>1853</v>
      </c>
      <c r="M4235" s="11" t="s">
        <v>9160</v>
      </c>
      <c r="N4235" s="12"/>
      <c r="O4235" s="11" t="s">
        <v>1859</v>
      </c>
      <c r="P4235" s="56"/>
    </row>
    <row r="4236" spans="1:16" ht="15.75" customHeight="1" x14ac:dyDescent="0.2">
      <c r="A4236" s="48">
        <v>4180</v>
      </c>
      <c r="B4236" s="11" t="s">
        <v>1857</v>
      </c>
      <c r="C4236" s="11" t="s">
        <v>1849</v>
      </c>
      <c r="D4236" s="6" t="s">
        <v>1850</v>
      </c>
      <c r="E4236" s="11" t="s">
        <v>8816</v>
      </c>
      <c r="F4236" s="12" t="s">
        <v>8816</v>
      </c>
      <c r="G4236" s="12" t="s">
        <v>8851</v>
      </c>
      <c r="H4236" s="12" t="s">
        <v>5755</v>
      </c>
      <c r="I4236" s="12" t="s">
        <v>9161</v>
      </c>
      <c r="J4236" s="11" t="s">
        <v>1856</v>
      </c>
      <c r="K4236" s="11" t="s">
        <v>1852</v>
      </c>
      <c r="L4236" s="11" t="s">
        <v>1853</v>
      </c>
      <c r="M4236" s="12" t="s">
        <v>9162</v>
      </c>
      <c r="N4236" s="12"/>
      <c r="O4236" s="11" t="s">
        <v>1859</v>
      </c>
      <c r="P4236" s="56"/>
    </row>
    <row r="4237" spans="1:16" ht="15.75" customHeight="1" x14ac:dyDescent="0.2">
      <c r="A4237" s="48">
        <v>4407</v>
      </c>
      <c r="B4237" s="11" t="s">
        <v>1857</v>
      </c>
      <c r="C4237" s="11" t="s">
        <v>1849</v>
      </c>
      <c r="D4237" s="6" t="s">
        <v>1850</v>
      </c>
      <c r="E4237" s="11" t="s">
        <v>8816</v>
      </c>
      <c r="F4237" s="12" t="s">
        <v>8816</v>
      </c>
      <c r="G4237" s="12" t="s">
        <v>8928</v>
      </c>
      <c r="H4237" s="59" t="s">
        <v>9051</v>
      </c>
      <c r="I4237" s="12" t="s">
        <v>4106</v>
      </c>
      <c r="J4237" s="11" t="s">
        <v>1856</v>
      </c>
      <c r="K4237" s="11" t="s">
        <v>1852</v>
      </c>
      <c r="L4237" s="11" t="s">
        <v>1853</v>
      </c>
      <c r="M4237" s="11" t="s">
        <v>9163</v>
      </c>
      <c r="N4237" s="12"/>
      <c r="O4237" s="11" t="s">
        <v>1859</v>
      </c>
      <c r="P4237" s="56"/>
    </row>
    <row r="4238" spans="1:16" ht="15.75" customHeight="1" x14ac:dyDescent="0.2">
      <c r="A4238" s="48">
        <v>4818</v>
      </c>
      <c r="B4238" s="11" t="s">
        <v>1857</v>
      </c>
      <c r="C4238" s="11" t="s">
        <v>1849</v>
      </c>
      <c r="D4238" s="6" t="s">
        <v>1850</v>
      </c>
      <c r="E4238" s="11" t="s">
        <v>8816</v>
      </c>
      <c r="F4238" s="12" t="s">
        <v>8816</v>
      </c>
      <c r="G4238" s="12" t="s">
        <v>8844</v>
      </c>
      <c r="H4238" s="59" t="s">
        <v>8890</v>
      </c>
      <c r="I4238" s="12" t="s">
        <v>9164</v>
      </c>
      <c r="J4238" s="11" t="s">
        <v>1856</v>
      </c>
      <c r="K4238" s="11" t="s">
        <v>1852</v>
      </c>
      <c r="L4238" s="11" t="s">
        <v>1853</v>
      </c>
      <c r="M4238" s="11" t="s">
        <v>9163</v>
      </c>
      <c r="N4238" s="12" t="s">
        <v>9165</v>
      </c>
      <c r="O4238" s="11" t="s">
        <v>1859</v>
      </c>
      <c r="P4238" s="56"/>
    </row>
    <row r="4239" spans="1:16" ht="15.75" customHeight="1" x14ac:dyDescent="0.2">
      <c r="A4239" s="48">
        <v>4677</v>
      </c>
      <c r="B4239" s="11" t="s">
        <v>1857</v>
      </c>
      <c r="C4239" s="11" t="s">
        <v>1849</v>
      </c>
      <c r="D4239" s="6" t="s">
        <v>1850</v>
      </c>
      <c r="E4239" s="11" t="s">
        <v>8816</v>
      </c>
      <c r="F4239" s="12" t="s">
        <v>8816</v>
      </c>
      <c r="G4239" s="12" t="s">
        <v>8817</v>
      </c>
      <c r="H4239" s="12" t="s">
        <v>8842</v>
      </c>
      <c r="I4239" s="12" t="s">
        <v>9166</v>
      </c>
      <c r="J4239" s="11" t="s">
        <v>1856</v>
      </c>
      <c r="K4239" s="11" t="s">
        <v>1852</v>
      </c>
      <c r="L4239" s="11" t="s">
        <v>1853</v>
      </c>
      <c r="M4239" s="11" t="s">
        <v>1854</v>
      </c>
      <c r="N4239" s="12"/>
      <c r="O4239" s="11" t="s">
        <v>1859</v>
      </c>
      <c r="P4239" s="56"/>
    </row>
    <row r="4240" spans="1:16" ht="15.75" customHeight="1" x14ac:dyDescent="0.2">
      <c r="A4240" s="48">
        <v>4312</v>
      </c>
      <c r="B4240" s="11" t="s">
        <v>1857</v>
      </c>
      <c r="C4240" s="11" t="s">
        <v>1849</v>
      </c>
      <c r="D4240" s="6" t="s">
        <v>1850</v>
      </c>
      <c r="E4240" s="11" t="s">
        <v>8816</v>
      </c>
      <c r="F4240" s="12" t="s">
        <v>8816</v>
      </c>
      <c r="G4240" s="12" t="s">
        <v>5635</v>
      </c>
      <c r="H4240" s="12" t="s">
        <v>9167</v>
      </c>
      <c r="I4240" s="12" t="s">
        <v>9166</v>
      </c>
      <c r="J4240" s="11" t="s">
        <v>1856</v>
      </c>
      <c r="K4240" s="11" t="s">
        <v>1852</v>
      </c>
      <c r="L4240" s="11" t="s">
        <v>1853</v>
      </c>
      <c r="M4240" s="11" t="s">
        <v>9168</v>
      </c>
      <c r="N4240" s="12"/>
      <c r="O4240" s="11" t="s">
        <v>1859</v>
      </c>
      <c r="P4240" s="56"/>
    </row>
    <row r="4241" spans="1:16" ht="15.75" customHeight="1" x14ac:dyDescent="0.2">
      <c r="A4241" s="48">
        <v>4297</v>
      </c>
      <c r="B4241" s="11" t="s">
        <v>1857</v>
      </c>
      <c r="C4241" s="11" t="s">
        <v>1849</v>
      </c>
      <c r="D4241" s="6" t="s">
        <v>1850</v>
      </c>
      <c r="E4241" s="11" t="s">
        <v>8816</v>
      </c>
      <c r="F4241" s="12" t="s">
        <v>8816</v>
      </c>
      <c r="G4241" s="12" t="s">
        <v>5635</v>
      </c>
      <c r="H4241" s="12" t="s">
        <v>5635</v>
      </c>
      <c r="I4241" s="12" t="s">
        <v>4808</v>
      </c>
      <c r="J4241" s="11" t="s">
        <v>1856</v>
      </c>
      <c r="K4241" s="11" t="s">
        <v>1852</v>
      </c>
      <c r="L4241" s="11" t="s">
        <v>1853</v>
      </c>
      <c r="M4241" s="11" t="s">
        <v>2276</v>
      </c>
      <c r="N4241" s="12"/>
      <c r="O4241" s="11" t="s">
        <v>1859</v>
      </c>
      <c r="P4241" s="56"/>
    </row>
    <row r="4242" spans="1:16" ht="15.75" customHeight="1" x14ac:dyDescent="0.2">
      <c r="A4242" s="48">
        <v>4282</v>
      </c>
      <c r="B4242" s="11" t="s">
        <v>1857</v>
      </c>
      <c r="C4242" s="11" t="s">
        <v>1849</v>
      </c>
      <c r="D4242" s="6" t="s">
        <v>1850</v>
      </c>
      <c r="E4242" s="11" t="s">
        <v>8816</v>
      </c>
      <c r="F4242" s="12" t="s">
        <v>8816</v>
      </c>
      <c r="G4242" s="12" t="s">
        <v>2299</v>
      </c>
      <c r="H4242" s="12" t="s">
        <v>7910</v>
      </c>
      <c r="I4242" s="12" t="s">
        <v>4393</v>
      </c>
      <c r="J4242" s="11" t="s">
        <v>1856</v>
      </c>
      <c r="K4242" s="11" t="s">
        <v>1852</v>
      </c>
      <c r="L4242" s="11" t="s">
        <v>1853</v>
      </c>
      <c r="M4242" s="11" t="s">
        <v>9169</v>
      </c>
      <c r="N4242" s="12"/>
      <c r="O4242" s="11" t="s">
        <v>1859</v>
      </c>
      <c r="P4242" s="56"/>
    </row>
    <row r="4243" spans="1:16" ht="15.75" customHeight="1" x14ac:dyDescent="0.2">
      <c r="A4243" s="48">
        <v>4213</v>
      </c>
      <c r="B4243" s="11" t="s">
        <v>1857</v>
      </c>
      <c r="C4243" s="11" t="s">
        <v>1849</v>
      </c>
      <c r="D4243" s="6" t="s">
        <v>1850</v>
      </c>
      <c r="E4243" s="11" t="s">
        <v>8816</v>
      </c>
      <c r="F4243" s="12" t="s">
        <v>8816</v>
      </c>
      <c r="G4243" s="12" t="s">
        <v>8851</v>
      </c>
      <c r="H4243" s="59" t="s">
        <v>5839</v>
      </c>
      <c r="I4243" s="12" t="s">
        <v>5479</v>
      </c>
      <c r="J4243" s="11" t="s">
        <v>1856</v>
      </c>
      <c r="K4243" s="11" t="s">
        <v>1852</v>
      </c>
      <c r="L4243" s="11" t="s">
        <v>1853</v>
      </c>
      <c r="M4243" s="11" t="s">
        <v>6185</v>
      </c>
      <c r="N4243" s="12"/>
      <c r="O4243" s="11" t="s">
        <v>1859</v>
      </c>
      <c r="P4243" s="56"/>
    </row>
    <row r="4244" spans="1:16" ht="15.75" customHeight="1" x14ac:dyDescent="0.2">
      <c r="A4244" s="48">
        <v>4360</v>
      </c>
      <c r="B4244" s="11" t="s">
        <v>1857</v>
      </c>
      <c r="C4244" s="11" t="s">
        <v>1849</v>
      </c>
      <c r="D4244" s="6" t="s">
        <v>1850</v>
      </c>
      <c r="E4244" s="11" t="s">
        <v>8816</v>
      </c>
      <c r="F4244" s="12" t="s">
        <v>8816</v>
      </c>
      <c r="G4244" s="12" t="s">
        <v>5635</v>
      </c>
      <c r="H4244" s="12" t="s">
        <v>9009</v>
      </c>
      <c r="I4244" s="12" t="s">
        <v>9170</v>
      </c>
      <c r="J4244" s="11" t="s">
        <v>1856</v>
      </c>
      <c r="K4244" s="11" t="s">
        <v>1852</v>
      </c>
      <c r="L4244" s="11" t="s">
        <v>1853</v>
      </c>
      <c r="M4244" s="11" t="s">
        <v>9171</v>
      </c>
      <c r="N4244" s="12"/>
      <c r="O4244" s="11" t="s">
        <v>1859</v>
      </c>
      <c r="P4244" s="56"/>
    </row>
    <row r="4245" spans="1:16" ht="15.75" customHeight="1" x14ac:dyDescent="0.2">
      <c r="A4245" s="48">
        <v>4532</v>
      </c>
      <c r="B4245" s="11" t="s">
        <v>1857</v>
      </c>
      <c r="C4245" s="11" t="s">
        <v>1849</v>
      </c>
      <c r="D4245" s="6" t="s">
        <v>1850</v>
      </c>
      <c r="E4245" s="11" t="s">
        <v>8816</v>
      </c>
      <c r="F4245" s="12" t="s">
        <v>8816</v>
      </c>
      <c r="G4245" s="12" t="s">
        <v>4741</v>
      </c>
      <c r="H4245" s="59" t="s">
        <v>9131</v>
      </c>
      <c r="I4245" s="12" t="s">
        <v>9172</v>
      </c>
      <c r="J4245" s="11" t="s">
        <v>1856</v>
      </c>
      <c r="K4245" s="11" t="s">
        <v>1852</v>
      </c>
      <c r="L4245" s="11" t="s">
        <v>1853</v>
      </c>
      <c r="M4245" s="11" t="s">
        <v>1854</v>
      </c>
      <c r="N4245" s="12"/>
      <c r="O4245" s="11" t="s">
        <v>1859</v>
      </c>
      <c r="P4245" s="56"/>
    </row>
    <row r="4246" spans="1:16" ht="15.75" customHeight="1" x14ac:dyDescent="0.2">
      <c r="A4246" s="48">
        <v>4375</v>
      </c>
      <c r="B4246" s="11" t="s">
        <v>1857</v>
      </c>
      <c r="C4246" s="11" t="s">
        <v>1849</v>
      </c>
      <c r="D4246" s="6" t="s">
        <v>1850</v>
      </c>
      <c r="E4246" s="11" t="s">
        <v>8816</v>
      </c>
      <c r="F4246" s="12" t="s">
        <v>8816</v>
      </c>
      <c r="G4246" s="12" t="s">
        <v>5635</v>
      </c>
      <c r="H4246" s="12" t="s">
        <v>8926</v>
      </c>
      <c r="I4246" s="12" t="s">
        <v>9173</v>
      </c>
      <c r="J4246" s="11" t="s">
        <v>1856</v>
      </c>
      <c r="K4246" s="11" t="s">
        <v>1852</v>
      </c>
      <c r="L4246" s="11" t="s">
        <v>1853</v>
      </c>
      <c r="M4246" s="11" t="s">
        <v>6609</v>
      </c>
      <c r="N4246" s="12"/>
      <c r="O4246" s="11" t="s">
        <v>1859</v>
      </c>
      <c r="P4246" s="56"/>
    </row>
    <row r="4247" spans="1:16" ht="15.75" customHeight="1" x14ac:dyDescent="0.2">
      <c r="A4247" s="48">
        <v>4416</v>
      </c>
      <c r="B4247" s="11" t="s">
        <v>1857</v>
      </c>
      <c r="C4247" s="11" t="s">
        <v>1849</v>
      </c>
      <c r="D4247" s="6" t="s">
        <v>1850</v>
      </c>
      <c r="E4247" s="11" t="s">
        <v>8816</v>
      </c>
      <c r="F4247" s="12" t="s">
        <v>8816</v>
      </c>
      <c r="G4247" s="12" t="s">
        <v>8858</v>
      </c>
      <c r="H4247" s="12" t="s">
        <v>8883</v>
      </c>
      <c r="I4247" s="12" t="s">
        <v>6314</v>
      </c>
      <c r="J4247" s="11" t="s">
        <v>1856</v>
      </c>
      <c r="K4247" s="11" t="s">
        <v>1852</v>
      </c>
      <c r="L4247" s="11" t="s">
        <v>1853</v>
      </c>
      <c r="M4247" s="11" t="s">
        <v>1854</v>
      </c>
      <c r="N4247" s="12"/>
      <c r="O4247" s="11" t="s">
        <v>1859</v>
      </c>
      <c r="P4247" s="56"/>
    </row>
    <row r="4248" spans="1:16" ht="15.75" customHeight="1" x14ac:dyDescent="0.2">
      <c r="A4248" s="48">
        <v>4663</v>
      </c>
      <c r="B4248" s="11" t="s">
        <v>1857</v>
      </c>
      <c r="C4248" s="11" t="s">
        <v>1849</v>
      </c>
      <c r="D4248" s="6" t="s">
        <v>1850</v>
      </c>
      <c r="E4248" s="11" t="s">
        <v>8816</v>
      </c>
      <c r="F4248" s="12" t="s">
        <v>8816</v>
      </c>
      <c r="G4248" s="12" t="s">
        <v>8817</v>
      </c>
      <c r="H4248" s="59" t="s">
        <v>9043</v>
      </c>
      <c r="I4248" s="12" t="s">
        <v>5304</v>
      </c>
      <c r="J4248" s="11" t="s">
        <v>1856</v>
      </c>
      <c r="K4248" s="11" t="s">
        <v>1852</v>
      </c>
      <c r="L4248" s="11" t="s">
        <v>1853</v>
      </c>
      <c r="M4248" s="11" t="s">
        <v>3611</v>
      </c>
      <c r="N4248" s="12"/>
      <c r="O4248" s="11" t="s">
        <v>1858</v>
      </c>
      <c r="P4248" s="56"/>
    </row>
    <row r="4249" spans="1:16" ht="15.75" customHeight="1" x14ac:dyDescent="0.2">
      <c r="A4249" s="48">
        <v>4115</v>
      </c>
      <c r="B4249" s="11" t="s">
        <v>1857</v>
      </c>
      <c r="C4249" s="11" t="s">
        <v>1849</v>
      </c>
      <c r="D4249" s="6" t="s">
        <v>1850</v>
      </c>
      <c r="E4249" s="11" t="s">
        <v>8816</v>
      </c>
      <c r="F4249" s="12" t="s">
        <v>8816</v>
      </c>
      <c r="G4249" s="12" t="s">
        <v>8820</v>
      </c>
      <c r="H4249" s="12" t="s">
        <v>8820</v>
      </c>
      <c r="I4249" s="12" t="s">
        <v>5481</v>
      </c>
      <c r="J4249" s="11" t="s">
        <v>1856</v>
      </c>
      <c r="K4249" s="11" t="s">
        <v>1852</v>
      </c>
      <c r="L4249" s="11" t="s">
        <v>1853</v>
      </c>
      <c r="M4249" s="11" t="s">
        <v>9174</v>
      </c>
      <c r="N4249" s="12"/>
      <c r="O4249" s="11" t="s">
        <v>1858</v>
      </c>
      <c r="P4249" s="56"/>
    </row>
    <row r="4250" spans="1:16" ht="15.75" customHeight="1" x14ac:dyDescent="0.2">
      <c r="A4250" s="48">
        <v>4994</v>
      </c>
      <c r="B4250" s="11" t="s">
        <v>1857</v>
      </c>
      <c r="C4250" s="11" t="s">
        <v>1849</v>
      </c>
      <c r="D4250" s="6" t="s">
        <v>1850</v>
      </c>
      <c r="E4250" s="11" t="s">
        <v>8816</v>
      </c>
      <c r="F4250" s="12" t="s">
        <v>8816</v>
      </c>
      <c r="G4250" s="12" t="s">
        <v>8851</v>
      </c>
      <c r="H4250" s="12" t="s">
        <v>8916</v>
      </c>
      <c r="I4250" s="12" t="s">
        <v>5481</v>
      </c>
      <c r="J4250" s="11" t="s">
        <v>1856</v>
      </c>
      <c r="K4250" s="11" t="s">
        <v>1852</v>
      </c>
      <c r="L4250" s="11" t="s">
        <v>1853</v>
      </c>
      <c r="M4250" s="11" t="s">
        <v>9175</v>
      </c>
      <c r="N4250" s="12"/>
      <c r="O4250" s="11" t="s">
        <v>1858</v>
      </c>
      <c r="P4250" s="56"/>
    </row>
    <row r="4251" spans="1:16" ht="15.75" customHeight="1" x14ac:dyDescent="0.2">
      <c r="A4251" s="48">
        <v>4505</v>
      </c>
      <c r="B4251" s="11" t="s">
        <v>1857</v>
      </c>
      <c r="C4251" s="11" t="s">
        <v>1849</v>
      </c>
      <c r="D4251" s="6" t="s">
        <v>1850</v>
      </c>
      <c r="E4251" s="11" t="s">
        <v>8816</v>
      </c>
      <c r="F4251" s="12" t="s">
        <v>8816</v>
      </c>
      <c r="G4251" s="12" t="s">
        <v>4741</v>
      </c>
      <c r="H4251" s="12" t="s">
        <v>4741</v>
      </c>
      <c r="I4251" s="12" t="s">
        <v>5481</v>
      </c>
      <c r="J4251" s="11" t="s">
        <v>1856</v>
      </c>
      <c r="K4251" s="11" t="s">
        <v>1852</v>
      </c>
      <c r="L4251" s="11" t="s">
        <v>1853</v>
      </c>
      <c r="M4251" s="12" t="s">
        <v>9163</v>
      </c>
      <c r="N4251" s="12"/>
      <c r="O4251" s="11" t="s">
        <v>1859</v>
      </c>
      <c r="P4251" s="56"/>
    </row>
    <row r="4252" spans="1:16" ht="15.75" customHeight="1" x14ac:dyDescent="0.2">
      <c r="A4252" s="48">
        <v>4639</v>
      </c>
      <c r="B4252" s="11" t="s">
        <v>1857</v>
      </c>
      <c r="C4252" s="11" t="s">
        <v>1849</v>
      </c>
      <c r="D4252" s="6" t="s">
        <v>1850</v>
      </c>
      <c r="E4252" s="11" t="s">
        <v>8816</v>
      </c>
      <c r="F4252" s="12" t="s">
        <v>8816</v>
      </c>
      <c r="G4252" s="12" t="s">
        <v>8817</v>
      </c>
      <c r="H4252" s="59" t="s">
        <v>5671</v>
      </c>
      <c r="I4252" s="12" t="s">
        <v>9176</v>
      </c>
      <c r="J4252" s="11" t="s">
        <v>1856</v>
      </c>
      <c r="K4252" s="11" t="s">
        <v>1852</v>
      </c>
      <c r="L4252" s="11" t="s">
        <v>1853</v>
      </c>
      <c r="M4252" s="11" t="s">
        <v>9177</v>
      </c>
      <c r="N4252" s="12"/>
      <c r="O4252" s="11" t="s">
        <v>1859</v>
      </c>
      <c r="P4252" s="56"/>
    </row>
    <row r="4253" spans="1:16" ht="15.75" customHeight="1" x14ac:dyDescent="0.2">
      <c r="A4253" s="48">
        <v>4466</v>
      </c>
      <c r="B4253" s="11" t="s">
        <v>1857</v>
      </c>
      <c r="C4253" s="11" t="s">
        <v>1849</v>
      </c>
      <c r="D4253" s="6" t="s">
        <v>1850</v>
      </c>
      <c r="E4253" s="11" t="s">
        <v>8816</v>
      </c>
      <c r="F4253" s="12" t="s">
        <v>8816</v>
      </c>
      <c r="G4253" s="12" t="s">
        <v>6658</v>
      </c>
      <c r="H4253" s="59" t="s">
        <v>8849</v>
      </c>
      <c r="I4253" s="12" t="s">
        <v>9178</v>
      </c>
      <c r="J4253" s="11" t="s">
        <v>1856</v>
      </c>
      <c r="K4253" s="11" t="s">
        <v>1852</v>
      </c>
      <c r="L4253" s="11" t="s">
        <v>1853</v>
      </c>
      <c r="M4253" s="12" t="s">
        <v>2329</v>
      </c>
      <c r="N4253" s="12"/>
      <c r="O4253" s="11" t="s">
        <v>1859</v>
      </c>
      <c r="P4253" s="56"/>
    </row>
    <row r="4254" spans="1:16" ht="15.75" customHeight="1" x14ac:dyDescent="0.2">
      <c r="A4254" s="48">
        <v>4387</v>
      </c>
      <c r="B4254" s="11" t="s">
        <v>1857</v>
      </c>
      <c r="C4254" s="11" t="s">
        <v>1849</v>
      </c>
      <c r="D4254" s="6" t="s">
        <v>1850</v>
      </c>
      <c r="E4254" s="11" t="s">
        <v>8816</v>
      </c>
      <c r="F4254" s="12" t="s">
        <v>8816</v>
      </c>
      <c r="G4254" s="12" t="s">
        <v>8928</v>
      </c>
      <c r="H4254" s="59" t="s">
        <v>8929</v>
      </c>
      <c r="I4254" s="12" t="s">
        <v>9179</v>
      </c>
      <c r="J4254" s="11" t="s">
        <v>1856</v>
      </c>
      <c r="K4254" s="11" t="s">
        <v>1852</v>
      </c>
      <c r="L4254" s="11" t="s">
        <v>1853</v>
      </c>
      <c r="M4254" s="11" t="s">
        <v>9180</v>
      </c>
      <c r="N4254" s="12" t="s">
        <v>9181</v>
      </c>
      <c r="O4254" s="11" t="s">
        <v>1858</v>
      </c>
      <c r="P4254" s="56"/>
    </row>
    <row r="4255" spans="1:16" ht="15.75" customHeight="1" x14ac:dyDescent="0.2">
      <c r="A4255" s="48">
        <v>4119</v>
      </c>
      <c r="B4255" s="11" t="s">
        <v>1857</v>
      </c>
      <c r="C4255" s="11" t="s">
        <v>1849</v>
      </c>
      <c r="D4255" s="6" t="s">
        <v>1850</v>
      </c>
      <c r="E4255" s="11" t="s">
        <v>8816</v>
      </c>
      <c r="F4255" s="12" t="s">
        <v>8816</v>
      </c>
      <c r="G4255" s="12" t="s">
        <v>8820</v>
      </c>
      <c r="H4255" s="12" t="s">
        <v>8902</v>
      </c>
      <c r="I4255" s="12" t="s">
        <v>9182</v>
      </c>
      <c r="J4255" s="11" t="s">
        <v>1856</v>
      </c>
      <c r="K4255" s="11" t="s">
        <v>1852</v>
      </c>
      <c r="L4255" s="11" t="s">
        <v>1853</v>
      </c>
      <c r="M4255" s="11" t="s">
        <v>6635</v>
      </c>
      <c r="N4255" s="12"/>
      <c r="O4255" s="11" t="s">
        <v>1859</v>
      </c>
      <c r="P4255" s="56"/>
    </row>
    <row r="4256" spans="1:16" ht="15.75" customHeight="1" x14ac:dyDescent="0.2">
      <c r="A4256" s="48">
        <v>4239</v>
      </c>
      <c r="B4256" s="11" t="s">
        <v>1857</v>
      </c>
      <c r="C4256" s="11" t="s">
        <v>1849</v>
      </c>
      <c r="D4256" s="6" t="s">
        <v>1850</v>
      </c>
      <c r="E4256" s="11" t="s">
        <v>8816</v>
      </c>
      <c r="F4256" s="12" t="s">
        <v>8816</v>
      </c>
      <c r="G4256" s="12" t="s">
        <v>8851</v>
      </c>
      <c r="H4256" s="12" t="s">
        <v>8908</v>
      </c>
      <c r="I4256" s="12" t="s">
        <v>9183</v>
      </c>
      <c r="J4256" s="11" t="s">
        <v>1856</v>
      </c>
      <c r="K4256" s="11" t="s">
        <v>1852</v>
      </c>
      <c r="L4256" s="11" t="s">
        <v>1853</v>
      </c>
      <c r="M4256" s="11" t="s">
        <v>1854</v>
      </c>
      <c r="N4256" s="12"/>
      <c r="O4256" s="11" t="s">
        <v>1859</v>
      </c>
      <c r="P4256" s="56"/>
    </row>
    <row r="4257" spans="1:16" ht="15.75" customHeight="1" x14ac:dyDescent="0.2">
      <c r="A4257" s="48">
        <v>4132</v>
      </c>
      <c r="B4257" s="11" t="s">
        <v>1857</v>
      </c>
      <c r="C4257" s="11" t="s">
        <v>1849</v>
      </c>
      <c r="D4257" s="6" t="s">
        <v>1850</v>
      </c>
      <c r="E4257" s="11" t="s">
        <v>8816</v>
      </c>
      <c r="F4257" s="12" t="s">
        <v>8816</v>
      </c>
      <c r="G4257" s="12" t="s">
        <v>8820</v>
      </c>
      <c r="H4257" s="12" t="s">
        <v>3663</v>
      </c>
      <c r="I4257" s="12" t="s">
        <v>5314</v>
      </c>
      <c r="J4257" s="11" t="s">
        <v>1856</v>
      </c>
      <c r="K4257" s="11" t="s">
        <v>1852</v>
      </c>
      <c r="L4257" s="11" t="s">
        <v>1853</v>
      </c>
      <c r="M4257" s="11" t="s">
        <v>1854</v>
      </c>
      <c r="N4257" s="12"/>
      <c r="O4257" s="11" t="s">
        <v>1859</v>
      </c>
      <c r="P4257" s="56"/>
    </row>
    <row r="4258" spans="1:16" ht="15.75" customHeight="1" x14ac:dyDescent="0.2">
      <c r="A4258" s="48">
        <v>4352</v>
      </c>
      <c r="B4258" s="11" t="s">
        <v>1857</v>
      </c>
      <c r="C4258" s="11" t="s">
        <v>1849</v>
      </c>
      <c r="D4258" s="6" t="s">
        <v>1850</v>
      </c>
      <c r="E4258" s="11" t="s">
        <v>8816</v>
      </c>
      <c r="F4258" s="12" t="s">
        <v>8816</v>
      </c>
      <c r="G4258" s="12" t="s">
        <v>5635</v>
      </c>
      <c r="H4258" s="12" t="s">
        <v>5231</v>
      </c>
      <c r="I4258" s="12" t="s">
        <v>9184</v>
      </c>
      <c r="J4258" s="11" t="s">
        <v>1856</v>
      </c>
      <c r="K4258" s="11" t="s">
        <v>1852</v>
      </c>
      <c r="L4258" s="11" t="s">
        <v>1853</v>
      </c>
      <c r="M4258" s="11" t="s">
        <v>8920</v>
      </c>
      <c r="N4258" s="12"/>
      <c r="O4258" s="11" t="s">
        <v>1858</v>
      </c>
      <c r="P4258" s="56"/>
    </row>
    <row r="4259" spans="1:16" ht="15.75" customHeight="1" x14ac:dyDescent="0.2">
      <c r="A4259" s="48">
        <v>4250</v>
      </c>
      <c r="B4259" s="11" t="s">
        <v>1857</v>
      </c>
      <c r="C4259" s="11" t="s">
        <v>1849</v>
      </c>
      <c r="D4259" s="6" t="s">
        <v>1850</v>
      </c>
      <c r="E4259" s="11" t="s">
        <v>8816</v>
      </c>
      <c r="F4259" s="12" t="s">
        <v>8816</v>
      </c>
      <c r="G4259" s="12" t="s">
        <v>2299</v>
      </c>
      <c r="H4259" s="12" t="s">
        <v>9041</v>
      </c>
      <c r="I4259" s="12" t="s">
        <v>2904</v>
      </c>
      <c r="J4259" s="11" t="s">
        <v>1856</v>
      </c>
      <c r="K4259" s="11" t="s">
        <v>1852</v>
      </c>
      <c r="L4259" s="11" t="s">
        <v>1853</v>
      </c>
      <c r="M4259" s="11" t="s">
        <v>4639</v>
      </c>
      <c r="N4259" s="12"/>
      <c r="O4259" s="11" t="s">
        <v>1858</v>
      </c>
      <c r="P4259" s="56"/>
    </row>
    <row r="4260" spans="1:16" ht="15.75" customHeight="1" x14ac:dyDescent="0.2">
      <c r="A4260" s="48">
        <v>4675</v>
      </c>
      <c r="B4260" s="11" t="s">
        <v>1857</v>
      </c>
      <c r="C4260" s="11" t="s">
        <v>1849</v>
      </c>
      <c r="D4260" s="6" t="s">
        <v>1850</v>
      </c>
      <c r="E4260" s="11" t="s">
        <v>8816</v>
      </c>
      <c r="F4260" s="12" t="s">
        <v>8816</v>
      </c>
      <c r="G4260" s="12" t="s">
        <v>8817</v>
      </c>
      <c r="H4260" s="12" t="s">
        <v>9185</v>
      </c>
      <c r="I4260" s="12" t="s">
        <v>5322</v>
      </c>
      <c r="J4260" s="11" t="s">
        <v>1856</v>
      </c>
      <c r="K4260" s="11" t="s">
        <v>1852</v>
      </c>
      <c r="L4260" s="11" t="s">
        <v>1853</v>
      </c>
      <c r="M4260" s="11" t="s">
        <v>9186</v>
      </c>
      <c r="N4260" s="12"/>
      <c r="O4260" s="11" t="s">
        <v>1859</v>
      </c>
      <c r="P4260" s="56"/>
    </row>
    <row r="4261" spans="1:16" ht="15.75" customHeight="1" x14ac:dyDescent="0.2">
      <c r="A4261" s="48">
        <v>4127</v>
      </c>
      <c r="B4261" s="11" t="s">
        <v>1857</v>
      </c>
      <c r="C4261" s="11" t="s">
        <v>1849</v>
      </c>
      <c r="D4261" s="6" t="s">
        <v>1850</v>
      </c>
      <c r="E4261" s="11" t="s">
        <v>8816</v>
      </c>
      <c r="F4261" s="12" t="s">
        <v>8816</v>
      </c>
      <c r="G4261" s="12" t="s">
        <v>8820</v>
      </c>
      <c r="H4261" s="12" t="s">
        <v>9145</v>
      </c>
      <c r="I4261" s="12" t="s">
        <v>9187</v>
      </c>
      <c r="J4261" s="11" t="s">
        <v>1856</v>
      </c>
      <c r="K4261" s="11" t="s">
        <v>1852</v>
      </c>
      <c r="L4261" s="11" t="s">
        <v>1853</v>
      </c>
      <c r="M4261" s="12" t="s">
        <v>3222</v>
      </c>
      <c r="N4261" s="12"/>
      <c r="O4261" s="11" t="s">
        <v>1859</v>
      </c>
      <c r="P4261" s="56"/>
    </row>
    <row r="4262" spans="1:16" ht="15.75" customHeight="1" x14ac:dyDescent="0.2">
      <c r="A4262" s="48">
        <v>4337</v>
      </c>
      <c r="B4262" s="11" t="s">
        <v>1857</v>
      </c>
      <c r="C4262" s="11" t="s">
        <v>1849</v>
      </c>
      <c r="D4262" s="6" t="s">
        <v>1850</v>
      </c>
      <c r="E4262" s="11" t="s">
        <v>8816</v>
      </c>
      <c r="F4262" s="12" t="s">
        <v>8816</v>
      </c>
      <c r="G4262" s="12" t="s">
        <v>5635</v>
      </c>
      <c r="H4262" s="12" t="s">
        <v>9120</v>
      </c>
      <c r="I4262" s="12" t="s">
        <v>9188</v>
      </c>
      <c r="J4262" s="11" t="s">
        <v>1856</v>
      </c>
      <c r="K4262" s="11" t="s">
        <v>1852</v>
      </c>
      <c r="L4262" s="11" t="s">
        <v>1853</v>
      </c>
      <c r="M4262" s="11" t="s">
        <v>9189</v>
      </c>
      <c r="N4262" s="12"/>
      <c r="O4262" s="11" t="s">
        <v>1859</v>
      </c>
      <c r="P4262" s="56"/>
    </row>
    <row r="4263" spans="1:16" ht="15.75" customHeight="1" x14ac:dyDescent="0.2">
      <c r="A4263" s="48">
        <v>4792</v>
      </c>
      <c r="B4263" s="11" t="s">
        <v>1857</v>
      </c>
      <c r="C4263" s="11" t="s">
        <v>1849</v>
      </c>
      <c r="D4263" s="6" t="s">
        <v>1850</v>
      </c>
      <c r="E4263" s="11" t="s">
        <v>8816</v>
      </c>
      <c r="F4263" s="12" t="s">
        <v>8816</v>
      </c>
      <c r="G4263" s="12" t="s">
        <v>8844</v>
      </c>
      <c r="H4263" s="59" t="s">
        <v>8931</v>
      </c>
      <c r="I4263" s="12" t="s">
        <v>9190</v>
      </c>
      <c r="J4263" s="11" t="s">
        <v>1856</v>
      </c>
      <c r="K4263" s="11" t="s">
        <v>1852</v>
      </c>
      <c r="L4263" s="11" t="s">
        <v>1853</v>
      </c>
      <c r="M4263" s="11" t="s">
        <v>4045</v>
      </c>
      <c r="N4263" s="12"/>
      <c r="O4263" s="11" t="s">
        <v>1859</v>
      </c>
      <c r="P4263" s="56"/>
    </row>
    <row r="4264" spans="1:16" ht="15.75" customHeight="1" x14ac:dyDescent="0.2">
      <c r="A4264" s="48">
        <v>5421</v>
      </c>
      <c r="B4264" s="11" t="s">
        <v>1857</v>
      </c>
      <c r="C4264" s="11" t="s">
        <v>1849</v>
      </c>
      <c r="D4264" s="6" t="s">
        <v>1850</v>
      </c>
      <c r="E4264" s="11" t="s">
        <v>8816</v>
      </c>
      <c r="F4264" s="12" t="s">
        <v>8816</v>
      </c>
      <c r="G4264" s="12" t="s">
        <v>8820</v>
      </c>
      <c r="H4264" s="12" t="s">
        <v>8820</v>
      </c>
      <c r="I4264" s="12" t="s">
        <v>9191</v>
      </c>
      <c r="J4264" s="11" t="s">
        <v>1851</v>
      </c>
      <c r="K4264" s="11" t="s">
        <v>1852</v>
      </c>
      <c r="L4264" s="11" t="s">
        <v>1853</v>
      </c>
      <c r="M4264" s="11" t="s">
        <v>9192</v>
      </c>
      <c r="N4264" s="12" t="s">
        <v>9193</v>
      </c>
      <c r="O4264" s="11" t="s">
        <v>1858</v>
      </c>
      <c r="P4264" s="56"/>
    </row>
    <row r="4265" spans="1:16" ht="15.75" customHeight="1" x14ac:dyDescent="0.2">
      <c r="A4265" s="48">
        <v>4733</v>
      </c>
      <c r="B4265" s="11" t="s">
        <v>1857</v>
      </c>
      <c r="C4265" s="11" t="s">
        <v>1849</v>
      </c>
      <c r="D4265" s="6" t="s">
        <v>1850</v>
      </c>
      <c r="E4265" s="11" t="s">
        <v>8816</v>
      </c>
      <c r="F4265" s="12" t="s">
        <v>8816</v>
      </c>
      <c r="G4265" s="12" t="s">
        <v>8844</v>
      </c>
      <c r="H4265" s="59" t="s">
        <v>8921</v>
      </c>
      <c r="I4265" s="12" t="s">
        <v>5253</v>
      </c>
      <c r="J4265" s="11" t="s">
        <v>1856</v>
      </c>
      <c r="K4265" s="11" t="s">
        <v>1852</v>
      </c>
      <c r="L4265" s="11" t="s">
        <v>1853</v>
      </c>
      <c r="M4265" s="11" t="s">
        <v>1854</v>
      </c>
      <c r="N4265" s="12"/>
      <c r="O4265" s="11" t="s">
        <v>1859</v>
      </c>
      <c r="P4265" s="56"/>
    </row>
    <row r="4266" spans="1:16" ht="15.75" customHeight="1" x14ac:dyDescent="0.2">
      <c r="A4266" s="48">
        <v>4571</v>
      </c>
      <c r="B4266" s="11" t="s">
        <v>1857</v>
      </c>
      <c r="C4266" s="11" t="s">
        <v>1849</v>
      </c>
      <c r="D4266" s="6" t="s">
        <v>1850</v>
      </c>
      <c r="E4266" s="11" t="s">
        <v>8816</v>
      </c>
      <c r="F4266" s="12" t="s">
        <v>8816</v>
      </c>
      <c r="G4266" s="12" t="s">
        <v>8817</v>
      </c>
      <c r="H4266" s="12" t="s">
        <v>8817</v>
      </c>
      <c r="I4266" s="12" t="s">
        <v>9194</v>
      </c>
      <c r="J4266" s="11" t="s">
        <v>1851</v>
      </c>
      <c r="K4266" s="11" t="s">
        <v>1852</v>
      </c>
      <c r="L4266" s="11" t="s">
        <v>1853</v>
      </c>
      <c r="M4266" s="11" t="s">
        <v>1854</v>
      </c>
      <c r="N4266" s="12"/>
      <c r="O4266" s="11" t="s">
        <v>1864</v>
      </c>
      <c r="P4266" s="56" t="s">
        <v>4668</v>
      </c>
    </row>
    <row r="4267" spans="1:16" ht="15.75" customHeight="1" x14ac:dyDescent="0.2">
      <c r="A4267" s="48">
        <v>4439</v>
      </c>
      <c r="B4267" s="11" t="s">
        <v>1857</v>
      </c>
      <c r="C4267" s="11" t="s">
        <v>1849</v>
      </c>
      <c r="D4267" s="6" t="s">
        <v>1850</v>
      </c>
      <c r="E4267" s="11" t="s">
        <v>8816</v>
      </c>
      <c r="F4267" s="12" t="s">
        <v>8816</v>
      </c>
      <c r="G4267" s="12" t="s">
        <v>8825</v>
      </c>
      <c r="H4267" s="59" t="s">
        <v>8825</v>
      </c>
      <c r="I4267" s="12" t="s">
        <v>9195</v>
      </c>
      <c r="J4267" s="11" t="s">
        <v>1856</v>
      </c>
      <c r="K4267" s="11" t="s">
        <v>1852</v>
      </c>
      <c r="L4267" s="11" t="s">
        <v>1853</v>
      </c>
      <c r="M4267" s="11" t="s">
        <v>9196</v>
      </c>
      <c r="N4267" s="12" t="s">
        <v>9197</v>
      </c>
      <c r="O4267" s="11" t="s">
        <v>1860</v>
      </c>
      <c r="P4267" s="56"/>
    </row>
    <row r="4268" spans="1:16" ht="15.75" customHeight="1" x14ac:dyDescent="0.2">
      <c r="A4268" s="48">
        <v>4624</v>
      </c>
      <c r="B4268" s="11" t="s">
        <v>1857</v>
      </c>
      <c r="C4268" s="11" t="s">
        <v>1849</v>
      </c>
      <c r="D4268" s="6" t="s">
        <v>1850</v>
      </c>
      <c r="E4268" s="11" t="s">
        <v>8816</v>
      </c>
      <c r="F4268" s="12" t="s">
        <v>8816</v>
      </c>
      <c r="G4268" s="12" t="s">
        <v>8817</v>
      </c>
      <c r="H4268" s="59" t="s">
        <v>9198</v>
      </c>
      <c r="I4268" s="12" t="s">
        <v>9199</v>
      </c>
      <c r="J4268" s="11" t="s">
        <v>1856</v>
      </c>
      <c r="K4268" s="11" t="s">
        <v>1852</v>
      </c>
      <c r="L4268" s="11" t="s">
        <v>1853</v>
      </c>
      <c r="M4268" s="11" t="s">
        <v>2244</v>
      </c>
      <c r="N4268" s="12"/>
      <c r="O4268" s="11" t="s">
        <v>1858</v>
      </c>
      <c r="P4268" s="56"/>
    </row>
    <row r="4269" spans="1:16" ht="15.75" customHeight="1" x14ac:dyDescent="0.2">
      <c r="A4269" s="48">
        <v>4617</v>
      </c>
      <c r="B4269" s="11" t="s">
        <v>1857</v>
      </c>
      <c r="C4269" s="11" t="s">
        <v>1849</v>
      </c>
      <c r="D4269" s="6" t="s">
        <v>1850</v>
      </c>
      <c r="E4269" s="11" t="s">
        <v>8816</v>
      </c>
      <c r="F4269" s="12" t="s">
        <v>8816</v>
      </c>
      <c r="G4269" s="12" t="s">
        <v>8817</v>
      </c>
      <c r="H4269" s="59" t="s">
        <v>9055</v>
      </c>
      <c r="I4269" s="12" t="s">
        <v>9200</v>
      </c>
      <c r="J4269" s="11" t="s">
        <v>1856</v>
      </c>
      <c r="K4269" s="11" t="s">
        <v>1852</v>
      </c>
      <c r="L4269" s="11" t="s">
        <v>1853</v>
      </c>
      <c r="M4269" s="11" t="s">
        <v>9201</v>
      </c>
      <c r="N4269" s="12" t="s">
        <v>9202</v>
      </c>
      <c r="O4269" s="11" t="s">
        <v>1858</v>
      </c>
      <c r="P4269" s="56"/>
    </row>
    <row r="4270" spans="1:16" ht="15.75" customHeight="1" x14ac:dyDescent="0.2">
      <c r="A4270" s="48">
        <v>4665</v>
      </c>
      <c r="B4270" s="11" t="s">
        <v>1857</v>
      </c>
      <c r="C4270" s="11" t="s">
        <v>1849</v>
      </c>
      <c r="D4270" s="6" t="s">
        <v>1850</v>
      </c>
      <c r="E4270" s="11" t="s">
        <v>8816</v>
      </c>
      <c r="F4270" s="12" t="s">
        <v>8816</v>
      </c>
      <c r="G4270" s="12" t="s">
        <v>8817</v>
      </c>
      <c r="H4270" s="59" t="s">
        <v>9043</v>
      </c>
      <c r="I4270" s="12" t="s">
        <v>9203</v>
      </c>
      <c r="J4270" s="11" t="s">
        <v>1856</v>
      </c>
      <c r="K4270" s="11" t="s">
        <v>1852</v>
      </c>
      <c r="L4270" s="11" t="s">
        <v>1853</v>
      </c>
      <c r="M4270" s="11" t="s">
        <v>5575</v>
      </c>
      <c r="N4270" s="12" t="s">
        <v>2281</v>
      </c>
      <c r="O4270" s="11" t="s">
        <v>1858</v>
      </c>
      <c r="P4270" s="56"/>
    </row>
    <row r="4271" spans="1:16" ht="15.75" customHeight="1" x14ac:dyDescent="0.2">
      <c r="A4271" s="48">
        <v>4111</v>
      </c>
      <c r="B4271" s="11" t="s">
        <v>1857</v>
      </c>
      <c r="C4271" s="11" t="s">
        <v>1849</v>
      </c>
      <c r="D4271" s="6" t="s">
        <v>1850</v>
      </c>
      <c r="E4271" s="11" t="s">
        <v>8816</v>
      </c>
      <c r="F4271" s="12" t="s">
        <v>8816</v>
      </c>
      <c r="G4271" s="12" t="s">
        <v>8817</v>
      </c>
      <c r="H4271" s="12" t="s">
        <v>9204</v>
      </c>
      <c r="I4271" s="12" t="s">
        <v>9205</v>
      </c>
      <c r="J4271" s="11" t="s">
        <v>1856</v>
      </c>
      <c r="K4271" s="11" t="s">
        <v>1852</v>
      </c>
      <c r="L4271" s="11" t="s">
        <v>1853</v>
      </c>
      <c r="M4271" s="11" t="s">
        <v>8955</v>
      </c>
      <c r="N4271" s="12" t="s">
        <v>2281</v>
      </c>
      <c r="O4271" s="11" t="s">
        <v>1858</v>
      </c>
      <c r="P4271" s="56"/>
    </row>
    <row r="4272" spans="1:16" ht="15.75" customHeight="1" x14ac:dyDescent="0.2">
      <c r="A4272" s="48">
        <v>4376</v>
      </c>
      <c r="B4272" s="11" t="s">
        <v>1857</v>
      </c>
      <c r="C4272" s="11" t="s">
        <v>1849</v>
      </c>
      <c r="D4272" s="6" t="s">
        <v>1850</v>
      </c>
      <c r="E4272" s="11" t="s">
        <v>8816</v>
      </c>
      <c r="F4272" s="12" t="s">
        <v>8816</v>
      </c>
      <c r="G4272" s="12" t="s">
        <v>5635</v>
      </c>
      <c r="H4272" s="12" t="s">
        <v>8926</v>
      </c>
      <c r="I4272" s="12" t="s">
        <v>9206</v>
      </c>
      <c r="J4272" s="11" t="s">
        <v>1856</v>
      </c>
      <c r="K4272" s="11" t="s">
        <v>1852</v>
      </c>
      <c r="L4272" s="11" t="s">
        <v>1853</v>
      </c>
      <c r="M4272" s="11" t="s">
        <v>2276</v>
      </c>
      <c r="N4272" s="12"/>
      <c r="O4272" s="11" t="s">
        <v>1858</v>
      </c>
      <c r="P4272" s="56"/>
    </row>
    <row r="4273" spans="1:16" ht="15.75" customHeight="1" x14ac:dyDescent="0.2">
      <c r="A4273" s="48">
        <v>4610</v>
      </c>
      <c r="B4273" s="11" t="s">
        <v>1857</v>
      </c>
      <c r="C4273" s="11" t="s">
        <v>1849</v>
      </c>
      <c r="D4273" s="6" t="s">
        <v>1850</v>
      </c>
      <c r="E4273" s="11" t="s">
        <v>8816</v>
      </c>
      <c r="F4273" s="12" t="s">
        <v>8816</v>
      </c>
      <c r="G4273" s="12" t="s">
        <v>8844</v>
      </c>
      <c r="H4273" s="59" t="s">
        <v>3676</v>
      </c>
      <c r="I4273" s="12" t="s">
        <v>9207</v>
      </c>
      <c r="J4273" s="11" t="s">
        <v>1856</v>
      </c>
      <c r="K4273" s="11" t="s">
        <v>1852</v>
      </c>
      <c r="L4273" s="11" t="s">
        <v>1853</v>
      </c>
      <c r="M4273" s="11" t="s">
        <v>2539</v>
      </c>
      <c r="N4273" s="12"/>
      <c r="O4273" s="11" t="s">
        <v>1859</v>
      </c>
      <c r="P4273" s="56"/>
    </row>
    <row r="4274" spans="1:16" ht="15.75" customHeight="1" x14ac:dyDescent="0.2">
      <c r="A4274" s="48">
        <v>4095</v>
      </c>
      <c r="B4274" s="11" t="s">
        <v>1857</v>
      </c>
      <c r="C4274" s="11" t="s">
        <v>1849</v>
      </c>
      <c r="D4274" s="6" t="s">
        <v>1850</v>
      </c>
      <c r="E4274" s="11" t="s">
        <v>8816</v>
      </c>
      <c r="F4274" s="12" t="s">
        <v>8816</v>
      </c>
      <c r="G4274" s="12" t="s">
        <v>8895</v>
      </c>
      <c r="H4274" s="12" t="s">
        <v>8895</v>
      </c>
      <c r="I4274" s="12" t="s">
        <v>9208</v>
      </c>
      <c r="J4274" s="11" t="s">
        <v>1856</v>
      </c>
      <c r="K4274" s="11" t="s">
        <v>1852</v>
      </c>
      <c r="L4274" s="11" t="s">
        <v>1853</v>
      </c>
      <c r="M4274" s="11" t="s">
        <v>1854</v>
      </c>
      <c r="N4274" s="12"/>
      <c r="O4274" s="11" t="s">
        <v>1859</v>
      </c>
      <c r="P4274" s="56"/>
    </row>
    <row r="4275" spans="1:16" ht="15.75" customHeight="1" x14ac:dyDescent="0.2">
      <c r="A4275" s="48">
        <v>4547</v>
      </c>
      <c r="B4275" s="11" t="s">
        <v>1857</v>
      </c>
      <c r="C4275" s="11" t="s">
        <v>1849</v>
      </c>
      <c r="D4275" s="6" t="s">
        <v>1850</v>
      </c>
      <c r="E4275" s="11" t="s">
        <v>8816</v>
      </c>
      <c r="F4275" s="12" t="s">
        <v>8816</v>
      </c>
      <c r="G4275" s="12" t="s">
        <v>4741</v>
      </c>
      <c r="H4275" s="59" t="s">
        <v>8856</v>
      </c>
      <c r="I4275" s="12" t="s">
        <v>9209</v>
      </c>
      <c r="J4275" s="11" t="s">
        <v>1856</v>
      </c>
      <c r="K4275" s="11" t="s">
        <v>1852</v>
      </c>
      <c r="L4275" s="11" t="s">
        <v>1853</v>
      </c>
      <c r="M4275" s="11" t="s">
        <v>1854</v>
      </c>
      <c r="N4275" s="12"/>
      <c r="O4275" s="11" t="s">
        <v>1858</v>
      </c>
      <c r="P4275" s="56"/>
    </row>
    <row r="4276" spans="1:16" ht="15.75" customHeight="1" x14ac:dyDescent="0.2">
      <c r="A4276" s="48">
        <v>4233</v>
      </c>
      <c r="B4276" s="11" t="s">
        <v>1857</v>
      </c>
      <c r="C4276" s="11" t="s">
        <v>1849</v>
      </c>
      <c r="D4276" s="6" t="s">
        <v>1850</v>
      </c>
      <c r="E4276" s="11" t="s">
        <v>8816</v>
      </c>
      <c r="F4276" s="12" t="s">
        <v>8816</v>
      </c>
      <c r="G4276" s="12" t="s">
        <v>8851</v>
      </c>
      <c r="H4276" s="12" t="s">
        <v>8974</v>
      </c>
      <c r="I4276" s="12" t="s">
        <v>9210</v>
      </c>
      <c r="J4276" s="11" t="s">
        <v>1856</v>
      </c>
      <c r="K4276" s="11" t="s">
        <v>1852</v>
      </c>
      <c r="L4276" s="11" t="s">
        <v>1853</v>
      </c>
      <c r="M4276" s="11" t="s">
        <v>8910</v>
      </c>
      <c r="N4276" s="12" t="s">
        <v>9211</v>
      </c>
      <c r="O4276" s="11" t="s">
        <v>1858</v>
      </c>
      <c r="P4276" s="56"/>
    </row>
    <row r="4277" spans="1:16" ht="15.75" customHeight="1" x14ac:dyDescent="0.2">
      <c r="A4277" s="48">
        <v>4630</v>
      </c>
      <c r="B4277" s="11" t="s">
        <v>1857</v>
      </c>
      <c r="C4277" s="11" t="s">
        <v>1849</v>
      </c>
      <c r="D4277" s="6" t="s">
        <v>1850</v>
      </c>
      <c r="E4277" s="11" t="s">
        <v>8816</v>
      </c>
      <c r="F4277" s="12" t="s">
        <v>8816</v>
      </c>
      <c r="G4277" s="12" t="s">
        <v>8817</v>
      </c>
      <c r="H4277" s="59" t="s">
        <v>8879</v>
      </c>
      <c r="I4277" s="12" t="s">
        <v>9212</v>
      </c>
      <c r="J4277" s="11" t="s">
        <v>1856</v>
      </c>
      <c r="K4277" s="11" t="s">
        <v>1852</v>
      </c>
      <c r="L4277" s="11" t="s">
        <v>1853</v>
      </c>
      <c r="M4277" s="11" t="s">
        <v>1854</v>
      </c>
      <c r="N4277" s="12"/>
      <c r="O4277" s="11" t="s">
        <v>1858</v>
      </c>
      <c r="P4277" s="56"/>
    </row>
    <row r="4278" spans="1:16" ht="15.75" customHeight="1" x14ac:dyDescent="0.2">
      <c r="A4278" s="48">
        <v>4463</v>
      </c>
      <c r="B4278" s="11" t="s">
        <v>1857</v>
      </c>
      <c r="C4278" s="11" t="s">
        <v>1849</v>
      </c>
      <c r="D4278" s="6" t="s">
        <v>1850</v>
      </c>
      <c r="E4278" s="11" t="s">
        <v>8816</v>
      </c>
      <c r="F4278" s="12" t="s">
        <v>8816</v>
      </c>
      <c r="G4278" s="12" t="s">
        <v>6658</v>
      </c>
      <c r="H4278" s="59" t="s">
        <v>6658</v>
      </c>
      <c r="I4278" s="12" t="s">
        <v>9213</v>
      </c>
      <c r="J4278" s="11" t="s">
        <v>1856</v>
      </c>
      <c r="K4278" s="11" t="s">
        <v>1852</v>
      </c>
      <c r="L4278" s="11" t="s">
        <v>1853</v>
      </c>
      <c r="M4278" s="11" t="s">
        <v>1854</v>
      </c>
      <c r="N4278" s="12"/>
      <c r="O4278" s="11" t="s">
        <v>1858</v>
      </c>
      <c r="P4278" s="56"/>
    </row>
    <row r="4279" spans="1:16" ht="15.75" customHeight="1" x14ac:dyDescent="0.2">
      <c r="A4279" s="48">
        <v>4467</v>
      </c>
      <c r="B4279" s="11" t="s">
        <v>1857</v>
      </c>
      <c r="C4279" s="11" t="s">
        <v>1849</v>
      </c>
      <c r="D4279" s="6" t="s">
        <v>1850</v>
      </c>
      <c r="E4279" s="11" t="s">
        <v>8816</v>
      </c>
      <c r="F4279" s="12" t="s">
        <v>8816</v>
      </c>
      <c r="G4279" s="12" t="s">
        <v>6658</v>
      </c>
      <c r="H4279" s="59" t="s">
        <v>8849</v>
      </c>
      <c r="I4279" s="12" t="s">
        <v>9214</v>
      </c>
      <c r="J4279" s="11" t="s">
        <v>1856</v>
      </c>
      <c r="K4279" s="11" t="s">
        <v>1852</v>
      </c>
      <c r="L4279" s="11" t="s">
        <v>1853</v>
      </c>
      <c r="M4279" s="11" t="s">
        <v>6582</v>
      </c>
      <c r="N4279" s="12"/>
      <c r="O4279" s="11" t="s">
        <v>1859</v>
      </c>
      <c r="P4279" s="56"/>
    </row>
    <row r="4280" spans="1:16" ht="15.75" customHeight="1" x14ac:dyDescent="0.2">
      <c r="A4280" s="48">
        <v>4388</v>
      </c>
      <c r="B4280" s="11" t="s">
        <v>1857</v>
      </c>
      <c r="C4280" s="11" t="s">
        <v>1849</v>
      </c>
      <c r="D4280" s="6" t="s">
        <v>1850</v>
      </c>
      <c r="E4280" s="11" t="s">
        <v>8816</v>
      </c>
      <c r="F4280" s="12" t="s">
        <v>8816</v>
      </c>
      <c r="G4280" s="12" t="s">
        <v>8928</v>
      </c>
      <c r="H4280" s="59" t="s">
        <v>9093</v>
      </c>
      <c r="I4280" s="12" t="s">
        <v>9215</v>
      </c>
      <c r="J4280" s="11" t="s">
        <v>1856</v>
      </c>
      <c r="K4280" s="11" t="s">
        <v>1852</v>
      </c>
      <c r="L4280" s="11" t="s">
        <v>1853</v>
      </c>
      <c r="M4280" s="11" t="s">
        <v>9216</v>
      </c>
      <c r="N4280" s="12"/>
      <c r="O4280" s="11" t="s">
        <v>1859</v>
      </c>
      <c r="P4280" s="56"/>
    </row>
    <row r="4281" spans="1:16" ht="15.75" customHeight="1" x14ac:dyDescent="0.2">
      <c r="A4281" s="48">
        <v>4408</v>
      </c>
      <c r="B4281" s="11" t="s">
        <v>1857</v>
      </c>
      <c r="C4281" s="11" t="s">
        <v>1849</v>
      </c>
      <c r="D4281" s="6" t="s">
        <v>1850</v>
      </c>
      <c r="E4281" s="11" t="s">
        <v>8816</v>
      </c>
      <c r="F4281" s="12" t="s">
        <v>8816</v>
      </c>
      <c r="G4281" s="12" t="s">
        <v>8928</v>
      </c>
      <c r="H4281" s="59" t="s">
        <v>9217</v>
      </c>
      <c r="I4281" s="12" t="s">
        <v>9218</v>
      </c>
      <c r="J4281" s="11" t="s">
        <v>1856</v>
      </c>
      <c r="K4281" s="11" t="s">
        <v>1852</v>
      </c>
      <c r="L4281" s="11" t="s">
        <v>1853</v>
      </c>
      <c r="M4281" s="11" t="s">
        <v>9219</v>
      </c>
      <c r="N4281" s="12" t="s">
        <v>9220</v>
      </c>
      <c r="O4281" s="11" t="s">
        <v>1858</v>
      </c>
      <c r="P4281" s="56"/>
    </row>
    <row r="4282" spans="1:16" ht="15.75" customHeight="1" x14ac:dyDescent="0.2">
      <c r="A4282" s="48">
        <v>4754</v>
      </c>
      <c r="B4282" s="11" t="s">
        <v>1857</v>
      </c>
      <c r="C4282" s="11" t="s">
        <v>1849</v>
      </c>
      <c r="D4282" s="6" t="s">
        <v>1850</v>
      </c>
      <c r="E4282" s="11" t="s">
        <v>8816</v>
      </c>
      <c r="F4282" s="12" t="s">
        <v>8816</v>
      </c>
      <c r="G4282" s="12" t="s">
        <v>8844</v>
      </c>
      <c r="H4282" s="59" t="s">
        <v>9035</v>
      </c>
      <c r="I4282" s="12" t="s">
        <v>9221</v>
      </c>
      <c r="J4282" s="11" t="s">
        <v>1856</v>
      </c>
      <c r="K4282" s="11" t="s">
        <v>1852</v>
      </c>
      <c r="L4282" s="11" t="s">
        <v>1853</v>
      </c>
      <c r="M4282" s="11" t="s">
        <v>6185</v>
      </c>
      <c r="N4282" s="12"/>
      <c r="O4282" s="11" t="s">
        <v>1859</v>
      </c>
      <c r="P4282" s="56"/>
    </row>
    <row r="4283" spans="1:16" ht="15.75" customHeight="1" x14ac:dyDescent="0.2">
      <c r="A4283" s="48">
        <v>4563</v>
      </c>
      <c r="B4283" s="11" t="s">
        <v>1857</v>
      </c>
      <c r="C4283" s="11" t="s">
        <v>1849</v>
      </c>
      <c r="D4283" s="6" t="s">
        <v>1850</v>
      </c>
      <c r="E4283" s="11" t="s">
        <v>8816</v>
      </c>
      <c r="F4283" s="12" t="s">
        <v>8816</v>
      </c>
      <c r="G4283" s="12" t="s">
        <v>8817</v>
      </c>
      <c r="H4283" s="12" t="s">
        <v>8817</v>
      </c>
      <c r="I4283" s="12" t="s">
        <v>9222</v>
      </c>
      <c r="J4283" s="11" t="s">
        <v>1851</v>
      </c>
      <c r="K4283" s="11" t="s">
        <v>1852</v>
      </c>
      <c r="L4283" s="11" t="s">
        <v>1853</v>
      </c>
      <c r="M4283" s="11" t="s">
        <v>9223</v>
      </c>
      <c r="N4283" s="12"/>
      <c r="O4283" s="11" t="s">
        <v>2022</v>
      </c>
      <c r="P4283" s="56" t="s">
        <v>9224</v>
      </c>
    </row>
    <row r="4284" spans="1:16" ht="15.75" customHeight="1" x14ac:dyDescent="0.2">
      <c r="A4284" s="48">
        <v>4496</v>
      </c>
      <c r="B4284" s="11" t="s">
        <v>1857</v>
      </c>
      <c r="C4284" s="11" t="s">
        <v>1849</v>
      </c>
      <c r="D4284" s="6" t="s">
        <v>1850</v>
      </c>
      <c r="E4284" s="11" t="s">
        <v>8816</v>
      </c>
      <c r="F4284" s="12" t="s">
        <v>8816</v>
      </c>
      <c r="G4284" s="12" t="s">
        <v>4741</v>
      </c>
      <c r="H4284" s="12" t="s">
        <v>4741</v>
      </c>
      <c r="I4284" s="12" t="s">
        <v>9225</v>
      </c>
      <c r="J4284" s="11" t="s">
        <v>1856</v>
      </c>
      <c r="K4284" s="11" t="s">
        <v>1852</v>
      </c>
      <c r="L4284" s="11" t="s">
        <v>1853</v>
      </c>
      <c r="M4284" s="11" t="s">
        <v>9226</v>
      </c>
      <c r="N4284" s="12"/>
      <c r="O4284" s="11" t="s">
        <v>2408</v>
      </c>
      <c r="P4284" s="56" t="s">
        <v>9110</v>
      </c>
    </row>
    <row r="4285" spans="1:16" ht="15.75" customHeight="1" x14ac:dyDescent="0.2">
      <c r="A4285" s="48">
        <v>4172</v>
      </c>
      <c r="B4285" s="11" t="s">
        <v>1857</v>
      </c>
      <c r="C4285" s="11" t="s">
        <v>1849</v>
      </c>
      <c r="D4285" s="6" t="s">
        <v>1850</v>
      </c>
      <c r="E4285" s="11" t="s">
        <v>8816</v>
      </c>
      <c r="F4285" s="12" t="s">
        <v>8816</v>
      </c>
      <c r="G4285" s="12" t="s">
        <v>8851</v>
      </c>
      <c r="H4285" s="12" t="s">
        <v>8851</v>
      </c>
      <c r="I4285" s="12" t="s">
        <v>9227</v>
      </c>
      <c r="J4285" s="11" t="s">
        <v>1856</v>
      </c>
      <c r="K4285" s="11" t="s">
        <v>1852</v>
      </c>
      <c r="L4285" s="11" t="s">
        <v>1853</v>
      </c>
      <c r="M4285" s="11" t="s">
        <v>9228</v>
      </c>
      <c r="N4285" s="12" t="s">
        <v>9229</v>
      </c>
      <c r="O4285" s="11" t="s">
        <v>1866</v>
      </c>
      <c r="P4285" s="56" t="s">
        <v>9230</v>
      </c>
    </row>
    <row r="4286" spans="1:16" ht="15.75" customHeight="1" x14ac:dyDescent="0.2">
      <c r="A4286" s="48">
        <v>4354</v>
      </c>
      <c r="B4286" s="11" t="s">
        <v>1857</v>
      </c>
      <c r="C4286" s="11" t="s">
        <v>1849</v>
      </c>
      <c r="D4286" s="6" t="s">
        <v>1850</v>
      </c>
      <c r="E4286" s="11" t="s">
        <v>8816</v>
      </c>
      <c r="F4286" s="12" t="s">
        <v>8816</v>
      </c>
      <c r="G4286" s="12" t="s">
        <v>5635</v>
      </c>
      <c r="H4286" s="12" t="s">
        <v>5231</v>
      </c>
      <c r="I4286" s="12" t="s">
        <v>9231</v>
      </c>
      <c r="J4286" s="11" t="s">
        <v>1856</v>
      </c>
      <c r="K4286" s="11" t="s">
        <v>1852</v>
      </c>
      <c r="L4286" s="11" t="s">
        <v>1853</v>
      </c>
      <c r="M4286" s="11" t="s">
        <v>1854</v>
      </c>
      <c r="N4286" s="12"/>
      <c r="O4286" s="11" t="s">
        <v>2022</v>
      </c>
      <c r="P4286" s="56" t="s">
        <v>2796</v>
      </c>
    </row>
    <row r="4287" spans="1:16" ht="15.75" customHeight="1" x14ac:dyDescent="0.2">
      <c r="A4287" s="48">
        <v>4428</v>
      </c>
      <c r="B4287" s="11" t="s">
        <v>1857</v>
      </c>
      <c r="C4287" s="11" t="s">
        <v>1849</v>
      </c>
      <c r="D4287" s="6" t="s">
        <v>1850</v>
      </c>
      <c r="E4287" s="11" t="s">
        <v>8816</v>
      </c>
      <c r="F4287" s="12" t="s">
        <v>8816</v>
      </c>
      <c r="G4287" s="12" t="s">
        <v>8928</v>
      </c>
      <c r="H4287" s="59" t="s">
        <v>8929</v>
      </c>
      <c r="I4287" s="12" t="s">
        <v>9232</v>
      </c>
      <c r="J4287" s="11" t="s">
        <v>1856</v>
      </c>
      <c r="K4287" s="11" t="s">
        <v>1852</v>
      </c>
      <c r="L4287" s="11" t="s">
        <v>1853</v>
      </c>
      <c r="M4287" s="11" t="s">
        <v>9233</v>
      </c>
      <c r="N4287" s="12" t="s">
        <v>9234</v>
      </c>
      <c r="O4287" s="11" t="s">
        <v>2022</v>
      </c>
      <c r="P4287" s="56" t="s">
        <v>9235</v>
      </c>
    </row>
    <row r="4288" spans="1:16" ht="15.75" customHeight="1" x14ac:dyDescent="0.2">
      <c r="A4288" s="48">
        <v>5276</v>
      </c>
      <c r="B4288" s="11" t="s">
        <v>1857</v>
      </c>
      <c r="C4288" s="11" t="s">
        <v>1849</v>
      </c>
      <c r="D4288" s="6" t="s">
        <v>1850</v>
      </c>
      <c r="E4288" s="11" t="s">
        <v>8816</v>
      </c>
      <c r="F4288" s="12" t="s">
        <v>8816</v>
      </c>
      <c r="G4288" s="12" t="s">
        <v>6658</v>
      </c>
      <c r="H4288" s="12" t="s">
        <v>2845</v>
      </c>
      <c r="I4288" s="12" t="s">
        <v>9236</v>
      </c>
      <c r="J4288" s="11" t="s">
        <v>1856</v>
      </c>
      <c r="K4288" s="11" t="s">
        <v>1852</v>
      </c>
      <c r="L4288" s="11" t="s">
        <v>1853</v>
      </c>
      <c r="M4288" s="11" t="s">
        <v>9237</v>
      </c>
      <c r="N4288" s="12" t="s">
        <v>9238</v>
      </c>
      <c r="O4288" s="11" t="s">
        <v>1864</v>
      </c>
      <c r="P4288" s="56" t="s">
        <v>2184</v>
      </c>
    </row>
    <row r="4289" spans="1:16" ht="15.75" customHeight="1" x14ac:dyDescent="0.2">
      <c r="A4289" s="48">
        <v>4287</v>
      </c>
      <c r="B4289" s="11" t="s">
        <v>1857</v>
      </c>
      <c r="C4289" s="11" t="s">
        <v>1849</v>
      </c>
      <c r="D4289" s="6" t="s">
        <v>1850</v>
      </c>
      <c r="E4289" s="11" t="s">
        <v>8816</v>
      </c>
      <c r="F4289" s="12" t="s">
        <v>8816</v>
      </c>
      <c r="G4289" s="12" t="s">
        <v>5635</v>
      </c>
      <c r="H4289" s="12" t="s">
        <v>5635</v>
      </c>
      <c r="I4289" s="12" t="s">
        <v>9239</v>
      </c>
      <c r="J4289" s="11" t="s">
        <v>1856</v>
      </c>
      <c r="K4289" s="11" t="s">
        <v>1852</v>
      </c>
      <c r="L4289" s="11" t="s">
        <v>1853</v>
      </c>
      <c r="M4289" s="11" t="s">
        <v>9240</v>
      </c>
      <c r="N4289" s="12" t="s">
        <v>9241</v>
      </c>
      <c r="O4289" s="11" t="s">
        <v>1866</v>
      </c>
      <c r="P4289" s="56" t="s">
        <v>9242</v>
      </c>
    </row>
    <row r="4290" spans="1:16" ht="15.75" customHeight="1" x14ac:dyDescent="0.2">
      <c r="A4290" s="48">
        <v>4685</v>
      </c>
      <c r="B4290" s="11" t="s">
        <v>1857</v>
      </c>
      <c r="C4290" s="11" t="s">
        <v>1849</v>
      </c>
      <c r="D4290" s="6" t="s">
        <v>1850</v>
      </c>
      <c r="E4290" s="11" t="s">
        <v>8816</v>
      </c>
      <c r="F4290" s="12" t="s">
        <v>8816</v>
      </c>
      <c r="G4290" s="12" t="s">
        <v>8817</v>
      </c>
      <c r="H4290" s="12" t="s">
        <v>8842</v>
      </c>
      <c r="I4290" s="12" t="s">
        <v>9243</v>
      </c>
      <c r="J4290" s="11" t="s">
        <v>1856</v>
      </c>
      <c r="K4290" s="11" t="s">
        <v>1852</v>
      </c>
      <c r="L4290" s="11" t="s">
        <v>1853</v>
      </c>
      <c r="M4290" s="11" t="s">
        <v>9244</v>
      </c>
      <c r="N4290" s="12"/>
      <c r="O4290" s="11" t="s">
        <v>2022</v>
      </c>
      <c r="P4290" s="56" t="s">
        <v>9245</v>
      </c>
    </row>
    <row r="4291" spans="1:16" ht="15.75" customHeight="1" x14ac:dyDescent="0.2">
      <c r="A4291" s="48">
        <v>4451</v>
      </c>
      <c r="B4291" s="11" t="s">
        <v>1857</v>
      </c>
      <c r="C4291" s="11" t="s">
        <v>1849</v>
      </c>
      <c r="D4291" s="6" t="s">
        <v>1850</v>
      </c>
      <c r="E4291" s="11" t="s">
        <v>8816</v>
      </c>
      <c r="F4291" s="12" t="s">
        <v>8816</v>
      </c>
      <c r="G4291" s="12" t="s">
        <v>8825</v>
      </c>
      <c r="H4291" s="12" t="s">
        <v>3698</v>
      </c>
      <c r="I4291" s="12" t="s">
        <v>9246</v>
      </c>
      <c r="J4291" s="11" t="s">
        <v>1856</v>
      </c>
      <c r="K4291" s="11" t="s">
        <v>1852</v>
      </c>
      <c r="L4291" s="11" t="s">
        <v>1853</v>
      </c>
      <c r="M4291" s="11" t="s">
        <v>6039</v>
      </c>
      <c r="N4291" s="12"/>
      <c r="O4291" s="11" t="s">
        <v>1866</v>
      </c>
      <c r="P4291" s="56" t="s">
        <v>2409</v>
      </c>
    </row>
    <row r="4292" spans="1:16" ht="15.75" customHeight="1" x14ac:dyDescent="0.2">
      <c r="A4292" s="48">
        <v>6346</v>
      </c>
      <c r="B4292" s="11" t="s">
        <v>1857</v>
      </c>
      <c r="C4292" s="11" t="s">
        <v>1849</v>
      </c>
      <c r="D4292" s="6" t="s">
        <v>1850</v>
      </c>
      <c r="E4292" s="11" t="s">
        <v>8816</v>
      </c>
      <c r="F4292" s="12" t="s">
        <v>8816</v>
      </c>
      <c r="G4292" s="12" t="s">
        <v>4741</v>
      </c>
      <c r="H4292" s="59" t="s">
        <v>8868</v>
      </c>
      <c r="I4292" s="12" t="s">
        <v>9247</v>
      </c>
      <c r="J4292" s="11" t="s">
        <v>1856</v>
      </c>
      <c r="K4292" s="11" t="s">
        <v>1852</v>
      </c>
      <c r="L4292" s="11" t="s">
        <v>1853</v>
      </c>
      <c r="M4292" s="11" t="s">
        <v>2276</v>
      </c>
      <c r="N4292" s="12"/>
      <c r="O4292" s="11" t="s">
        <v>3016</v>
      </c>
      <c r="P4292" s="56" t="s">
        <v>2796</v>
      </c>
    </row>
    <row r="4293" spans="1:16" ht="15.75" customHeight="1" x14ac:dyDescent="0.2">
      <c r="A4293" s="48">
        <v>4565</v>
      </c>
      <c r="B4293" s="11" t="s">
        <v>1857</v>
      </c>
      <c r="C4293" s="11" t="s">
        <v>1849</v>
      </c>
      <c r="D4293" s="6" t="s">
        <v>1850</v>
      </c>
      <c r="E4293" s="11" t="s">
        <v>8816</v>
      </c>
      <c r="F4293" s="12" t="s">
        <v>8816</v>
      </c>
      <c r="G4293" s="12" t="s">
        <v>8817</v>
      </c>
      <c r="H4293" s="59" t="s">
        <v>8817</v>
      </c>
      <c r="I4293" s="12" t="s">
        <v>9248</v>
      </c>
      <c r="J4293" s="11" t="s">
        <v>1851</v>
      </c>
      <c r="K4293" s="11" t="s">
        <v>1852</v>
      </c>
      <c r="L4293" s="11" t="s">
        <v>1853</v>
      </c>
      <c r="M4293" s="11" t="s">
        <v>9249</v>
      </c>
      <c r="N4293" s="12"/>
      <c r="O4293" s="11" t="s">
        <v>3016</v>
      </c>
      <c r="P4293" s="56" t="s">
        <v>9250</v>
      </c>
    </row>
    <row r="4294" spans="1:16" ht="15.75" customHeight="1" x14ac:dyDescent="0.2">
      <c r="A4294" s="48">
        <v>4570</v>
      </c>
      <c r="B4294" s="11" t="s">
        <v>1857</v>
      </c>
      <c r="C4294" s="11" t="s">
        <v>1849</v>
      </c>
      <c r="D4294" s="6" t="s">
        <v>1850</v>
      </c>
      <c r="E4294" s="11" t="s">
        <v>8816</v>
      </c>
      <c r="F4294" s="12" t="s">
        <v>8816</v>
      </c>
      <c r="G4294" s="12" t="s">
        <v>8817</v>
      </c>
      <c r="H4294" s="59" t="s">
        <v>8817</v>
      </c>
      <c r="I4294" s="12" t="s">
        <v>9251</v>
      </c>
      <c r="J4294" s="11" t="s">
        <v>1851</v>
      </c>
      <c r="K4294" s="11" t="s">
        <v>1852</v>
      </c>
      <c r="L4294" s="11" t="s">
        <v>1853</v>
      </c>
      <c r="M4294" s="11" t="s">
        <v>9252</v>
      </c>
      <c r="N4294" s="12" t="s">
        <v>9253</v>
      </c>
      <c r="O4294" s="11" t="s">
        <v>2408</v>
      </c>
      <c r="P4294" s="56" t="s">
        <v>9254</v>
      </c>
    </row>
    <row r="4295" spans="1:16" ht="15.75" customHeight="1" x14ac:dyDescent="0.2">
      <c r="A4295" s="48">
        <v>4767</v>
      </c>
      <c r="B4295" s="11" t="s">
        <v>1857</v>
      </c>
      <c r="C4295" s="11" t="s">
        <v>1849</v>
      </c>
      <c r="D4295" s="6" t="s">
        <v>1850</v>
      </c>
      <c r="E4295" s="11" t="s">
        <v>8816</v>
      </c>
      <c r="F4295" s="12" t="s">
        <v>8816</v>
      </c>
      <c r="G4295" s="12" t="s">
        <v>8844</v>
      </c>
      <c r="H4295" s="59" t="s">
        <v>8912</v>
      </c>
      <c r="I4295" s="12" t="s">
        <v>9255</v>
      </c>
      <c r="J4295" s="11" t="s">
        <v>1856</v>
      </c>
      <c r="K4295" s="11" t="s">
        <v>1852</v>
      </c>
      <c r="L4295" s="11" t="s">
        <v>1853</v>
      </c>
      <c r="M4295" s="11" t="s">
        <v>9256</v>
      </c>
      <c r="N4295" s="12" t="s">
        <v>9257</v>
      </c>
      <c r="O4295" s="11" t="s">
        <v>1858</v>
      </c>
      <c r="P4295" s="56"/>
    </row>
    <row r="4296" spans="1:16" ht="15.75" customHeight="1" x14ac:dyDescent="0.2">
      <c r="A4296" s="48">
        <v>4672</v>
      </c>
      <c r="B4296" s="11" t="s">
        <v>1857</v>
      </c>
      <c r="C4296" s="11" t="s">
        <v>1849</v>
      </c>
      <c r="D4296" s="6" t="s">
        <v>1850</v>
      </c>
      <c r="E4296" s="11" t="s">
        <v>8816</v>
      </c>
      <c r="F4296" s="12" t="s">
        <v>8816</v>
      </c>
      <c r="G4296" s="12" t="s">
        <v>8817</v>
      </c>
      <c r="H4296" s="12" t="s">
        <v>8842</v>
      </c>
      <c r="I4296" s="12" t="s">
        <v>9258</v>
      </c>
      <c r="J4296" s="11" t="s">
        <v>1856</v>
      </c>
      <c r="K4296" s="11" t="s">
        <v>1852</v>
      </c>
      <c r="L4296" s="11" t="s">
        <v>1853</v>
      </c>
      <c r="M4296" s="11" t="s">
        <v>6131</v>
      </c>
      <c r="N4296" s="12" t="s">
        <v>9259</v>
      </c>
      <c r="O4296" s="11" t="s">
        <v>1858</v>
      </c>
      <c r="P4296" s="56"/>
    </row>
    <row r="4297" spans="1:16" ht="15.75" customHeight="1" x14ac:dyDescent="0.2">
      <c r="A4297" s="48">
        <v>4413</v>
      </c>
      <c r="B4297" s="11" t="s">
        <v>1857</v>
      </c>
      <c r="C4297" s="11" t="s">
        <v>1849</v>
      </c>
      <c r="D4297" s="6" t="s">
        <v>1850</v>
      </c>
      <c r="E4297" s="11" t="s">
        <v>8816</v>
      </c>
      <c r="F4297" s="12" t="s">
        <v>8816</v>
      </c>
      <c r="G4297" s="12" t="s">
        <v>8928</v>
      </c>
      <c r="H4297" s="59" t="s">
        <v>5321</v>
      </c>
      <c r="I4297" s="12" t="s">
        <v>9260</v>
      </c>
      <c r="J4297" s="11" t="s">
        <v>1856</v>
      </c>
      <c r="K4297" s="11" t="s">
        <v>1852</v>
      </c>
      <c r="L4297" s="11" t="s">
        <v>1853</v>
      </c>
      <c r="M4297" s="11" t="s">
        <v>1952</v>
      </c>
      <c r="N4297" s="12"/>
      <c r="O4297" s="11" t="s">
        <v>1859</v>
      </c>
      <c r="P4297" s="56"/>
    </row>
    <row r="4298" spans="1:16" ht="15.75" customHeight="1" x14ac:dyDescent="0.2">
      <c r="A4298" s="48">
        <v>4278</v>
      </c>
      <c r="B4298" s="11" t="s">
        <v>1857</v>
      </c>
      <c r="C4298" s="11" t="s">
        <v>1849</v>
      </c>
      <c r="D4298" s="6" t="s">
        <v>1850</v>
      </c>
      <c r="E4298" s="11" t="s">
        <v>8816</v>
      </c>
      <c r="F4298" s="12" t="s">
        <v>8816</v>
      </c>
      <c r="G4298" s="12" t="s">
        <v>2299</v>
      </c>
      <c r="H4298" s="12" t="s">
        <v>9001</v>
      </c>
      <c r="I4298" s="12" t="s">
        <v>9261</v>
      </c>
      <c r="J4298" s="11" t="s">
        <v>1856</v>
      </c>
      <c r="K4298" s="11" t="s">
        <v>1852</v>
      </c>
      <c r="L4298" s="11" t="s">
        <v>1853</v>
      </c>
      <c r="M4298" s="11" t="s">
        <v>1854</v>
      </c>
      <c r="N4298" s="12"/>
      <c r="O4298" s="11" t="s">
        <v>1859</v>
      </c>
      <c r="P4298" s="56"/>
    </row>
    <row r="4299" spans="1:16" ht="15.75" customHeight="1" x14ac:dyDescent="0.2">
      <c r="A4299" s="48">
        <v>4364</v>
      </c>
      <c r="B4299" s="11" t="s">
        <v>1857</v>
      </c>
      <c r="C4299" s="11" t="s">
        <v>1849</v>
      </c>
      <c r="D4299" s="6" t="s">
        <v>1850</v>
      </c>
      <c r="E4299" s="11" t="s">
        <v>8816</v>
      </c>
      <c r="F4299" s="12" t="s">
        <v>8816</v>
      </c>
      <c r="G4299" s="12" t="s">
        <v>5635</v>
      </c>
      <c r="H4299" s="12" t="s">
        <v>9262</v>
      </c>
      <c r="I4299" s="12" t="s">
        <v>9263</v>
      </c>
      <c r="J4299" s="11" t="s">
        <v>1856</v>
      </c>
      <c r="K4299" s="11" t="s">
        <v>1852</v>
      </c>
      <c r="L4299" s="11" t="s">
        <v>1853</v>
      </c>
      <c r="M4299" s="11" t="s">
        <v>1854</v>
      </c>
      <c r="N4299" s="12"/>
      <c r="O4299" s="11" t="s">
        <v>1858</v>
      </c>
      <c r="P4299" s="56"/>
    </row>
    <row r="4300" spans="1:16" ht="15.75" customHeight="1" x14ac:dyDescent="0.2">
      <c r="A4300" s="48">
        <v>4296</v>
      </c>
      <c r="B4300" s="11" t="s">
        <v>1857</v>
      </c>
      <c r="C4300" s="11" t="s">
        <v>1849</v>
      </c>
      <c r="D4300" s="6" t="s">
        <v>1850</v>
      </c>
      <c r="E4300" s="11" t="s">
        <v>8816</v>
      </c>
      <c r="F4300" s="12" t="s">
        <v>8816</v>
      </c>
      <c r="G4300" s="12" t="s">
        <v>5635</v>
      </c>
      <c r="H4300" s="12" t="s">
        <v>5635</v>
      </c>
      <c r="I4300" s="12" t="s">
        <v>9264</v>
      </c>
      <c r="J4300" s="11" t="s">
        <v>1856</v>
      </c>
      <c r="K4300" s="11" t="s">
        <v>1852</v>
      </c>
      <c r="L4300" s="11" t="s">
        <v>1853</v>
      </c>
      <c r="M4300" s="11" t="s">
        <v>6131</v>
      </c>
      <c r="N4300" s="12" t="s">
        <v>9265</v>
      </c>
      <c r="O4300" s="11" t="s">
        <v>1858</v>
      </c>
      <c r="P4300" s="56"/>
    </row>
    <row r="4301" spans="1:16" ht="15.75" customHeight="1" x14ac:dyDescent="0.2">
      <c r="A4301" s="48">
        <v>4266</v>
      </c>
      <c r="B4301" s="11" t="s">
        <v>1857</v>
      </c>
      <c r="C4301" s="11" t="s">
        <v>1849</v>
      </c>
      <c r="D4301" s="6" t="s">
        <v>1850</v>
      </c>
      <c r="E4301" s="11" t="s">
        <v>8816</v>
      </c>
      <c r="F4301" s="12" t="s">
        <v>8816</v>
      </c>
      <c r="G4301" s="12" t="s">
        <v>2299</v>
      </c>
      <c r="H4301" s="12" t="s">
        <v>8861</v>
      </c>
      <c r="I4301" s="12" t="s">
        <v>9266</v>
      </c>
      <c r="J4301" s="11" t="s">
        <v>1856</v>
      </c>
      <c r="K4301" s="11" t="s">
        <v>1852</v>
      </c>
      <c r="L4301" s="11" t="s">
        <v>1853</v>
      </c>
      <c r="M4301" s="11" t="s">
        <v>1854</v>
      </c>
      <c r="N4301" s="12"/>
      <c r="O4301" s="11" t="s">
        <v>1858</v>
      </c>
      <c r="P4301" s="56"/>
    </row>
    <row r="4302" spans="1:16" ht="15.75" customHeight="1" x14ac:dyDescent="0.2">
      <c r="A4302" s="48">
        <v>4314</v>
      </c>
      <c r="B4302" s="11" t="s">
        <v>1857</v>
      </c>
      <c r="C4302" s="11" t="s">
        <v>1849</v>
      </c>
      <c r="D4302" s="6" t="s">
        <v>1850</v>
      </c>
      <c r="E4302" s="11" t="s">
        <v>8816</v>
      </c>
      <c r="F4302" s="12" t="s">
        <v>8816</v>
      </c>
      <c r="G4302" s="12" t="s">
        <v>5635</v>
      </c>
      <c r="H4302" s="12" t="s">
        <v>9167</v>
      </c>
      <c r="I4302" s="12" t="s">
        <v>9267</v>
      </c>
      <c r="J4302" s="11" t="s">
        <v>1856</v>
      </c>
      <c r="K4302" s="11" t="s">
        <v>1852</v>
      </c>
      <c r="L4302" s="11" t="s">
        <v>1853</v>
      </c>
      <c r="M4302" s="11" t="s">
        <v>8863</v>
      </c>
      <c r="N4302" s="12" t="s">
        <v>9268</v>
      </c>
      <c r="O4302" s="11" t="s">
        <v>1859</v>
      </c>
      <c r="P4302" s="56"/>
    </row>
    <row r="4303" spans="1:16" ht="15.75" customHeight="1" x14ac:dyDescent="0.2">
      <c r="A4303" s="48">
        <v>4128</v>
      </c>
      <c r="B4303" s="11" t="s">
        <v>1857</v>
      </c>
      <c r="C4303" s="11" t="s">
        <v>1849</v>
      </c>
      <c r="D4303" s="6" t="s">
        <v>1850</v>
      </c>
      <c r="E4303" s="11" t="s">
        <v>8816</v>
      </c>
      <c r="F4303" s="12" t="s">
        <v>8816</v>
      </c>
      <c r="G4303" s="12" t="s">
        <v>8820</v>
      </c>
      <c r="H4303" s="12" t="s">
        <v>9145</v>
      </c>
      <c r="I4303" s="12" t="s">
        <v>9269</v>
      </c>
      <c r="J4303" s="11" t="s">
        <v>1856</v>
      </c>
      <c r="K4303" s="11" t="s">
        <v>1852</v>
      </c>
      <c r="L4303" s="11" t="s">
        <v>1853</v>
      </c>
      <c r="M4303" s="11" t="s">
        <v>9270</v>
      </c>
      <c r="N4303" s="12" t="s">
        <v>9271</v>
      </c>
      <c r="O4303" s="11" t="s">
        <v>1859</v>
      </c>
      <c r="P4303" s="56"/>
    </row>
    <row r="4304" spans="1:16" ht="15.75" customHeight="1" x14ac:dyDescent="0.2">
      <c r="A4304" s="48">
        <v>4258</v>
      </c>
      <c r="B4304" s="11" t="s">
        <v>1857</v>
      </c>
      <c r="C4304" s="11" t="s">
        <v>1849</v>
      </c>
      <c r="D4304" s="6" t="s">
        <v>1850</v>
      </c>
      <c r="E4304" s="11" t="s">
        <v>8816</v>
      </c>
      <c r="F4304" s="12" t="s">
        <v>8816</v>
      </c>
      <c r="G4304" s="12" t="s">
        <v>2299</v>
      </c>
      <c r="H4304" s="12" t="s">
        <v>2299</v>
      </c>
      <c r="I4304" s="12" t="s">
        <v>9272</v>
      </c>
      <c r="J4304" s="11" t="s">
        <v>1856</v>
      </c>
      <c r="K4304" s="11" t="s">
        <v>1852</v>
      </c>
      <c r="L4304" s="11" t="s">
        <v>1853</v>
      </c>
      <c r="M4304" s="11" t="s">
        <v>6131</v>
      </c>
      <c r="N4304" s="12" t="s">
        <v>9273</v>
      </c>
      <c r="O4304" s="11" t="s">
        <v>1858</v>
      </c>
      <c r="P4304" s="56"/>
    </row>
    <row r="4305" spans="1:16" ht="15.75" customHeight="1" x14ac:dyDescent="0.2">
      <c r="A4305" s="48">
        <v>4631</v>
      </c>
      <c r="B4305" s="11" t="s">
        <v>1857</v>
      </c>
      <c r="C4305" s="11" t="s">
        <v>1849</v>
      </c>
      <c r="D4305" s="6" t="s">
        <v>1850</v>
      </c>
      <c r="E4305" s="11" t="s">
        <v>8816</v>
      </c>
      <c r="F4305" s="12" t="s">
        <v>8816</v>
      </c>
      <c r="G4305" s="12" t="s">
        <v>8817</v>
      </c>
      <c r="H4305" s="59" t="s">
        <v>9198</v>
      </c>
      <c r="I4305" s="12" t="s">
        <v>9274</v>
      </c>
      <c r="J4305" s="11" t="s">
        <v>1856</v>
      </c>
      <c r="K4305" s="11" t="s">
        <v>1852</v>
      </c>
      <c r="L4305" s="11" t="s">
        <v>1853</v>
      </c>
      <c r="M4305" s="12" t="s">
        <v>9275</v>
      </c>
      <c r="N4305" s="12"/>
      <c r="O4305" s="11" t="s">
        <v>1858</v>
      </c>
      <c r="P4305" s="56"/>
    </row>
    <row r="4306" spans="1:16" ht="15.75" customHeight="1" x14ac:dyDescent="0.2">
      <c r="A4306" s="48">
        <v>4310</v>
      </c>
      <c r="B4306" s="11" t="s">
        <v>1857</v>
      </c>
      <c r="C4306" s="11" t="s">
        <v>1849</v>
      </c>
      <c r="D4306" s="6" t="s">
        <v>1850</v>
      </c>
      <c r="E4306" s="11" t="s">
        <v>8816</v>
      </c>
      <c r="F4306" s="12" t="s">
        <v>8816</v>
      </c>
      <c r="G4306" s="12" t="s">
        <v>5635</v>
      </c>
      <c r="H4306" s="12" t="s">
        <v>9167</v>
      </c>
      <c r="I4306" s="12" t="s">
        <v>5342</v>
      </c>
      <c r="J4306" s="11" t="s">
        <v>1856</v>
      </c>
      <c r="K4306" s="11" t="s">
        <v>1852</v>
      </c>
      <c r="L4306" s="11" t="s">
        <v>1853</v>
      </c>
      <c r="M4306" s="11" t="s">
        <v>1854</v>
      </c>
      <c r="N4306" s="12"/>
      <c r="O4306" s="11" t="s">
        <v>1858</v>
      </c>
      <c r="P4306" s="56"/>
    </row>
    <row r="4307" spans="1:16" ht="15.75" customHeight="1" x14ac:dyDescent="0.2">
      <c r="A4307" s="48">
        <v>4347</v>
      </c>
      <c r="B4307" s="11" t="s">
        <v>1857</v>
      </c>
      <c r="C4307" s="11" t="s">
        <v>1849</v>
      </c>
      <c r="D4307" s="6" t="s">
        <v>1850</v>
      </c>
      <c r="E4307" s="11" t="s">
        <v>8816</v>
      </c>
      <c r="F4307" s="12" t="s">
        <v>8816</v>
      </c>
      <c r="G4307" s="12" t="s">
        <v>5635</v>
      </c>
      <c r="H4307" s="12" t="s">
        <v>8936</v>
      </c>
      <c r="I4307" s="12" t="s">
        <v>9276</v>
      </c>
      <c r="J4307" s="11" t="s">
        <v>1856</v>
      </c>
      <c r="K4307" s="11" t="s">
        <v>1852</v>
      </c>
      <c r="L4307" s="11" t="s">
        <v>1853</v>
      </c>
      <c r="M4307" s="11" t="s">
        <v>1854</v>
      </c>
      <c r="N4307" s="12"/>
      <c r="O4307" s="11" t="s">
        <v>1859</v>
      </c>
      <c r="P4307" s="56"/>
    </row>
    <row r="4308" spans="1:16" ht="15.75" customHeight="1" x14ac:dyDescent="0.2">
      <c r="A4308" s="48">
        <v>4093</v>
      </c>
      <c r="B4308" s="11" t="s">
        <v>1857</v>
      </c>
      <c r="C4308" s="11" t="s">
        <v>1849</v>
      </c>
      <c r="D4308" s="6" t="s">
        <v>1850</v>
      </c>
      <c r="E4308" s="11" t="s">
        <v>8816</v>
      </c>
      <c r="F4308" s="12" t="s">
        <v>8816</v>
      </c>
      <c r="G4308" s="12" t="s">
        <v>8895</v>
      </c>
      <c r="H4308" s="12" t="s">
        <v>8896</v>
      </c>
      <c r="I4308" s="12" t="s">
        <v>9277</v>
      </c>
      <c r="J4308" s="11" t="s">
        <v>1856</v>
      </c>
      <c r="K4308" s="11" t="s">
        <v>1852</v>
      </c>
      <c r="L4308" s="11" t="s">
        <v>1853</v>
      </c>
      <c r="M4308" s="11" t="s">
        <v>2549</v>
      </c>
      <c r="N4308" s="12"/>
      <c r="O4308" s="11" t="s">
        <v>1859</v>
      </c>
      <c r="P4308" s="56"/>
    </row>
    <row r="4309" spans="1:16" ht="15.75" customHeight="1" x14ac:dyDescent="0.2">
      <c r="A4309" s="48">
        <v>4147</v>
      </c>
      <c r="B4309" s="11" t="s">
        <v>1857</v>
      </c>
      <c r="C4309" s="11" t="s">
        <v>1849</v>
      </c>
      <c r="D4309" s="6" t="s">
        <v>1850</v>
      </c>
      <c r="E4309" s="11" t="s">
        <v>8816</v>
      </c>
      <c r="F4309" s="12" t="s">
        <v>8816</v>
      </c>
      <c r="G4309" s="12" t="s">
        <v>8820</v>
      </c>
      <c r="H4309" s="12" t="s">
        <v>8904</v>
      </c>
      <c r="I4309" s="12" t="s">
        <v>9278</v>
      </c>
      <c r="J4309" s="11" t="s">
        <v>1856</v>
      </c>
      <c r="K4309" s="11" t="s">
        <v>1852</v>
      </c>
      <c r="L4309" s="11" t="s">
        <v>1853</v>
      </c>
      <c r="M4309" s="11" t="s">
        <v>2390</v>
      </c>
      <c r="N4309" s="12"/>
      <c r="O4309" s="11" t="s">
        <v>1859</v>
      </c>
      <c r="P4309" s="56"/>
    </row>
    <row r="4310" spans="1:16" ht="15.75" customHeight="1" x14ac:dyDescent="0.2">
      <c r="A4310" s="48">
        <v>4661</v>
      </c>
      <c r="B4310" s="11" t="s">
        <v>1857</v>
      </c>
      <c r="C4310" s="11" t="s">
        <v>1849</v>
      </c>
      <c r="D4310" s="6" t="s">
        <v>1850</v>
      </c>
      <c r="E4310" s="11" t="s">
        <v>8816</v>
      </c>
      <c r="F4310" s="12" t="s">
        <v>8816</v>
      </c>
      <c r="G4310" s="12" t="s">
        <v>8817</v>
      </c>
      <c r="H4310" s="59" t="s">
        <v>1892</v>
      </c>
      <c r="I4310" s="12" t="s">
        <v>3051</v>
      </c>
      <c r="J4310" s="11" t="s">
        <v>1856</v>
      </c>
      <c r="K4310" s="11" t="s">
        <v>1852</v>
      </c>
      <c r="L4310" s="11" t="s">
        <v>1853</v>
      </c>
      <c r="M4310" s="12" t="s">
        <v>9279</v>
      </c>
      <c r="N4310" s="12"/>
      <c r="O4310" s="11" t="s">
        <v>1859</v>
      </c>
      <c r="P4310" s="56"/>
    </row>
    <row r="4311" spans="1:16" ht="15.75" customHeight="1" x14ac:dyDescent="0.2">
      <c r="A4311" s="48">
        <v>4606</v>
      </c>
      <c r="B4311" s="11" t="s">
        <v>1857</v>
      </c>
      <c r="C4311" s="11" t="s">
        <v>1849</v>
      </c>
      <c r="D4311" s="6" t="s">
        <v>1850</v>
      </c>
      <c r="E4311" s="11" t="s">
        <v>8816</v>
      </c>
      <c r="F4311" s="12" t="s">
        <v>8816</v>
      </c>
      <c r="G4311" s="12" t="s">
        <v>8817</v>
      </c>
      <c r="H4311" s="59" t="s">
        <v>8817</v>
      </c>
      <c r="I4311" s="12" t="s">
        <v>9280</v>
      </c>
      <c r="J4311" s="11" t="s">
        <v>1851</v>
      </c>
      <c r="K4311" s="11" t="s">
        <v>1852</v>
      </c>
      <c r="L4311" s="11" t="s">
        <v>1853</v>
      </c>
      <c r="M4311" s="11" t="s">
        <v>9281</v>
      </c>
      <c r="N4311" s="12"/>
      <c r="O4311" s="11" t="s">
        <v>1858</v>
      </c>
      <c r="P4311" s="56"/>
    </row>
    <row r="4312" spans="1:16" ht="15.75" customHeight="1" x14ac:dyDescent="0.2">
      <c r="A4312" s="48">
        <v>4614</v>
      </c>
      <c r="B4312" s="11" t="s">
        <v>1857</v>
      </c>
      <c r="C4312" s="11" t="s">
        <v>1849</v>
      </c>
      <c r="D4312" s="6" t="s">
        <v>1850</v>
      </c>
      <c r="E4312" s="11" t="s">
        <v>8816</v>
      </c>
      <c r="F4312" s="12" t="s">
        <v>8816</v>
      </c>
      <c r="G4312" s="12" t="s">
        <v>8817</v>
      </c>
      <c r="H4312" s="59" t="s">
        <v>8817</v>
      </c>
      <c r="I4312" s="12" t="s">
        <v>9282</v>
      </c>
      <c r="J4312" s="11" t="s">
        <v>1856</v>
      </c>
      <c r="K4312" s="11" t="s">
        <v>1852</v>
      </c>
      <c r="L4312" s="11" t="s">
        <v>1853</v>
      </c>
      <c r="M4312" s="11" t="s">
        <v>6185</v>
      </c>
      <c r="N4312" s="12"/>
      <c r="O4312" s="11" t="s">
        <v>1858</v>
      </c>
      <c r="P4312" s="56"/>
    </row>
    <row r="4313" spans="1:16" ht="15.75" customHeight="1" x14ac:dyDescent="0.2">
      <c r="A4313" s="48">
        <v>4615</v>
      </c>
      <c r="B4313" s="11" t="s">
        <v>1857</v>
      </c>
      <c r="C4313" s="11" t="s">
        <v>1849</v>
      </c>
      <c r="D4313" s="6" t="s">
        <v>1850</v>
      </c>
      <c r="E4313" s="11" t="s">
        <v>8816</v>
      </c>
      <c r="F4313" s="12" t="s">
        <v>8816</v>
      </c>
      <c r="G4313" s="12" t="s">
        <v>8817</v>
      </c>
      <c r="H4313" s="59" t="s">
        <v>9283</v>
      </c>
      <c r="I4313" s="12" t="s">
        <v>9284</v>
      </c>
      <c r="J4313" s="11" t="s">
        <v>1856</v>
      </c>
      <c r="K4313" s="11" t="s">
        <v>1852</v>
      </c>
      <c r="L4313" s="11" t="s">
        <v>1853</v>
      </c>
      <c r="M4313" s="11" t="s">
        <v>9285</v>
      </c>
      <c r="N4313" s="12" t="s">
        <v>9286</v>
      </c>
      <c r="O4313" s="11" t="s">
        <v>1858</v>
      </c>
      <c r="P4313" s="56"/>
    </row>
    <row r="4314" spans="1:16" ht="15.75" customHeight="1" x14ac:dyDescent="0.2">
      <c r="A4314" s="48">
        <v>4137</v>
      </c>
      <c r="B4314" s="11" t="s">
        <v>1857</v>
      </c>
      <c r="C4314" s="11" t="s">
        <v>1849</v>
      </c>
      <c r="D4314" s="6" t="s">
        <v>1850</v>
      </c>
      <c r="E4314" s="11" t="s">
        <v>8816</v>
      </c>
      <c r="F4314" s="12" t="s">
        <v>8816</v>
      </c>
      <c r="G4314" s="12" t="s">
        <v>8820</v>
      </c>
      <c r="H4314" s="12" t="s">
        <v>9287</v>
      </c>
      <c r="I4314" s="12" t="s">
        <v>9288</v>
      </c>
      <c r="J4314" s="11" t="s">
        <v>1856</v>
      </c>
      <c r="K4314" s="11" t="s">
        <v>1852</v>
      </c>
      <c r="L4314" s="11" t="s">
        <v>1853</v>
      </c>
      <c r="M4314" s="11" t="s">
        <v>9289</v>
      </c>
      <c r="N4314" s="12"/>
      <c r="O4314" s="11" t="s">
        <v>1859</v>
      </c>
      <c r="P4314" s="56"/>
    </row>
    <row r="4315" spans="1:16" ht="15.75" customHeight="1" x14ac:dyDescent="0.2">
      <c r="A4315" s="48">
        <v>4412</v>
      </c>
      <c r="B4315" s="11" t="s">
        <v>1857</v>
      </c>
      <c r="C4315" s="11" t="s">
        <v>1849</v>
      </c>
      <c r="D4315" s="6" t="s">
        <v>1850</v>
      </c>
      <c r="E4315" s="11" t="s">
        <v>8816</v>
      </c>
      <c r="F4315" s="12" t="s">
        <v>8816</v>
      </c>
      <c r="G4315" s="12" t="s">
        <v>8928</v>
      </c>
      <c r="H4315" s="59" t="s">
        <v>9152</v>
      </c>
      <c r="I4315" s="12" t="s">
        <v>9290</v>
      </c>
      <c r="J4315" s="11" t="s">
        <v>1856</v>
      </c>
      <c r="K4315" s="11" t="s">
        <v>1852</v>
      </c>
      <c r="L4315" s="11" t="s">
        <v>1853</v>
      </c>
      <c r="M4315" s="11" t="s">
        <v>1854</v>
      </c>
      <c r="N4315" s="12"/>
      <c r="O4315" s="11" t="s">
        <v>1859</v>
      </c>
      <c r="P4315" s="56"/>
    </row>
    <row r="4316" spans="1:16" ht="15.75" customHeight="1" x14ac:dyDescent="0.2">
      <c r="A4316" s="48">
        <v>4479</v>
      </c>
      <c r="B4316" s="11" t="s">
        <v>1857</v>
      </c>
      <c r="C4316" s="11" t="s">
        <v>1849</v>
      </c>
      <c r="D4316" s="6" t="s">
        <v>1850</v>
      </c>
      <c r="E4316" s="11" t="s">
        <v>8816</v>
      </c>
      <c r="F4316" s="12" t="s">
        <v>8816</v>
      </c>
      <c r="G4316" s="12" t="s">
        <v>6658</v>
      </c>
      <c r="H4316" s="59" t="s">
        <v>9022</v>
      </c>
      <c r="I4316" s="12" t="s">
        <v>9291</v>
      </c>
      <c r="J4316" s="11" t="s">
        <v>1856</v>
      </c>
      <c r="K4316" s="11" t="s">
        <v>1852</v>
      </c>
      <c r="L4316" s="11" t="s">
        <v>1853</v>
      </c>
      <c r="M4316" s="11" t="s">
        <v>6635</v>
      </c>
      <c r="N4316" s="12"/>
      <c r="O4316" s="11" t="s">
        <v>1858</v>
      </c>
      <c r="P4316" s="56"/>
    </row>
    <row r="4317" spans="1:16" ht="15.75" customHeight="1" x14ac:dyDescent="0.2">
      <c r="A4317" s="48">
        <v>4383</v>
      </c>
      <c r="B4317" s="11" t="s">
        <v>1857</v>
      </c>
      <c r="C4317" s="11" t="s">
        <v>1849</v>
      </c>
      <c r="D4317" s="6" t="s">
        <v>1850</v>
      </c>
      <c r="E4317" s="11" t="s">
        <v>8816</v>
      </c>
      <c r="F4317" s="12" t="s">
        <v>8816</v>
      </c>
      <c r="G4317" s="12" t="s">
        <v>8858</v>
      </c>
      <c r="H4317" s="12" t="s">
        <v>8883</v>
      </c>
      <c r="I4317" s="12" t="s">
        <v>8264</v>
      </c>
      <c r="J4317" s="11" t="s">
        <v>1856</v>
      </c>
      <c r="K4317" s="11" t="s">
        <v>1852</v>
      </c>
      <c r="L4317" s="11" t="s">
        <v>1853</v>
      </c>
      <c r="M4317" s="12" t="s">
        <v>9177</v>
      </c>
      <c r="N4317" s="12"/>
      <c r="O4317" s="11" t="s">
        <v>1859</v>
      </c>
      <c r="P4317" s="56"/>
    </row>
    <row r="4318" spans="1:16" ht="15.75" customHeight="1" x14ac:dyDescent="0.2">
      <c r="A4318" s="48">
        <v>4123</v>
      </c>
      <c r="B4318" s="11" t="s">
        <v>1857</v>
      </c>
      <c r="C4318" s="11" t="s">
        <v>1849</v>
      </c>
      <c r="D4318" s="6" t="s">
        <v>1850</v>
      </c>
      <c r="E4318" s="11" t="s">
        <v>8816</v>
      </c>
      <c r="F4318" s="12" t="s">
        <v>8816</v>
      </c>
      <c r="G4318" s="12" t="s">
        <v>8820</v>
      </c>
      <c r="H4318" s="12" t="s">
        <v>9292</v>
      </c>
      <c r="I4318" s="12" t="s">
        <v>9293</v>
      </c>
      <c r="J4318" s="11" t="s">
        <v>1856</v>
      </c>
      <c r="K4318" s="11" t="s">
        <v>1852</v>
      </c>
      <c r="L4318" s="11" t="s">
        <v>1853</v>
      </c>
      <c r="M4318" s="11" t="s">
        <v>1854</v>
      </c>
      <c r="N4318" s="12"/>
      <c r="O4318" s="11" t="s">
        <v>1859</v>
      </c>
      <c r="P4318" s="56"/>
    </row>
    <row r="4319" spans="1:16" ht="15.75" customHeight="1" x14ac:dyDescent="0.2">
      <c r="A4319" s="48">
        <v>4688</v>
      </c>
      <c r="B4319" s="11" t="s">
        <v>1857</v>
      </c>
      <c r="C4319" s="11" t="s">
        <v>1849</v>
      </c>
      <c r="D4319" s="6" t="s">
        <v>1850</v>
      </c>
      <c r="E4319" s="11" t="s">
        <v>8816</v>
      </c>
      <c r="F4319" s="12" t="s">
        <v>8816</v>
      </c>
      <c r="G4319" s="12" t="s">
        <v>8817</v>
      </c>
      <c r="H4319" s="59" t="s">
        <v>9283</v>
      </c>
      <c r="I4319" s="12" t="s">
        <v>9294</v>
      </c>
      <c r="J4319" s="11" t="s">
        <v>1856</v>
      </c>
      <c r="K4319" s="11" t="s">
        <v>1852</v>
      </c>
      <c r="L4319" s="11" t="s">
        <v>1853</v>
      </c>
      <c r="M4319" s="11" t="s">
        <v>1854</v>
      </c>
      <c r="N4319" s="12"/>
      <c r="O4319" s="11" t="s">
        <v>1858</v>
      </c>
      <c r="P4319" s="56"/>
    </row>
    <row r="4320" spans="1:16" ht="15.75" customHeight="1" x14ac:dyDescent="0.2">
      <c r="A4320" s="48">
        <v>4687</v>
      </c>
      <c r="B4320" s="11" t="s">
        <v>1857</v>
      </c>
      <c r="C4320" s="11" t="s">
        <v>1849</v>
      </c>
      <c r="D4320" s="6" t="s">
        <v>1850</v>
      </c>
      <c r="E4320" s="11" t="s">
        <v>8816</v>
      </c>
      <c r="F4320" s="12" t="s">
        <v>8816</v>
      </c>
      <c r="G4320" s="12" t="s">
        <v>8817</v>
      </c>
      <c r="H4320" s="59" t="s">
        <v>9283</v>
      </c>
      <c r="I4320" s="12" t="s">
        <v>5355</v>
      </c>
      <c r="J4320" s="11" t="s">
        <v>1856</v>
      </c>
      <c r="K4320" s="11" t="s">
        <v>1852</v>
      </c>
      <c r="L4320" s="11" t="s">
        <v>1853</v>
      </c>
      <c r="M4320" s="11" t="s">
        <v>9295</v>
      </c>
      <c r="N4320" s="12"/>
      <c r="O4320" s="11" t="s">
        <v>1859</v>
      </c>
      <c r="P4320" s="56"/>
    </row>
    <row r="4321" spans="1:16" ht="15.75" customHeight="1" x14ac:dyDescent="0.2">
      <c r="A4321" s="48">
        <v>4135</v>
      </c>
      <c r="B4321" s="11" t="s">
        <v>1857</v>
      </c>
      <c r="C4321" s="11" t="s">
        <v>1849</v>
      </c>
      <c r="D4321" s="6" t="s">
        <v>1850</v>
      </c>
      <c r="E4321" s="11" t="s">
        <v>8816</v>
      </c>
      <c r="F4321" s="12" t="s">
        <v>8816</v>
      </c>
      <c r="G4321" s="12" t="s">
        <v>8820</v>
      </c>
      <c r="H4321" s="12" t="s">
        <v>7928</v>
      </c>
      <c r="I4321" s="12" t="s">
        <v>9296</v>
      </c>
      <c r="J4321" s="11" t="s">
        <v>1856</v>
      </c>
      <c r="K4321" s="11" t="s">
        <v>1852</v>
      </c>
      <c r="L4321" s="11" t="s">
        <v>1853</v>
      </c>
      <c r="M4321" s="11" t="s">
        <v>9297</v>
      </c>
      <c r="N4321" s="12" t="s">
        <v>8866</v>
      </c>
      <c r="O4321" s="11" t="s">
        <v>1859</v>
      </c>
      <c r="P4321" s="56"/>
    </row>
    <row r="4322" spans="1:16" ht="15.75" customHeight="1" x14ac:dyDescent="0.2">
      <c r="A4322" s="48">
        <v>4169</v>
      </c>
      <c r="B4322" s="11" t="s">
        <v>1857</v>
      </c>
      <c r="C4322" s="11" t="s">
        <v>1849</v>
      </c>
      <c r="D4322" s="6" t="s">
        <v>1850</v>
      </c>
      <c r="E4322" s="11" t="s">
        <v>8816</v>
      </c>
      <c r="F4322" s="12" t="s">
        <v>8816</v>
      </c>
      <c r="G4322" s="12" t="s">
        <v>8851</v>
      </c>
      <c r="H4322" s="12" t="s">
        <v>8851</v>
      </c>
      <c r="I4322" s="12" t="s">
        <v>9298</v>
      </c>
      <c r="J4322" s="11" t="s">
        <v>1856</v>
      </c>
      <c r="K4322" s="11" t="s">
        <v>1852</v>
      </c>
      <c r="L4322" s="11" t="s">
        <v>1853</v>
      </c>
      <c r="M4322" s="11" t="s">
        <v>2141</v>
      </c>
      <c r="N4322" s="12" t="s">
        <v>9299</v>
      </c>
      <c r="O4322" s="11" t="s">
        <v>1859</v>
      </c>
      <c r="P4322" s="56"/>
    </row>
    <row r="4323" spans="1:16" ht="15.75" customHeight="1" x14ac:dyDescent="0.2">
      <c r="A4323" s="48">
        <v>4217</v>
      </c>
      <c r="B4323" s="11" t="s">
        <v>1857</v>
      </c>
      <c r="C4323" s="11" t="s">
        <v>1849</v>
      </c>
      <c r="D4323" s="6" t="s">
        <v>1850</v>
      </c>
      <c r="E4323" s="11" t="s">
        <v>8816</v>
      </c>
      <c r="F4323" s="12" t="s">
        <v>8816</v>
      </c>
      <c r="G4323" s="12" t="s">
        <v>8851</v>
      </c>
      <c r="H4323" s="59" t="s">
        <v>5839</v>
      </c>
      <c r="I4323" s="12" t="s">
        <v>9300</v>
      </c>
      <c r="J4323" s="11" t="s">
        <v>1856</v>
      </c>
      <c r="K4323" s="11" t="s">
        <v>1852</v>
      </c>
      <c r="L4323" s="11" t="s">
        <v>1853</v>
      </c>
      <c r="M4323" s="12" t="s">
        <v>2297</v>
      </c>
      <c r="N4323" s="12"/>
      <c r="O4323" s="11" t="s">
        <v>1858</v>
      </c>
      <c r="P4323" s="56"/>
    </row>
    <row r="4324" spans="1:16" ht="15.75" customHeight="1" x14ac:dyDescent="0.2">
      <c r="A4324" s="48">
        <v>4625</v>
      </c>
      <c r="B4324" s="11" t="s">
        <v>1857</v>
      </c>
      <c r="C4324" s="11" t="s">
        <v>1849</v>
      </c>
      <c r="D4324" s="6" t="s">
        <v>1850</v>
      </c>
      <c r="E4324" s="11" t="s">
        <v>8816</v>
      </c>
      <c r="F4324" s="12" t="s">
        <v>8816</v>
      </c>
      <c r="G4324" s="12" t="s">
        <v>8817</v>
      </c>
      <c r="H4324" s="59" t="s">
        <v>9043</v>
      </c>
      <c r="I4324" s="12" t="s">
        <v>9301</v>
      </c>
      <c r="J4324" s="11" t="s">
        <v>1856</v>
      </c>
      <c r="K4324" s="11" t="s">
        <v>1852</v>
      </c>
      <c r="L4324" s="11" t="s">
        <v>1853</v>
      </c>
      <c r="M4324" s="11" t="s">
        <v>1854</v>
      </c>
      <c r="N4324" s="12"/>
      <c r="O4324" s="11" t="s">
        <v>1859</v>
      </c>
      <c r="P4324" s="56"/>
    </row>
    <row r="4325" spans="1:16" ht="15.75" customHeight="1" x14ac:dyDescent="0.2">
      <c r="A4325" s="48">
        <v>4206</v>
      </c>
      <c r="B4325" s="11" t="s">
        <v>1857</v>
      </c>
      <c r="C4325" s="11" t="s">
        <v>1849</v>
      </c>
      <c r="D4325" s="6" t="s">
        <v>1850</v>
      </c>
      <c r="E4325" s="11" t="s">
        <v>8816</v>
      </c>
      <c r="F4325" s="12" t="s">
        <v>8816</v>
      </c>
      <c r="G4325" s="12" t="s">
        <v>8851</v>
      </c>
      <c r="H4325" s="12" t="s">
        <v>8836</v>
      </c>
      <c r="I4325" s="12" t="s">
        <v>9302</v>
      </c>
      <c r="J4325" s="11" t="s">
        <v>1856</v>
      </c>
      <c r="K4325" s="11" t="s">
        <v>1852</v>
      </c>
      <c r="L4325" s="11" t="s">
        <v>1853</v>
      </c>
      <c r="M4325" s="11" t="s">
        <v>1862</v>
      </c>
      <c r="N4325" s="12"/>
      <c r="O4325" s="11" t="s">
        <v>1859</v>
      </c>
      <c r="P4325" s="56"/>
    </row>
    <row r="4326" spans="1:16" ht="15.75" customHeight="1" x14ac:dyDescent="0.2">
      <c r="A4326" s="48">
        <v>4274</v>
      </c>
      <c r="B4326" s="11" t="s">
        <v>1857</v>
      </c>
      <c r="C4326" s="11" t="s">
        <v>1849</v>
      </c>
      <c r="D4326" s="6" t="s">
        <v>1850</v>
      </c>
      <c r="E4326" s="11" t="s">
        <v>8816</v>
      </c>
      <c r="F4326" s="12" t="s">
        <v>8816</v>
      </c>
      <c r="G4326" s="12" t="s">
        <v>2299</v>
      </c>
      <c r="H4326" s="12" t="s">
        <v>3548</v>
      </c>
      <c r="I4326" s="12" t="s">
        <v>9303</v>
      </c>
      <c r="J4326" s="11" t="s">
        <v>1856</v>
      </c>
      <c r="K4326" s="11" t="s">
        <v>1852</v>
      </c>
      <c r="L4326" s="11" t="s">
        <v>1853</v>
      </c>
      <c r="M4326" s="11" t="s">
        <v>3894</v>
      </c>
      <c r="N4326" s="12"/>
      <c r="O4326" s="11" t="s">
        <v>1859</v>
      </c>
      <c r="P4326" s="56"/>
    </row>
    <row r="4327" spans="1:16" ht="15.75" customHeight="1" x14ac:dyDescent="0.2">
      <c r="A4327" s="48">
        <v>5574</v>
      </c>
      <c r="B4327" s="11" t="s">
        <v>1857</v>
      </c>
      <c r="C4327" s="11" t="s">
        <v>1849</v>
      </c>
      <c r="D4327" s="6" t="s">
        <v>1850</v>
      </c>
      <c r="E4327" s="11" t="s">
        <v>8816</v>
      </c>
      <c r="F4327" s="12" t="s">
        <v>8816</v>
      </c>
      <c r="G4327" s="12" t="s">
        <v>4741</v>
      </c>
      <c r="H4327" s="12" t="s">
        <v>8948</v>
      </c>
      <c r="I4327" s="12" t="s">
        <v>9304</v>
      </c>
      <c r="J4327" s="11" t="s">
        <v>1856</v>
      </c>
      <c r="K4327" s="11" t="s">
        <v>1852</v>
      </c>
      <c r="L4327" s="11" t="s">
        <v>1853</v>
      </c>
      <c r="M4327" s="11" t="s">
        <v>1854</v>
      </c>
      <c r="N4327" s="12"/>
      <c r="O4327" s="11" t="s">
        <v>1858</v>
      </c>
      <c r="P4327" s="56"/>
    </row>
    <row r="4328" spans="1:16" ht="15.75" customHeight="1" x14ac:dyDescent="0.2">
      <c r="A4328" s="48">
        <v>4104</v>
      </c>
      <c r="B4328" s="11" t="s">
        <v>1857</v>
      </c>
      <c r="C4328" s="11" t="s">
        <v>1849</v>
      </c>
      <c r="D4328" s="6" t="s">
        <v>1850</v>
      </c>
      <c r="E4328" s="11" t="s">
        <v>8816</v>
      </c>
      <c r="F4328" s="12" t="s">
        <v>8816</v>
      </c>
      <c r="G4328" s="12" t="s">
        <v>8820</v>
      </c>
      <c r="H4328" s="12" t="s">
        <v>9292</v>
      </c>
      <c r="I4328" s="12" t="s">
        <v>9305</v>
      </c>
      <c r="J4328" s="11" t="s">
        <v>1856</v>
      </c>
      <c r="K4328" s="11" t="s">
        <v>1852</v>
      </c>
      <c r="L4328" s="11" t="s">
        <v>1853</v>
      </c>
      <c r="M4328" s="11" t="s">
        <v>1854</v>
      </c>
      <c r="N4328" s="12"/>
      <c r="O4328" s="11" t="s">
        <v>1859</v>
      </c>
      <c r="P4328" s="56"/>
    </row>
    <row r="4329" spans="1:16" ht="15.75" customHeight="1" x14ac:dyDescent="0.2">
      <c r="A4329" s="48">
        <v>4815</v>
      </c>
      <c r="B4329" s="11" t="s">
        <v>1857</v>
      </c>
      <c r="C4329" s="11" t="s">
        <v>1849</v>
      </c>
      <c r="D4329" s="6" t="s">
        <v>1850</v>
      </c>
      <c r="E4329" s="11" t="s">
        <v>8816</v>
      </c>
      <c r="F4329" s="12" t="s">
        <v>8816</v>
      </c>
      <c r="G4329" s="12" t="s">
        <v>8844</v>
      </c>
      <c r="H4329" s="59" t="s">
        <v>8890</v>
      </c>
      <c r="I4329" s="12" t="s">
        <v>9306</v>
      </c>
      <c r="J4329" s="11" t="s">
        <v>1856</v>
      </c>
      <c r="K4329" s="11" t="s">
        <v>1852</v>
      </c>
      <c r="L4329" s="11" t="s">
        <v>1853</v>
      </c>
      <c r="M4329" s="11" t="s">
        <v>1854</v>
      </c>
      <c r="N4329" s="12"/>
      <c r="O4329" s="11" t="s">
        <v>1859</v>
      </c>
      <c r="P4329" s="56"/>
    </row>
    <row r="4330" spans="1:16" ht="15.75" customHeight="1" x14ac:dyDescent="0.2">
      <c r="A4330" s="48">
        <v>4636</v>
      </c>
      <c r="B4330" s="11" t="s">
        <v>1857</v>
      </c>
      <c r="C4330" s="11" t="s">
        <v>1849</v>
      </c>
      <c r="D4330" s="6" t="s">
        <v>1850</v>
      </c>
      <c r="E4330" s="11" t="s">
        <v>8816</v>
      </c>
      <c r="F4330" s="12" t="s">
        <v>8816</v>
      </c>
      <c r="G4330" s="12" t="s">
        <v>8817</v>
      </c>
      <c r="H4330" s="12" t="s">
        <v>8817</v>
      </c>
      <c r="I4330" s="12" t="s">
        <v>9307</v>
      </c>
      <c r="J4330" s="11" t="s">
        <v>1856</v>
      </c>
      <c r="K4330" s="11" t="s">
        <v>1852</v>
      </c>
      <c r="L4330" s="11" t="s">
        <v>1853</v>
      </c>
      <c r="M4330" s="11" t="s">
        <v>1854</v>
      </c>
      <c r="N4330" s="12"/>
      <c r="O4330" s="11" t="s">
        <v>1858</v>
      </c>
      <c r="P4330" s="56"/>
    </row>
    <row r="4331" spans="1:16" ht="15.75" customHeight="1" x14ac:dyDescent="0.2">
      <c r="A4331" s="48">
        <v>4166</v>
      </c>
      <c r="B4331" s="11" t="s">
        <v>1857</v>
      </c>
      <c r="C4331" s="11" t="s">
        <v>1849</v>
      </c>
      <c r="D4331" s="6" t="s">
        <v>1850</v>
      </c>
      <c r="E4331" s="11" t="s">
        <v>8816</v>
      </c>
      <c r="F4331" s="12" t="s">
        <v>8816</v>
      </c>
      <c r="G4331" s="12" t="s">
        <v>8851</v>
      </c>
      <c r="H4331" s="12" t="s">
        <v>8851</v>
      </c>
      <c r="I4331" s="12" t="s">
        <v>5744</v>
      </c>
      <c r="J4331" s="11" t="s">
        <v>1856</v>
      </c>
      <c r="K4331" s="11" t="s">
        <v>1852</v>
      </c>
      <c r="L4331" s="11" t="s">
        <v>1853</v>
      </c>
      <c r="M4331" s="11" t="s">
        <v>9308</v>
      </c>
      <c r="N4331" s="12" t="s">
        <v>9309</v>
      </c>
      <c r="O4331" s="11" t="s">
        <v>1858</v>
      </c>
      <c r="P4331" s="56"/>
    </row>
    <row r="4332" spans="1:16" ht="15.75" customHeight="1" x14ac:dyDescent="0.2">
      <c r="A4332" s="48">
        <v>4425</v>
      </c>
      <c r="B4332" s="11" t="s">
        <v>1857</v>
      </c>
      <c r="C4332" s="11" t="s">
        <v>1849</v>
      </c>
      <c r="D4332" s="6" t="s">
        <v>1850</v>
      </c>
      <c r="E4332" s="11" t="s">
        <v>8816</v>
      </c>
      <c r="F4332" s="12" t="s">
        <v>8816</v>
      </c>
      <c r="G4332" s="12" t="s">
        <v>8858</v>
      </c>
      <c r="H4332" s="12" t="s">
        <v>8883</v>
      </c>
      <c r="I4332" s="12" t="s">
        <v>3067</v>
      </c>
      <c r="J4332" s="11" t="s">
        <v>1856</v>
      </c>
      <c r="K4332" s="11" t="s">
        <v>1852</v>
      </c>
      <c r="L4332" s="11" t="s">
        <v>1853</v>
      </c>
      <c r="M4332" s="11" t="s">
        <v>6621</v>
      </c>
      <c r="N4332" s="12"/>
      <c r="O4332" s="11" t="s">
        <v>1859</v>
      </c>
      <c r="P4332" s="56"/>
    </row>
    <row r="4333" spans="1:16" ht="15.75" customHeight="1" x14ac:dyDescent="0.2">
      <c r="A4333" s="48">
        <v>4750</v>
      </c>
      <c r="B4333" s="11" t="s">
        <v>1857</v>
      </c>
      <c r="C4333" s="11" t="s">
        <v>1849</v>
      </c>
      <c r="D4333" s="6" t="s">
        <v>1850</v>
      </c>
      <c r="E4333" s="11" t="s">
        <v>8816</v>
      </c>
      <c r="F4333" s="12" t="s">
        <v>8816</v>
      </c>
      <c r="G4333" s="12" t="s">
        <v>8844</v>
      </c>
      <c r="H4333" s="59" t="s">
        <v>9035</v>
      </c>
      <c r="I4333" s="12" t="s">
        <v>3067</v>
      </c>
      <c r="J4333" s="11" t="s">
        <v>1856</v>
      </c>
      <c r="K4333" s="11" t="s">
        <v>1852</v>
      </c>
      <c r="L4333" s="11" t="s">
        <v>1853</v>
      </c>
      <c r="M4333" s="11" t="s">
        <v>9310</v>
      </c>
      <c r="N4333" s="12" t="s">
        <v>9311</v>
      </c>
      <c r="O4333" s="11" t="s">
        <v>1859</v>
      </c>
      <c r="P4333" s="56"/>
    </row>
    <row r="4334" spans="1:16" ht="15.75" customHeight="1" x14ac:dyDescent="0.2">
      <c r="A4334" s="48">
        <v>4535</v>
      </c>
      <c r="B4334" s="11" t="s">
        <v>1857</v>
      </c>
      <c r="C4334" s="11" t="s">
        <v>1849</v>
      </c>
      <c r="D4334" s="6" t="s">
        <v>1850</v>
      </c>
      <c r="E4334" s="11" t="s">
        <v>8816</v>
      </c>
      <c r="F4334" s="12" t="s">
        <v>8816</v>
      </c>
      <c r="G4334" s="12" t="s">
        <v>4741</v>
      </c>
      <c r="H4334" s="59" t="s">
        <v>9118</v>
      </c>
      <c r="I4334" s="12" t="s">
        <v>9312</v>
      </c>
      <c r="J4334" s="11" t="s">
        <v>1856</v>
      </c>
      <c r="K4334" s="11" t="s">
        <v>1852</v>
      </c>
      <c r="L4334" s="11" t="s">
        <v>1853</v>
      </c>
      <c r="M4334" s="11" t="s">
        <v>1854</v>
      </c>
      <c r="N4334" s="12"/>
      <c r="O4334" s="11" t="s">
        <v>1859</v>
      </c>
      <c r="P4334" s="56"/>
    </row>
    <row r="4335" spans="1:16" ht="15.75" customHeight="1" x14ac:dyDescent="0.2">
      <c r="A4335" s="48">
        <v>4138</v>
      </c>
      <c r="B4335" s="11" t="s">
        <v>1857</v>
      </c>
      <c r="C4335" s="11" t="s">
        <v>1849</v>
      </c>
      <c r="D4335" s="6" t="s">
        <v>1850</v>
      </c>
      <c r="E4335" s="11" t="s">
        <v>8816</v>
      </c>
      <c r="F4335" s="12" t="s">
        <v>8816</v>
      </c>
      <c r="G4335" s="12" t="s">
        <v>8820</v>
      </c>
      <c r="H4335" s="12" t="s">
        <v>9287</v>
      </c>
      <c r="I4335" s="12" t="s">
        <v>9313</v>
      </c>
      <c r="J4335" s="11" t="s">
        <v>1856</v>
      </c>
      <c r="K4335" s="11" t="s">
        <v>1852</v>
      </c>
      <c r="L4335" s="11" t="s">
        <v>1853</v>
      </c>
      <c r="M4335" s="11" t="s">
        <v>1854</v>
      </c>
      <c r="N4335" s="12"/>
      <c r="O4335" s="11" t="s">
        <v>1859</v>
      </c>
      <c r="P4335" s="56"/>
    </row>
    <row r="4336" spans="1:16" ht="15.75" customHeight="1" x14ac:dyDescent="0.2">
      <c r="A4336" s="48">
        <v>4676</v>
      </c>
      <c r="B4336" s="11" t="s">
        <v>1857</v>
      </c>
      <c r="C4336" s="11" t="s">
        <v>1849</v>
      </c>
      <c r="D4336" s="6" t="s">
        <v>1850</v>
      </c>
      <c r="E4336" s="11" t="s">
        <v>8816</v>
      </c>
      <c r="F4336" s="12" t="s">
        <v>8816</v>
      </c>
      <c r="G4336" s="12" t="s">
        <v>8817</v>
      </c>
      <c r="H4336" s="12" t="s">
        <v>9185</v>
      </c>
      <c r="I4336" s="12" t="s">
        <v>5363</v>
      </c>
      <c r="J4336" s="11" t="s">
        <v>1856</v>
      </c>
      <c r="K4336" s="11" t="s">
        <v>1852</v>
      </c>
      <c r="L4336" s="11" t="s">
        <v>1853</v>
      </c>
      <c r="M4336" s="11" t="s">
        <v>2141</v>
      </c>
      <c r="N4336" s="12"/>
      <c r="O4336" s="11" t="s">
        <v>1859</v>
      </c>
      <c r="P4336" s="56"/>
    </row>
    <row r="4337" spans="1:16" ht="15.75" customHeight="1" x14ac:dyDescent="0.2">
      <c r="A4337" s="48">
        <v>4646</v>
      </c>
      <c r="B4337" s="11" t="s">
        <v>1857</v>
      </c>
      <c r="C4337" s="11" t="s">
        <v>1849</v>
      </c>
      <c r="D4337" s="6" t="s">
        <v>1850</v>
      </c>
      <c r="E4337" s="11" t="s">
        <v>8816</v>
      </c>
      <c r="F4337" s="12" t="s">
        <v>8816</v>
      </c>
      <c r="G4337" s="12" t="s">
        <v>8817</v>
      </c>
      <c r="H4337" s="59" t="s">
        <v>8830</v>
      </c>
      <c r="I4337" s="12" t="s">
        <v>9314</v>
      </c>
      <c r="J4337" s="11" t="s">
        <v>1856</v>
      </c>
      <c r="K4337" s="11" t="s">
        <v>1852</v>
      </c>
      <c r="L4337" s="11" t="s">
        <v>1853</v>
      </c>
      <c r="M4337" s="12" t="s">
        <v>8915</v>
      </c>
      <c r="N4337" s="12"/>
      <c r="O4337" s="11" t="s">
        <v>1858</v>
      </c>
      <c r="P4337" s="56"/>
    </row>
    <row r="4338" spans="1:16" ht="15.75" customHeight="1" x14ac:dyDescent="0.2">
      <c r="A4338" s="48">
        <v>4772</v>
      </c>
      <c r="B4338" s="11" t="s">
        <v>1857</v>
      </c>
      <c r="C4338" s="11" t="s">
        <v>1849</v>
      </c>
      <c r="D4338" s="6" t="s">
        <v>1850</v>
      </c>
      <c r="E4338" s="11" t="s">
        <v>8816</v>
      </c>
      <c r="F4338" s="12" t="s">
        <v>8816</v>
      </c>
      <c r="G4338" s="12" t="s">
        <v>8844</v>
      </c>
      <c r="H4338" s="59" t="s">
        <v>8921</v>
      </c>
      <c r="I4338" s="12" t="s">
        <v>6477</v>
      </c>
      <c r="J4338" s="11" t="s">
        <v>1856</v>
      </c>
      <c r="K4338" s="11" t="s">
        <v>1852</v>
      </c>
      <c r="L4338" s="11" t="s">
        <v>1853</v>
      </c>
      <c r="M4338" s="11" t="s">
        <v>9315</v>
      </c>
      <c r="N4338" s="12" t="s">
        <v>9316</v>
      </c>
      <c r="O4338" s="11" t="s">
        <v>1858</v>
      </c>
      <c r="P4338" s="56"/>
    </row>
    <row r="4339" spans="1:16" ht="15.75" customHeight="1" x14ac:dyDescent="0.2">
      <c r="A4339" s="48">
        <v>5871</v>
      </c>
      <c r="B4339" s="11" t="s">
        <v>1857</v>
      </c>
      <c r="C4339" s="11" t="s">
        <v>1849</v>
      </c>
      <c r="D4339" s="6" t="s">
        <v>1850</v>
      </c>
      <c r="E4339" s="11" t="s">
        <v>8816</v>
      </c>
      <c r="F4339" s="12" t="s">
        <v>8816</v>
      </c>
      <c r="G4339" s="12" t="s">
        <v>8825</v>
      </c>
      <c r="H4339" s="59" t="s">
        <v>3698</v>
      </c>
      <c r="I4339" s="12" t="s">
        <v>9317</v>
      </c>
      <c r="J4339" s="11" t="s">
        <v>1856</v>
      </c>
      <c r="K4339" s="11" t="s">
        <v>1852</v>
      </c>
      <c r="L4339" s="11" t="s">
        <v>1853</v>
      </c>
      <c r="M4339" s="11" t="s">
        <v>6129</v>
      </c>
      <c r="N4339" s="12"/>
      <c r="O4339" s="11" t="s">
        <v>1858</v>
      </c>
      <c r="P4339" s="56"/>
    </row>
    <row r="4340" spans="1:16" ht="15.75" customHeight="1" x14ac:dyDescent="0.2">
      <c r="A4340" s="48">
        <v>4632</v>
      </c>
      <c r="B4340" s="11" t="s">
        <v>1857</v>
      </c>
      <c r="C4340" s="11" t="s">
        <v>1849</v>
      </c>
      <c r="D4340" s="6" t="s">
        <v>1850</v>
      </c>
      <c r="E4340" s="11" t="s">
        <v>8816</v>
      </c>
      <c r="F4340" s="12" t="s">
        <v>8816</v>
      </c>
      <c r="G4340" s="12" t="s">
        <v>8817</v>
      </c>
      <c r="H4340" s="59" t="s">
        <v>8817</v>
      </c>
      <c r="I4340" s="12" t="s">
        <v>9318</v>
      </c>
      <c r="J4340" s="11" t="s">
        <v>1856</v>
      </c>
      <c r="K4340" s="11" t="s">
        <v>1852</v>
      </c>
      <c r="L4340" s="11" t="s">
        <v>1853</v>
      </c>
      <c r="M4340" s="11" t="s">
        <v>1854</v>
      </c>
      <c r="N4340" s="12"/>
      <c r="O4340" s="11" t="s">
        <v>1859</v>
      </c>
      <c r="P4340" s="56"/>
    </row>
    <row r="4341" spans="1:16" ht="15.75" customHeight="1" x14ac:dyDescent="0.2">
      <c r="A4341" s="48">
        <v>4797</v>
      </c>
      <c r="B4341" s="11" t="s">
        <v>1857</v>
      </c>
      <c r="C4341" s="11" t="s">
        <v>1849</v>
      </c>
      <c r="D4341" s="6" t="s">
        <v>1850</v>
      </c>
      <c r="E4341" s="11" t="s">
        <v>8816</v>
      </c>
      <c r="F4341" s="12" t="s">
        <v>8816</v>
      </c>
      <c r="G4341" s="12" t="s">
        <v>8844</v>
      </c>
      <c r="H4341" s="59" t="s">
        <v>3676</v>
      </c>
      <c r="I4341" s="12" t="s">
        <v>9319</v>
      </c>
      <c r="J4341" s="11" t="s">
        <v>1856</v>
      </c>
      <c r="K4341" s="11" t="s">
        <v>1852</v>
      </c>
      <c r="L4341" s="11" t="s">
        <v>1853</v>
      </c>
      <c r="M4341" s="11" t="s">
        <v>1854</v>
      </c>
      <c r="N4341" s="12"/>
      <c r="O4341" s="11" t="s">
        <v>1859</v>
      </c>
      <c r="P4341" s="56"/>
    </row>
    <row r="4342" spans="1:16" ht="15.75" customHeight="1" x14ac:dyDescent="0.2">
      <c r="A4342" s="48">
        <v>4096</v>
      </c>
      <c r="B4342" s="11" t="s">
        <v>1857</v>
      </c>
      <c r="C4342" s="11" t="s">
        <v>1849</v>
      </c>
      <c r="D4342" s="6" t="s">
        <v>1850</v>
      </c>
      <c r="E4342" s="11" t="s">
        <v>8816</v>
      </c>
      <c r="F4342" s="12" t="s">
        <v>8816</v>
      </c>
      <c r="G4342" s="12" t="s">
        <v>8895</v>
      </c>
      <c r="H4342" s="12" t="s">
        <v>9126</v>
      </c>
      <c r="I4342" s="12" t="s">
        <v>9320</v>
      </c>
      <c r="J4342" s="11" t="s">
        <v>1856</v>
      </c>
      <c r="K4342" s="11" t="s">
        <v>1852</v>
      </c>
      <c r="L4342" s="11" t="s">
        <v>1853</v>
      </c>
      <c r="M4342" s="11" t="s">
        <v>1854</v>
      </c>
      <c r="N4342" s="12"/>
      <c r="O4342" s="11" t="s">
        <v>1859</v>
      </c>
      <c r="P4342" s="56"/>
    </row>
    <row r="4343" spans="1:16" ht="15.75" customHeight="1" x14ac:dyDescent="0.2">
      <c r="A4343" s="48">
        <v>4552</v>
      </c>
      <c r="B4343" s="11" t="s">
        <v>1857</v>
      </c>
      <c r="C4343" s="11" t="s">
        <v>1849</v>
      </c>
      <c r="D4343" s="6" t="s">
        <v>1850</v>
      </c>
      <c r="E4343" s="11" t="s">
        <v>8816</v>
      </c>
      <c r="F4343" s="12" t="s">
        <v>8816</v>
      </c>
      <c r="G4343" s="12" t="s">
        <v>8817</v>
      </c>
      <c r="H4343" s="59" t="s">
        <v>8817</v>
      </c>
      <c r="I4343" s="12" t="s">
        <v>9321</v>
      </c>
      <c r="J4343" s="11" t="s">
        <v>1856</v>
      </c>
      <c r="K4343" s="11" t="s">
        <v>1852</v>
      </c>
      <c r="L4343" s="11" t="s">
        <v>1853</v>
      </c>
      <c r="M4343" s="11" t="s">
        <v>9322</v>
      </c>
      <c r="N4343" s="12"/>
      <c r="O4343" s="11" t="s">
        <v>1858</v>
      </c>
      <c r="P4343" s="56"/>
    </row>
    <row r="4344" spans="1:16" ht="15.75" customHeight="1" x14ac:dyDescent="0.2">
      <c r="A4344" s="48">
        <v>4681</v>
      </c>
      <c r="B4344" s="11" t="s">
        <v>1857</v>
      </c>
      <c r="C4344" s="11" t="s">
        <v>1849</v>
      </c>
      <c r="D4344" s="6" t="s">
        <v>1850</v>
      </c>
      <c r="E4344" s="11" t="s">
        <v>8816</v>
      </c>
      <c r="F4344" s="12" t="s">
        <v>8816</v>
      </c>
      <c r="G4344" s="12" t="s">
        <v>8817</v>
      </c>
      <c r="H4344" s="12" t="s">
        <v>9185</v>
      </c>
      <c r="I4344" s="12" t="s">
        <v>9323</v>
      </c>
      <c r="J4344" s="11" t="s">
        <v>1856</v>
      </c>
      <c r="K4344" s="11" t="s">
        <v>1852</v>
      </c>
      <c r="L4344" s="11" t="s">
        <v>1853</v>
      </c>
      <c r="M4344" s="11" t="s">
        <v>9177</v>
      </c>
      <c r="N4344" s="12" t="s">
        <v>9324</v>
      </c>
      <c r="O4344" s="11" t="s">
        <v>1859</v>
      </c>
      <c r="P4344" s="56"/>
    </row>
    <row r="4345" spans="1:16" ht="15.75" customHeight="1" x14ac:dyDescent="0.2">
      <c r="A4345" s="48">
        <v>4184</v>
      </c>
      <c r="B4345" s="11" t="s">
        <v>1857</v>
      </c>
      <c r="C4345" s="11" t="s">
        <v>1849</v>
      </c>
      <c r="D4345" s="6" t="s">
        <v>1850</v>
      </c>
      <c r="E4345" s="11" t="s">
        <v>8816</v>
      </c>
      <c r="F4345" s="12" t="s">
        <v>8816</v>
      </c>
      <c r="G4345" s="12" t="s">
        <v>8851</v>
      </c>
      <c r="H4345" s="12" t="s">
        <v>5755</v>
      </c>
      <c r="I4345" s="12" t="s">
        <v>4628</v>
      </c>
      <c r="J4345" s="11" t="s">
        <v>1856</v>
      </c>
      <c r="K4345" s="11" t="s">
        <v>1852</v>
      </c>
      <c r="L4345" s="11" t="s">
        <v>1853</v>
      </c>
      <c r="M4345" s="12" t="s">
        <v>6131</v>
      </c>
      <c r="N4345" s="12"/>
      <c r="O4345" s="11" t="s">
        <v>1858</v>
      </c>
      <c r="P4345" s="56"/>
    </row>
    <row r="4346" spans="1:16" ht="15.75" customHeight="1" x14ac:dyDescent="0.2">
      <c r="A4346" s="48">
        <v>4452</v>
      </c>
      <c r="B4346" s="11" t="s">
        <v>1857</v>
      </c>
      <c r="C4346" s="11" t="s">
        <v>1849</v>
      </c>
      <c r="D4346" s="6" t="s">
        <v>1850</v>
      </c>
      <c r="E4346" s="11" t="s">
        <v>8816</v>
      </c>
      <c r="F4346" s="12" t="s">
        <v>8816</v>
      </c>
      <c r="G4346" s="12" t="s">
        <v>8825</v>
      </c>
      <c r="H4346" s="59" t="s">
        <v>3698</v>
      </c>
      <c r="I4346" s="12" t="s">
        <v>3072</v>
      </c>
      <c r="J4346" s="11" t="s">
        <v>1856</v>
      </c>
      <c r="K4346" s="11" t="s">
        <v>1852</v>
      </c>
      <c r="L4346" s="11" t="s">
        <v>1853</v>
      </c>
      <c r="M4346" s="12" t="s">
        <v>6185</v>
      </c>
      <c r="N4346" s="12"/>
      <c r="O4346" s="11" t="s">
        <v>1859</v>
      </c>
      <c r="P4346" s="56"/>
    </row>
    <row r="4347" spans="1:16" ht="15.75" customHeight="1" x14ac:dyDescent="0.2">
      <c r="A4347" s="48">
        <v>4243</v>
      </c>
      <c r="B4347" s="11" t="s">
        <v>1857</v>
      </c>
      <c r="C4347" s="11" t="s">
        <v>1849</v>
      </c>
      <c r="D4347" s="6" t="s">
        <v>1850</v>
      </c>
      <c r="E4347" s="11" t="s">
        <v>8816</v>
      </c>
      <c r="F4347" s="12" t="s">
        <v>8816</v>
      </c>
      <c r="G4347" s="12" t="s">
        <v>8851</v>
      </c>
      <c r="H4347" s="12" t="s">
        <v>8908</v>
      </c>
      <c r="I4347" s="12" t="s">
        <v>3072</v>
      </c>
      <c r="J4347" s="11" t="s">
        <v>1856</v>
      </c>
      <c r="K4347" s="11" t="s">
        <v>1852</v>
      </c>
      <c r="L4347" s="11" t="s">
        <v>1853</v>
      </c>
      <c r="M4347" s="12" t="s">
        <v>2549</v>
      </c>
      <c r="N4347" s="12"/>
      <c r="O4347" s="11" t="s">
        <v>1859</v>
      </c>
      <c r="P4347" s="56"/>
    </row>
    <row r="4348" spans="1:16" ht="15.75" customHeight="1" x14ac:dyDescent="0.2">
      <c r="A4348" s="48">
        <v>4235</v>
      </c>
      <c r="B4348" s="11" t="s">
        <v>1857</v>
      </c>
      <c r="C4348" s="11" t="s">
        <v>1849</v>
      </c>
      <c r="D4348" s="6" t="s">
        <v>1850</v>
      </c>
      <c r="E4348" s="11" t="s">
        <v>8816</v>
      </c>
      <c r="F4348" s="12" t="s">
        <v>8816</v>
      </c>
      <c r="G4348" s="12" t="s">
        <v>8851</v>
      </c>
      <c r="H4348" s="12" t="s">
        <v>8974</v>
      </c>
      <c r="I4348" s="12" t="s">
        <v>9325</v>
      </c>
      <c r="J4348" s="11" t="s">
        <v>1856</v>
      </c>
      <c r="K4348" s="11" t="s">
        <v>1852</v>
      </c>
      <c r="L4348" s="11" t="s">
        <v>1853</v>
      </c>
      <c r="M4348" s="11" t="s">
        <v>1854</v>
      </c>
      <c r="N4348" s="12"/>
      <c r="O4348" s="11" t="s">
        <v>1859</v>
      </c>
      <c r="P4348" s="56"/>
    </row>
    <row r="4349" spans="1:16" ht="15.75" customHeight="1" x14ac:dyDescent="0.2">
      <c r="A4349" s="48">
        <v>4478</v>
      </c>
      <c r="B4349" s="11" t="s">
        <v>1857</v>
      </c>
      <c r="C4349" s="11" t="s">
        <v>1849</v>
      </c>
      <c r="D4349" s="6" t="s">
        <v>1850</v>
      </c>
      <c r="E4349" s="11" t="s">
        <v>8816</v>
      </c>
      <c r="F4349" s="12" t="s">
        <v>8816</v>
      </c>
      <c r="G4349" s="12" t="s">
        <v>6658</v>
      </c>
      <c r="H4349" s="59" t="s">
        <v>9022</v>
      </c>
      <c r="I4349" s="12" t="s">
        <v>9326</v>
      </c>
      <c r="J4349" s="11" t="s">
        <v>1856</v>
      </c>
      <c r="K4349" s="11" t="s">
        <v>1852</v>
      </c>
      <c r="L4349" s="11" t="s">
        <v>1853</v>
      </c>
      <c r="M4349" s="11" t="s">
        <v>1854</v>
      </c>
      <c r="N4349" s="12"/>
      <c r="O4349" s="11" t="s">
        <v>1859</v>
      </c>
      <c r="P4349" s="56"/>
    </row>
    <row r="4350" spans="1:16" ht="15.75" customHeight="1" x14ac:dyDescent="0.2">
      <c r="A4350" s="48">
        <v>4443</v>
      </c>
      <c r="B4350" s="11" t="s">
        <v>1857</v>
      </c>
      <c r="C4350" s="11" t="s">
        <v>1849</v>
      </c>
      <c r="D4350" s="6" t="s">
        <v>1850</v>
      </c>
      <c r="E4350" s="11" t="s">
        <v>8816</v>
      </c>
      <c r="F4350" s="12" t="s">
        <v>8816</v>
      </c>
      <c r="G4350" s="12" t="s">
        <v>8825</v>
      </c>
      <c r="H4350" s="59" t="s">
        <v>8825</v>
      </c>
      <c r="I4350" s="12" t="s">
        <v>9327</v>
      </c>
      <c r="J4350" s="11" t="s">
        <v>1856</v>
      </c>
      <c r="K4350" s="11" t="s">
        <v>1852</v>
      </c>
      <c r="L4350" s="11" t="s">
        <v>1853</v>
      </c>
      <c r="M4350" s="12" t="s">
        <v>2539</v>
      </c>
      <c r="N4350" s="12"/>
      <c r="O4350" s="11" t="s">
        <v>1859</v>
      </c>
      <c r="P4350" s="56"/>
    </row>
    <row r="4351" spans="1:16" ht="15.75" customHeight="1" x14ac:dyDescent="0.2">
      <c r="A4351" s="48">
        <v>4116</v>
      </c>
      <c r="B4351" s="11" t="s">
        <v>1857</v>
      </c>
      <c r="C4351" s="11" t="s">
        <v>1849</v>
      </c>
      <c r="D4351" s="6" t="s">
        <v>1850</v>
      </c>
      <c r="E4351" s="11" t="s">
        <v>8816</v>
      </c>
      <c r="F4351" s="12" t="s">
        <v>8816</v>
      </c>
      <c r="G4351" s="12" t="s">
        <v>8820</v>
      </c>
      <c r="H4351" s="12" t="s">
        <v>8820</v>
      </c>
      <c r="I4351" s="12" t="s">
        <v>9328</v>
      </c>
      <c r="J4351" s="11" t="s">
        <v>1856</v>
      </c>
      <c r="K4351" s="11" t="s">
        <v>1852</v>
      </c>
      <c r="L4351" s="11" t="s">
        <v>1853</v>
      </c>
      <c r="M4351" s="11" t="s">
        <v>1854</v>
      </c>
      <c r="N4351" s="12"/>
      <c r="O4351" s="11" t="s">
        <v>1859</v>
      </c>
      <c r="P4351" s="56"/>
    </row>
    <row r="4352" spans="1:16" ht="15.75" customHeight="1" x14ac:dyDescent="0.2">
      <c r="A4352" s="48">
        <v>4136</v>
      </c>
      <c r="B4352" s="11" t="s">
        <v>1857</v>
      </c>
      <c r="C4352" s="11" t="s">
        <v>1849</v>
      </c>
      <c r="D4352" s="6" t="s">
        <v>1850</v>
      </c>
      <c r="E4352" s="11" t="s">
        <v>8816</v>
      </c>
      <c r="F4352" s="12" t="s">
        <v>8816</v>
      </c>
      <c r="G4352" s="12" t="s">
        <v>8820</v>
      </c>
      <c r="H4352" s="12" t="s">
        <v>7928</v>
      </c>
      <c r="I4352" s="12" t="s">
        <v>6163</v>
      </c>
      <c r="J4352" s="11" t="s">
        <v>1856</v>
      </c>
      <c r="K4352" s="11" t="s">
        <v>1852</v>
      </c>
      <c r="L4352" s="11" t="s">
        <v>1853</v>
      </c>
      <c r="M4352" s="11" t="s">
        <v>9329</v>
      </c>
      <c r="N4352" s="12" t="s">
        <v>9330</v>
      </c>
      <c r="O4352" s="11" t="s">
        <v>1859</v>
      </c>
      <c r="P4352" s="56"/>
    </row>
    <row r="4353" spans="1:16" ht="15.75" customHeight="1" x14ac:dyDescent="0.2">
      <c r="A4353" s="48">
        <v>4674</v>
      </c>
      <c r="B4353" s="11" t="s">
        <v>1857</v>
      </c>
      <c r="C4353" s="11" t="s">
        <v>1849</v>
      </c>
      <c r="D4353" s="6" t="s">
        <v>1850</v>
      </c>
      <c r="E4353" s="11" t="s">
        <v>8816</v>
      </c>
      <c r="F4353" s="12" t="s">
        <v>8816</v>
      </c>
      <c r="G4353" s="12" t="s">
        <v>8817</v>
      </c>
      <c r="H4353" s="12" t="s">
        <v>8842</v>
      </c>
      <c r="I4353" s="12" t="s">
        <v>9331</v>
      </c>
      <c r="J4353" s="11" t="s">
        <v>1856</v>
      </c>
      <c r="K4353" s="11" t="s">
        <v>1852</v>
      </c>
      <c r="L4353" s="11" t="s">
        <v>1853</v>
      </c>
      <c r="M4353" s="11" t="s">
        <v>9186</v>
      </c>
      <c r="N4353" s="12" t="s">
        <v>9332</v>
      </c>
      <c r="O4353" s="11" t="s">
        <v>1859</v>
      </c>
      <c r="P4353" s="56"/>
    </row>
    <row r="4354" spans="1:16" ht="15.75" customHeight="1" x14ac:dyDescent="0.2">
      <c r="A4354" s="48">
        <v>4355</v>
      </c>
      <c r="B4354" s="11" t="s">
        <v>1857</v>
      </c>
      <c r="C4354" s="11" t="s">
        <v>1849</v>
      </c>
      <c r="D4354" s="6" t="s">
        <v>1850</v>
      </c>
      <c r="E4354" s="11" t="s">
        <v>8816</v>
      </c>
      <c r="F4354" s="12" t="s">
        <v>8816</v>
      </c>
      <c r="G4354" s="12" t="s">
        <v>5635</v>
      </c>
      <c r="H4354" s="12" t="s">
        <v>5231</v>
      </c>
      <c r="I4354" s="12" t="s">
        <v>9333</v>
      </c>
      <c r="J4354" s="11" t="s">
        <v>1856</v>
      </c>
      <c r="K4354" s="11" t="s">
        <v>1852</v>
      </c>
      <c r="L4354" s="11" t="s">
        <v>1853</v>
      </c>
      <c r="M4354" s="12" t="s">
        <v>2539</v>
      </c>
      <c r="N4354" s="12"/>
      <c r="O4354" s="11" t="s">
        <v>1858</v>
      </c>
      <c r="P4354" s="56"/>
    </row>
    <row r="4355" spans="1:16" ht="15.75" customHeight="1" x14ac:dyDescent="0.2">
      <c r="A4355" s="48">
        <v>4154</v>
      </c>
      <c r="B4355" s="11" t="s">
        <v>1857</v>
      </c>
      <c r="C4355" s="11" t="s">
        <v>1849</v>
      </c>
      <c r="D4355" s="6" t="s">
        <v>1850</v>
      </c>
      <c r="E4355" s="11" t="s">
        <v>8816</v>
      </c>
      <c r="F4355" s="12" t="s">
        <v>8816</v>
      </c>
      <c r="G4355" s="12" t="s">
        <v>8820</v>
      </c>
      <c r="H4355" s="12" t="s">
        <v>9095</v>
      </c>
      <c r="I4355" s="12" t="s">
        <v>9334</v>
      </c>
      <c r="J4355" s="11" t="s">
        <v>1856</v>
      </c>
      <c r="K4355" s="11" t="s">
        <v>1852</v>
      </c>
      <c r="L4355" s="11" t="s">
        <v>1853</v>
      </c>
      <c r="M4355" s="11" t="s">
        <v>1854</v>
      </c>
      <c r="N4355" s="12"/>
      <c r="O4355" s="11" t="s">
        <v>1859</v>
      </c>
      <c r="P4355" s="56"/>
    </row>
    <row r="4356" spans="1:16" ht="15.75" customHeight="1" x14ac:dyDescent="0.2">
      <c r="A4356" s="48">
        <v>4618</v>
      </c>
      <c r="B4356" s="11" t="s">
        <v>1857</v>
      </c>
      <c r="C4356" s="11" t="s">
        <v>1849</v>
      </c>
      <c r="D4356" s="6" t="s">
        <v>1850</v>
      </c>
      <c r="E4356" s="11" t="s">
        <v>8816</v>
      </c>
      <c r="F4356" s="12" t="s">
        <v>8816</v>
      </c>
      <c r="G4356" s="12" t="s">
        <v>8817</v>
      </c>
      <c r="H4356" s="12" t="s">
        <v>9335</v>
      </c>
      <c r="I4356" s="12" t="s">
        <v>5389</v>
      </c>
      <c r="J4356" s="11" t="s">
        <v>1856</v>
      </c>
      <c r="K4356" s="11" t="s">
        <v>1852</v>
      </c>
      <c r="L4356" s="11" t="s">
        <v>1853</v>
      </c>
      <c r="M4356" s="11" t="s">
        <v>9336</v>
      </c>
      <c r="N4356" s="12" t="s">
        <v>9337</v>
      </c>
      <c r="O4356" s="11" t="s">
        <v>1858</v>
      </c>
      <c r="P4356" s="56"/>
    </row>
    <row r="4357" spans="1:16" ht="15.75" customHeight="1" x14ac:dyDescent="0.2">
      <c r="A4357" s="48">
        <v>5576</v>
      </c>
      <c r="B4357" s="11" t="s">
        <v>1857</v>
      </c>
      <c r="C4357" s="11" t="s">
        <v>1849</v>
      </c>
      <c r="D4357" s="6" t="s">
        <v>1850</v>
      </c>
      <c r="E4357" s="11" t="s">
        <v>8816</v>
      </c>
      <c r="F4357" s="12" t="s">
        <v>8816</v>
      </c>
      <c r="G4357" s="12" t="s">
        <v>6658</v>
      </c>
      <c r="H4357" s="59" t="s">
        <v>9022</v>
      </c>
      <c r="I4357" s="12" t="s">
        <v>3319</v>
      </c>
      <c r="J4357" s="11" t="s">
        <v>1856</v>
      </c>
      <c r="K4357" s="11" t="s">
        <v>1852</v>
      </c>
      <c r="L4357" s="11" t="s">
        <v>1853</v>
      </c>
      <c r="M4357" s="11" t="s">
        <v>1854</v>
      </c>
      <c r="N4357" s="12"/>
      <c r="O4357" s="11" t="s">
        <v>1859</v>
      </c>
      <c r="P4357" s="56"/>
    </row>
    <row r="4358" spans="1:16" ht="15.75" customHeight="1" x14ac:dyDescent="0.2">
      <c r="A4358" s="48">
        <v>4134</v>
      </c>
      <c r="B4358" s="11" t="s">
        <v>1857</v>
      </c>
      <c r="C4358" s="11" t="s">
        <v>1849</v>
      </c>
      <c r="D4358" s="6" t="s">
        <v>1850</v>
      </c>
      <c r="E4358" s="11" t="s">
        <v>8816</v>
      </c>
      <c r="F4358" s="12" t="s">
        <v>8816</v>
      </c>
      <c r="G4358" s="12" t="s">
        <v>8820</v>
      </c>
      <c r="H4358" s="12" t="s">
        <v>3663</v>
      </c>
      <c r="I4358" s="12" t="s">
        <v>3319</v>
      </c>
      <c r="J4358" s="11" t="s">
        <v>1856</v>
      </c>
      <c r="K4358" s="11" t="s">
        <v>1852</v>
      </c>
      <c r="L4358" s="11" t="s">
        <v>1853</v>
      </c>
      <c r="M4358" s="11" t="s">
        <v>1854</v>
      </c>
      <c r="N4358" s="12"/>
      <c r="O4358" s="11" t="s">
        <v>1859</v>
      </c>
      <c r="P4358" s="56"/>
    </row>
    <row r="4359" spans="1:16" ht="15.75" customHeight="1" x14ac:dyDescent="0.2">
      <c r="A4359" s="48">
        <v>4766</v>
      </c>
      <c r="B4359" s="11" t="s">
        <v>1857</v>
      </c>
      <c r="C4359" s="11" t="s">
        <v>1849</v>
      </c>
      <c r="D4359" s="6" t="s">
        <v>1850</v>
      </c>
      <c r="E4359" s="11" t="s">
        <v>8816</v>
      </c>
      <c r="F4359" s="12" t="s">
        <v>8816</v>
      </c>
      <c r="G4359" s="12" t="s">
        <v>8844</v>
      </c>
      <c r="H4359" s="59" t="s">
        <v>8912</v>
      </c>
      <c r="I4359" s="12" t="s">
        <v>3091</v>
      </c>
      <c r="J4359" s="11" t="s">
        <v>1856</v>
      </c>
      <c r="K4359" s="11" t="s">
        <v>1852</v>
      </c>
      <c r="L4359" s="11" t="s">
        <v>1853</v>
      </c>
      <c r="M4359" s="11" t="s">
        <v>9091</v>
      </c>
      <c r="N4359" s="12"/>
      <c r="O4359" s="11" t="s">
        <v>1858</v>
      </c>
      <c r="P4359" s="56"/>
    </row>
    <row r="4360" spans="1:16" ht="15.75" customHeight="1" x14ac:dyDescent="0.2">
      <c r="A4360" s="48">
        <v>4730</v>
      </c>
      <c r="B4360" s="11" t="s">
        <v>1857</v>
      </c>
      <c r="C4360" s="11" t="s">
        <v>1849</v>
      </c>
      <c r="D4360" s="6" t="s">
        <v>1850</v>
      </c>
      <c r="E4360" s="11" t="s">
        <v>8816</v>
      </c>
      <c r="F4360" s="12" t="s">
        <v>8816</v>
      </c>
      <c r="G4360" s="12" t="s">
        <v>8928</v>
      </c>
      <c r="H4360" s="59" t="s">
        <v>9093</v>
      </c>
      <c r="I4360" s="12" t="s">
        <v>5390</v>
      </c>
      <c r="J4360" s="11" t="s">
        <v>1856</v>
      </c>
      <c r="K4360" s="11" t="s">
        <v>1852</v>
      </c>
      <c r="L4360" s="11" t="s">
        <v>1853</v>
      </c>
      <c r="M4360" s="11" t="s">
        <v>2390</v>
      </c>
      <c r="N4360" s="12"/>
      <c r="O4360" s="11" t="s">
        <v>1859</v>
      </c>
      <c r="P4360" s="56"/>
    </row>
    <row r="4361" spans="1:16" ht="15.75" customHeight="1" x14ac:dyDescent="0.2">
      <c r="A4361" s="48">
        <v>4298</v>
      </c>
      <c r="B4361" s="11" t="s">
        <v>1857</v>
      </c>
      <c r="C4361" s="11" t="s">
        <v>1849</v>
      </c>
      <c r="D4361" s="6" t="s">
        <v>1850</v>
      </c>
      <c r="E4361" s="11" t="s">
        <v>8816</v>
      </c>
      <c r="F4361" s="12" t="s">
        <v>8816</v>
      </c>
      <c r="G4361" s="12" t="s">
        <v>5635</v>
      </c>
      <c r="H4361" s="12" t="s">
        <v>5635</v>
      </c>
      <c r="I4361" s="12" t="s">
        <v>5390</v>
      </c>
      <c r="J4361" s="11" t="s">
        <v>1856</v>
      </c>
      <c r="K4361" s="11" t="s">
        <v>1852</v>
      </c>
      <c r="L4361" s="11" t="s">
        <v>1853</v>
      </c>
      <c r="M4361" s="11" t="s">
        <v>1854</v>
      </c>
      <c r="N4361" s="12"/>
      <c r="O4361" s="11" t="s">
        <v>1859</v>
      </c>
      <c r="P4361" s="56"/>
    </row>
    <row r="4362" spans="1:16" ht="15.75" customHeight="1" x14ac:dyDescent="0.2">
      <c r="A4362" s="48">
        <v>4120</v>
      </c>
      <c r="B4362" s="11" t="s">
        <v>1857</v>
      </c>
      <c r="C4362" s="11" t="s">
        <v>1849</v>
      </c>
      <c r="D4362" s="6" t="s">
        <v>1850</v>
      </c>
      <c r="E4362" s="11" t="s">
        <v>8816</v>
      </c>
      <c r="F4362" s="12" t="s">
        <v>8816</v>
      </c>
      <c r="G4362" s="12" t="s">
        <v>8820</v>
      </c>
      <c r="H4362" s="12" t="s">
        <v>9292</v>
      </c>
      <c r="I4362" s="12" t="s">
        <v>9338</v>
      </c>
      <c r="J4362" s="11" t="s">
        <v>1856</v>
      </c>
      <c r="K4362" s="11" t="s">
        <v>1852</v>
      </c>
      <c r="L4362" s="11" t="s">
        <v>1853</v>
      </c>
      <c r="M4362" s="11" t="s">
        <v>1854</v>
      </c>
      <c r="N4362" s="12"/>
      <c r="O4362" s="11" t="s">
        <v>1859</v>
      </c>
      <c r="P4362" s="56"/>
    </row>
    <row r="4363" spans="1:16" ht="15.75" customHeight="1" x14ac:dyDescent="0.2">
      <c r="A4363" s="48">
        <v>4650</v>
      </c>
      <c r="B4363" s="11" t="s">
        <v>1857</v>
      </c>
      <c r="C4363" s="11" t="s">
        <v>1849</v>
      </c>
      <c r="D4363" s="6" t="s">
        <v>1850</v>
      </c>
      <c r="E4363" s="11" t="s">
        <v>8816</v>
      </c>
      <c r="F4363" s="12" t="s">
        <v>8816</v>
      </c>
      <c r="G4363" s="12" t="s">
        <v>8817</v>
      </c>
      <c r="H4363" s="59" t="s">
        <v>8830</v>
      </c>
      <c r="I4363" s="12" t="s">
        <v>9339</v>
      </c>
      <c r="J4363" s="11" t="s">
        <v>1856</v>
      </c>
      <c r="K4363" s="11" t="s">
        <v>1852</v>
      </c>
      <c r="L4363" s="11" t="s">
        <v>1853</v>
      </c>
      <c r="M4363" s="11" t="s">
        <v>9030</v>
      </c>
      <c r="N4363" s="12"/>
      <c r="O4363" s="11" t="s">
        <v>1858</v>
      </c>
      <c r="P4363" s="56"/>
    </row>
    <row r="4364" spans="1:16" ht="15.75" customHeight="1" x14ac:dyDescent="0.2">
      <c r="A4364" s="48">
        <v>4822</v>
      </c>
      <c r="B4364" s="11" t="s">
        <v>1857</v>
      </c>
      <c r="C4364" s="11" t="s">
        <v>1849</v>
      </c>
      <c r="D4364" s="6" t="s">
        <v>1850</v>
      </c>
      <c r="E4364" s="11" t="s">
        <v>8816</v>
      </c>
      <c r="F4364" s="12" t="s">
        <v>8816</v>
      </c>
      <c r="G4364" s="12" t="s">
        <v>8844</v>
      </c>
      <c r="H4364" s="59" t="s">
        <v>8890</v>
      </c>
      <c r="I4364" s="12" t="s">
        <v>9339</v>
      </c>
      <c r="J4364" s="11" t="s">
        <v>1856</v>
      </c>
      <c r="K4364" s="11" t="s">
        <v>1852</v>
      </c>
      <c r="L4364" s="11" t="s">
        <v>1853</v>
      </c>
      <c r="M4364" s="11" t="s">
        <v>2297</v>
      </c>
      <c r="N4364" s="12"/>
      <c r="O4364" s="11" t="s">
        <v>1858</v>
      </c>
      <c r="P4364" s="56"/>
    </row>
    <row r="4365" spans="1:16" ht="15.75" customHeight="1" x14ac:dyDescent="0.2">
      <c r="A4365" s="48">
        <v>4405</v>
      </c>
      <c r="B4365" s="11" t="s">
        <v>1857</v>
      </c>
      <c r="C4365" s="11" t="s">
        <v>1849</v>
      </c>
      <c r="D4365" s="6" t="s">
        <v>1850</v>
      </c>
      <c r="E4365" s="11" t="s">
        <v>8816</v>
      </c>
      <c r="F4365" s="12" t="s">
        <v>8816</v>
      </c>
      <c r="G4365" s="12" t="s">
        <v>8928</v>
      </c>
      <c r="H4365" s="59" t="s">
        <v>9051</v>
      </c>
      <c r="I4365" s="12" t="s">
        <v>9340</v>
      </c>
      <c r="J4365" s="11" t="s">
        <v>1856</v>
      </c>
      <c r="K4365" s="11" t="s">
        <v>1852</v>
      </c>
      <c r="L4365" s="11" t="s">
        <v>1853</v>
      </c>
      <c r="M4365" s="11" t="s">
        <v>2297</v>
      </c>
      <c r="N4365" s="12"/>
      <c r="O4365" s="11" t="s">
        <v>1859</v>
      </c>
      <c r="P4365" s="56"/>
    </row>
    <row r="4366" spans="1:16" ht="15.75" customHeight="1" x14ac:dyDescent="0.2">
      <c r="A4366" s="48">
        <v>4657</v>
      </c>
      <c r="B4366" s="11" t="s">
        <v>1857</v>
      </c>
      <c r="C4366" s="11" t="s">
        <v>1849</v>
      </c>
      <c r="D4366" s="6" t="s">
        <v>1850</v>
      </c>
      <c r="E4366" s="11" t="s">
        <v>8816</v>
      </c>
      <c r="F4366" s="12" t="s">
        <v>8816</v>
      </c>
      <c r="G4366" s="12" t="s">
        <v>8817</v>
      </c>
      <c r="H4366" s="59" t="s">
        <v>8830</v>
      </c>
      <c r="I4366" s="12" t="s">
        <v>9341</v>
      </c>
      <c r="J4366" s="11" t="s">
        <v>1856</v>
      </c>
      <c r="K4366" s="11" t="s">
        <v>1852</v>
      </c>
      <c r="L4366" s="11" t="s">
        <v>1853</v>
      </c>
      <c r="M4366" s="11" t="s">
        <v>1854</v>
      </c>
      <c r="N4366" s="12"/>
      <c r="O4366" s="11" t="s">
        <v>1858</v>
      </c>
      <c r="P4366" s="56"/>
    </row>
    <row r="4367" spans="1:16" ht="15.75" customHeight="1" x14ac:dyDescent="0.2">
      <c r="A4367" s="48">
        <v>4140</v>
      </c>
      <c r="B4367" s="11" t="s">
        <v>1857</v>
      </c>
      <c r="C4367" s="11" t="s">
        <v>1849</v>
      </c>
      <c r="D4367" s="6" t="s">
        <v>1850</v>
      </c>
      <c r="E4367" s="11" t="s">
        <v>8816</v>
      </c>
      <c r="F4367" s="12" t="s">
        <v>8816</v>
      </c>
      <c r="G4367" s="12" t="s">
        <v>8820</v>
      </c>
      <c r="H4367" s="12" t="s">
        <v>9123</v>
      </c>
      <c r="I4367" s="12" t="s">
        <v>9342</v>
      </c>
      <c r="J4367" s="11" t="s">
        <v>1856</v>
      </c>
      <c r="K4367" s="11" t="s">
        <v>1852</v>
      </c>
      <c r="L4367" s="11" t="s">
        <v>1853</v>
      </c>
      <c r="M4367" s="12" t="s">
        <v>9186</v>
      </c>
      <c r="N4367" s="12"/>
      <c r="O4367" s="11" t="s">
        <v>1859</v>
      </c>
      <c r="P4367" s="56"/>
    </row>
    <row r="4368" spans="1:16" ht="15.75" customHeight="1" x14ac:dyDescent="0.2">
      <c r="A4368" s="48">
        <v>4249</v>
      </c>
      <c r="B4368" s="11" t="s">
        <v>1857</v>
      </c>
      <c r="C4368" s="11" t="s">
        <v>1849</v>
      </c>
      <c r="D4368" s="6" t="s">
        <v>1850</v>
      </c>
      <c r="E4368" s="11" t="s">
        <v>8816</v>
      </c>
      <c r="F4368" s="12" t="s">
        <v>8816</v>
      </c>
      <c r="G4368" s="12" t="s">
        <v>2299</v>
      </c>
      <c r="H4368" s="12" t="s">
        <v>2299</v>
      </c>
      <c r="I4368" s="12" t="s">
        <v>9343</v>
      </c>
      <c r="J4368" s="11" t="s">
        <v>1856</v>
      </c>
      <c r="K4368" s="11" t="s">
        <v>1852</v>
      </c>
      <c r="L4368" s="11" t="s">
        <v>1853</v>
      </c>
      <c r="M4368" s="11" t="s">
        <v>1854</v>
      </c>
      <c r="N4368" s="12"/>
      <c r="O4368" s="11" t="s">
        <v>1859</v>
      </c>
      <c r="P4368" s="56"/>
    </row>
    <row r="4369" spans="1:16" ht="15.75" customHeight="1" x14ac:dyDescent="0.2">
      <c r="A4369" s="48">
        <v>4453</v>
      </c>
      <c r="B4369" s="11" t="s">
        <v>1857</v>
      </c>
      <c r="C4369" s="11" t="s">
        <v>1849</v>
      </c>
      <c r="D4369" s="6" t="s">
        <v>1850</v>
      </c>
      <c r="E4369" s="11" t="s">
        <v>8816</v>
      </c>
      <c r="F4369" s="12" t="s">
        <v>8816</v>
      </c>
      <c r="G4369" s="12" t="s">
        <v>8825</v>
      </c>
      <c r="H4369" s="59" t="s">
        <v>5396</v>
      </c>
      <c r="I4369" s="12" t="s">
        <v>5397</v>
      </c>
      <c r="J4369" s="11" t="s">
        <v>1856</v>
      </c>
      <c r="K4369" s="11" t="s">
        <v>1852</v>
      </c>
      <c r="L4369" s="11" t="s">
        <v>1853</v>
      </c>
      <c r="M4369" s="11" t="s">
        <v>8920</v>
      </c>
      <c r="N4369" s="12" t="s">
        <v>9344</v>
      </c>
      <c r="O4369" s="11" t="s">
        <v>1858</v>
      </c>
      <c r="P4369" s="56"/>
    </row>
    <row r="4370" spans="1:16" ht="15.75" customHeight="1" x14ac:dyDescent="0.2">
      <c r="A4370" s="48">
        <v>4537</v>
      </c>
      <c r="B4370" s="11" t="s">
        <v>1857</v>
      </c>
      <c r="C4370" s="11" t="s">
        <v>1849</v>
      </c>
      <c r="D4370" s="6" t="s">
        <v>1850</v>
      </c>
      <c r="E4370" s="11" t="s">
        <v>8816</v>
      </c>
      <c r="F4370" s="12" t="s">
        <v>8816</v>
      </c>
      <c r="G4370" s="12" t="s">
        <v>4741</v>
      </c>
      <c r="H4370" s="59" t="s">
        <v>9118</v>
      </c>
      <c r="I4370" s="12" t="s">
        <v>9345</v>
      </c>
      <c r="J4370" s="11" t="s">
        <v>1856</v>
      </c>
      <c r="K4370" s="11" t="s">
        <v>1852</v>
      </c>
      <c r="L4370" s="11" t="s">
        <v>1853</v>
      </c>
      <c r="M4370" s="11" t="s">
        <v>9346</v>
      </c>
      <c r="N4370" s="12" t="s">
        <v>9347</v>
      </c>
      <c r="O4370" s="11" t="s">
        <v>1859</v>
      </c>
      <c r="P4370" s="56"/>
    </row>
    <row r="4371" spans="1:16" ht="15.75" customHeight="1" x14ac:dyDescent="0.2">
      <c r="A4371" s="48">
        <v>4100</v>
      </c>
      <c r="B4371" s="11" t="s">
        <v>1857</v>
      </c>
      <c r="C4371" s="11" t="s">
        <v>1849</v>
      </c>
      <c r="D4371" s="6" t="s">
        <v>1850</v>
      </c>
      <c r="E4371" s="11" t="s">
        <v>8816</v>
      </c>
      <c r="F4371" s="12" t="s">
        <v>8816</v>
      </c>
      <c r="G4371" s="12" t="s">
        <v>8895</v>
      </c>
      <c r="H4371" s="12" t="s">
        <v>9126</v>
      </c>
      <c r="I4371" s="12" t="s">
        <v>5403</v>
      </c>
      <c r="J4371" s="11" t="s">
        <v>1856</v>
      </c>
      <c r="K4371" s="11" t="s">
        <v>1852</v>
      </c>
      <c r="L4371" s="11" t="s">
        <v>1853</v>
      </c>
      <c r="M4371" s="11" t="s">
        <v>2276</v>
      </c>
      <c r="N4371" s="12"/>
      <c r="O4371" s="11" t="s">
        <v>1859</v>
      </c>
      <c r="P4371" s="56"/>
    </row>
    <row r="4372" spans="1:16" ht="15.75" customHeight="1" x14ac:dyDescent="0.2">
      <c r="A4372" s="48">
        <v>4275</v>
      </c>
      <c r="B4372" s="11" t="s">
        <v>1857</v>
      </c>
      <c r="C4372" s="11" t="s">
        <v>1849</v>
      </c>
      <c r="D4372" s="6" t="s">
        <v>1850</v>
      </c>
      <c r="E4372" s="11" t="s">
        <v>8816</v>
      </c>
      <c r="F4372" s="12" t="s">
        <v>8816</v>
      </c>
      <c r="G4372" s="12" t="s">
        <v>2299</v>
      </c>
      <c r="H4372" s="12" t="s">
        <v>3548</v>
      </c>
      <c r="I4372" s="12" t="s">
        <v>9348</v>
      </c>
      <c r="J4372" s="11" t="s">
        <v>1856</v>
      </c>
      <c r="K4372" s="11" t="s">
        <v>1852</v>
      </c>
      <c r="L4372" s="11" t="s">
        <v>1853</v>
      </c>
      <c r="M4372" s="11" t="s">
        <v>1854</v>
      </c>
      <c r="N4372" s="12"/>
      <c r="O4372" s="11" t="s">
        <v>1858</v>
      </c>
      <c r="P4372" s="56"/>
    </row>
    <row r="4373" spans="1:16" ht="15.75" customHeight="1" x14ac:dyDescent="0.2">
      <c r="A4373" s="48">
        <v>4189</v>
      </c>
      <c r="B4373" s="11" t="s">
        <v>1857</v>
      </c>
      <c r="C4373" s="11" t="s">
        <v>1849</v>
      </c>
      <c r="D4373" s="6" t="s">
        <v>1850</v>
      </c>
      <c r="E4373" s="11" t="s">
        <v>8816</v>
      </c>
      <c r="F4373" s="12" t="s">
        <v>8816</v>
      </c>
      <c r="G4373" s="12" t="s">
        <v>8851</v>
      </c>
      <c r="H4373" s="12" t="s">
        <v>5755</v>
      </c>
      <c r="I4373" s="12" t="s">
        <v>9349</v>
      </c>
      <c r="J4373" s="11" t="s">
        <v>1856</v>
      </c>
      <c r="K4373" s="11" t="s">
        <v>1852</v>
      </c>
      <c r="L4373" s="11" t="s">
        <v>1853</v>
      </c>
      <c r="M4373" s="11" t="s">
        <v>9350</v>
      </c>
      <c r="N4373" s="12"/>
      <c r="O4373" s="11" t="s">
        <v>1859</v>
      </c>
      <c r="P4373" s="56"/>
    </row>
    <row r="4374" spans="1:16" ht="15.75" customHeight="1" x14ac:dyDescent="0.2">
      <c r="A4374" s="48">
        <v>4480</v>
      </c>
      <c r="B4374" s="11" t="s">
        <v>1857</v>
      </c>
      <c r="C4374" s="11" t="s">
        <v>1849</v>
      </c>
      <c r="D4374" s="6" t="s">
        <v>1850</v>
      </c>
      <c r="E4374" s="11" t="s">
        <v>8816</v>
      </c>
      <c r="F4374" s="12" t="s">
        <v>8816</v>
      </c>
      <c r="G4374" s="12" t="s">
        <v>6658</v>
      </c>
      <c r="H4374" s="59" t="s">
        <v>9022</v>
      </c>
      <c r="I4374" s="12" t="s">
        <v>9351</v>
      </c>
      <c r="J4374" s="11" t="s">
        <v>1856</v>
      </c>
      <c r="K4374" s="11" t="s">
        <v>1852</v>
      </c>
      <c r="L4374" s="11" t="s">
        <v>1853</v>
      </c>
      <c r="M4374" s="11" t="s">
        <v>9089</v>
      </c>
      <c r="N4374" s="12"/>
      <c r="O4374" s="11" t="s">
        <v>1858</v>
      </c>
      <c r="P4374" s="56"/>
    </row>
    <row r="4375" spans="1:16" ht="15.75" customHeight="1" x14ac:dyDescent="0.2">
      <c r="A4375" s="48">
        <v>4442</v>
      </c>
      <c r="B4375" s="11" t="s">
        <v>1857</v>
      </c>
      <c r="C4375" s="11" t="s">
        <v>1849</v>
      </c>
      <c r="D4375" s="6" t="s">
        <v>1850</v>
      </c>
      <c r="E4375" s="11" t="s">
        <v>8816</v>
      </c>
      <c r="F4375" s="12" t="s">
        <v>8816</v>
      </c>
      <c r="G4375" s="12" t="s">
        <v>8825</v>
      </c>
      <c r="H4375" s="59" t="s">
        <v>9352</v>
      </c>
      <c r="I4375" s="12" t="s">
        <v>9353</v>
      </c>
      <c r="J4375" s="11" t="s">
        <v>1856</v>
      </c>
      <c r="K4375" s="11" t="s">
        <v>1852</v>
      </c>
      <c r="L4375" s="11" t="s">
        <v>1853</v>
      </c>
      <c r="M4375" s="11" t="s">
        <v>8893</v>
      </c>
      <c r="N4375" s="12" t="s">
        <v>9354</v>
      </c>
      <c r="O4375" s="11" t="s">
        <v>1859</v>
      </c>
      <c r="P4375" s="56"/>
    </row>
    <row r="4376" spans="1:16" ht="15.75" customHeight="1" x14ac:dyDescent="0.2">
      <c r="A4376" s="48">
        <v>4445</v>
      </c>
      <c r="B4376" s="11" t="s">
        <v>1857</v>
      </c>
      <c r="C4376" s="11" t="s">
        <v>1849</v>
      </c>
      <c r="D4376" s="6" t="s">
        <v>1850</v>
      </c>
      <c r="E4376" s="11" t="s">
        <v>8816</v>
      </c>
      <c r="F4376" s="12" t="s">
        <v>8816</v>
      </c>
      <c r="G4376" s="12" t="s">
        <v>8825</v>
      </c>
      <c r="H4376" s="59" t="s">
        <v>9352</v>
      </c>
      <c r="I4376" s="12" t="s">
        <v>9355</v>
      </c>
      <c r="J4376" s="11" t="s">
        <v>1856</v>
      </c>
      <c r="K4376" s="11" t="s">
        <v>1852</v>
      </c>
      <c r="L4376" s="11" t="s">
        <v>1853</v>
      </c>
      <c r="M4376" s="11" t="s">
        <v>2549</v>
      </c>
      <c r="N4376" s="12"/>
      <c r="O4376" s="11" t="s">
        <v>1858</v>
      </c>
      <c r="P4376" s="56"/>
    </row>
    <row r="4377" spans="1:16" ht="15.75" customHeight="1" x14ac:dyDescent="0.2">
      <c r="A4377" s="48">
        <v>4444</v>
      </c>
      <c r="B4377" s="11" t="s">
        <v>1857</v>
      </c>
      <c r="C4377" s="11" t="s">
        <v>1849</v>
      </c>
      <c r="D4377" s="6" t="s">
        <v>1850</v>
      </c>
      <c r="E4377" s="11" t="s">
        <v>8816</v>
      </c>
      <c r="F4377" s="12" t="s">
        <v>8816</v>
      </c>
      <c r="G4377" s="12" t="s">
        <v>8825</v>
      </c>
      <c r="H4377" s="59" t="s">
        <v>8825</v>
      </c>
      <c r="I4377" s="12" t="s">
        <v>5407</v>
      </c>
      <c r="J4377" s="11" t="s">
        <v>1856</v>
      </c>
      <c r="K4377" s="11" t="s">
        <v>1852</v>
      </c>
      <c r="L4377" s="11" t="s">
        <v>1853</v>
      </c>
      <c r="M4377" s="11" t="s">
        <v>9356</v>
      </c>
      <c r="N4377" s="12"/>
      <c r="O4377" s="11" t="s">
        <v>1859</v>
      </c>
      <c r="P4377" s="56"/>
    </row>
    <row r="4378" spans="1:16" ht="15.75" customHeight="1" x14ac:dyDescent="0.2">
      <c r="A4378" s="48">
        <v>4265</v>
      </c>
      <c r="B4378" s="11" t="s">
        <v>1857</v>
      </c>
      <c r="C4378" s="11" t="s">
        <v>1849</v>
      </c>
      <c r="D4378" s="6" t="s">
        <v>1850</v>
      </c>
      <c r="E4378" s="11" t="s">
        <v>8816</v>
      </c>
      <c r="F4378" s="12" t="s">
        <v>8816</v>
      </c>
      <c r="G4378" s="12" t="s">
        <v>2299</v>
      </c>
      <c r="H4378" s="12" t="s">
        <v>8861</v>
      </c>
      <c r="I4378" s="12" t="s">
        <v>9357</v>
      </c>
      <c r="J4378" s="11" t="s">
        <v>1856</v>
      </c>
      <c r="K4378" s="11" t="s">
        <v>1852</v>
      </c>
      <c r="L4378" s="11" t="s">
        <v>1853</v>
      </c>
      <c r="M4378" s="11" t="s">
        <v>2549</v>
      </c>
      <c r="N4378" s="12"/>
      <c r="O4378" s="11" t="s">
        <v>1859</v>
      </c>
      <c r="P4378" s="56"/>
    </row>
    <row r="4379" spans="1:16" ht="15.75" customHeight="1" x14ac:dyDescent="0.2">
      <c r="A4379" s="48">
        <v>4228</v>
      </c>
      <c r="B4379" s="11" t="s">
        <v>1857</v>
      </c>
      <c r="C4379" s="11" t="s">
        <v>1849</v>
      </c>
      <c r="D4379" s="6" t="s">
        <v>1850</v>
      </c>
      <c r="E4379" s="11" t="s">
        <v>8816</v>
      </c>
      <c r="F4379" s="12" t="s">
        <v>8816</v>
      </c>
      <c r="G4379" s="12" t="s">
        <v>8851</v>
      </c>
      <c r="H4379" s="12" t="s">
        <v>8854</v>
      </c>
      <c r="I4379" s="12" t="s">
        <v>9357</v>
      </c>
      <c r="J4379" s="11" t="s">
        <v>1856</v>
      </c>
      <c r="K4379" s="11" t="s">
        <v>1852</v>
      </c>
      <c r="L4379" s="11" t="s">
        <v>1853</v>
      </c>
      <c r="M4379" s="11" t="s">
        <v>2141</v>
      </c>
      <c r="N4379" s="12"/>
      <c r="O4379" s="11" t="s">
        <v>1859</v>
      </c>
      <c r="P4379" s="56"/>
    </row>
    <row r="4380" spans="1:16" ht="15.75" customHeight="1" x14ac:dyDescent="0.2">
      <c r="A4380" s="48">
        <v>4260</v>
      </c>
      <c r="B4380" s="11" t="s">
        <v>1857</v>
      </c>
      <c r="C4380" s="11" t="s">
        <v>1849</v>
      </c>
      <c r="D4380" s="6" t="s">
        <v>1850</v>
      </c>
      <c r="E4380" s="11" t="s">
        <v>8816</v>
      </c>
      <c r="F4380" s="12" t="s">
        <v>8816</v>
      </c>
      <c r="G4380" s="12" t="s">
        <v>2299</v>
      </c>
      <c r="H4380" s="12" t="s">
        <v>8861</v>
      </c>
      <c r="I4380" s="12" t="s">
        <v>9358</v>
      </c>
      <c r="J4380" s="11" t="s">
        <v>1856</v>
      </c>
      <c r="K4380" s="11" t="s">
        <v>1852</v>
      </c>
      <c r="L4380" s="11" t="s">
        <v>1853</v>
      </c>
      <c r="M4380" s="11" t="s">
        <v>8863</v>
      </c>
      <c r="N4380" s="12"/>
      <c r="O4380" s="11" t="s">
        <v>1859</v>
      </c>
      <c r="P4380" s="56"/>
    </row>
    <row r="4381" spans="1:16" ht="15.75" customHeight="1" x14ac:dyDescent="0.2">
      <c r="A4381" s="48">
        <v>4377</v>
      </c>
      <c r="B4381" s="11" t="s">
        <v>1857</v>
      </c>
      <c r="C4381" s="11" t="s">
        <v>1849</v>
      </c>
      <c r="D4381" s="6" t="s">
        <v>1850</v>
      </c>
      <c r="E4381" s="11" t="s">
        <v>8816</v>
      </c>
      <c r="F4381" s="12" t="s">
        <v>8816</v>
      </c>
      <c r="G4381" s="12" t="s">
        <v>5635</v>
      </c>
      <c r="H4381" s="12" t="s">
        <v>9009</v>
      </c>
      <c r="I4381" s="12" t="s">
        <v>9359</v>
      </c>
      <c r="J4381" s="11" t="s">
        <v>1856</v>
      </c>
      <c r="K4381" s="11" t="s">
        <v>1852</v>
      </c>
      <c r="L4381" s="11" t="s">
        <v>1853</v>
      </c>
      <c r="M4381" s="11" t="s">
        <v>9171</v>
      </c>
      <c r="N4381" s="12" t="s">
        <v>9360</v>
      </c>
      <c r="O4381" s="11" t="s">
        <v>1859</v>
      </c>
      <c r="P4381" s="56"/>
    </row>
    <row r="4382" spans="1:16" ht="15.75" customHeight="1" x14ac:dyDescent="0.2">
      <c r="A4382" s="48">
        <v>4335</v>
      </c>
      <c r="B4382" s="11" t="s">
        <v>1857</v>
      </c>
      <c r="C4382" s="11" t="s">
        <v>1849</v>
      </c>
      <c r="D4382" s="6" t="s">
        <v>1850</v>
      </c>
      <c r="E4382" s="11" t="s">
        <v>8816</v>
      </c>
      <c r="F4382" s="12" t="s">
        <v>8816</v>
      </c>
      <c r="G4382" s="12" t="s">
        <v>5635</v>
      </c>
      <c r="H4382" s="12" t="s">
        <v>8936</v>
      </c>
      <c r="I4382" s="12" t="s">
        <v>9361</v>
      </c>
      <c r="J4382" s="11" t="s">
        <v>1856</v>
      </c>
      <c r="K4382" s="11" t="s">
        <v>1852</v>
      </c>
      <c r="L4382" s="11" t="s">
        <v>1853</v>
      </c>
      <c r="M4382" s="12" t="s">
        <v>9362</v>
      </c>
      <c r="N4382" s="12"/>
      <c r="O4382" s="11" t="s">
        <v>1858</v>
      </c>
      <c r="P4382" s="56"/>
    </row>
    <row r="4383" spans="1:16" ht="15.75" customHeight="1" x14ac:dyDescent="0.2">
      <c r="A4383" s="48">
        <v>4751</v>
      </c>
      <c r="B4383" s="11" t="s">
        <v>1857</v>
      </c>
      <c r="C4383" s="11" t="s">
        <v>1849</v>
      </c>
      <c r="D4383" s="6" t="s">
        <v>1850</v>
      </c>
      <c r="E4383" s="11" t="s">
        <v>8816</v>
      </c>
      <c r="F4383" s="12" t="s">
        <v>8816</v>
      </c>
      <c r="G4383" s="12" t="s">
        <v>8844</v>
      </c>
      <c r="H4383" s="59" t="s">
        <v>9035</v>
      </c>
      <c r="I4383" s="12" t="s">
        <v>9363</v>
      </c>
      <c r="J4383" s="11" t="s">
        <v>1856</v>
      </c>
      <c r="K4383" s="11" t="s">
        <v>1852</v>
      </c>
      <c r="L4383" s="11" t="s">
        <v>1853</v>
      </c>
      <c r="M4383" s="11" t="s">
        <v>6469</v>
      </c>
      <c r="N4383" s="12"/>
      <c r="O4383" s="11" t="s">
        <v>1859</v>
      </c>
      <c r="P4383" s="56"/>
    </row>
    <row r="4384" spans="1:16" ht="15.75" customHeight="1" x14ac:dyDescent="0.2">
      <c r="A4384" s="48">
        <v>4637</v>
      </c>
      <c r="B4384" s="11" t="s">
        <v>1857</v>
      </c>
      <c r="C4384" s="11" t="s">
        <v>1849</v>
      </c>
      <c r="D4384" s="6" t="s">
        <v>1850</v>
      </c>
      <c r="E4384" s="11" t="s">
        <v>8816</v>
      </c>
      <c r="F4384" s="12" t="s">
        <v>8816</v>
      </c>
      <c r="G4384" s="12" t="s">
        <v>8817</v>
      </c>
      <c r="H4384" s="59" t="s">
        <v>5671</v>
      </c>
      <c r="I4384" s="12" t="s">
        <v>9364</v>
      </c>
      <c r="J4384" s="11" t="s">
        <v>1856</v>
      </c>
      <c r="K4384" s="11" t="s">
        <v>1852</v>
      </c>
      <c r="L4384" s="11" t="s">
        <v>1853</v>
      </c>
      <c r="M4384" s="11" t="s">
        <v>6131</v>
      </c>
      <c r="N4384" s="12" t="s">
        <v>9365</v>
      </c>
      <c r="O4384" s="11" t="s">
        <v>1858</v>
      </c>
      <c r="P4384" s="56"/>
    </row>
    <row r="4385" spans="1:16" ht="15.75" customHeight="1" x14ac:dyDescent="0.2">
      <c r="A4385" s="48">
        <v>4313</v>
      </c>
      <c r="B4385" s="11" t="s">
        <v>1857</v>
      </c>
      <c r="C4385" s="11" t="s">
        <v>1849</v>
      </c>
      <c r="D4385" s="6" t="s">
        <v>1850</v>
      </c>
      <c r="E4385" s="11" t="s">
        <v>8816</v>
      </c>
      <c r="F4385" s="12" t="s">
        <v>8816</v>
      </c>
      <c r="G4385" s="12" t="s">
        <v>5635</v>
      </c>
      <c r="H4385" s="12" t="s">
        <v>9167</v>
      </c>
      <c r="I4385" s="12" t="s">
        <v>9366</v>
      </c>
      <c r="J4385" s="11" t="s">
        <v>1856</v>
      </c>
      <c r="K4385" s="11" t="s">
        <v>1852</v>
      </c>
      <c r="L4385" s="11" t="s">
        <v>1853</v>
      </c>
      <c r="M4385" s="11" t="s">
        <v>9367</v>
      </c>
      <c r="N4385" s="12" t="s">
        <v>9368</v>
      </c>
      <c r="O4385" s="11" t="s">
        <v>1859</v>
      </c>
      <c r="P4385" s="56"/>
    </row>
    <row r="4386" spans="1:16" ht="15.75" customHeight="1" x14ac:dyDescent="0.2">
      <c r="A4386" s="48">
        <v>4392</v>
      </c>
      <c r="B4386" s="11" t="s">
        <v>1857</v>
      </c>
      <c r="C4386" s="11" t="s">
        <v>1849</v>
      </c>
      <c r="D4386" s="6" t="s">
        <v>1850</v>
      </c>
      <c r="E4386" s="11" t="s">
        <v>8816</v>
      </c>
      <c r="F4386" s="12" t="s">
        <v>8816</v>
      </c>
      <c r="G4386" s="12" t="s">
        <v>8928</v>
      </c>
      <c r="H4386" s="59" t="s">
        <v>9093</v>
      </c>
      <c r="I4386" s="12" t="s">
        <v>9369</v>
      </c>
      <c r="J4386" s="11" t="s">
        <v>1856</v>
      </c>
      <c r="K4386" s="11" t="s">
        <v>1852</v>
      </c>
      <c r="L4386" s="11" t="s">
        <v>1853</v>
      </c>
      <c r="M4386" s="12" t="s">
        <v>9370</v>
      </c>
      <c r="N4386" s="12"/>
      <c r="O4386" s="11" t="s">
        <v>1858</v>
      </c>
      <c r="P4386" s="56"/>
    </row>
    <row r="4387" spans="1:16" ht="15.75" customHeight="1" x14ac:dyDescent="0.2">
      <c r="A4387" s="48">
        <v>4622</v>
      </c>
      <c r="B4387" s="11" t="s">
        <v>1857</v>
      </c>
      <c r="C4387" s="11" t="s">
        <v>1849</v>
      </c>
      <c r="D4387" s="6" t="s">
        <v>1850</v>
      </c>
      <c r="E4387" s="11" t="s">
        <v>8816</v>
      </c>
      <c r="F4387" s="12" t="s">
        <v>8816</v>
      </c>
      <c r="G4387" s="12" t="s">
        <v>8817</v>
      </c>
      <c r="H4387" s="59" t="s">
        <v>8817</v>
      </c>
      <c r="I4387" s="12" t="s">
        <v>9371</v>
      </c>
      <c r="J4387" s="11" t="s">
        <v>1856</v>
      </c>
      <c r="K4387" s="11" t="s">
        <v>1852</v>
      </c>
      <c r="L4387" s="11" t="s">
        <v>1853</v>
      </c>
      <c r="M4387" s="11" t="s">
        <v>1854</v>
      </c>
      <c r="N4387" s="12"/>
      <c r="O4387" s="11" t="s">
        <v>1859</v>
      </c>
      <c r="P4387" s="56"/>
    </row>
    <row r="4388" spans="1:16" ht="15.75" customHeight="1" x14ac:dyDescent="0.2">
      <c r="A4388" s="48">
        <v>4294</v>
      </c>
      <c r="B4388" s="11" t="s">
        <v>1857</v>
      </c>
      <c r="C4388" s="11" t="s">
        <v>1849</v>
      </c>
      <c r="D4388" s="6" t="s">
        <v>1850</v>
      </c>
      <c r="E4388" s="11" t="s">
        <v>8816</v>
      </c>
      <c r="F4388" s="12" t="s">
        <v>8816</v>
      </c>
      <c r="G4388" s="12" t="s">
        <v>5635</v>
      </c>
      <c r="H4388" s="12" t="s">
        <v>8985</v>
      </c>
      <c r="I4388" s="12" t="s">
        <v>9372</v>
      </c>
      <c r="J4388" s="11" t="s">
        <v>1856</v>
      </c>
      <c r="K4388" s="11" t="s">
        <v>1852</v>
      </c>
      <c r="L4388" s="11" t="s">
        <v>1853</v>
      </c>
      <c r="M4388" s="11" t="s">
        <v>6185</v>
      </c>
      <c r="N4388" s="12"/>
      <c r="O4388" s="11" t="s">
        <v>1859</v>
      </c>
      <c r="P4388" s="56"/>
    </row>
    <row r="4389" spans="1:16" ht="15.75" customHeight="1" x14ac:dyDescent="0.2">
      <c r="A4389" s="48">
        <v>4122</v>
      </c>
      <c r="B4389" s="11" t="s">
        <v>1857</v>
      </c>
      <c r="C4389" s="11" t="s">
        <v>1849</v>
      </c>
      <c r="D4389" s="6" t="s">
        <v>1850</v>
      </c>
      <c r="E4389" s="11" t="s">
        <v>8816</v>
      </c>
      <c r="F4389" s="12" t="s">
        <v>8816</v>
      </c>
      <c r="G4389" s="12" t="s">
        <v>8820</v>
      </c>
      <c r="H4389" s="12" t="s">
        <v>9292</v>
      </c>
      <c r="I4389" s="12" t="s">
        <v>9373</v>
      </c>
      <c r="J4389" s="11" t="s">
        <v>1856</v>
      </c>
      <c r="K4389" s="11" t="s">
        <v>1852</v>
      </c>
      <c r="L4389" s="11" t="s">
        <v>1853</v>
      </c>
      <c r="M4389" s="11" t="s">
        <v>6621</v>
      </c>
      <c r="N4389" s="12"/>
      <c r="O4389" s="11" t="s">
        <v>1859</v>
      </c>
      <c r="P4389" s="56"/>
    </row>
    <row r="4390" spans="1:16" ht="15.75" customHeight="1" x14ac:dyDescent="0.2">
      <c r="A4390" s="48">
        <v>4157</v>
      </c>
      <c r="B4390" s="11" t="s">
        <v>1857</v>
      </c>
      <c r="C4390" s="11" t="s">
        <v>1849</v>
      </c>
      <c r="D4390" s="6" t="s">
        <v>1850</v>
      </c>
      <c r="E4390" s="11" t="s">
        <v>8816</v>
      </c>
      <c r="F4390" s="12" t="s">
        <v>8816</v>
      </c>
      <c r="G4390" s="12" t="s">
        <v>8820</v>
      </c>
      <c r="H4390" s="12" t="s">
        <v>8864</v>
      </c>
      <c r="I4390" s="12" t="s">
        <v>9374</v>
      </c>
      <c r="J4390" s="11" t="s">
        <v>1856</v>
      </c>
      <c r="K4390" s="11" t="s">
        <v>1852</v>
      </c>
      <c r="L4390" s="11" t="s">
        <v>1853</v>
      </c>
      <c r="M4390" s="11" t="s">
        <v>1854</v>
      </c>
      <c r="N4390" s="12"/>
      <c r="O4390" s="11" t="s">
        <v>1859</v>
      </c>
      <c r="P4390" s="56"/>
    </row>
    <row r="4391" spans="1:16" ht="15.75" customHeight="1" x14ac:dyDescent="0.2">
      <c r="A4391" s="48">
        <v>4433</v>
      </c>
      <c r="B4391" s="11" t="s">
        <v>1857</v>
      </c>
      <c r="C4391" s="11" t="s">
        <v>1849</v>
      </c>
      <c r="D4391" s="6" t="s">
        <v>1850</v>
      </c>
      <c r="E4391" s="11" t="s">
        <v>8816</v>
      </c>
      <c r="F4391" s="12" t="s">
        <v>8816</v>
      </c>
      <c r="G4391" s="12" t="s">
        <v>8858</v>
      </c>
      <c r="H4391" s="12" t="s">
        <v>9375</v>
      </c>
      <c r="I4391" s="12" t="s">
        <v>9376</v>
      </c>
      <c r="J4391" s="11" t="s">
        <v>1856</v>
      </c>
      <c r="K4391" s="11" t="s">
        <v>1852</v>
      </c>
      <c r="L4391" s="11" t="s">
        <v>1853</v>
      </c>
      <c r="M4391" s="11" t="s">
        <v>6621</v>
      </c>
      <c r="N4391" s="12"/>
      <c r="O4391" s="11" t="s">
        <v>1858</v>
      </c>
      <c r="P4391" s="56"/>
    </row>
    <row r="4392" spans="1:16" ht="15.75" customHeight="1" x14ac:dyDescent="0.2">
      <c r="A4392" s="48">
        <v>4091</v>
      </c>
      <c r="B4392" s="11" t="s">
        <v>1857</v>
      </c>
      <c r="C4392" s="11" t="s">
        <v>1849</v>
      </c>
      <c r="D4392" s="6" t="s">
        <v>1850</v>
      </c>
      <c r="E4392" s="11" t="s">
        <v>8816</v>
      </c>
      <c r="F4392" s="12" t="s">
        <v>8816</v>
      </c>
      <c r="G4392" s="12" t="s">
        <v>8895</v>
      </c>
      <c r="H4392" s="12" t="s">
        <v>8896</v>
      </c>
      <c r="I4392" s="12" t="s">
        <v>9377</v>
      </c>
      <c r="J4392" s="11" t="s">
        <v>1856</v>
      </c>
      <c r="K4392" s="11" t="s">
        <v>1852</v>
      </c>
      <c r="L4392" s="11" t="s">
        <v>1853</v>
      </c>
      <c r="M4392" s="11" t="s">
        <v>1854</v>
      </c>
      <c r="N4392" s="12"/>
      <c r="O4392" s="11" t="s">
        <v>1859</v>
      </c>
      <c r="P4392" s="56"/>
    </row>
    <row r="4393" spans="1:16" ht="15.75" customHeight="1" x14ac:dyDescent="0.2">
      <c r="A4393" s="48">
        <v>4806</v>
      </c>
      <c r="B4393" s="11" t="s">
        <v>1857</v>
      </c>
      <c r="C4393" s="11" t="s">
        <v>1849</v>
      </c>
      <c r="D4393" s="6" t="s">
        <v>1850</v>
      </c>
      <c r="E4393" s="11" t="s">
        <v>8816</v>
      </c>
      <c r="F4393" s="12" t="s">
        <v>8816</v>
      </c>
      <c r="G4393" s="12" t="s">
        <v>8844</v>
      </c>
      <c r="H4393" s="59" t="s">
        <v>3676</v>
      </c>
      <c r="I4393" s="12" t="s">
        <v>9378</v>
      </c>
      <c r="J4393" s="11" t="s">
        <v>1856</v>
      </c>
      <c r="K4393" s="11" t="s">
        <v>1852</v>
      </c>
      <c r="L4393" s="11" t="s">
        <v>1853</v>
      </c>
      <c r="M4393" s="11" t="s">
        <v>1854</v>
      </c>
      <c r="N4393" s="12"/>
      <c r="O4393" s="11" t="s">
        <v>1859</v>
      </c>
      <c r="P4393" s="56"/>
    </row>
    <row r="4394" spans="1:16" ht="15.75" customHeight="1" x14ac:dyDescent="0.2">
      <c r="A4394" s="48">
        <v>4529</v>
      </c>
      <c r="B4394" s="11" t="s">
        <v>1857</v>
      </c>
      <c r="C4394" s="11" t="s">
        <v>1849</v>
      </c>
      <c r="D4394" s="6" t="s">
        <v>1850</v>
      </c>
      <c r="E4394" s="11" t="s">
        <v>8816</v>
      </c>
      <c r="F4394" s="12" t="s">
        <v>8816</v>
      </c>
      <c r="G4394" s="12" t="s">
        <v>4741</v>
      </c>
      <c r="H4394" s="59" t="s">
        <v>8967</v>
      </c>
      <c r="I4394" s="12" t="s">
        <v>8125</v>
      </c>
      <c r="J4394" s="11" t="s">
        <v>1856</v>
      </c>
      <c r="K4394" s="11" t="s">
        <v>1852</v>
      </c>
      <c r="L4394" s="11" t="s">
        <v>1853</v>
      </c>
      <c r="M4394" s="11" t="s">
        <v>9379</v>
      </c>
      <c r="N4394" s="12"/>
      <c r="O4394" s="11" t="s">
        <v>1859</v>
      </c>
      <c r="P4394" s="56"/>
    </row>
    <row r="4395" spans="1:16" ht="15.75" customHeight="1" x14ac:dyDescent="0.2">
      <c r="A4395" s="48">
        <v>4088</v>
      </c>
      <c r="B4395" s="11" t="s">
        <v>1857</v>
      </c>
      <c r="C4395" s="11" t="s">
        <v>1849</v>
      </c>
      <c r="D4395" s="6" t="s">
        <v>1850</v>
      </c>
      <c r="E4395" s="11" t="s">
        <v>8816</v>
      </c>
      <c r="F4395" s="12" t="s">
        <v>8816</v>
      </c>
      <c r="G4395" s="12" t="s">
        <v>8895</v>
      </c>
      <c r="H4395" s="12" t="s">
        <v>8895</v>
      </c>
      <c r="I4395" s="12" t="s">
        <v>9380</v>
      </c>
      <c r="J4395" s="11" t="s">
        <v>1856</v>
      </c>
      <c r="K4395" s="11" t="s">
        <v>1852</v>
      </c>
      <c r="L4395" s="11" t="s">
        <v>1853</v>
      </c>
      <c r="M4395" s="11" t="s">
        <v>9381</v>
      </c>
      <c r="N4395" s="12" t="s">
        <v>9382</v>
      </c>
      <c r="O4395" s="11" t="s">
        <v>1864</v>
      </c>
      <c r="P4395" s="56" t="s">
        <v>1865</v>
      </c>
    </row>
    <row r="4396" spans="1:16" ht="15.75" customHeight="1" x14ac:dyDescent="0.2">
      <c r="A4396" s="48">
        <v>4271</v>
      </c>
      <c r="B4396" s="11" t="s">
        <v>1857</v>
      </c>
      <c r="C4396" s="11" t="s">
        <v>1849</v>
      </c>
      <c r="D4396" s="6" t="s">
        <v>1850</v>
      </c>
      <c r="E4396" s="11" t="s">
        <v>8816</v>
      </c>
      <c r="F4396" s="12" t="s">
        <v>8816</v>
      </c>
      <c r="G4396" s="12" t="s">
        <v>2299</v>
      </c>
      <c r="H4396" s="12" t="s">
        <v>8918</v>
      </c>
      <c r="I4396" s="12" t="s">
        <v>9383</v>
      </c>
      <c r="J4396" s="11" t="s">
        <v>1856</v>
      </c>
      <c r="K4396" s="11" t="s">
        <v>1852</v>
      </c>
      <c r="L4396" s="11" t="s">
        <v>1853</v>
      </c>
      <c r="M4396" s="12" t="s">
        <v>8920</v>
      </c>
      <c r="N4396" s="12"/>
      <c r="O4396" s="11" t="s">
        <v>1872</v>
      </c>
      <c r="P4396" s="56"/>
    </row>
    <row r="4397" spans="1:16" ht="15.75" customHeight="1" x14ac:dyDescent="0.2">
      <c r="A4397" s="48">
        <v>4121</v>
      </c>
      <c r="B4397" s="11" t="s">
        <v>1857</v>
      </c>
      <c r="C4397" s="11" t="s">
        <v>1849</v>
      </c>
      <c r="D4397" s="6" t="s">
        <v>1850</v>
      </c>
      <c r="E4397" s="11" t="s">
        <v>8816</v>
      </c>
      <c r="F4397" s="12" t="s">
        <v>8816</v>
      </c>
      <c r="G4397" s="12" t="s">
        <v>8820</v>
      </c>
      <c r="H4397" s="12" t="s">
        <v>9292</v>
      </c>
      <c r="I4397" s="12" t="s">
        <v>9384</v>
      </c>
      <c r="J4397" s="11" t="s">
        <v>1856</v>
      </c>
      <c r="K4397" s="11" t="s">
        <v>1852</v>
      </c>
      <c r="L4397" s="11" t="s">
        <v>1853</v>
      </c>
      <c r="M4397" s="12" t="s">
        <v>6131</v>
      </c>
      <c r="N4397" s="12"/>
      <c r="O4397" s="11" t="s">
        <v>1872</v>
      </c>
      <c r="P4397" s="56"/>
    </row>
    <row r="4398" spans="1:16" ht="15.75" customHeight="1" x14ac:dyDescent="0.2">
      <c r="A4398" s="48">
        <v>4133</v>
      </c>
      <c r="B4398" s="11" t="s">
        <v>1857</v>
      </c>
      <c r="C4398" s="11" t="s">
        <v>1849</v>
      </c>
      <c r="D4398" s="6" t="s">
        <v>1850</v>
      </c>
      <c r="E4398" s="11" t="s">
        <v>8816</v>
      </c>
      <c r="F4398" s="12" t="s">
        <v>8816</v>
      </c>
      <c r="G4398" s="12" t="s">
        <v>8820</v>
      </c>
      <c r="H4398" s="12" t="s">
        <v>3663</v>
      </c>
      <c r="I4398" s="12" t="s">
        <v>9385</v>
      </c>
      <c r="J4398" s="11" t="s">
        <v>1856</v>
      </c>
      <c r="K4398" s="11" t="s">
        <v>1852</v>
      </c>
      <c r="L4398" s="11" t="s">
        <v>1853</v>
      </c>
      <c r="M4398" s="12" t="s">
        <v>6131</v>
      </c>
      <c r="N4398" s="12"/>
      <c r="O4398" s="11" t="s">
        <v>1872</v>
      </c>
      <c r="P4398" s="56"/>
    </row>
    <row r="4399" spans="1:16" ht="15.75" customHeight="1" x14ac:dyDescent="0.2">
      <c r="A4399" s="48">
        <v>4564</v>
      </c>
      <c r="B4399" s="11" t="s">
        <v>1857</v>
      </c>
      <c r="C4399" s="11" t="s">
        <v>1849</v>
      </c>
      <c r="D4399" s="6" t="s">
        <v>1850</v>
      </c>
      <c r="E4399" s="11" t="s">
        <v>8816</v>
      </c>
      <c r="F4399" s="12" t="s">
        <v>8816</v>
      </c>
      <c r="G4399" s="12" t="s">
        <v>8817</v>
      </c>
      <c r="H4399" s="59" t="s">
        <v>8817</v>
      </c>
      <c r="I4399" s="12" t="s">
        <v>9386</v>
      </c>
      <c r="J4399" s="11" t="s">
        <v>1856</v>
      </c>
      <c r="K4399" s="11" t="s">
        <v>1852</v>
      </c>
      <c r="L4399" s="11" t="s">
        <v>1853</v>
      </c>
      <c r="M4399" s="11" t="s">
        <v>1854</v>
      </c>
      <c r="N4399" s="12"/>
      <c r="O4399" s="11" t="s">
        <v>1872</v>
      </c>
      <c r="P4399" s="56"/>
    </row>
    <row r="4400" spans="1:16" ht="15.75" customHeight="1" x14ac:dyDescent="0.2">
      <c r="A4400" s="48">
        <v>4569</v>
      </c>
      <c r="B4400" s="11" t="s">
        <v>1857</v>
      </c>
      <c r="C4400" s="11" t="s">
        <v>1849</v>
      </c>
      <c r="D4400" s="6" t="s">
        <v>1850</v>
      </c>
      <c r="E4400" s="11" t="s">
        <v>8816</v>
      </c>
      <c r="F4400" s="12" t="s">
        <v>8816</v>
      </c>
      <c r="G4400" s="12" t="s">
        <v>8817</v>
      </c>
      <c r="H4400" s="12" t="s">
        <v>8817</v>
      </c>
      <c r="I4400" s="12" t="s">
        <v>9387</v>
      </c>
      <c r="J4400" s="11" t="s">
        <v>1851</v>
      </c>
      <c r="K4400" s="11" t="s">
        <v>1852</v>
      </c>
      <c r="L4400" s="11" t="s">
        <v>1853</v>
      </c>
      <c r="M4400" s="11" t="s">
        <v>9252</v>
      </c>
      <c r="N4400" s="12" t="s">
        <v>9388</v>
      </c>
      <c r="O4400" s="11" t="s">
        <v>1872</v>
      </c>
      <c r="P4400" s="56"/>
    </row>
    <row r="4401" spans="1:16" ht="15.75" customHeight="1" x14ac:dyDescent="0.2">
      <c r="A4401" s="48">
        <v>4152</v>
      </c>
      <c r="B4401" s="11" t="s">
        <v>1857</v>
      </c>
      <c r="C4401" s="11" t="s">
        <v>1849</v>
      </c>
      <c r="D4401" s="6" t="s">
        <v>1850</v>
      </c>
      <c r="E4401" s="11" t="s">
        <v>8816</v>
      </c>
      <c r="F4401" s="12" t="s">
        <v>8816</v>
      </c>
      <c r="G4401" s="12" t="s">
        <v>8820</v>
      </c>
      <c r="H4401" s="12" t="s">
        <v>9095</v>
      </c>
      <c r="I4401" s="12" t="s">
        <v>9389</v>
      </c>
      <c r="J4401" s="11" t="s">
        <v>1856</v>
      </c>
      <c r="K4401" s="11" t="s">
        <v>1852</v>
      </c>
      <c r="L4401" s="11" t="s">
        <v>1853</v>
      </c>
      <c r="M4401" s="11" t="s">
        <v>1854</v>
      </c>
      <c r="N4401" s="12"/>
      <c r="O4401" s="11" t="s">
        <v>1872</v>
      </c>
      <c r="P4401" s="56"/>
    </row>
    <row r="4402" spans="1:16" ht="15.75" customHeight="1" x14ac:dyDescent="0.2">
      <c r="A4402" s="48">
        <v>4225</v>
      </c>
      <c r="B4402" s="11" t="s">
        <v>1857</v>
      </c>
      <c r="C4402" s="11" t="s">
        <v>1849</v>
      </c>
      <c r="D4402" s="6" t="s">
        <v>1850</v>
      </c>
      <c r="E4402" s="11" t="s">
        <v>8816</v>
      </c>
      <c r="F4402" s="12" t="s">
        <v>8816</v>
      </c>
      <c r="G4402" s="12" t="s">
        <v>8851</v>
      </c>
      <c r="H4402" s="12" t="s">
        <v>8854</v>
      </c>
      <c r="I4402" s="12" t="s">
        <v>9390</v>
      </c>
      <c r="J4402" s="11" t="s">
        <v>1856</v>
      </c>
      <c r="K4402" s="11" t="s">
        <v>1852</v>
      </c>
      <c r="L4402" s="11" t="s">
        <v>1853</v>
      </c>
      <c r="M4402" s="11" t="s">
        <v>1854</v>
      </c>
      <c r="N4402" s="12"/>
      <c r="O4402" s="11" t="s">
        <v>1872</v>
      </c>
      <c r="P4402" s="56"/>
    </row>
    <row r="4403" spans="1:16" ht="15.75" customHeight="1" x14ac:dyDescent="0.2">
      <c r="A4403" s="48">
        <v>4644</v>
      </c>
      <c r="B4403" s="11" t="s">
        <v>1857</v>
      </c>
      <c r="C4403" s="11" t="s">
        <v>1849</v>
      </c>
      <c r="D4403" s="6" t="s">
        <v>1850</v>
      </c>
      <c r="E4403" s="11" t="s">
        <v>8816</v>
      </c>
      <c r="F4403" s="12" t="s">
        <v>8816</v>
      </c>
      <c r="G4403" s="12" t="s">
        <v>8817</v>
      </c>
      <c r="H4403" s="12" t="s">
        <v>5671</v>
      </c>
      <c r="I4403" s="12" t="s">
        <v>9391</v>
      </c>
      <c r="J4403" s="11" t="s">
        <v>1856</v>
      </c>
      <c r="K4403" s="11" t="s">
        <v>1852</v>
      </c>
      <c r="L4403" s="11" t="s">
        <v>1853</v>
      </c>
      <c r="M4403" s="12" t="s">
        <v>9392</v>
      </c>
      <c r="N4403" s="12"/>
      <c r="O4403" s="11" t="s">
        <v>1872</v>
      </c>
      <c r="P4403" s="56"/>
    </row>
    <row r="4404" spans="1:16" ht="15.75" customHeight="1" x14ac:dyDescent="0.2">
      <c r="A4404" s="48">
        <v>4659</v>
      </c>
      <c r="B4404" s="11" t="s">
        <v>1857</v>
      </c>
      <c r="C4404" s="11" t="s">
        <v>1849</v>
      </c>
      <c r="D4404" s="6" t="s">
        <v>1850</v>
      </c>
      <c r="E4404" s="11" t="s">
        <v>8816</v>
      </c>
      <c r="F4404" s="12" t="s">
        <v>8816</v>
      </c>
      <c r="G4404" s="12" t="s">
        <v>8817</v>
      </c>
      <c r="H4404" s="59" t="s">
        <v>8830</v>
      </c>
      <c r="I4404" s="12" t="s">
        <v>9393</v>
      </c>
      <c r="J4404" s="11" t="s">
        <v>1856</v>
      </c>
      <c r="K4404" s="11" t="s">
        <v>1852</v>
      </c>
      <c r="L4404" s="11" t="s">
        <v>1853</v>
      </c>
      <c r="M4404" s="11" t="s">
        <v>1854</v>
      </c>
      <c r="N4404" s="12"/>
      <c r="O4404" s="11" t="s">
        <v>1859</v>
      </c>
      <c r="P4404" s="56"/>
    </row>
    <row r="4405" spans="1:16" ht="15.75" customHeight="1" x14ac:dyDescent="0.2">
      <c r="A4405" s="48">
        <v>4424</v>
      </c>
      <c r="B4405" s="11" t="s">
        <v>1857</v>
      </c>
      <c r="C4405" s="11" t="s">
        <v>1849</v>
      </c>
      <c r="D4405" s="6" t="s">
        <v>1850</v>
      </c>
      <c r="E4405" s="11" t="s">
        <v>8816</v>
      </c>
      <c r="F4405" s="12" t="s">
        <v>8816</v>
      </c>
      <c r="G4405" s="12" t="s">
        <v>8858</v>
      </c>
      <c r="H4405" s="12" t="s">
        <v>8883</v>
      </c>
      <c r="I4405" s="12" t="s">
        <v>2444</v>
      </c>
      <c r="J4405" s="11" t="s">
        <v>1856</v>
      </c>
      <c r="K4405" s="11" t="s">
        <v>1852</v>
      </c>
      <c r="L4405" s="11" t="s">
        <v>1853</v>
      </c>
      <c r="M4405" s="11" t="s">
        <v>8866</v>
      </c>
      <c r="N4405" s="12"/>
      <c r="O4405" s="11" t="s">
        <v>1859</v>
      </c>
      <c r="P4405" s="56"/>
    </row>
    <row r="4406" spans="1:16" ht="15.75" customHeight="1" x14ac:dyDescent="0.2">
      <c r="A4406" s="48">
        <v>4196</v>
      </c>
      <c r="B4406" s="11" t="s">
        <v>1857</v>
      </c>
      <c r="C4406" s="11" t="s">
        <v>1849</v>
      </c>
      <c r="D4406" s="6" t="s">
        <v>1850</v>
      </c>
      <c r="E4406" s="11" t="s">
        <v>8816</v>
      </c>
      <c r="F4406" s="12" t="s">
        <v>8816</v>
      </c>
      <c r="G4406" s="12" t="s">
        <v>8851</v>
      </c>
      <c r="H4406" s="59" t="s">
        <v>5839</v>
      </c>
      <c r="I4406" s="12" t="s">
        <v>9394</v>
      </c>
      <c r="J4406" s="11" t="s">
        <v>1856</v>
      </c>
      <c r="K4406" s="11" t="s">
        <v>1852</v>
      </c>
      <c r="L4406" s="11" t="s">
        <v>1853</v>
      </c>
      <c r="M4406" s="11" t="s">
        <v>1854</v>
      </c>
      <c r="N4406" s="12"/>
      <c r="O4406" s="11" t="s">
        <v>1858</v>
      </c>
      <c r="P4406" s="56"/>
    </row>
    <row r="4407" spans="1:16" ht="15.75" customHeight="1" x14ac:dyDescent="0.2">
      <c r="A4407" s="48">
        <v>4208</v>
      </c>
      <c r="B4407" s="11" t="s">
        <v>1857</v>
      </c>
      <c r="C4407" s="11" t="s">
        <v>1849</v>
      </c>
      <c r="D4407" s="6" t="s">
        <v>1850</v>
      </c>
      <c r="E4407" s="11" t="s">
        <v>8816</v>
      </c>
      <c r="F4407" s="12" t="s">
        <v>8816</v>
      </c>
      <c r="G4407" s="12" t="s">
        <v>8851</v>
      </c>
      <c r="H4407" s="12" t="s">
        <v>5755</v>
      </c>
      <c r="I4407" s="12" t="s">
        <v>5420</v>
      </c>
      <c r="J4407" s="11" t="s">
        <v>1856</v>
      </c>
      <c r="K4407" s="11" t="s">
        <v>1852</v>
      </c>
      <c r="L4407" s="11" t="s">
        <v>1853</v>
      </c>
      <c r="M4407" s="11" t="s">
        <v>9395</v>
      </c>
      <c r="N4407" s="12" t="s">
        <v>9396</v>
      </c>
      <c r="O4407" s="11" t="s">
        <v>1859</v>
      </c>
      <c r="P4407" s="56"/>
    </row>
    <row r="4408" spans="1:16" ht="15.75" customHeight="1" x14ac:dyDescent="0.2">
      <c r="A4408" s="48">
        <v>4816</v>
      </c>
      <c r="B4408" s="11" t="s">
        <v>1857</v>
      </c>
      <c r="C4408" s="11" t="s">
        <v>1849</v>
      </c>
      <c r="D4408" s="6" t="s">
        <v>1850</v>
      </c>
      <c r="E4408" s="11" t="s">
        <v>8816</v>
      </c>
      <c r="F4408" s="12" t="s">
        <v>8816</v>
      </c>
      <c r="G4408" s="12" t="s">
        <v>8844</v>
      </c>
      <c r="H4408" s="59" t="s">
        <v>8890</v>
      </c>
      <c r="I4408" s="12" t="s">
        <v>9397</v>
      </c>
      <c r="J4408" s="11" t="s">
        <v>1856</v>
      </c>
      <c r="K4408" s="11" t="s">
        <v>1852</v>
      </c>
      <c r="L4408" s="11" t="s">
        <v>1853</v>
      </c>
      <c r="M4408" s="11" t="s">
        <v>7695</v>
      </c>
      <c r="N4408" s="12"/>
      <c r="O4408" s="11" t="s">
        <v>1859</v>
      </c>
      <c r="P4408" s="56"/>
    </row>
    <row r="4409" spans="1:16" ht="15.75" customHeight="1" x14ac:dyDescent="0.2">
      <c r="A4409" s="48">
        <v>4732</v>
      </c>
      <c r="B4409" s="11" t="s">
        <v>1857</v>
      </c>
      <c r="C4409" s="11" t="s">
        <v>1849</v>
      </c>
      <c r="D4409" s="6" t="s">
        <v>1850</v>
      </c>
      <c r="E4409" s="11" t="s">
        <v>8816</v>
      </c>
      <c r="F4409" s="12" t="s">
        <v>8816</v>
      </c>
      <c r="G4409" s="12" t="s">
        <v>8844</v>
      </c>
      <c r="H4409" s="59" t="s">
        <v>8921</v>
      </c>
      <c r="I4409" s="12" t="s">
        <v>9398</v>
      </c>
      <c r="J4409" s="11" t="s">
        <v>1856</v>
      </c>
      <c r="K4409" s="11" t="s">
        <v>1852</v>
      </c>
      <c r="L4409" s="11" t="s">
        <v>1853</v>
      </c>
      <c r="M4409" s="11" t="s">
        <v>9399</v>
      </c>
      <c r="N4409" s="12"/>
      <c r="O4409" s="11" t="s">
        <v>1859</v>
      </c>
      <c r="P4409" s="56"/>
    </row>
    <row r="4410" spans="1:16" ht="15.75" customHeight="1" x14ac:dyDescent="0.2">
      <c r="A4410" s="48">
        <v>4293</v>
      </c>
      <c r="B4410" s="11" t="s">
        <v>1857</v>
      </c>
      <c r="C4410" s="11" t="s">
        <v>1849</v>
      </c>
      <c r="D4410" s="6" t="s">
        <v>1850</v>
      </c>
      <c r="E4410" s="11" t="s">
        <v>8816</v>
      </c>
      <c r="F4410" s="12" t="s">
        <v>8816</v>
      </c>
      <c r="G4410" s="12" t="s">
        <v>5635</v>
      </c>
      <c r="H4410" s="12" t="s">
        <v>8936</v>
      </c>
      <c r="I4410" s="12" t="s">
        <v>4546</v>
      </c>
      <c r="J4410" s="11" t="s">
        <v>1856</v>
      </c>
      <c r="K4410" s="11" t="s">
        <v>1852</v>
      </c>
      <c r="L4410" s="11" t="s">
        <v>1853</v>
      </c>
      <c r="M4410" s="11" t="s">
        <v>1854</v>
      </c>
      <c r="N4410" s="12"/>
      <c r="O4410" s="11" t="s">
        <v>1859</v>
      </c>
      <c r="P4410" s="56"/>
    </row>
    <row r="4411" spans="1:16" ht="15.75" customHeight="1" x14ac:dyDescent="0.2">
      <c r="A4411" s="48">
        <v>4181</v>
      </c>
      <c r="B4411" s="11" t="s">
        <v>1857</v>
      </c>
      <c r="C4411" s="11" t="s">
        <v>1849</v>
      </c>
      <c r="D4411" s="6" t="s">
        <v>1850</v>
      </c>
      <c r="E4411" s="11" t="s">
        <v>8816</v>
      </c>
      <c r="F4411" s="12" t="s">
        <v>8816</v>
      </c>
      <c r="G4411" s="12" t="s">
        <v>8851</v>
      </c>
      <c r="H4411" s="12" t="s">
        <v>8916</v>
      </c>
      <c r="I4411" s="12" t="s">
        <v>9400</v>
      </c>
      <c r="J4411" s="11" t="s">
        <v>1856</v>
      </c>
      <c r="K4411" s="11" t="s">
        <v>1852</v>
      </c>
      <c r="L4411" s="11" t="s">
        <v>1853</v>
      </c>
      <c r="M4411" s="11" t="s">
        <v>1854</v>
      </c>
      <c r="N4411" s="12"/>
      <c r="O4411" s="11" t="s">
        <v>1859</v>
      </c>
      <c r="P4411" s="56"/>
    </row>
    <row r="4412" spans="1:16" ht="15.75" customHeight="1" x14ac:dyDescent="0.2">
      <c r="A4412" s="48">
        <v>4626</v>
      </c>
      <c r="B4412" s="11" t="s">
        <v>1857</v>
      </c>
      <c r="C4412" s="11" t="s">
        <v>1849</v>
      </c>
      <c r="D4412" s="6" t="s">
        <v>1850</v>
      </c>
      <c r="E4412" s="11" t="s">
        <v>8816</v>
      </c>
      <c r="F4412" s="12" t="s">
        <v>8816</v>
      </c>
      <c r="G4412" s="12" t="s">
        <v>8817</v>
      </c>
      <c r="H4412" s="59" t="s">
        <v>8817</v>
      </c>
      <c r="I4412" s="12" t="s">
        <v>9401</v>
      </c>
      <c r="J4412" s="11" t="s">
        <v>1856</v>
      </c>
      <c r="K4412" s="11" t="s">
        <v>1852</v>
      </c>
      <c r="L4412" s="11" t="s">
        <v>1853</v>
      </c>
      <c r="M4412" s="11" t="s">
        <v>8910</v>
      </c>
      <c r="N4412" s="12"/>
      <c r="O4412" s="11" t="s">
        <v>1858</v>
      </c>
      <c r="P4412" s="56"/>
    </row>
    <row r="4413" spans="1:16" ht="15.75" customHeight="1" x14ac:dyDescent="0.2">
      <c r="A4413" s="48">
        <v>4254</v>
      </c>
      <c r="B4413" s="11" t="s">
        <v>1857</v>
      </c>
      <c r="C4413" s="11" t="s">
        <v>1849</v>
      </c>
      <c r="D4413" s="6" t="s">
        <v>1850</v>
      </c>
      <c r="E4413" s="11" t="s">
        <v>8816</v>
      </c>
      <c r="F4413" s="12" t="s">
        <v>8816</v>
      </c>
      <c r="G4413" s="12" t="s">
        <v>2299</v>
      </c>
      <c r="H4413" s="12" t="s">
        <v>2299</v>
      </c>
      <c r="I4413" s="12" t="s">
        <v>9402</v>
      </c>
      <c r="J4413" s="11" t="s">
        <v>1856</v>
      </c>
      <c r="K4413" s="11" t="s">
        <v>1852</v>
      </c>
      <c r="L4413" s="11" t="s">
        <v>1853</v>
      </c>
      <c r="M4413" s="11" t="s">
        <v>1854</v>
      </c>
      <c r="N4413" s="12"/>
      <c r="O4413" s="11" t="s">
        <v>1859</v>
      </c>
      <c r="P4413" s="56"/>
    </row>
    <row r="4414" spans="1:16" ht="15.75" customHeight="1" x14ac:dyDescent="0.2">
      <c r="A4414" s="48">
        <v>4470</v>
      </c>
      <c r="B4414" s="11" t="s">
        <v>1857</v>
      </c>
      <c r="C4414" s="11" t="s">
        <v>1849</v>
      </c>
      <c r="D4414" s="6" t="s">
        <v>1850</v>
      </c>
      <c r="E4414" s="11" t="s">
        <v>8816</v>
      </c>
      <c r="F4414" s="12" t="s">
        <v>8816</v>
      </c>
      <c r="G4414" s="12" t="s">
        <v>6658</v>
      </c>
      <c r="H4414" s="59" t="s">
        <v>8849</v>
      </c>
      <c r="I4414" s="12" t="s">
        <v>9403</v>
      </c>
      <c r="J4414" s="11" t="s">
        <v>1856</v>
      </c>
      <c r="K4414" s="11" t="s">
        <v>1852</v>
      </c>
      <c r="L4414" s="11" t="s">
        <v>1853</v>
      </c>
      <c r="M4414" s="11" t="s">
        <v>6604</v>
      </c>
      <c r="N4414" s="12" t="s">
        <v>9404</v>
      </c>
      <c r="O4414" s="11" t="s">
        <v>1859</v>
      </c>
      <c r="P4414" s="56"/>
    </row>
    <row r="4415" spans="1:16" ht="15.75" customHeight="1" x14ac:dyDescent="0.2">
      <c r="A4415" s="48">
        <v>4125</v>
      </c>
      <c r="B4415" s="11" t="s">
        <v>1857</v>
      </c>
      <c r="C4415" s="11" t="s">
        <v>1849</v>
      </c>
      <c r="D4415" s="6" t="s">
        <v>1850</v>
      </c>
      <c r="E4415" s="11" t="s">
        <v>8816</v>
      </c>
      <c r="F4415" s="12" t="s">
        <v>8816</v>
      </c>
      <c r="G4415" s="12" t="s">
        <v>8820</v>
      </c>
      <c r="H4415" s="12" t="s">
        <v>9292</v>
      </c>
      <c r="I4415" s="12" t="s">
        <v>3173</v>
      </c>
      <c r="J4415" s="11" t="s">
        <v>1856</v>
      </c>
      <c r="K4415" s="11" t="s">
        <v>1852</v>
      </c>
      <c r="L4415" s="11" t="s">
        <v>1853</v>
      </c>
      <c r="M4415" s="11" t="s">
        <v>1854</v>
      </c>
      <c r="N4415" s="12"/>
      <c r="O4415" s="11" t="s">
        <v>1858</v>
      </c>
      <c r="P4415" s="56"/>
    </row>
    <row r="4416" spans="1:16" ht="15.75" customHeight="1" x14ac:dyDescent="0.2">
      <c r="A4416" s="48">
        <v>4366</v>
      </c>
      <c r="B4416" s="11" t="s">
        <v>1857</v>
      </c>
      <c r="C4416" s="11" t="s">
        <v>1849</v>
      </c>
      <c r="D4416" s="6" t="s">
        <v>1850</v>
      </c>
      <c r="E4416" s="11" t="s">
        <v>8816</v>
      </c>
      <c r="F4416" s="12" t="s">
        <v>8816</v>
      </c>
      <c r="G4416" s="12" t="s">
        <v>5635</v>
      </c>
      <c r="H4416" s="12" t="s">
        <v>9262</v>
      </c>
      <c r="I4416" s="12" t="s">
        <v>9405</v>
      </c>
      <c r="J4416" s="11" t="s">
        <v>1856</v>
      </c>
      <c r="K4416" s="11" t="s">
        <v>1852</v>
      </c>
      <c r="L4416" s="11" t="s">
        <v>1853</v>
      </c>
      <c r="M4416" s="11" t="s">
        <v>1854</v>
      </c>
      <c r="N4416" s="12"/>
      <c r="O4416" s="11" t="s">
        <v>1858</v>
      </c>
      <c r="P4416" s="56"/>
    </row>
    <row r="4417" spans="1:16" ht="15.75" customHeight="1" x14ac:dyDescent="0.2">
      <c r="A4417" s="48">
        <v>4306</v>
      </c>
      <c r="B4417" s="11" t="s">
        <v>1857</v>
      </c>
      <c r="C4417" s="11" t="s">
        <v>1849</v>
      </c>
      <c r="D4417" s="6" t="s">
        <v>1850</v>
      </c>
      <c r="E4417" s="11" t="s">
        <v>8816</v>
      </c>
      <c r="F4417" s="12" t="s">
        <v>8816</v>
      </c>
      <c r="G4417" s="12" t="s">
        <v>5635</v>
      </c>
      <c r="H4417" s="12" t="s">
        <v>8839</v>
      </c>
      <c r="I4417" s="12" t="s">
        <v>9406</v>
      </c>
      <c r="J4417" s="11" t="s">
        <v>1856</v>
      </c>
      <c r="K4417" s="11" t="s">
        <v>1852</v>
      </c>
      <c r="L4417" s="11" t="s">
        <v>1853</v>
      </c>
      <c r="M4417" s="11" t="s">
        <v>1854</v>
      </c>
      <c r="N4417" s="12"/>
      <c r="O4417" s="11" t="s">
        <v>1858</v>
      </c>
      <c r="P4417" s="56"/>
    </row>
    <row r="4418" spans="1:16" ht="15.75" customHeight="1" x14ac:dyDescent="0.2">
      <c r="A4418" s="48">
        <v>4752</v>
      </c>
      <c r="B4418" s="11" t="s">
        <v>1857</v>
      </c>
      <c r="C4418" s="11" t="s">
        <v>1849</v>
      </c>
      <c r="D4418" s="6" t="s">
        <v>1850</v>
      </c>
      <c r="E4418" s="11" t="s">
        <v>8816</v>
      </c>
      <c r="F4418" s="12" t="s">
        <v>8816</v>
      </c>
      <c r="G4418" s="12" t="s">
        <v>8844</v>
      </c>
      <c r="H4418" s="59" t="s">
        <v>9035</v>
      </c>
      <c r="I4418" s="12" t="s">
        <v>9407</v>
      </c>
      <c r="J4418" s="11" t="s">
        <v>1856</v>
      </c>
      <c r="K4418" s="11" t="s">
        <v>1852</v>
      </c>
      <c r="L4418" s="11" t="s">
        <v>1853</v>
      </c>
      <c r="M4418" s="11" t="s">
        <v>1854</v>
      </c>
      <c r="N4418" s="12"/>
      <c r="O4418" s="11" t="s">
        <v>1859</v>
      </c>
      <c r="P4418" s="56"/>
    </row>
    <row r="4419" spans="1:16" ht="15.75" customHeight="1" x14ac:dyDescent="0.2">
      <c r="A4419" s="48">
        <v>6362</v>
      </c>
      <c r="B4419" s="11" t="s">
        <v>1857</v>
      </c>
      <c r="C4419" s="11" t="s">
        <v>1849</v>
      </c>
      <c r="D4419" s="6" t="s">
        <v>1850</v>
      </c>
      <c r="E4419" s="11" t="s">
        <v>8816</v>
      </c>
      <c r="F4419" s="12" t="s">
        <v>8816</v>
      </c>
      <c r="G4419" s="12" t="s">
        <v>8844</v>
      </c>
      <c r="H4419" s="59" t="s">
        <v>3676</v>
      </c>
      <c r="I4419" s="12" t="s">
        <v>3175</v>
      </c>
      <c r="J4419" s="11" t="s">
        <v>1856</v>
      </c>
      <c r="K4419" s="11" t="s">
        <v>1852</v>
      </c>
      <c r="L4419" s="11" t="s">
        <v>1853</v>
      </c>
      <c r="M4419" s="11" t="s">
        <v>5257</v>
      </c>
      <c r="N4419" s="12"/>
      <c r="O4419" s="11" t="s">
        <v>1858</v>
      </c>
      <c r="P4419" s="56"/>
    </row>
    <row r="4420" spans="1:16" ht="15.75" customHeight="1" x14ac:dyDescent="0.2">
      <c r="A4420" s="48">
        <v>4628</v>
      </c>
      <c r="B4420" s="11" t="s">
        <v>1857</v>
      </c>
      <c r="C4420" s="11" t="s">
        <v>1849</v>
      </c>
      <c r="D4420" s="6" t="s">
        <v>1850</v>
      </c>
      <c r="E4420" s="11" t="s">
        <v>8816</v>
      </c>
      <c r="F4420" s="12" t="s">
        <v>8816</v>
      </c>
      <c r="G4420" s="12" t="s">
        <v>8817</v>
      </c>
      <c r="H4420" s="59" t="s">
        <v>8817</v>
      </c>
      <c r="I4420" s="12" t="s">
        <v>4957</v>
      </c>
      <c r="J4420" s="11" t="s">
        <v>1856</v>
      </c>
      <c r="K4420" s="11" t="s">
        <v>1852</v>
      </c>
      <c r="L4420" s="11" t="s">
        <v>1853</v>
      </c>
      <c r="M4420" s="11" t="s">
        <v>6185</v>
      </c>
      <c r="N4420" s="12"/>
      <c r="O4420" s="11" t="s">
        <v>1859</v>
      </c>
      <c r="P4420" s="56"/>
    </row>
    <row r="4421" spans="1:16" ht="15.75" customHeight="1" x14ac:dyDescent="0.2">
      <c r="A4421" s="48">
        <v>4789</v>
      </c>
      <c r="B4421" s="11" t="s">
        <v>1857</v>
      </c>
      <c r="C4421" s="11" t="s">
        <v>1849</v>
      </c>
      <c r="D4421" s="6" t="s">
        <v>1850</v>
      </c>
      <c r="E4421" s="11" t="s">
        <v>8816</v>
      </c>
      <c r="F4421" s="12" t="s">
        <v>8816</v>
      </c>
      <c r="G4421" s="12" t="s">
        <v>8844</v>
      </c>
      <c r="H4421" s="59" t="s">
        <v>8931</v>
      </c>
      <c r="I4421" s="12" t="s">
        <v>4957</v>
      </c>
      <c r="J4421" s="11" t="s">
        <v>1856</v>
      </c>
      <c r="K4421" s="11" t="s">
        <v>1852</v>
      </c>
      <c r="L4421" s="11" t="s">
        <v>1853</v>
      </c>
      <c r="M4421" s="11" t="s">
        <v>2276</v>
      </c>
      <c r="N4421" s="12"/>
      <c r="O4421" s="11" t="s">
        <v>1858</v>
      </c>
      <c r="P4421" s="56"/>
    </row>
    <row r="4422" spans="1:16" ht="15.75" customHeight="1" x14ac:dyDescent="0.2">
      <c r="A4422" s="48">
        <v>4430</v>
      </c>
      <c r="B4422" s="11" t="s">
        <v>1857</v>
      </c>
      <c r="C4422" s="11" t="s">
        <v>1849</v>
      </c>
      <c r="D4422" s="6" t="s">
        <v>1850</v>
      </c>
      <c r="E4422" s="11" t="s">
        <v>8816</v>
      </c>
      <c r="F4422" s="12" t="s">
        <v>8816</v>
      </c>
      <c r="G4422" s="12" t="s">
        <v>8858</v>
      </c>
      <c r="H4422" s="12" t="s">
        <v>9375</v>
      </c>
      <c r="I4422" s="12" t="s">
        <v>9408</v>
      </c>
      <c r="J4422" s="11" t="s">
        <v>1856</v>
      </c>
      <c r="K4422" s="11" t="s">
        <v>1852</v>
      </c>
      <c r="L4422" s="11" t="s">
        <v>1853</v>
      </c>
      <c r="M4422" s="11" t="s">
        <v>9409</v>
      </c>
      <c r="N4422" s="12" t="s">
        <v>9410</v>
      </c>
      <c r="O4422" s="11" t="s">
        <v>1859</v>
      </c>
      <c r="P4422" s="56"/>
    </row>
    <row r="4423" spans="1:16" ht="15.75" customHeight="1" x14ac:dyDescent="0.2">
      <c r="A4423" s="48">
        <v>4315</v>
      </c>
      <c r="B4423" s="11" t="s">
        <v>1857</v>
      </c>
      <c r="C4423" s="11" t="s">
        <v>1849</v>
      </c>
      <c r="D4423" s="6" t="s">
        <v>1850</v>
      </c>
      <c r="E4423" s="11" t="s">
        <v>8816</v>
      </c>
      <c r="F4423" s="12" t="s">
        <v>8816</v>
      </c>
      <c r="G4423" s="12" t="s">
        <v>5635</v>
      </c>
      <c r="H4423" s="12" t="s">
        <v>9167</v>
      </c>
      <c r="I4423" s="12" t="s">
        <v>9411</v>
      </c>
      <c r="J4423" s="11" t="s">
        <v>1856</v>
      </c>
      <c r="K4423" s="11" t="s">
        <v>1852</v>
      </c>
      <c r="L4423" s="11" t="s">
        <v>1853</v>
      </c>
      <c r="M4423" s="11" t="s">
        <v>2276</v>
      </c>
      <c r="N4423" s="12"/>
      <c r="O4423" s="11" t="s">
        <v>1859</v>
      </c>
      <c r="P4423" s="56"/>
    </row>
    <row r="4424" spans="1:16" ht="15.75" customHeight="1" x14ac:dyDescent="0.2">
      <c r="A4424" s="48">
        <v>4553</v>
      </c>
      <c r="B4424" s="11" t="s">
        <v>1857</v>
      </c>
      <c r="C4424" s="11" t="s">
        <v>1849</v>
      </c>
      <c r="D4424" s="6" t="s">
        <v>1850</v>
      </c>
      <c r="E4424" s="11" t="s">
        <v>8816</v>
      </c>
      <c r="F4424" s="12" t="s">
        <v>8816</v>
      </c>
      <c r="G4424" s="12" t="s">
        <v>8817</v>
      </c>
      <c r="H4424" s="59" t="s">
        <v>9198</v>
      </c>
      <c r="I4424" s="12" t="s">
        <v>9412</v>
      </c>
      <c r="J4424" s="11" t="s">
        <v>1856</v>
      </c>
      <c r="K4424" s="11" t="s">
        <v>1852</v>
      </c>
      <c r="L4424" s="11" t="s">
        <v>1853</v>
      </c>
      <c r="M4424" s="11" t="s">
        <v>9413</v>
      </c>
      <c r="N4424" s="12" t="s">
        <v>9414</v>
      </c>
      <c r="O4424" s="11" t="s">
        <v>1858</v>
      </c>
      <c r="P4424" s="56"/>
    </row>
    <row r="4425" spans="1:16" ht="15.75" customHeight="1" x14ac:dyDescent="0.2">
      <c r="A4425" s="48">
        <v>4647</v>
      </c>
      <c r="B4425" s="11" t="s">
        <v>1857</v>
      </c>
      <c r="C4425" s="11" t="s">
        <v>1849</v>
      </c>
      <c r="D4425" s="6" t="s">
        <v>1850</v>
      </c>
      <c r="E4425" s="11" t="s">
        <v>8816</v>
      </c>
      <c r="F4425" s="12" t="s">
        <v>8816</v>
      </c>
      <c r="G4425" s="12" t="s">
        <v>8817</v>
      </c>
      <c r="H4425" s="59" t="s">
        <v>8830</v>
      </c>
      <c r="I4425" s="12" t="s">
        <v>9415</v>
      </c>
      <c r="J4425" s="11" t="s">
        <v>1856</v>
      </c>
      <c r="K4425" s="11" t="s">
        <v>1852</v>
      </c>
      <c r="L4425" s="11" t="s">
        <v>1853</v>
      </c>
      <c r="M4425" s="11" t="s">
        <v>9416</v>
      </c>
      <c r="N4425" s="12"/>
      <c r="O4425" s="11" t="s">
        <v>1858</v>
      </c>
      <c r="P4425" s="56"/>
    </row>
    <row r="4426" spans="1:16" ht="15.75" customHeight="1" x14ac:dyDescent="0.2">
      <c r="A4426" s="48">
        <v>4918</v>
      </c>
      <c r="B4426" s="11" t="s">
        <v>1857</v>
      </c>
      <c r="C4426" s="11" t="s">
        <v>1849</v>
      </c>
      <c r="D4426" s="6" t="s">
        <v>1850</v>
      </c>
      <c r="E4426" s="11" t="s">
        <v>8816</v>
      </c>
      <c r="F4426" s="12" t="s">
        <v>8816</v>
      </c>
      <c r="G4426" s="12" t="s">
        <v>8851</v>
      </c>
      <c r="H4426" s="12" t="s">
        <v>8916</v>
      </c>
      <c r="I4426" s="12" t="s">
        <v>9417</v>
      </c>
      <c r="J4426" s="11" t="s">
        <v>1856</v>
      </c>
      <c r="K4426" s="11" t="s">
        <v>1852</v>
      </c>
      <c r="L4426" s="11" t="s">
        <v>1853</v>
      </c>
      <c r="M4426" s="11" t="s">
        <v>2549</v>
      </c>
      <c r="N4426" s="12"/>
      <c r="O4426" s="11" t="s">
        <v>1858</v>
      </c>
      <c r="P4426" s="56"/>
    </row>
    <row r="4427" spans="1:16" ht="15.75" customHeight="1" x14ac:dyDescent="0.2">
      <c r="A4427" s="48">
        <v>4522</v>
      </c>
      <c r="B4427" s="11" t="s">
        <v>1857</v>
      </c>
      <c r="C4427" s="11" t="s">
        <v>1849</v>
      </c>
      <c r="D4427" s="6" t="s">
        <v>1850</v>
      </c>
      <c r="E4427" s="11" t="s">
        <v>8816</v>
      </c>
      <c r="F4427" s="12" t="s">
        <v>8816</v>
      </c>
      <c r="G4427" s="12" t="s">
        <v>4741</v>
      </c>
      <c r="H4427" s="12" t="s">
        <v>8948</v>
      </c>
      <c r="I4427" s="12" t="s">
        <v>9418</v>
      </c>
      <c r="J4427" s="11" t="s">
        <v>1856</v>
      </c>
      <c r="K4427" s="11" t="s">
        <v>1852</v>
      </c>
      <c r="L4427" s="11" t="s">
        <v>1853</v>
      </c>
      <c r="M4427" s="11" t="s">
        <v>9419</v>
      </c>
      <c r="N4427" s="12"/>
      <c r="O4427" s="11" t="s">
        <v>1859</v>
      </c>
      <c r="P4427" s="56"/>
    </row>
    <row r="4428" spans="1:16" ht="15.75" customHeight="1" x14ac:dyDescent="0.2">
      <c r="A4428" s="48">
        <v>4801</v>
      </c>
      <c r="B4428" s="11" t="s">
        <v>1857</v>
      </c>
      <c r="C4428" s="11" t="s">
        <v>1849</v>
      </c>
      <c r="D4428" s="6" t="s">
        <v>1850</v>
      </c>
      <c r="E4428" s="11" t="s">
        <v>8816</v>
      </c>
      <c r="F4428" s="12" t="s">
        <v>8816</v>
      </c>
      <c r="G4428" s="12" t="s">
        <v>8844</v>
      </c>
      <c r="H4428" s="59" t="s">
        <v>3676</v>
      </c>
      <c r="I4428" s="12" t="s">
        <v>9420</v>
      </c>
      <c r="J4428" s="11" t="s">
        <v>1856</v>
      </c>
      <c r="K4428" s="11" t="s">
        <v>1852</v>
      </c>
      <c r="L4428" s="11" t="s">
        <v>1853</v>
      </c>
      <c r="M4428" s="11" t="s">
        <v>9421</v>
      </c>
      <c r="N4428" s="12"/>
      <c r="O4428" s="11" t="s">
        <v>1859</v>
      </c>
      <c r="P4428" s="56"/>
    </row>
    <row r="4429" spans="1:16" ht="15.75" customHeight="1" x14ac:dyDescent="0.2">
      <c r="A4429" s="48">
        <v>4773</v>
      </c>
      <c r="B4429" s="11" t="s">
        <v>1857</v>
      </c>
      <c r="C4429" s="11" t="s">
        <v>1849</v>
      </c>
      <c r="D4429" s="6" t="s">
        <v>1850</v>
      </c>
      <c r="E4429" s="11" t="s">
        <v>8816</v>
      </c>
      <c r="F4429" s="12" t="s">
        <v>8816</v>
      </c>
      <c r="G4429" s="12" t="s">
        <v>8844</v>
      </c>
      <c r="H4429" s="59" t="s">
        <v>8921</v>
      </c>
      <c r="I4429" s="12" t="s">
        <v>9422</v>
      </c>
      <c r="J4429" s="11" t="s">
        <v>1856</v>
      </c>
      <c r="K4429" s="11" t="s">
        <v>1852</v>
      </c>
      <c r="L4429" s="11" t="s">
        <v>1853</v>
      </c>
      <c r="M4429" s="11" t="s">
        <v>2539</v>
      </c>
      <c r="N4429" s="12"/>
      <c r="O4429" s="11" t="s">
        <v>1859</v>
      </c>
      <c r="P4429" s="56"/>
    </row>
    <row r="4430" spans="1:16" ht="15.75" customHeight="1" x14ac:dyDescent="0.2">
      <c r="A4430" s="48">
        <v>4635</v>
      </c>
      <c r="B4430" s="11" t="s">
        <v>1857</v>
      </c>
      <c r="C4430" s="11" t="s">
        <v>1849</v>
      </c>
      <c r="D4430" s="6" t="s">
        <v>1850</v>
      </c>
      <c r="E4430" s="11" t="s">
        <v>8816</v>
      </c>
      <c r="F4430" s="12" t="s">
        <v>8816</v>
      </c>
      <c r="G4430" s="12" t="s">
        <v>8817</v>
      </c>
      <c r="H4430" s="59" t="s">
        <v>8879</v>
      </c>
      <c r="I4430" s="12" t="s">
        <v>4576</v>
      </c>
      <c r="J4430" s="11" t="s">
        <v>1856</v>
      </c>
      <c r="K4430" s="11" t="s">
        <v>1852</v>
      </c>
      <c r="L4430" s="11" t="s">
        <v>1853</v>
      </c>
      <c r="M4430" s="11" t="s">
        <v>9423</v>
      </c>
      <c r="N4430" s="12" t="s">
        <v>9424</v>
      </c>
      <c r="O4430" s="11" t="s">
        <v>1858</v>
      </c>
      <c r="P4430" s="56"/>
    </row>
    <row r="4431" spans="1:16" ht="15.75" customHeight="1" x14ac:dyDescent="0.2">
      <c r="A4431" s="48">
        <v>4728</v>
      </c>
      <c r="B4431" s="11" t="s">
        <v>1857</v>
      </c>
      <c r="C4431" s="11" t="s">
        <v>1849</v>
      </c>
      <c r="D4431" s="6" t="s">
        <v>1850</v>
      </c>
      <c r="E4431" s="11" t="s">
        <v>8816</v>
      </c>
      <c r="F4431" s="12" t="s">
        <v>8816</v>
      </c>
      <c r="G4431" s="12" t="s">
        <v>8844</v>
      </c>
      <c r="H4431" s="12" t="s">
        <v>8823</v>
      </c>
      <c r="I4431" s="12" t="s">
        <v>5840</v>
      </c>
      <c r="J4431" s="11" t="s">
        <v>1856</v>
      </c>
      <c r="K4431" s="11" t="s">
        <v>1852</v>
      </c>
      <c r="L4431" s="11" t="s">
        <v>1853</v>
      </c>
      <c r="M4431" s="11" t="s">
        <v>9425</v>
      </c>
      <c r="N4431" s="12" t="s">
        <v>5006</v>
      </c>
      <c r="O4431" s="11" t="s">
        <v>1858</v>
      </c>
      <c r="P4431" s="56"/>
    </row>
    <row r="4432" spans="1:16" ht="15.75" customHeight="1" x14ac:dyDescent="0.2">
      <c r="A4432" s="48">
        <v>4158</v>
      </c>
      <c r="B4432" s="11" t="s">
        <v>1857</v>
      </c>
      <c r="C4432" s="11" t="s">
        <v>1849</v>
      </c>
      <c r="D4432" s="6" t="s">
        <v>1850</v>
      </c>
      <c r="E4432" s="11" t="s">
        <v>8816</v>
      </c>
      <c r="F4432" s="12" t="s">
        <v>8816</v>
      </c>
      <c r="G4432" s="12" t="s">
        <v>8820</v>
      </c>
      <c r="H4432" s="59" t="s">
        <v>5839</v>
      </c>
      <c r="I4432" s="12" t="s">
        <v>5840</v>
      </c>
      <c r="J4432" s="11" t="s">
        <v>1856</v>
      </c>
      <c r="K4432" s="11" t="s">
        <v>1852</v>
      </c>
      <c r="L4432" s="11" t="s">
        <v>1853</v>
      </c>
      <c r="M4432" s="11" t="s">
        <v>3222</v>
      </c>
      <c r="N4432" s="12"/>
      <c r="O4432" s="11" t="s">
        <v>1859</v>
      </c>
      <c r="P4432" s="56"/>
    </row>
    <row r="4433" spans="1:16" ht="15.75" customHeight="1" x14ac:dyDescent="0.2">
      <c r="A4433" s="48">
        <v>4142</v>
      </c>
      <c r="B4433" s="11" t="s">
        <v>1857</v>
      </c>
      <c r="C4433" s="11" t="s">
        <v>1849</v>
      </c>
      <c r="D4433" s="6" t="s">
        <v>1850</v>
      </c>
      <c r="E4433" s="11" t="s">
        <v>8816</v>
      </c>
      <c r="F4433" s="12" t="s">
        <v>8816</v>
      </c>
      <c r="G4433" s="12" t="s">
        <v>8820</v>
      </c>
      <c r="H4433" s="12" t="s">
        <v>8904</v>
      </c>
      <c r="I4433" s="12" t="s">
        <v>2556</v>
      </c>
      <c r="J4433" s="11" t="s">
        <v>1856</v>
      </c>
      <c r="K4433" s="11" t="s">
        <v>1852</v>
      </c>
      <c r="L4433" s="11" t="s">
        <v>1853</v>
      </c>
      <c r="M4433" s="11" t="s">
        <v>1854</v>
      </c>
      <c r="N4433" s="12"/>
      <c r="O4433" s="11" t="s">
        <v>1859</v>
      </c>
      <c r="P4433" s="56"/>
    </row>
    <row r="4434" spans="1:16" ht="15.75" customHeight="1" x14ac:dyDescent="0.2">
      <c r="A4434" s="48">
        <v>4790</v>
      </c>
      <c r="B4434" s="11" t="s">
        <v>1857</v>
      </c>
      <c r="C4434" s="11" t="s">
        <v>1849</v>
      </c>
      <c r="D4434" s="6" t="s">
        <v>1850</v>
      </c>
      <c r="E4434" s="11" t="s">
        <v>8816</v>
      </c>
      <c r="F4434" s="12" t="s">
        <v>8816</v>
      </c>
      <c r="G4434" s="12" t="s">
        <v>8844</v>
      </c>
      <c r="H4434" s="59" t="s">
        <v>8931</v>
      </c>
      <c r="I4434" s="12" t="s">
        <v>4156</v>
      </c>
      <c r="J4434" s="11" t="s">
        <v>1856</v>
      </c>
      <c r="K4434" s="11" t="s">
        <v>1852</v>
      </c>
      <c r="L4434" s="11" t="s">
        <v>1853</v>
      </c>
      <c r="M4434" s="11" t="s">
        <v>6185</v>
      </c>
      <c r="N4434" s="12"/>
      <c r="O4434" s="11" t="s">
        <v>1859</v>
      </c>
      <c r="P4434" s="56"/>
    </row>
    <row r="4435" spans="1:16" ht="15.75" customHeight="1" x14ac:dyDescent="0.2">
      <c r="A4435" s="48">
        <v>4603</v>
      </c>
      <c r="B4435" s="11" t="s">
        <v>1857</v>
      </c>
      <c r="C4435" s="11" t="s">
        <v>1849</v>
      </c>
      <c r="D4435" s="6" t="s">
        <v>1850</v>
      </c>
      <c r="E4435" s="11" t="s">
        <v>8816</v>
      </c>
      <c r="F4435" s="12" t="s">
        <v>8816</v>
      </c>
      <c r="G4435" s="12" t="s">
        <v>8817</v>
      </c>
      <c r="H4435" s="12" t="s">
        <v>8817</v>
      </c>
      <c r="I4435" s="12" t="s">
        <v>9426</v>
      </c>
      <c r="J4435" s="11" t="s">
        <v>1851</v>
      </c>
      <c r="K4435" s="11" t="s">
        <v>1852</v>
      </c>
      <c r="L4435" s="11" t="s">
        <v>1853</v>
      </c>
      <c r="M4435" s="11" t="s">
        <v>1854</v>
      </c>
      <c r="N4435" s="12"/>
      <c r="O4435" s="11" t="s">
        <v>1858</v>
      </c>
      <c r="P4435" s="56"/>
    </row>
    <row r="4436" spans="1:16" ht="15.75" customHeight="1" x14ac:dyDescent="0.2">
      <c r="A4436" s="48">
        <v>4238</v>
      </c>
      <c r="B4436" s="11" t="s">
        <v>1857</v>
      </c>
      <c r="C4436" s="11" t="s">
        <v>1849</v>
      </c>
      <c r="D4436" s="6" t="s">
        <v>1850</v>
      </c>
      <c r="E4436" s="11" t="s">
        <v>8816</v>
      </c>
      <c r="F4436" s="12" t="s">
        <v>8816</v>
      </c>
      <c r="G4436" s="12" t="s">
        <v>8851</v>
      </c>
      <c r="H4436" s="12" t="s">
        <v>8908</v>
      </c>
      <c r="I4436" s="12" t="s">
        <v>9427</v>
      </c>
      <c r="J4436" s="11" t="s">
        <v>1856</v>
      </c>
      <c r="K4436" s="11" t="s">
        <v>1852</v>
      </c>
      <c r="L4436" s="11" t="s">
        <v>1853</v>
      </c>
      <c r="M4436" s="11" t="s">
        <v>1854</v>
      </c>
      <c r="N4436" s="12"/>
      <c r="O4436" s="11" t="s">
        <v>1859</v>
      </c>
      <c r="P4436" s="56"/>
    </row>
    <row r="4437" spans="1:16" ht="15.75" customHeight="1" x14ac:dyDescent="0.2">
      <c r="A4437" s="48">
        <v>4686</v>
      </c>
      <c r="B4437" s="11" t="s">
        <v>1857</v>
      </c>
      <c r="C4437" s="11" t="s">
        <v>1849</v>
      </c>
      <c r="D4437" s="6" t="s">
        <v>1850</v>
      </c>
      <c r="E4437" s="11" t="s">
        <v>8816</v>
      </c>
      <c r="F4437" s="12" t="s">
        <v>8816</v>
      </c>
      <c r="G4437" s="12" t="s">
        <v>8817</v>
      </c>
      <c r="H4437" s="59" t="s">
        <v>9283</v>
      </c>
      <c r="I4437" s="12" t="s">
        <v>486</v>
      </c>
      <c r="J4437" s="11" t="s">
        <v>1856</v>
      </c>
      <c r="K4437" s="11" t="s">
        <v>1852</v>
      </c>
      <c r="L4437" s="11" t="s">
        <v>1853</v>
      </c>
      <c r="M4437" s="11" t="s">
        <v>1854</v>
      </c>
      <c r="N4437" s="12"/>
      <c r="O4437" s="11" t="s">
        <v>1858</v>
      </c>
      <c r="P4437" s="56"/>
    </row>
    <row r="4438" spans="1:16" ht="15.75" customHeight="1" x14ac:dyDescent="0.2">
      <c r="A4438" s="48">
        <v>4758</v>
      </c>
      <c r="B4438" s="11" t="s">
        <v>1857</v>
      </c>
      <c r="C4438" s="11" t="s">
        <v>1849</v>
      </c>
      <c r="D4438" s="6" t="s">
        <v>1850</v>
      </c>
      <c r="E4438" s="11" t="s">
        <v>8816</v>
      </c>
      <c r="F4438" s="12" t="s">
        <v>8816</v>
      </c>
      <c r="G4438" s="12" t="s">
        <v>8844</v>
      </c>
      <c r="H4438" s="59" t="s">
        <v>8963</v>
      </c>
      <c r="I4438" s="12" t="s">
        <v>9428</v>
      </c>
      <c r="J4438" s="11" t="s">
        <v>1856</v>
      </c>
      <c r="K4438" s="11" t="s">
        <v>1852</v>
      </c>
      <c r="L4438" s="11" t="s">
        <v>1853</v>
      </c>
      <c r="M4438" s="11" t="s">
        <v>9429</v>
      </c>
      <c r="N4438" s="12"/>
      <c r="O4438" s="11" t="s">
        <v>1859</v>
      </c>
      <c r="P4438" s="56"/>
    </row>
    <row r="4439" spans="1:16" ht="15.75" customHeight="1" x14ac:dyDescent="0.2">
      <c r="A4439" s="48">
        <v>4541</v>
      </c>
      <c r="B4439" s="11" t="s">
        <v>1857</v>
      </c>
      <c r="C4439" s="11" t="s">
        <v>1849</v>
      </c>
      <c r="D4439" s="6" t="s">
        <v>1850</v>
      </c>
      <c r="E4439" s="11" t="s">
        <v>8816</v>
      </c>
      <c r="F4439" s="12" t="s">
        <v>8816</v>
      </c>
      <c r="G4439" s="12" t="s">
        <v>4741</v>
      </c>
      <c r="H4439" s="59" t="s">
        <v>8856</v>
      </c>
      <c r="I4439" s="12" t="s">
        <v>9430</v>
      </c>
      <c r="J4439" s="11" t="s">
        <v>1856</v>
      </c>
      <c r="K4439" s="11" t="s">
        <v>1852</v>
      </c>
      <c r="L4439" s="11" t="s">
        <v>1853</v>
      </c>
      <c r="M4439" s="11" t="s">
        <v>9431</v>
      </c>
      <c r="N4439" s="12"/>
      <c r="O4439" s="11" t="s">
        <v>1859</v>
      </c>
      <c r="P4439" s="56"/>
    </row>
    <row r="4440" spans="1:16" ht="15.75" customHeight="1" x14ac:dyDescent="0.2">
      <c r="A4440" s="48">
        <v>4252</v>
      </c>
      <c r="B4440" s="11" t="s">
        <v>1857</v>
      </c>
      <c r="C4440" s="11" t="s">
        <v>1849</v>
      </c>
      <c r="D4440" s="6" t="s">
        <v>1850</v>
      </c>
      <c r="E4440" s="11" t="s">
        <v>8816</v>
      </c>
      <c r="F4440" s="12" t="s">
        <v>8816</v>
      </c>
      <c r="G4440" s="12" t="s">
        <v>2299</v>
      </c>
      <c r="H4440" s="12" t="s">
        <v>2299</v>
      </c>
      <c r="I4440" s="12" t="s">
        <v>527</v>
      </c>
      <c r="J4440" s="11" t="s">
        <v>1856</v>
      </c>
      <c r="K4440" s="11" t="s">
        <v>1852</v>
      </c>
      <c r="L4440" s="11" t="s">
        <v>1853</v>
      </c>
      <c r="M4440" s="11" t="s">
        <v>9171</v>
      </c>
      <c r="N4440" s="12"/>
      <c r="O4440" s="11" t="s">
        <v>1859</v>
      </c>
      <c r="P4440" s="56"/>
    </row>
    <row r="4441" spans="1:16" ht="15.75" customHeight="1" x14ac:dyDescent="0.2">
      <c r="A4441" s="48">
        <v>4800</v>
      </c>
      <c r="B4441" s="11" t="s">
        <v>1857</v>
      </c>
      <c r="C4441" s="11" t="s">
        <v>1849</v>
      </c>
      <c r="D4441" s="6" t="s">
        <v>1850</v>
      </c>
      <c r="E4441" s="11" t="s">
        <v>8816</v>
      </c>
      <c r="F4441" s="12" t="s">
        <v>8816</v>
      </c>
      <c r="G4441" s="12" t="s">
        <v>8844</v>
      </c>
      <c r="H4441" s="59" t="s">
        <v>3676</v>
      </c>
      <c r="I4441" s="12" t="s">
        <v>527</v>
      </c>
      <c r="J4441" s="11" t="s">
        <v>1856</v>
      </c>
      <c r="K4441" s="11" t="s">
        <v>1852</v>
      </c>
      <c r="L4441" s="11" t="s">
        <v>1853</v>
      </c>
      <c r="M4441" s="11" t="s">
        <v>3222</v>
      </c>
      <c r="N4441" s="12"/>
      <c r="O4441" s="11" t="s">
        <v>1858</v>
      </c>
      <c r="P4441" s="56"/>
    </row>
    <row r="4442" spans="1:16" ht="15.75" customHeight="1" x14ac:dyDescent="0.2">
      <c r="A4442" s="48">
        <v>4164</v>
      </c>
      <c r="B4442" s="11" t="s">
        <v>1857</v>
      </c>
      <c r="C4442" s="11" t="s">
        <v>1849</v>
      </c>
      <c r="D4442" s="6" t="s">
        <v>1850</v>
      </c>
      <c r="E4442" s="11" t="s">
        <v>8816</v>
      </c>
      <c r="F4442" s="12" t="s">
        <v>8816</v>
      </c>
      <c r="G4442" s="12" t="s">
        <v>8851</v>
      </c>
      <c r="H4442" s="12" t="s">
        <v>8851</v>
      </c>
      <c r="I4442" s="12" t="s">
        <v>2523</v>
      </c>
      <c r="J4442" s="11" t="s">
        <v>1856</v>
      </c>
      <c r="K4442" s="11" t="s">
        <v>1852</v>
      </c>
      <c r="L4442" s="11" t="s">
        <v>1853</v>
      </c>
      <c r="M4442" s="11" t="s">
        <v>1862</v>
      </c>
      <c r="N4442" s="12"/>
      <c r="O4442" s="11" t="s">
        <v>1859</v>
      </c>
      <c r="P4442" s="56"/>
    </row>
    <row r="4443" spans="1:16" ht="15.75" customHeight="1" x14ac:dyDescent="0.2">
      <c r="A4443" s="48">
        <v>6780</v>
      </c>
      <c r="B4443" s="11" t="s">
        <v>1857</v>
      </c>
      <c r="C4443" s="11" t="s">
        <v>1849</v>
      </c>
      <c r="D4443" s="6" t="s">
        <v>1850</v>
      </c>
      <c r="E4443" s="11" t="s">
        <v>8816</v>
      </c>
      <c r="F4443" s="12" t="s">
        <v>8816</v>
      </c>
      <c r="G4443" s="12" t="s">
        <v>8820</v>
      </c>
      <c r="H4443" s="12" t="s">
        <v>9095</v>
      </c>
      <c r="I4443" s="12" t="s">
        <v>9432</v>
      </c>
      <c r="J4443" s="11" t="s">
        <v>1856</v>
      </c>
      <c r="K4443" s="11" t="s">
        <v>1852</v>
      </c>
      <c r="L4443" s="11" t="s">
        <v>1853</v>
      </c>
      <c r="M4443" s="11" t="s">
        <v>6131</v>
      </c>
      <c r="N4443" s="12" t="s">
        <v>9433</v>
      </c>
      <c r="O4443" s="11" t="s">
        <v>1858</v>
      </c>
      <c r="P4443" s="56"/>
    </row>
    <row r="4444" spans="1:16" ht="15.75" customHeight="1" x14ac:dyDescent="0.2">
      <c r="A4444" s="48">
        <v>4253</v>
      </c>
      <c r="B4444" s="11" t="s">
        <v>1857</v>
      </c>
      <c r="C4444" s="11" t="s">
        <v>1849</v>
      </c>
      <c r="D4444" s="6" t="s">
        <v>1850</v>
      </c>
      <c r="E4444" s="11" t="s">
        <v>8816</v>
      </c>
      <c r="F4444" s="12" t="s">
        <v>8816</v>
      </c>
      <c r="G4444" s="12" t="s">
        <v>2299</v>
      </c>
      <c r="H4444" s="12" t="s">
        <v>2299</v>
      </c>
      <c r="I4444" s="12" t="s">
        <v>9434</v>
      </c>
      <c r="J4444" s="11" t="s">
        <v>1856</v>
      </c>
      <c r="K4444" s="11" t="s">
        <v>1852</v>
      </c>
      <c r="L4444" s="11" t="s">
        <v>1853</v>
      </c>
      <c r="M4444" s="11" t="s">
        <v>9435</v>
      </c>
      <c r="N4444" s="12" t="s">
        <v>9436</v>
      </c>
      <c r="O4444" s="11" t="s">
        <v>1866</v>
      </c>
      <c r="P4444" s="56" t="s">
        <v>9437</v>
      </c>
    </row>
    <row r="4445" spans="1:16" ht="15.75" customHeight="1" x14ac:dyDescent="0.2">
      <c r="A4445" s="48">
        <v>4395</v>
      </c>
      <c r="B4445" s="11" t="s">
        <v>1857</v>
      </c>
      <c r="C4445" s="11" t="s">
        <v>1849</v>
      </c>
      <c r="D4445" s="6" t="s">
        <v>1850</v>
      </c>
      <c r="E4445" s="11" t="s">
        <v>8816</v>
      </c>
      <c r="F4445" s="12" t="s">
        <v>8816</v>
      </c>
      <c r="G4445" s="12" t="s">
        <v>8858</v>
      </c>
      <c r="H4445" s="12" t="s">
        <v>8943</v>
      </c>
      <c r="I4445" s="12" t="s">
        <v>9438</v>
      </c>
      <c r="J4445" s="11" t="s">
        <v>1856</v>
      </c>
      <c r="K4445" s="11" t="s">
        <v>1852</v>
      </c>
      <c r="L4445" s="11" t="s">
        <v>1853</v>
      </c>
      <c r="M4445" s="11" t="s">
        <v>9439</v>
      </c>
      <c r="N4445" s="12" t="s">
        <v>9440</v>
      </c>
      <c r="O4445" s="11" t="s">
        <v>1858</v>
      </c>
      <c r="P4445" s="56"/>
    </row>
    <row r="4446" spans="1:16" ht="15.75" customHeight="1" x14ac:dyDescent="0.2">
      <c r="A4446" s="48">
        <v>4261</v>
      </c>
      <c r="B4446" s="11" t="s">
        <v>1857</v>
      </c>
      <c r="C4446" s="11" t="s">
        <v>1849</v>
      </c>
      <c r="D4446" s="6" t="s">
        <v>1850</v>
      </c>
      <c r="E4446" s="11" t="s">
        <v>8816</v>
      </c>
      <c r="F4446" s="12" t="s">
        <v>8816</v>
      </c>
      <c r="G4446" s="12" t="s">
        <v>2299</v>
      </c>
      <c r="H4446" s="12" t="s">
        <v>8861</v>
      </c>
      <c r="I4446" s="12" t="s">
        <v>9441</v>
      </c>
      <c r="J4446" s="11" t="s">
        <v>1856</v>
      </c>
      <c r="K4446" s="11" t="s">
        <v>1852</v>
      </c>
      <c r="L4446" s="11" t="s">
        <v>1853</v>
      </c>
      <c r="M4446" s="11" t="s">
        <v>1854</v>
      </c>
      <c r="N4446" s="12"/>
      <c r="O4446" s="11" t="s">
        <v>1859</v>
      </c>
      <c r="P4446" s="56"/>
    </row>
    <row r="4447" spans="1:16" ht="15.75" customHeight="1" x14ac:dyDescent="0.2">
      <c r="A4447" s="48">
        <v>4370</v>
      </c>
      <c r="B4447" s="11" t="s">
        <v>1857</v>
      </c>
      <c r="C4447" s="11" t="s">
        <v>1849</v>
      </c>
      <c r="D4447" s="6" t="s">
        <v>1850</v>
      </c>
      <c r="E4447" s="11" t="s">
        <v>8816</v>
      </c>
      <c r="F4447" s="12" t="s">
        <v>8816</v>
      </c>
      <c r="G4447" s="12" t="s">
        <v>5635</v>
      </c>
      <c r="H4447" s="12" t="s">
        <v>8926</v>
      </c>
      <c r="I4447" s="12" t="s">
        <v>9442</v>
      </c>
      <c r="J4447" s="11" t="s">
        <v>1856</v>
      </c>
      <c r="K4447" s="11" t="s">
        <v>1852</v>
      </c>
      <c r="L4447" s="11" t="s">
        <v>1853</v>
      </c>
      <c r="M4447" s="11" t="s">
        <v>2276</v>
      </c>
      <c r="N4447" s="12"/>
      <c r="O4447" s="11" t="s">
        <v>1859</v>
      </c>
      <c r="P4447" s="56"/>
    </row>
    <row r="4448" spans="1:16" ht="15.75" customHeight="1" x14ac:dyDescent="0.2">
      <c r="A4448" s="48">
        <v>4098</v>
      </c>
      <c r="B4448" s="11" t="s">
        <v>1857</v>
      </c>
      <c r="C4448" s="11" t="s">
        <v>1849</v>
      </c>
      <c r="D4448" s="6" t="s">
        <v>1850</v>
      </c>
      <c r="E4448" s="11" t="s">
        <v>8816</v>
      </c>
      <c r="F4448" s="12" t="s">
        <v>8816</v>
      </c>
      <c r="G4448" s="12" t="s">
        <v>8895</v>
      </c>
      <c r="H4448" s="12" t="s">
        <v>9126</v>
      </c>
      <c r="I4448" s="12" t="s">
        <v>9443</v>
      </c>
      <c r="J4448" s="11" t="s">
        <v>1856</v>
      </c>
      <c r="K4448" s="11" t="s">
        <v>1852</v>
      </c>
      <c r="L4448" s="11" t="s">
        <v>1853</v>
      </c>
      <c r="M4448" s="11" t="s">
        <v>9177</v>
      </c>
      <c r="N4448" s="12"/>
      <c r="O4448" s="11" t="s">
        <v>1859</v>
      </c>
      <c r="P4448" s="56"/>
    </row>
    <row r="4449" spans="1:16" ht="15.75" customHeight="1" x14ac:dyDescent="0.2">
      <c r="A4449" s="48">
        <v>4237</v>
      </c>
      <c r="B4449" s="11" t="s">
        <v>1857</v>
      </c>
      <c r="C4449" s="11" t="s">
        <v>1849</v>
      </c>
      <c r="D4449" s="6" t="s">
        <v>1850</v>
      </c>
      <c r="E4449" s="11" t="s">
        <v>8816</v>
      </c>
      <c r="F4449" s="12" t="s">
        <v>8816</v>
      </c>
      <c r="G4449" s="12" t="s">
        <v>8851</v>
      </c>
      <c r="H4449" s="12" t="s">
        <v>8974</v>
      </c>
      <c r="I4449" s="12" t="s">
        <v>9444</v>
      </c>
      <c r="J4449" s="11" t="s">
        <v>1856</v>
      </c>
      <c r="K4449" s="11" t="s">
        <v>1852</v>
      </c>
      <c r="L4449" s="11" t="s">
        <v>1853</v>
      </c>
      <c r="M4449" s="11" t="s">
        <v>3811</v>
      </c>
      <c r="N4449" s="12" t="s">
        <v>9445</v>
      </c>
      <c r="O4449" s="11" t="s">
        <v>1859</v>
      </c>
      <c r="P4449" s="56"/>
    </row>
    <row r="4450" spans="1:16" ht="15.75" customHeight="1" x14ac:dyDescent="0.2">
      <c r="A4450" s="48">
        <v>4503</v>
      </c>
      <c r="B4450" s="11" t="s">
        <v>1857</v>
      </c>
      <c r="C4450" s="11" t="s">
        <v>1849</v>
      </c>
      <c r="D4450" s="6" t="s">
        <v>1850</v>
      </c>
      <c r="E4450" s="11" t="s">
        <v>8816</v>
      </c>
      <c r="F4450" s="12" t="s">
        <v>8816</v>
      </c>
      <c r="G4450" s="12" t="s">
        <v>4741</v>
      </c>
      <c r="H4450" s="12" t="s">
        <v>4741</v>
      </c>
      <c r="I4450" s="12" t="s">
        <v>9446</v>
      </c>
      <c r="J4450" s="11" t="s">
        <v>1856</v>
      </c>
      <c r="K4450" s="11" t="s">
        <v>1852</v>
      </c>
      <c r="L4450" s="11" t="s">
        <v>1853</v>
      </c>
      <c r="M4450" s="11" t="s">
        <v>8863</v>
      </c>
      <c r="N4450" s="12"/>
      <c r="O4450" s="11" t="s">
        <v>1859</v>
      </c>
      <c r="P4450" s="56"/>
    </row>
    <row r="4451" spans="1:16" ht="15.75" customHeight="1" x14ac:dyDescent="0.2">
      <c r="A4451" s="48">
        <v>4381</v>
      </c>
      <c r="B4451" s="11" t="s">
        <v>1857</v>
      </c>
      <c r="C4451" s="11" t="s">
        <v>1849</v>
      </c>
      <c r="D4451" s="6" t="s">
        <v>1850</v>
      </c>
      <c r="E4451" s="11" t="s">
        <v>8816</v>
      </c>
      <c r="F4451" s="12" t="s">
        <v>8816</v>
      </c>
      <c r="G4451" s="12" t="s">
        <v>8928</v>
      </c>
      <c r="H4451" s="59" t="s">
        <v>9128</v>
      </c>
      <c r="I4451" s="12" t="s">
        <v>9447</v>
      </c>
      <c r="J4451" s="11" t="s">
        <v>1856</v>
      </c>
      <c r="K4451" s="11" t="s">
        <v>1852</v>
      </c>
      <c r="L4451" s="11" t="s">
        <v>1853</v>
      </c>
      <c r="M4451" s="11" t="s">
        <v>9448</v>
      </c>
      <c r="N4451" s="12" t="s">
        <v>9449</v>
      </c>
      <c r="O4451" s="11" t="s">
        <v>1858</v>
      </c>
      <c r="P4451" s="56"/>
    </row>
    <row r="4452" spans="1:16" ht="15.75" customHeight="1" x14ac:dyDescent="0.2">
      <c r="A4452" s="48">
        <v>4502</v>
      </c>
      <c r="B4452" s="11" t="s">
        <v>1857</v>
      </c>
      <c r="C4452" s="11" t="s">
        <v>1849</v>
      </c>
      <c r="D4452" s="6" t="s">
        <v>1850</v>
      </c>
      <c r="E4452" s="11" t="s">
        <v>8816</v>
      </c>
      <c r="F4452" s="12" t="s">
        <v>8816</v>
      </c>
      <c r="G4452" s="12" t="s">
        <v>4741</v>
      </c>
      <c r="H4452" s="12" t="s">
        <v>4741</v>
      </c>
      <c r="I4452" s="12" t="s">
        <v>9450</v>
      </c>
      <c r="J4452" s="11" t="s">
        <v>1856</v>
      </c>
      <c r="K4452" s="11" t="s">
        <v>1852</v>
      </c>
      <c r="L4452" s="11" t="s">
        <v>1853</v>
      </c>
      <c r="M4452" s="11" t="s">
        <v>1952</v>
      </c>
      <c r="N4452" s="12"/>
      <c r="O4452" s="11" t="s">
        <v>1858</v>
      </c>
      <c r="P4452" s="56"/>
    </row>
    <row r="4453" spans="1:16" ht="15.75" customHeight="1" x14ac:dyDescent="0.2">
      <c r="A4453" s="48">
        <v>4374</v>
      </c>
      <c r="B4453" s="11" t="s">
        <v>1857</v>
      </c>
      <c r="C4453" s="11" t="s">
        <v>1849</v>
      </c>
      <c r="D4453" s="6" t="s">
        <v>1850</v>
      </c>
      <c r="E4453" s="11" t="s">
        <v>8816</v>
      </c>
      <c r="F4453" s="12" t="s">
        <v>8816</v>
      </c>
      <c r="G4453" s="12" t="s">
        <v>5635</v>
      </c>
      <c r="H4453" s="12" t="s">
        <v>8926</v>
      </c>
      <c r="I4453" s="12" t="s">
        <v>9451</v>
      </c>
      <c r="J4453" s="11" t="s">
        <v>1856</v>
      </c>
      <c r="K4453" s="11" t="s">
        <v>1852</v>
      </c>
      <c r="L4453" s="11" t="s">
        <v>1853</v>
      </c>
      <c r="M4453" s="11" t="s">
        <v>6597</v>
      </c>
      <c r="N4453" s="12"/>
      <c r="O4453" s="11" t="s">
        <v>1859</v>
      </c>
      <c r="P4453" s="56"/>
    </row>
    <row r="4454" spans="1:16" ht="15.75" customHeight="1" x14ac:dyDescent="0.2">
      <c r="A4454" s="48">
        <v>4264</v>
      </c>
      <c r="B4454" s="11" t="s">
        <v>1857</v>
      </c>
      <c r="C4454" s="11" t="s">
        <v>1849</v>
      </c>
      <c r="D4454" s="6" t="s">
        <v>1850</v>
      </c>
      <c r="E4454" s="11" t="s">
        <v>8816</v>
      </c>
      <c r="F4454" s="12" t="s">
        <v>8816</v>
      </c>
      <c r="G4454" s="12" t="s">
        <v>2299</v>
      </c>
      <c r="H4454" s="12" t="s">
        <v>8861</v>
      </c>
      <c r="I4454" s="12" t="s">
        <v>9452</v>
      </c>
      <c r="J4454" s="11" t="s">
        <v>1856</v>
      </c>
      <c r="K4454" s="11" t="s">
        <v>1852</v>
      </c>
      <c r="L4454" s="11" t="s">
        <v>1853</v>
      </c>
      <c r="M4454" s="11" t="s">
        <v>9453</v>
      </c>
      <c r="N4454" s="12" t="s">
        <v>9454</v>
      </c>
      <c r="O4454" s="11" t="s">
        <v>1859</v>
      </c>
      <c r="P4454" s="56"/>
    </row>
    <row r="4455" spans="1:16" ht="15.75" customHeight="1" x14ac:dyDescent="0.2">
      <c r="A4455" s="48">
        <v>4161</v>
      </c>
      <c r="B4455" s="11" t="s">
        <v>1857</v>
      </c>
      <c r="C4455" s="11" t="s">
        <v>1849</v>
      </c>
      <c r="D4455" s="6" t="s">
        <v>1850</v>
      </c>
      <c r="E4455" s="11" t="s">
        <v>8816</v>
      </c>
      <c r="F4455" s="12" t="s">
        <v>8816</v>
      </c>
      <c r="G4455" s="12" t="s">
        <v>8851</v>
      </c>
      <c r="H4455" s="12" t="s">
        <v>8851</v>
      </c>
      <c r="I4455" s="12" t="s">
        <v>9455</v>
      </c>
      <c r="J4455" s="11" t="s">
        <v>1856</v>
      </c>
      <c r="K4455" s="11" t="s">
        <v>1852</v>
      </c>
      <c r="L4455" s="11" t="s">
        <v>1853</v>
      </c>
      <c r="M4455" s="11" t="s">
        <v>1854</v>
      </c>
      <c r="N4455" s="12"/>
      <c r="O4455" s="11" t="s">
        <v>1858</v>
      </c>
      <c r="P4455" s="56"/>
    </row>
    <row r="4456" spans="1:16" ht="15.75" customHeight="1" x14ac:dyDescent="0.2">
      <c r="A4456" s="48">
        <v>4263</v>
      </c>
      <c r="B4456" s="11" t="s">
        <v>1857</v>
      </c>
      <c r="C4456" s="11" t="s">
        <v>1849</v>
      </c>
      <c r="D4456" s="6" t="s">
        <v>1850</v>
      </c>
      <c r="E4456" s="11" t="s">
        <v>8816</v>
      </c>
      <c r="F4456" s="12" t="s">
        <v>8816</v>
      </c>
      <c r="G4456" s="12" t="s">
        <v>2299</v>
      </c>
      <c r="H4456" s="12" t="s">
        <v>8861</v>
      </c>
      <c r="I4456" s="12" t="s">
        <v>9456</v>
      </c>
      <c r="J4456" s="11" t="s">
        <v>1856</v>
      </c>
      <c r="K4456" s="11" t="s">
        <v>1852</v>
      </c>
      <c r="L4456" s="11" t="s">
        <v>1853</v>
      </c>
      <c r="M4456" s="11" t="s">
        <v>9457</v>
      </c>
      <c r="N4456" s="12" t="s">
        <v>9458</v>
      </c>
      <c r="O4456" s="11" t="s">
        <v>1860</v>
      </c>
      <c r="P4456" s="56"/>
    </row>
    <row r="4457" spans="1:16" ht="15.75" customHeight="1" x14ac:dyDescent="0.2">
      <c r="A4457" s="48">
        <v>4757</v>
      </c>
      <c r="B4457" s="11" t="s">
        <v>1857</v>
      </c>
      <c r="C4457" s="11" t="s">
        <v>1849</v>
      </c>
      <c r="D4457" s="6" t="s">
        <v>1850</v>
      </c>
      <c r="E4457" s="11" t="s">
        <v>8816</v>
      </c>
      <c r="F4457" s="12" t="s">
        <v>8816</v>
      </c>
      <c r="G4457" s="12" t="s">
        <v>8844</v>
      </c>
      <c r="H4457" s="59" t="s">
        <v>9035</v>
      </c>
      <c r="I4457" s="12" t="s">
        <v>9459</v>
      </c>
      <c r="J4457" s="11" t="s">
        <v>1856</v>
      </c>
      <c r="K4457" s="11" t="s">
        <v>1852</v>
      </c>
      <c r="L4457" s="11" t="s">
        <v>1853</v>
      </c>
      <c r="M4457" s="11" t="s">
        <v>1854</v>
      </c>
      <c r="N4457" s="12"/>
      <c r="O4457" s="11" t="s">
        <v>1860</v>
      </c>
      <c r="P4457" s="56"/>
    </row>
    <row r="4458" spans="1:16" ht="15.75" customHeight="1" x14ac:dyDescent="0.2">
      <c r="A4458" s="48">
        <v>4483</v>
      </c>
      <c r="B4458" s="11" t="s">
        <v>1857</v>
      </c>
      <c r="C4458" s="11" t="s">
        <v>1849</v>
      </c>
      <c r="D4458" s="6" t="s">
        <v>1850</v>
      </c>
      <c r="E4458" s="11" t="s">
        <v>8816</v>
      </c>
      <c r="F4458" s="12" t="s">
        <v>8816</v>
      </c>
      <c r="G4458" s="12" t="s">
        <v>6658</v>
      </c>
      <c r="H4458" s="59" t="s">
        <v>5839</v>
      </c>
      <c r="I4458" s="12" t="s">
        <v>9460</v>
      </c>
      <c r="J4458" s="11" t="s">
        <v>1856</v>
      </c>
      <c r="K4458" s="11" t="s">
        <v>1852</v>
      </c>
      <c r="L4458" s="11" t="s">
        <v>1853</v>
      </c>
      <c r="M4458" s="11" t="s">
        <v>8893</v>
      </c>
      <c r="N4458" s="12" t="s">
        <v>9461</v>
      </c>
      <c r="O4458" s="11" t="s">
        <v>1860</v>
      </c>
      <c r="P4458" s="56"/>
    </row>
    <row r="4459" spans="1:16" ht="15.75" customHeight="1" x14ac:dyDescent="0.2">
      <c r="A4459" s="48">
        <v>4279</v>
      </c>
      <c r="B4459" s="11" t="s">
        <v>1857</v>
      </c>
      <c r="C4459" s="11" t="s">
        <v>1849</v>
      </c>
      <c r="D4459" s="6" t="s">
        <v>1850</v>
      </c>
      <c r="E4459" s="11" t="s">
        <v>8816</v>
      </c>
      <c r="F4459" s="12" t="s">
        <v>8816</v>
      </c>
      <c r="G4459" s="12" t="s">
        <v>2299</v>
      </c>
      <c r="H4459" s="12" t="s">
        <v>7910</v>
      </c>
      <c r="I4459" s="12" t="s">
        <v>9462</v>
      </c>
      <c r="J4459" s="11" t="s">
        <v>1856</v>
      </c>
      <c r="K4459" s="11" t="s">
        <v>1852</v>
      </c>
      <c r="L4459" s="11" t="s">
        <v>1853</v>
      </c>
      <c r="M4459" s="11" t="s">
        <v>9463</v>
      </c>
      <c r="N4459" s="12" t="s">
        <v>9464</v>
      </c>
      <c r="O4459" s="11" t="s">
        <v>1860</v>
      </c>
      <c r="P4459" s="56"/>
    </row>
    <row r="4460" spans="1:16" ht="15.75" customHeight="1" x14ac:dyDescent="0.2">
      <c r="A4460" s="48">
        <v>4476</v>
      </c>
      <c r="B4460" s="11" t="s">
        <v>1857</v>
      </c>
      <c r="C4460" s="11" t="s">
        <v>1849</v>
      </c>
      <c r="D4460" s="6" t="s">
        <v>1850</v>
      </c>
      <c r="E4460" s="11" t="s">
        <v>8816</v>
      </c>
      <c r="F4460" s="12" t="s">
        <v>8816</v>
      </c>
      <c r="G4460" s="12" t="s">
        <v>6658</v>
      </c>
      <c r="H4460" s="59" t="s">
        <v>9022</v>
      </c>
      <c r="I4460" s="12" t="s">
        <v>9465</v>
      </c>
      <c r="J4460" s="11" t="s">
        <v>1856</v>
      </c>
      <c r="K4460" s="11" t="s">
        <v>1852</v>
      </c>
      <c r="L4460" s="11" t="s">
        <v>1853</v>
      </c>
      <c r="M4460" s="11" t="s">
        <v>6621</v>
      </c>
      <c r="N4460" s="12" t="s">
        <v>9466</v>
      </c>
      <c r="O4460" s="11" t="s">
        <v>1860</v>
      </c>
      <c r="P4460" s="56"/>
    </row>
    <row r="4461" spans="1:16" ht="15.75" customHeight="1" x14ac:dyDescent="0.2">
      <c r="A4461" s="48">
        <v>4220</v>
      </c>
      <c r="B4461" s="11" t="s">
        <v>1857</v>
      </c>
      <c r="C4461" s="11" t="s">
        <v>1849</v>
      </c>
      <c r="D4461" s="6" t="s">
        <v>1850</v>
      </c>
      <c r="E4461" s="11" t="s">
        <v>8816</v>
      </c>
      <c r="F4461" s="12" t="s">
        <v>8816</v>
      </c>
      <c r="G4461" s="12" t="s">
        <v>8851</v>
      </c>
      <c r="H4461" s="12" t="s">
        <v>8836</v>
      </c>
      <c r="I4461" s="12" t="s">
        <v>5350</v>
      </c>
      <c r="J4461" s="11" t="s">
        <v>1856</v>
      </c>
      <c r="K4461" s="11" t="s">
        <v>1852</v>
      </c>
      <c r="L4461" s="11" t="s">
        <v>1853</v>
      </c>
      <c r="M4461" s="11" t="s">
        <v>6131</v>
      </c>
      <c r="N4461" s="12"/>
      <c r="O4461" s="11" t="s">
        <v>1860</v>
      </c>
      <c r="P4461" s="56"/>
    </row>
    <row r="4462" spans="1:16" ht="15.75" customHeight="1" x14ac:dyDescent="0.2">
      <c r="A4462" s="48">
        <v>4429</v>
      </c>
      <c r="B4462" s="11" t="s">
        <v>1857</v>
      </c>
      <c r="C4462" s="11" t="s">
        <v>1849</v>
      </c>
      <c r="D4462" s="6" t="s">
        <v>1850</v>
      </c>
      <c r="E4462" s="11" t="s">
        <v>8816</v>
      </c>
      <c r="F4462" s="12" t="s">
        <v>8816</v>
      </c>
      <c r="G4462" s="12" t="s">
        <v>8858</v>
      </c>
      <c r="H4462" s="12" t="s">
        <v>9375</v>
      </c>
      <c r="I4462" s="12" t="s">
        <v>9467</v>
      </c>
      <c r="J4462" s="11" t="s">
        <v>1856</v>
      </c>
      <c r="K4462" s="11" t="s">
        <v>1852</v>
      </c>
      <c r="L4462" s="11" t="s">
        <v>1853</v>
      </c>
      <c r="M4462" s="11" t="s">
        <v>9177</v>
      </c>
      <c r="N4462" s="12" t="s">
        <v>9468</v>
      </c>
      <c r="O4462" s="11" t="s">
        <v>1860</v>
      </c>
      <c r="P4462" s="56"/>
    </row>
    <row r="4463" spans="1:16" ht="15.75" customHeight="1" x14ac:dyDescent="0.2">
      <c r="A4463" s="48">
        <v>4534</v>
      </c>
      <c r="B4463" s="11" t="s">
        <v>1857</v>
      </c>
      <c r="C4463" s="11" t="s">
        <v>1849</v>
      </c>
      <c r="D4463" s="6" t="s">
        <v>1850</v>
      </c>
      <c r="E4463" s="11" t="s">
        <v>8816</v>
      </c>
      <c r="F4463" s="12" t="s">
        <v>8816</v>
      </c>
      <c r="G4463" s="12" t="s">
        <v>4741</v>
      </c>
      <c r="H4463" s="59" t="s">
        <v>9118</v>
      </c>
      <c r="I4463" s="12" t="s">
        <v>9469</v>
      </c>
      <c r="J4463" s="11" t="s">
        <v>1856</v>
      </c>
      <c r="K4463" s="11" t="s">
        <v>1852</v>
      </c>
      <c r="L4463" s="11" t="s">
        <v>1853</v>
      </c>
      <c r="M4463" s="11" t="s">
        <v>2276</v>
      </c>
      <c r="N4463" s="12" t="s">
        <v>9470</v>
      </c>
      <c r="O4463" s="11" t="s">
        <v>1860</v>
      </c>
      <c r="P4463" s="56"/>
    </row>
    <row r="4464" spans="1:16" ht="15.75" customHeight="1" x14ac:dyDescent="0.2">
      <c r="A4464" s="48">
        <v>4216</v>
      </c>
      <c r="B4464" s="11" t="s">
        <v>1857</v>
      </c>
      <c r="C4464" s="11" t="s">
        <v>1849</v>
      </c>
      <c r="D4464" s="6" t="s">
        <v>1850</v>
      </c>
      <c r="E4464" s="11" t="s">
        <v>8816</v>
      </c>
      <c r="F4464" s="12" t="s">
        <v>8816</v>
      </c>
      <c r="G4464" s="12" t="s">
        <v>8851</v>
      </c>
      <c r="H4464" s="12" t="s">
        <v>8836</v>
      </c>
      <c r="I4464" s="12" t="s">
        <v>9471</v>
      </c>
      <c r="J4464" s="11" t="s">
        <v>1856</v>
      </c>
      <c r="K4464" s="11" t="s">
        <v>1852</v>
      </c>
      <c r="L4464" s="11" t="s">
        <v>1853</v>
      </c>
      <c r="M4464" s="11" t="s">
        <v>2807</v>
      </c>
      <c r="N4464" s="12" t="s">
        <v>9472</v>
      </c>
      <c r="O4464" s="11" t="s">
        <v>1860</v>
      </c>
      <c r="P4464" s="56"/>
    </row>
    <row r="4465" spans="1:16" ht="15.75" customHeight="1" x14ac:dyDescent="0.2">
      <c r="A4465" s="48">
        <v>4365</v>
      </c>
      <c r="B4465" s="11" t="s">
        <v>1857</v>
      </c>
      <c r="C4465" s="11" t="s">
        <v>1849</v>
      </c>
      <c r="D4465" s="6" t="s">
        <v>1850</v>
      </c>
      <c r="E4465" s="11" t="s">
        <v>8816</v>
      </c>
      <c r="F4465" s="12" t="s">
        <v>8816</v>
      </c>
      <c r="G4465" s="12" t="s">
        <v>5635</v>
      </c>
      <c r="H4465" s="12" t="s">
        <v>9262</v>
      </c>
      <c r="I4465" s="12" t="s">
        <v>6186</v>
      </c>
      <c r="J4465" s="11" t="s">
        <v>1856</v>
      </c>
      <c r="K4465" s="11" t="s">
        <v>1852</v>
      </c>
      <c r="L4465" s="11" t="s">
        <v>1853</v>
      </c>
      <c r="M4465" s="11" t="s">
        <v>2807</v>
      </c>
      <c r="N4465" s="12"/>
      <c r="O4465" s="11" t="s">
        <v>1860</v>
      </c>
      <c r="P4465" s="56"/>
    </row>
    <row r="4466" spans="1:16" ht="15.75" customHeight="1" x14ac:dyDescent="0.2">
      <c r="A4466" s="48">
        <v>4506</v>
      </c>
      <c r="B4466" s="11" t="s">
        <v>1857</v>
      </c>
      <c r="C4466" s="11" t="s">
        <v>1849</v>
      </c>
      <c r="D4466" s="6" t="s">
        <v>1850</v>
      </c>
      <c r="E4466" s="11" t="s">
        <v>8816</v>
      </c>
      <c r="F4466" s="12" t="s">
        <v>8816</v>
      </c>
      <c r="G4466" s="12" t="s">
        <v>4741</v>
      </c>
      <c r="H4466" s="12" t="s">
        <v>8948</v>
      </c>
      <c r="I4466" s="12" t="s">
        <v>9473</v>
      </c>
      <c r="J4466" s="11" t="s">
        <v>1856</v>
      </c>
      <c r="K4466" s="11" t="s">
        <v>1852</v>
      </c>
      <c r="L4466" s="11" t="s">
        <v>1853</v>
      </c>
      <c r="M4466" s="11" t="s">
        <v>1854</v>
      </c>
      <c r="N4466" s="12"/>
      <c r="O4466" s="11" t="s">
        <v>1860</v>
      </c>
      <c r="P4466" s="56"/>
    </row>
    <row r="4467" spans="1:16" ht="15.75" customHeight="1" x14ac:dyDescent="0.2">
      <c r="A4467" s="48">
        <v>4510</v>
      </c>
      <c r="B4467" s="11" t="s">
        <v>1857</v>
      </c>
      <c r="C4467" s="11" t="s">
        <v>1849</v>
      </c>
      <c r="D4467" s="6" t="s">
        <v>1850</v>
      </c>
      <c r="E4467" s="11" t="s">
        <v>8816</v>
      </c>
      <c r="F4467" s="12" t="s">
        <v>8816</v>
      </c>
      <c r="G4467" s="12" t="s">
        <v>4741</v>
      </c>
      <c r="H4467" s="12" t="s">
        <v>8948</v>
      </c>
      <c r="I4467" s="12" t="s">
        <v>5840</v>
      </c>
      <c r="J4467" s="11" t="s">
        <v>1856</v>
      </c>
      <c r="K4467" s="11" t="s">
        <v>1852</v>
      </c>
      <c r="L4467" s="11" t="s">
        <v>1853</v>
      </c>
      <c r="M4467" s="11" t="s">
        <v>9474</v>
      </c>
      <c r="N4467" s="12"/>
      <c r="O4467" s="11" t="s">
        <v>1860</v>
      </c>
      <c r="P4467" s="56"/>
    </row>
    <row r="4468" spans="1:16" ht="15.75" customHeight="1" x14ac:dyDescent="0.2">
      <c r="A4468" s="48">
        <v>4555</v>
      </c>
      <c r="B4468" s="11" t="s">
        <v>1857</v>
      </c>
      <c r="C4468" s="11" t="s">
        <v>1849</v>
      </c>
      <c r="D4468" s="6" t="s">
        <v>1850</v>
      </c>
      <c r="E4468" s="11" t="s">
        <v>8816</v>
      </c>
      <c r="F4468" s="12" t="s">
        <v>8816</v>
      </c>
      <c r="G4468" s="12" t="s">
        <v>8817</v>
      </c>
      <c r="H4468" s="59" t="s">
        <v>9082</v>
      </c>
      <c r="I4468" s="12" t="s">
        <v>9475</v>
      </c>
      <c r="J4468" s="11" t="s">
        <v>1856</v>
      </c>
      <c r="K4468" s="11" t="s">
        <v>1852</v>
      </c>
      <c r="L4468" s="11" t="s">
        <v>1853</v>
      </c>
      <c r="M4468" s="11" t="s">
        <v>9476</v>
      </c>
      <c r="N4468" s="12"/>
      <c r="O4468" s="11" t="s">
        <v>1858</v>
      </c>
      <c r="P4468" s="56"/>
    </row>
    <row r="4469" spans="1:16" ht="15.75" customHeight="1" x14ac:dyDescent="0.2">
      <c r="A4469" s="48">
        <v>4486</v>
      </c>
      <c r="B4469" s="11" t="s">
        <v>1857</v>
      </c>
      <c r="C4469" s="11" t="s">
        <v>1849</v>
      </c>
      <c r="D4469" s="6" t="s">
        <v>1850</v>
      </c>
      <c r="E4469" s="11" t="s">
        <v>8816</v>
      </c>
      <c r="F4469" s="12" t="s">
        <v>8816</v>
      </c>
      <c r="G4469" s="12" t="s">
        <v>6658</v>
      </c>
      <c r="H4469" s="59" t="s">
        <v>5839</v>
      </c>
      <c r="I4469" s="12" t="s">
        <v>9477</v>
      </c>
      <c r="J4469" s="11" t="s">
        <v>1856</v>
      </c>
      <c r="K4469" s="11" t="s">
        <v>1852</v>
      </c>
      <c r="L4469" s="11" t="s">
        <v>1853</v>
      </c>
      <c r="M4469" s="11" t="s">
        <v>9478</v>
      </c>
      <c r="N4469" s="12"/>
      <c r="O4469" s="11" t="s">
        <v>1858</v>
      </c>
      <c r="P4469" s="56"/>
    </row>
    <row r="4470" spans="1:16" ht="15.75" customHeight="1" x14ac:dyDescent="0.2">
      <c r="A4470" s="48">
        <v>4556</v>
      </c>
      <c r="B4470" s="11" t="s">
        <v>1857</v>
      </c>
      <c r="C4470" s="11" t="s">
        <v>1849</v>
      </c>
      <c r="D4470" s="6" t="s">
        <v>1850</v>
      </c>
      <c r="E4470" s="11" t="s">
        <v>8816</v>
      </c>
      <c r="F4470" s="12" t="s">
        <v>8816</v>
      </c>
      <c r="G4470" s="12" t="s">
        <v>8817</v>
      </c>
      <c r="H4470" s="12" t="s">
        <v>8817</v>
      </c>
      <c r="I4470" s="12" t="s">
        <v>9479</v>
      </c>
      <c r="J4470" s="11" t="s">
        <v>1856</v>
      </c>
      <c r="K4470" s="11" t="s">
        <v>1852</v>
      </c>
      <c r="L4470" s="11" t="s">
        <v>1853</v>
      </c>
      <c r="M4470" s="11" t="s">
        <v>8893</v>
      </c>
      <c r="N4470" s="12"/>
      <c r="O4470" s="11" t="s">
        <v>1858</v>
      </c>
      <c r="P4470" s="56"/>
    </row>
    <row r="4471" spans="1:16" ht="15.75" customHeight="1" x14ac:dyDescent="0.2">
      <c r="A4471" s="48">
        <v>4807</v>
      </c>
      <c r="B4471" s="11" t="s">
        <v>1857</v>
      </c>
      <c r="C4471" s="11" t="s">
        <v>1849</v>
      </c>
      <c r="D4471" s="6" t="s">
        <v>1850</v>
      </c>
      <c r="E4471" s="11" t="s">
        <v>8816</v>
      </c>
      <c r="F4471" s="12" t="s">
        <v>8816</v>
      </c>
      <c r="G4471" s="12" t="s">
        <v>8844</v>
      </c>
      <c r="H4471" s="59" t="s">
        <v>3676</v>
      </c>
      <c r="I4471" s="12" t="s">
        <v>6052</v>
      </c>
      <c r="J4471" s="11" t="s">
        <v>1856</v>
      </c>
      <c r="K4471" s="11" t="s">
        <v>1852</v>
      </c>
      <c r="L4471" s="11" t="s">
        <v>1853</v>
      </c>
      <c r="M4471" s="11" t="s">
        <v>2539</v>
      </c>
      <c r="N4471" s="12"/>
      <c r="O4471" s="11" t="s">
        <v>1858</v>
      </c>
      <c r="P4471" s="56"/>
    </row>
    <row r="4472" spans="1:16" ht="15.75" customHeight="1" x14ac:dyDescent="0.2">
      <c r="A4472" s="48">
        <v>4449</v>
      </c>
      <c r="B4472" s="11" t="s">
        <v>1857</v>
      </c>
      <c r="C4472" s="11" t="s">
        <v>1849</v>
      </c>
      <c r="D4472" s="6" t="s">
        <v>1850</v>
      </c>
      <c r="E4472" s="11" t="s">
        <v>8816</v>
      </c>
      <c r="F4472" s="12" t="s">
        <v>8816</v>
      </c>
      <c r="G4472" s="12" t="s">
        <v>8825</v>
      </c>
      <c r="H4472" s="59" t="s">
        <v>3698</v>
      </c>
      <c r="I4472" s="12" t="s">
        <v>6059</v>
      </c>
      <c r="J4472" s="11" t="s">
        <v>1856</v>
      </c>
      <c r="K4472" s="11" t="s">
        <v>1852</v>
      </c>
      <c r="L4472" s="11" t="s">
        <v>1853</v>
      </c>
      <c r="M4472" s="11" t="s">
        <v>1854</v>
      </c>
      <c r="N4472" s="12"/>
      <c r="O4472" s="11" t="s">
        <v>1859</v>
      </c>
      <c r="P4472" s="56"/>
    </row>
    <row r="4473" spans="1:16" ht="15.75" customHeight="1" x14ac:dyDescent="0.2">
      <c r="A4473" s="48">
        <v>4487</v>
      </c>
      <c r="B4473" s="11" t="s">
        <v>1857</v>
      </c>
      <c r="C4473" s="11" t="s">
        <v>1849</v>
      </c>
      <c r="D4473" s="6" t="s">
        <v>1850</v>
      </c>
      <c r="E4473" s="11" t="s">
        <v>8816</v>
      </c>
      <c r="F4473" s="12" t="s">
        <v>8816</v>
      </c>
      <c r="G4473" s="12" t="s">
        <v>6658</v>
      </c>
      <c r="H4473" s="59" t="s">
        <v>5839</v>
      </c>
      <c r="I4473" s="12" t="s">
        <v>9480</v>
      </c>
      <c r="J4473" s="11" t="s">
        <v>1856</v>
      </c>
      <c r="K4473" s="11" t="s">
        <v>1852</v>
      </c>
      <c r="L4473" s="11" t="s">
        <v>1853</v>
      </c>
      <c r="M4473" s="11" t="s">
        <v>9481</v>
      </c>
      <c r="N4473" s="12"/>
      <c r="O4473" s="11" t="s">
        <v>1858</v>
      </c>
      <c r="P4473" s="56"/>
    </row>
    <row r="4474" spans="1:16" ht="15.75" customHeight="1" x14ac:dyDescent="0.2">
      <c r="A4474" s="48">
        <v>4530</v>
      </c>
      <c r="B4474" s="11" t="s">
        <v>1857</v>
      </c>
      <c r="C4474" s="11" t="s">
        <v>1849</v>
      </c>
      <c r="D4474" s="6" t="s">
        <v>1850</v>
      </c>
      <c r="E4474" s="11" t="s">
        <v>8816</v>
      </c>
      <c r="F4474" s="12" t="s">
        <v>8816</v>
      </c>
      <c r="G4474" s="12" t="s">
        <v>4741</v>
      </c>
      <c r="H4474" s="59" t="s">
        <v>8967</v>
      </c>
      <c r="I4474" s="12" t="s">
        <v>9482</v>
      </c>
      <c r="J4474" s="11" t="s">
        <v>1856</v>
      </c>
      <c r="K4474" s="11" t="s">
        <v>1852</v>
      </c>
      <c r="L4474" s="11" t="s">
        <v>1853</v>
      </c>
      <c r="M4474" s="11" t="s">
        <v>1854</v>
      </c>
      <c r="N4474" s="12"/>
      <c r="O4474" s="11" t="s">
        <v>1859</v>
      </c>
      <c r="P4474" s="56"/>
    </row>
    <row r="4475" spans="1:16" ht="15.75" customHeight="1" x14ac:dyDescent="0.2">
      <c r="A4475" s="48">
        <v>6858</v>
      </c>
      <c r="B4475" s="11" t="s">
        <v>1857</v>
      </c>
      <c r="C4475" s="11" t="s">
        <v>1849</v>
      </c>
      <c r="D4475" s="6" t="s">
        <v>1850</v>
      </c>
      <c r="E4475" s="11" t="s">
        <v>8816</v>
      </c>
      <c r="F4475" s="12" t="s">
        <v>8816</v>
      </c>
      <c r="G4475" s="12" t="s">
        <v>4741</v>
      </c>
      <c r="H4475" s="12" t="s">
        <v>8948</v>
      </c>
      <c r="I4475" s="12" t="s">
        <v>9483</v>
      </c>
      <c r="J4475" s="11" t="s">
        <v>2246</v>
      </c>
      <c r="K4475" s="11" t="s">
        <v>2247</v>
      </c>
      <c r="L4475" s="11" t="s">
        <v>1853</v>
      </c>
      <c r="M4475" s="11" t="s">
        <v>9484</v>
      </c>
      <c r="N4475" s="12" t="s">
        <v>9436</v>
      </c>
      <c r="O4475" s="11" t="s">
        <v>1858</v>
      </c>
      <c r="P4475" s="56"/>
    </row>
    <row r="4476" spans="1:16" ht="15.75" customHeight="1" x14ac:dyDescent="0.2">
      <c r="A4476" s="48">
        <v>4680</v>
      </c>
      <c r="B4476" s="11" t="s">
        <v>1857</v>
      </c>
      <c r="C4476" s="11" t="s">
        <v>1849</v>
      </c>
      <c r="D4476" s="6" t="s">
        <v>1850</v>
      </c>
      <c r="E4476" s="11" t="s">
        <v>8816</v>
      </c>
      <c r="F4476" s="12" t="s">
        <v>8816</v>
      </c>
      <c r="G4476" s="12" t="s">
        <v>8817</v>
      </c>
      <c r="H4476" s="59" t="s">
        <v>9185</v>
      </c>
      <c r="I4476" s="12" t="s">
        <v>9485</v>
      </c>
      <c r="J4476" s="11" t="s">
        <v>1856</v>
      </c>
      <c r="K4476" s="11" t="s">
        <v>1852</v>
      </c>
      <c r="L4476" s="11" t="s">
        <v>1853</v>
      </c>
      <c r="M4476" s="11" t="s">
        <v>2276</v>
      </c>
      <c r="N4476" s="12"/>
      <c r="O4476" s="11" t="s">
        <v>1858</v>
      </c>
      <c r="P4476" s="56"/>
    </row>
    <row r="4477" spans="1:16" ht="15.75" customHeight="1" x14ac:dyDescent="0.2">
      <c r="A4477" s="48">
        <v>4477</v>
      </c>
      <c r="B4477" s="11" t="s">
        <v>1857</v>
      </c>
      <c r="C4477" s="11" t="s">
        <v>1849</v>
      </c>
      <c r="D4477" s="6" t="s">
        <v>1850</v>
      </c>
      <c r="E4477" s="11" t="s">
        <v>8816</v>
      </c>
      <c r="F4477" s="12" t="s">
        <v>8816</v>
      </c>
      <c r="G4477" s="12" t="s">
        <v>6658</v>
      </c>
      <c r="H4477" s="59" t="s">
        <v>9022</v>
      </c>
      <c r="I4477" s="12" t="s">
        <v>9486</v>
      </c>
      <c r="J4477" s="11" t="s">
        <v>1856</v>
      </c>
      <c r="K4477" s="11" t="s">
        <v>1852</v>
      </c>
      <c r="L4477" s="11" t="s">
        <v>1853</v>
      </c>
      <c r="M4477" s="11" t="s">
        <v>2316</v>
      </c>
      <c r="N4477" s="12"/>
      <c r="O4477" s="11" t="s">
        <v>1858</v>
      </c>
      <c r="P4477" s="56"/>
    </row>
    <row r="4478" spans="1:16" ht="15.75" customHeight="1" x14ac:dyDescent="0.2">
      <c r="A4478" s="48">
        <v>4558</v>
      </c>
      <c r="B4478" s="11" t="s">
        <v>1857</v>
      </c>
      <c r="C4478" s="11" t="s">
        <v>1849</v>
      </c>
      <c r="D4478" s="6" t="s">
        <v>1850</v>
      </c>
      <c r="E4478" s="11" t="s">
        <v>8816</v>
      </c>
      <c r="F4478" s="12" t="s">
        <v>8816</v>
      </c>
      <c r="G4478" s="12" t="s">
        <v>8817</v>
      </c>
      <c r="H4478" s="59" t="s">
        <v>8817</v>
      </c>
      <c r="I4478" s="12" t="s">
        <v>8242</v>
      </c>
      <c r="J4478" s="11" t="s">
        <v>1856</v>
      </c>
      <c r="K4478" s="11" t="s">
        <v>1852</v>
      </c>
      <c r="L4478" s="11" t="s">
        <v>1853</v>
      </c>
      <c r="M4478" s="11" t="s">
        <v>1854</v>
      </c>
      <c r="N4478" s="12"/>
      <c r="O4478" s="11" t="s">
        <v>1858</v>
      </c>
      <c r="P4478" s="56"/>
    </row>
    <row r="4479" spans="1:16" ht="15.75" customHeight="1" x14ac:dyDescent="0.2">
      <c r="A4479" s="48">
        <v>4204</v>
      </c>
      <c r="B4479" s="11" t="s">
        <v>1857</v>
      </c>
      <c r="C4479" s="11" t="s">
        <v>1849</v>
      </c>
      <c r="D4479" s="6" t="s">
        <v>1850</v>
      </c>
      <c r="E4479" s="11" t="s">
        <v>8816</v>
      </c>
      <c r="F4479" s="12" t="s">
        <v>8816</v>
      </c>
      <c r="G4479" s="12" t="s">
        <v>8851</v>
      </c>
      <c r="H4479" s="59" t="s">
        <v>5839</v>
      </c>
      <c r="I4479" s="12" t="s">
        <v>9487</v>
      </c>
      <c r="J4479" s="11" t="s">
        <v>1856</v>
      </c>
      <c r="K4479" s="11" t="s">
        <v>1852</v>
      </c>
      <c r="L4479" s="11" t="s">
        <v>1853</v>
      </c>
      <c r="M4479" s="11" t="s">
        <v>6185</v>
      </c>
      <c r="N4479" s="12"/>
      <c r="O4479" s="11" t="s">
        <v>1859</v>
      </c>
      <c r="P4479" s="56"/>
    </row>
    <row r="4480" spans="1:16" ht="15.75" customHeight="1" x14ac:dyDescent="0.2">
      <c r="A4480" s="48">
        <v>4658</v>
      </c>
      <c r="B4480" s="11" t="s">
        <v>1857</v>
      </c>
      <c r="C4480" s="11" t="s">
        <v>1849</v>
      </c>
      <c r="D4480" s="6" t="s">
        <v>1850</v>
      </c>
      <c r="E4480" s="11" t="s">
        <v>8816</v>
      </c>
      <c r="F4480" s="12" t="s">
        <v>8816</v>
      </c>
      <c r="G4480" s="12" t="s">
        <v>8817</v>
      </c>
      <c r="H4480" s="59" t="s">
        <v>8830</v>
      </c>
      <c r="I4480" s="12" t="s">
        <v>9488</v>
      </c>
      <c r="J4480" s="11" t="s">
        <v>1856</v>
      </c>
      <c r="K4480" s="11" t="s">
        <v>1852</v>
      </c>
      <c r="L4480" s="11" t="s">
        <v>1853</v>
      </c>
      <c r="M4480" s="11" t="s">
        <v>1854</v>
      </c>
      <c r="N4480" s="12"/>
      <c r="O4480" s="11" t="s">
        <v>1858</v>
      </c>
      <c r="P4480" s="56"/>
    </row>
    <row r="4481" spans="1:16" ht="15.75" customHeight="1" x14ac:dyDescent="0.2">
      <c r="A4481" s="48">
        <v>4446</v>
      </c>
      <c r="B4481" s="11" t="s">
        <v>1857</v>
      </c>
      <c r="C4481" s="11" t="s">
        <v>1849</v>
      </c>
      <c r="D4481" s="6" t="s">
        <v>1850</v>
      </c>
      <c r="E4481" s="11" t="s">
        <v>8816</v>
      </c>
      <c r="F4481" s="12" t="s">
        <v>8816</v>
      </c>
      <c r="G4481" s="12" t="s">
        <v>8825</v>
      </c>
      <c r="H4481" s="59" t="s">
        <v>9352</v>
      </c>
      <c r="I4481" s="12" t="s">
        <v>5301</v>
      </c>
      <c r="J4481" s="11" t="s">
        <v>1856</v>
      </c>
      <c r="K4481" s="11" t="s">
        <v>1852</v>
      </c>
      <c r="L4481" s="11" t="s">
        <v>1853</v>
      </c>
      <c r="M4481" s="11" t="s">
        <v>4471</v>
      </c>
      <c r="N4481" s="12"/>
      <c r="O4481" s="11" t="s">
        <v>1859</v>
      </c>
      <c r="P4481" s="56"/>
    </row>
    <row r="4482" spans="1:16" ht="15.75" customHeight="1" x14ac:dyDescent="0.2">
      <c r="A4482" s="48">
        <v>4539</v>
      </c>
      <c r="B4482" s="11" t="s">
        <v>1857</v>
      </c>
      <c r="C4482" s="11" t="s">
        <v>1849</v>
      </c>
      <c r="D4482" s="6" t="s">
        <v>1850</v>
      </c>
      <c r="E4482" s="11" t="s">
        <v>8816</v>
      </c>
      <c r="F4482" s="12" t="s">
        <v>8816</v>
      </c>
      <c r="G4482" s="12" t="s">
        <v>4741</v>
      </c>
      <c r="H4482" s="59" t="s">
        <v>9489</v>
      </c>
      <c r="I4482" s="12" t="s">
        <v>9490</v>
      </c>
      <c r="J4482" s="11" t="s">
        <v>1856</v>
      </c>
      <c r="K4482" s="11" t="s">
        <v>1852</v>
      </c>
      <c r="L4482" s="11" t="s">
        <v>1853</v>
      </c>
      <c r="M4482" s="11" t="s">
        <v>1854</v>
      </c>
      <c r="N4482" s="12"/>
      <c r="O4482" s="11" t="s">
        <v>1858</v>
      </c>
      <c r="P4482" s="56"/>
    </row>
    <row r="4483" spans="1:16" ht="15.75" customHeight="1" x14ac:dyDescent="0.2">
      <c r="A4483" s="48">
        <v>4168</v>
      </c>
      <c r="B4483" s="11" t="s">
        <v>1857</v>
      </c>
      <c r="C4483" s="11" t="s">
        <v>1849</v>
      </c>
      <c r="D4483" s="6" t="s">
        <v>1850</v>
      </c>
      <c r="E4483" s="11" t="s">
        <v>8816</v>
      </c>
      <c r="F4483" s="12" t="s">
        <v>8816</v>
      </c>
      <c r="G4483" s="12" t="s">
        <v>8851</v>
      </c>
      <c r="H4483" s="12" t="s">
        <v>8916</v>
      </c>
      <c r="I4483" s="12" t="s">
        <v>9491</v>
      </c>
      <c r="J4483" s="11" t="s">
        <v>1856</v>
      </c>
      <c r="K4483" s="11" t="s">
        <v>1852</v>
      </c>
      <c r="L4483" s="11" t="s">
        <v>1853</v>
      </c>
      <c r="M4483" s="11" t="s">
        <v>1854</v>
      </c>
      <c r="N4483" s="12"/>
      <c r="O4483" s="11" t="s">
        <v>1859</v>
      </c>
      <c r="P4483" s="56"/>
    </row>
    <row r="4484" spans="1:16" ht="15.75" customHeight="1" x14ac:dyDescent="0.2">
      <c r="A4484" s="48">
        <v>4325</v>
      </c>
      <c r="B4484" s="11" t="s">
        <v>1857</v>
      </c>
      <c r="C4484" s="11" t="s">
        <v>1849</v>
      </c>
      <c r="D4484" s="6" t="s">
        <v>1850</v>
      </c>
      <c r="E4484" s="11" t="s">
        <v>8816</v>
      </c>
      <c r="F4484" s="12" t="s">
        <v>8816</v>
      </c>
      <c r="G4484" s="12" t="s">
        <v>5635</v>
      </c>
      <c r="H4484" s="12" t="s">
        <v>9204</v>
      </c>
      <c r="I4484" s="12" t="s">
        <v>5309</v>
      </c>
      <c r="J4484" s="11" t="s">
        <v>1856</v>
      </c>
      <c r="K4484" s="11" t="s">
        <v>1852</v>
      </c>
      <c r="L4484" s="11" t="s">
        <v>1853</v>
      </c>
      <c r="M4484" s="11" t="s">
        <v>2549</v>
      </c>
      <c r="N4484" s="12" t="s">
        <v>9492</v>
      </c>
      <c r="O4484" s="11" t="s">
        <v>1858</v>
      </c>
      <c r="P4484" s="56"/>
    </row>
    <row r="4485" spans="1:16" ht="15.75" customHeight="1" x14ac:dyDescent="0.2">
      <c r="A4485" s="48">
        <v>4774</v>
      </c>
      <c r="B4485" s="11" t="s">
        <v>1857</v>
      </c>
      <c r="C4485" s="11" t="s">
        <v>1849</v>
      </c>
      <c r="D4485" s="6" t="s">
        <v>1850</v>
      </c>
      <c r="E4485" s="11" t="s">
        <v>8816</v>
      </c>
      <c r="F4485" s="12" t="s">
        <v>8816</v>
      </c>
      <c r="G4485" s="12" t="s">
        <v>8844</v>
      </c>
      <c r="H4485" s="59" t="s">
        <v>2789</v>
      </c>
      <c r="I4485" s="12" t="s">
        <v>9493</v>
      </c>
      <c r="J4485" s="11" t="s">
        <v>1856</v>
      </c>
      <c r="K4485" s="11" t="s">
        <v>1852</v>
      </c>
      <c r="L4485" s="11" t="s">
        <v>1853</v>
      </c>
      <c r="M4485" s="12" t="s">
        <v>9310</v>
      </c>
      <c r="N4485" s="12"/>
      <c r="O4485" s="11" t="s">
        <v>1858</v>
      </c>
      <c r="P4485" s="56"/>
    </row>
    <row r="4486" spans="1:16" ht="15.75" customHeight="1" x14ac:dyDescent="0.2">
      <c r="A4486" s="48">
        <v>4087</v>
      </c>
      <c r="B4486" s="11" t="s">
        <v>1857</v>
      </c>
      <c r="C4486" s="11" t="s">
        <v>1849</v>
      </c>
      <c r="D4486" s="6" t="s">
        <v>1850</v>
      </c>
      <c r="E4486" s="11" t="s">
        <v>8816</v>
      </c>
      <c r="F4486" s="12" t="s">
        <v>8816</v>
      </c>
      <c r="G4486" s="12" t="s">
        <v>8895</v>
      </c>
      <c r="H4486" s="12" t="s">
        <v>6650</v>
      </c>
      <c r="I4486" s="12" t="s">
        <v>5314</v>
      </c>
      <c r="J4486" s="11" t="s">
        <v>1856</v>
      </c>
      <c r="K4486" s="11" t="s">
        <v>1852</v>
      </c>
      <c r="L4486" s="11" t="s">
        <v>1853</v>
      </c>
      <c r="M4486" s="11" t="s">
        <v>9089</v>
      </c>
      <c r="N4486" s="12"/>
      <c r="O4486" s="11" t="s">
        <v>1858</v>
      </c>
      <c r="P4486" s="56"/>
    </row>
    <row r="4487" spans="1:16" ht="15.75" customHeight="1" x14ac:dyDescent="0.2">
      <c r="A4487" s="48">
        <v>4183</v>
      </c>
      <c r="B4487" s="11" t="s">
        <v>1857</v>
      </c>
      <c r="C4487" s="11" t="s">
        <v>1849</v>
      </c>
      <c r="D4487" s="6" t="s">
        <v>1850</v>
      </c>
      <c r="E4487" s="11" t="s">
        <v>8816</v>
      </c>
      <c r="F4487" s="12" t="s">
        <v>8816</v>
      </c>
      <c r="G4487" s="12" t="s">
        <v>8851</v>
      </c>
      <c r="H4487" s="59" t="s">
        <v>5839</v>
      </c>
      <c r="I4487" s="12" t="s">
        <v>4111</v>
      </c>
      <c r="J4487" s="11" t="s">
        <v>1856</v>
      </c>
      <c r="K4487" s="11" t="s">
        <v>1852</v>
      </c>
      <c r="L4487" s="11" t="s">
        <v>1853</v>
      </c>
      <c r="M4487" s="11" t="s">
        <v>9494</v>
      </c>
      <c r="N4487" s="12" t="s">
        <v>9495</v>
      </c>
      <c r="O4487" s="11" t="s">
        <v>1858</v>
      </c>
      <c r="P4487" s="56"/>
    </row>
    <row r="4488" spans="1:16" ht="15.75" customHeight="1" x14ac:dyDescent="0.2">
      <c r="A4488" s="48">
        <v>4145</v>
      </c>
      <c r="B4488" s="11" t="s">
        <v>1857</v>
      </c>
      <c r="C4488" s="11" t="s">
        <v>1849</v>
      </c>
      <c r="D4488" s="6" t="s">
        <v>1850</v>
      </c>
      <c r="E4488" s="11" t="s">
        <v>8816</v>
      </c>
      <c r="F4488" s="12" t="s">
        <v>8816</v>
      </c>
      <c r="G4488" s="12" t="s">
        <v>8820</v>
      </c>
      <c r="H4488" s="12" t="s">
        <v>8904</v>
      </c>
      <c r="I4488" s="12" t="s">
        <v>9496</v>
      </c>
      <c r="J4488" s="11" t="s">
        <v>1856</v>
      </c>
      <c r="K4488" s="11" t="s">
        <v>1852</v>
      </c>
      <c r="L4488" s="11" t="s">
        <v>1853</v>
      </c>
      <c r="M4488" s="11" t="s">
        <v>2276</v>
      </c>
      <c r="N4488" s="12"/>
      <c r="O4488" s="11" t="s">
        <v>1858</v>
      </c>
      <c r="P4488" s="56"/>
    </row>
    <row r="4489" spans="1:16" ht="15.75" customHeight="1" x14ac:dyDescent="0.2">
      <c r="A4489" s="48">
        <v>4171</v>
      </c>
      <c r="B4489" s="11" t="s">
        <v>1857</v>
      </c>
      <c r="C4489" s="11" t="s">
        <v>1849</v>
      </c>
      <c r="D4489" s="6" t="s">
        <v>1850</v>
      </c>
      <c r="E4489" s="11" t="s">
        <v>8816</v>
      </c>
      <c r="F4489" s="12" t="s">
        <v>8816</v>
      </c>
      <c r="G4489" s="12" t="s">
        <v>8851</v>
      </c>
      <c r="H4489" s="12" t="s">
        <v>5755</v>
      </c>
      <c r="I4489" s="12" t="s">
        <v>9497</v>
      </c>
      <c r="J4489" s="11" t="s">
        <v>1856</v>
      </c>
      <c r="K4489" s="11" t="s">
        <v>1852</v>
      </c>
      <c r="L4489" s="11" t="s">
        <v>1853</v>
      </c>
      <c r="M4489" s="11" t="s">
        <v>3222</v>
      </c>
      <c r="N4489" s="12"/>
      <c r="O4489" s="11" t="s">
        <v>1858</v>
      </c>
      <c r="P4489" s="56"/>
    </row>
    <row r="4490" spans="1:16" ht="15.75" customHeight="1" x14ac:dyDescent="0.2">
      <c r="A4490" s="48">
        <v>4227</v>
      </c>
      <c r="B4490" s="11" t="s">
        <v>1857</v>
      </c>
      <c r="C4490" s="11" t="s">
        <v>1849</v>
      </c>
      <c r="D4490" s="6" t="s">
        <v>1850</v>
      </c>
      <c r="E4490" s="11" t="s">
        <v>8816</v>
      </c>
      <c r="F4490" s="12" t="s">
        <v>8816</v>
      </c>
      <c r="G4490" s="12" t="s">
        <v>8851</v>
      </c>
      <c r="H4490" s="12" t="s">
        <v>8854</v>
      </c>
      <c r="I4490" s="12" t="s">
        <v>9498</v>
      </c>
      <c r="J4490" s="11" t="s">
        <v>1856</v>
      </c>
      <c r="K4490" s="11" t="s">
        <v>1852</v>
      </c>
      <c r="L4490" s="11" t="s">
        <v>1853</v>
      </c>
      <c r="M4490" s="11" t="s">
        <v>6131</v>
      </c>
      <c r="N4490" s="12" t="s">
        <v>9499</v>
      </c>
      <c r="O4490" s="11" t="s">
        <v>1858</v>
      </c>
      <c r="P4490" s="56"/>
    </row>
    <row r="4491" spans="1:16" ht="15.75" customHeight="1" x14ac:dyDescent="0.2">
      <c r="A4491" s="48">
        <v>4798</v>
      </c>
      <c r="B4491" s="11" t="s">
        <v>1857</v>
      </c>
      <c r="C4491" s="11" t="s">
        <v>1849</v>
      </c>
      <c r="D4491" s="6" t="s">
        <v>1850</v>
      </c>
      <c r="E4491" s="11" t="s">
        <v>8816</v>
      </c>
      <c r="F4491" s="12" t="s">
        <v>8816</v>
      </c>
      <c r="G4491" s="12" t="s">
        <v>8844</v>
      </c>
      <c r="H4491" s="59" t="s">
        <v>3676</v>
      </c>
      <c r="I4491" s="12" t="s">
        <v>9500</v>
      </c>
      <c r="J4491" s="11" t="s">
        <v>1856</v>
      </c>
      <c r="K4491" s="11" t="s">
        <v>1852</v>
      </c>
      <c r="L4491" s="11" t="s">
        <v>1853</v>
      </c>
      <c r="M4491" s="11" t="s">
        <v>2807</v>
      </c>
      <c r="N4491" s="12" t="s">
        <v>9501</v>
      </c>
      <c r="O4491" s="11" t="s">
        <v>1858</v>
      </c>
      <c r="P4491" s="56"/>
    </row>
    <row r="4492" spans="1:16" ht="15.75" customHeight="1" x14ac:dyDescent="0.2">
      <c r="A4492" s="48">
        <v>4163</v>
      </c>
      <c r="B4492" s="11" t="s">
        <v>1857</v>
      </c>
      <c r="C4492" s="11" t="s">
        <v>1849</v>
      </c>
      <c r="D4492" s="6" t="s">
        <v>1850</v>
      </c>
      <c r="E4492" s="11" t="s">
        <v>8816</v>
      </c>
      <c r="F4492" s="12" t="s">
        <v>8816</v>
      </c>
      <c r="G4492" s="12" t="s">
        <v>8851</v>
      </c>
      <c r="H4492" s="12" t="s">
        <v>8916</v>
      </c>
      <c r="I4492" s="12" t="s">
        <v>8986</v>
      </c>
      <c r="J4492" s="11" t="s">
        <v>1856</v>
      </c>
      <c r="K4492" s="11" t="s">
        <v>1852</v>
      </c>
      <c r="L4492" s="11" t="s">
        <v>1853</v>
      </c>
      <c r="M4492" s="11" t="s">
        <v>9502</v>
      </c>
      <c r="N4492" s="12"/>
      <c r="O4492" s="11" t="s">
        <v>1858</v>
      </c>
      <c r="P4492" s="56"/>
    </row>
    <row r="4493" spans="1:16" ht="15.75" customHeight="1" x14ac:dyDescent="0.2">
      <c r="A4493" s="48">
        <v>4557</v>
      </c>
      <c r="B4493" s="11" t="s">
        <v>1857</v>
      </c>
      <c r="C4493" s="11" t="s">
        <v>1849</v>
      </c>
      <c r="D4493" s="6" t="s">
        <v>1850</v>
      </c>
      <c r="E4493" s="11" t="s">
        <v>8816</v>
      </c>
      <c r="F4493" s="12" t="s">
        <v>8816</v>
      </c>
      <c r="G4493" s="12" t="s">
        <v>8817</v>
      </c>
      <c r="H4493" s="59" t="s">
        <v>9198</v>
      </c>
      <c r="I4493" s="12" t="s">
        <v>5350</v>
      </c>
      <c r="J4493" s="11" t="s">
        <v>1856</v>
      </c>
      <c r="K4493" s="11" t="s">
        <v>1852</v>
      </c>
      <c r="L4493" s="11" t="s">
        <v>1853</v>
      </c>
      <c r="M4493" s="11" t="s">
        <v>9503</v>
      </c>
      <c r="N4493" s="12"/>
      <c r="O4493" s="11" t="s">
        <v>1858</v>
      </c>
      <c r="P4493" s="56"/>
    </row>
    <row r="4494" spans="1:16" ht="15.75" customHeight="1" x14ac:dyDescent="0.2">
      <c r="A4494" s="48">
        <v>4192</v>
      </c>
      <c r="B4494" s="11" t="s">
        <v>1857</v>
      </c>
      <c r="C4494" s="11" t="s">
        <v>1849</v>
      </c>
      <c r="D4494" s="6" t="s">
        <v>1850</v>
      </c>
      <c r="E4494" s="11" t="s">
        <v>8816</v>
      </c>
      <c r="F4494" s="12" t="s">
        <v>8816</v>
      </c>
      <c r="G4494" s="12" t="s">
        <v>8851</v>
      </c>
      <c r="H4494" s="12" t="s">
        <v>8916</v>
      </c>
      <c r="I4494" s="12" t="s">
        <v>9504</v>
      </c>
      <c r="J4494" s="11" t="s">
        <v>1856</v>
      </c>
      <c r="K4494" s="11" t="s">
        <v>1852</v>
      </c>
      <c r="L4494" s="11" t="s">
        <v>1853</v>
      </c>
      <c r="M4494" s="11" t="s">
        <v>6582</v>
      </c>
      <c r="N4494" s="12"/>
      <c r="O4494" s="11" t="s">
        <v>1858</v>
      </c>
      <c r="P4494" s="56"/>
    </row>
    <row r="4495" spans="1:16" ht="15.75" customHeight="1" x14ac:dyDescent="0.2">
      <c r="A4495" s="48">
        <v>4484</v>
      </c>
      <c r="B4495" s="11" t="s">
        <v>1857</v>
      </c>
      <c r="C4495" s="11" t="s">
        <v>1849</v>
      </c>
      <c r="D4495" s="6" t="s">
        <v>1850</v>
      </c>
      <c r="E4495" s="11" t="s">
        <v>8816</v>
      </c>
      <c r="F4495" s="12" t="s">
        <v>8816</v>
      </c>
      <c r="G4495" s="12" t="s">
        <v>6658</v>
      </c>
      <c r="H4495" s="59" t="s">
        <v>2845</v>
      </c>
      <c r="I4495" s="12" t="s">
        <v>8264</v>
      </c>
      <c r="J4495" s="11" t="s">
        <v>1856</v>
      </c>
      <c r="K4495" s="11" t="s">
        <v>1852</v>
      </c>
      <c r="L4495" s="11" t="s">
        <v>1853</v>
      </c>
      <c r="M4495" s="11" t="s">
        <v>6597</v>
      </c>
      <c r="N4495" s="12"/>
      <c r="O4495" s="11" t="s">
        <v>1858</v>
      </c>
      <c r="P4495" s="56"/>
    </row>
    <row r="4496" spans="1:16" ht="15.75" customHeight="1" x14ac:dyDescent="0.2">
      <c r="A4496" s="48">
        <v>4662</v>
      </c>
      <c r="B4496" s="11" t="s">
        <v>1857</v>
      </c>
      <c r="C4496" s="11" t="s">
        <v>1849</v>
      </c>
      <c r="D4496" s="6" t="s">
        <v>1850</v>
      </c>
      <c r="E4496" s="11" t="s">
        <v>8816</v>
      </c>
      <c r="F4496" s="12" t="s">
        <v>8816</v>
      </c>
      <c r="G4496" s="12" t="s">
        <v>8817</v>
      </c>
      <c r="H4496" s="59" t="s">
        <v>8960</v>
      </c>
      <c r="I4496" s="12" t="s">
        <v>5355</v>
      </c>
      <c r="J4496" s="11" t="s">
        <v>1856</v>
      </c>
      <c r="K4496" s="11" t="s">
        <v>1852</v>
      </c>
      <c r="L4496" s="11" t="s">
        <v>1853</v>
      </c>
      <c r="M4496" s="11" t="s">
        <v>3213</v>
      </c>
      <c r="N4496" s="12"/>
      <c r="O4496" s="11" t="s">
        <v>1858</v>
      </c>
      <c r="P4496" s="56"/>
    </row>
    <row r="4497" spans="1:16" ht="15.75" customHeight="1" x14ac:dyDescent="0.2">
      <c r="A4497" s="48">
        <v>4269</v>
      </c>
      <c r="B4497" s="11" t="s">
        <v>1857</v>
      </c>
      <c r="C4497" s="11" t="s">
        <v>1849</v>
      </c>
      <c r="D4497" s="6" t="s">
        <v>1850</v>
      </c>
      <c r="E4497" s="11" t="s">
        <v>8816</v>
      </c>
      <c r="F4497" s="12" t="s">
        <v>8816</v>
      </c>
      <c r="G4497" s="12" t="s">
        <v>2299</v>
      </c>
      <c r="H4497" s="12" t="s">
        <v>8918</v>
      </c>
      <c r="I4497" s="12" t="s">
        <v>9505</v>
      </c>
      <c r="J4497" s="11" t="s">
        <v>1856</v>
      </c>
      <c r="K4497" s="11" t="s">
        <v>1852</v>
      </c>
      <c r="L4497" s="11" t="s">
        <v>1853</v>
      </c>
      <c r="M4497" s="11" t="s">
        <v>9506</v>
      </c>
      <c r="N4497" s="12"/>
      <c r="O4497" s="11" t="s">
        <v>1858</v>
      </c>
      <c r="P4497" s="56"/>
    </row>
    <row r="4498" spans="1:16" ht="15.75" customHeight="1" x14ac:dyDescent="0.2">
      <c r="A4498" s="48">
        <v>4782</v>
      </c>
      <c r="B4498" s="11" t="s">
        <v>1857</v>
      </c>
      <c r="C4498" s="11" t="s">
        <v>1849</v>
      </c>
      <c r="D4498" s="6" t="s">
        <v>1850</v>
      </c>
      <c r="E4498" s="11" t="s">
        <v>8816</v>
      </c>
      <c r="F4498" s="12" t="s">
        <v>8816</v>
      </c>
      <c r="G4498" s="12" t="s">
        <v>8844</v>
      </c>
      <c r="H4498" s="59" t="s">
        <v>2789</v>
      </c>
      <c r="I4498" s="12" t="s">
        <v>9507</v>
      </c>
      <c r="J4498" s="11" t="s">
        <v>1856</v>
      </c>
      <c r="K4498" s="11" t="s">
        <v>1852</v>
      </c>
      <c r="L4498" s="11" t="s">
        <v>1853</v>
      </c>
      <c r="M4498" s="11" t="s">
        <v>5257</v>
      </c>
      <c r="N4498" s="12"/>
      <c r="O4498" s="11" t="s">
        <v>1858</v>
      </c>
      <c r="P4498" s="56"/>
    </row>
    <row r="4499" spans="1:16" ht="15.75" customHeight="1" x14ac:dyDescent="0.2">
      <c r="A4499" s="48">
        <v>4188</v>
      </c>
      <c r="B4499" s="11" t="s">
        <v>1857</v>
      </c>
      <c r="C4499" s="11" t="s">
        <v>1849</v>
      </c>
      <c r="D4499" s="6" t="s">
        <v>1850</v>
      </c>
      <c r="E4499" s="11" t="s">
        <v>8816</v>
      </c>
      <c r="F4499" s="12" t="s">
        <v>8816</v>
      </c>
      <c r="G4499" s="12" t="s">
        <v>8851</v>
      </c>
      <c r="H4499" s="12" t="s">
        <v>8916</v>
      </c>
      <c r="I4499" s="12" t="s">
        <v>9508</v>
      </c>
      <c r="J4499" s="11" t="s">
        <v>1856</v>
      </c>
      <c r="K4499" s="11" t="s">
        <v>1852</v>
      </c>
      <c r="L4499" s="11" t="s">
        <v>1853</v>
      </c>
      <c r="M4499" s="11" t="s">
        <v>9509</v>
      </c>
      <c r="N4499" s="12"/>
      <c r="O4499" s="11" t="s">
        <v>1858</v>
      </c>
      <c r="P4499" s="56"/>
    </row>
    <row r="4500" spans="1:16" ht="15.75" customHeight="1" x14ac:dyDescent="0.2">
      <c r="A4500" s="48">
        <v>4525</v>
      </c>
      <c r="B4500" s="11" t="s">
        <v>1857</v>
      </c>
      <c r="C4500" s="11" t="s">
        <v>1849</v>
      </c>
      <c r="D4500" s="6" t="s">
        <v>1850</v>
      </c>
      <c r="E4500" s="11" t="s">
        <v>8816</v>
      </c>
      <c r="F4500" s="12" t="s">
        <v>8816</v>
      </c>
      <c r="G4500" s="12" t="s">
        <v>4741</v>
      </c>
      <c r="H4500" s="59" t="s">
        <v>9131</v>
      </c>
      <c r="I4500" s="12" t="s">
        <v>9510</v>
      </c>
      <c r="J4500" s="11" t="s">
        <v>1856</v>
      </c>
      <c r="K4500" s="11" t="s">
        <v>1852</v>
      </c>
      <c r="L4500" s="11" t="s">
        <v>1853</v>
      </c>
      <c r="M4500" s="11" t="s">
        <v>8866</v>
      </c>
      <c r="N4500" s="12"/>
      <c r="O4500" s="11" t="s">
        <v>1858</v>
      </c>
      <c r="P4500" s="56"/>
    </row>
    <row r="4501" spans="1:16" ht="15.75" customHeight="1" x14ac:dyDescent="0.2">
      <c r="A4501" s="48">
        <v>4149</v>
      </c>
      <c r="B4501" s="11" t="s">
        <v>1857</v>
      </c>
      <c r="C4501" s="11" t="s">
        <v>1849</v>
      </c>
      <c r="D4501" s="6" t="s">
        <v>1850</v>
      </c>
      <c r="E4501" s="11" t="s">
        <v>8816</v>
      </c>
      <c r="F4501" s="12" t="s">
        <v>8816</v>
      </c>
      <c r="G4501" s="12" t="s">
        <v>8820</v>
      </c>
      <c r="H4501" s="12" t="s">
        <v>9095</v>
      </c>
      <c r="I4501" s="12" t="s">
        <v>9511</v>
      </c>
      <c r="J4501" s="11" t="s">
        <v>1856</v>
      </c>
      <c r="K4501" s="11" t="s">
        <v>1852</v>
      </c>
      <c r="L4501" s="11" t="s">
        <v>1853</v>
      </c>
      <c r="M4501" s="11" t="s">
        <v>9512</v>
      </c>
      <c r="N4501" s="12" t="s">
        <v>9513</v>
      </c>
      <c r="O4501" s="11" t="s">
        <v>1858</v>
      </c>
      <c r="P4501" s="56"/>
    </row>
    <row r="4502" spans="1:16" ht="15.75" customHeight="1" x14ac:dyDescent="0.2">
      <c r="A4502" s="48">
        <v>4488</v>
      </c>
      <c r="B4502" s="11" t="s">
        <v>1857</v>
      </c>
      <c r="C4502" s="11" t="s">
        <v>1849</v>
      </c>
      <c r="D4502" s="6" t="s">
        <v>1850</v>
      </c>
      <c r="E4502" s="11" t="s">
        <v>8816</v>
      </c>
      <c r="F4502" s="12" t="s">
        <v>8816</v>
      </c>
      <c r="G4502" s="12" t="s">
        <v>6658</v>
      </c>
      <c r="H4502" s="59" t="s">
        <v>5839</v>
      </c>
      <c r="I4502" s="12" t="s">
        <v>9514</v>
      </c>
      <c r="J4502" s="11" t="s">
        <v>1856</v>
      </c>
      <c r="K4502" s="11" t="s">
        <v>1852</v>
      </c>
      <c r="L4502" s="11" t="s">
        <v>1853</v>
      </c>
      <c r="M4502" s="11" t="s">
        <v>6582</v>
      </c>
      <c r="N4502" s="12" t="s">
        <v>9515</v>
      </c>
      <c r="O4502" s="11" t="s">
        <v>1858</v>
      </c>
      <c r="P4502" s="56"/>
    </row>
    <row r="4503" spans="1:16" ht="15.75" customHeight="1" x14ac:dyDescent="0.2">
      <c r="A4503" s="48">
        <v>4794</v>
      </c>
      <c r="B4503" s="11" t="s">
        <v>1857</v>
      </c>
      <c r="C4503" s="11" t="s">
        <v>1849</v>
      </c>
      <c r="D4503" s="6" t="s">
        <v>1850</v>
      </c>
      <c r="E4503" s="11" t="s">
        <v>8816</v>
      </c>
      <c r="F4503" s="12" t="s">
        <v>8816</v>
      </c>
      <c r="G4503" s="12" t="s">
        <v>8844</v>
      </c>
      <c r="H4503" s="59" t="s">
        <v>8970</v>
      </c>
      <c r="I4503" s="12" t="s">
        <v>9516</v>
      </c>
      <c r="J4503" s="11" t="s">
        <v>1856</v>
      </c>
      <c r="K4503" s="11" t="s">
        <v>1852</v>
      </c>
      <c r="L4503" s="11" t="s">
        <v>1853</v>
      </c>
      <c r="M4503" s="11" t="s">
        <v>9517</v>
      </c>
      <c r="N4503" s="12" t="s">
        <v>9518</v>
      </c>
      <c r="O4503" s="11" t="s">
        <v>1858</v>
      </c>
      <c r="P4503" s="56"/>
    </row>
    <row r="4504" spans="1:16" ht="15.75" customHeight="1" x14ac:dyDescent="0.2">
      <c r="A4504" s="48">
        <v>4422</v>
      </c>
      <c r="B4504" s="11" t="s">
        <v>1857</v>
      </c>
      <c r="C4504" s="11" t="s">
        <v>1849</v>
      </c>
      <c r="D4504" s="6" t="s">
        <v>1850</v>
      </c>
      <c r="E4504" s="11" t="s">
        <v>8816</v>
      </c>
      <c r="F4504" s="12" t="s">
        <v>8816</v>
      </c>
      <c r="G4504" s="12" t="s">
        <v>8858</v>
      </c>
      <c r="H4504" s="12" t="s">
        <v>8883</v>
      </c>
      <c r="I4504" s="12" t="s">
        <v>9519</v>
      </c>
      <c r="J4504" s="11" t="s">
        <v>1856</v>
      </c>
      <c r="K4504" s="11" t="s">
        <v>1852</v>
      </c>
      <c r="L4504" s="11" t="s">
        <v>1853</v>
      </c>
      <c r="M4504" s="11" t="s">
        <v>2276</v>
      </c>
      <c r="N4504" s="12"/>
      <c r="O4504" s="11" t="s">
        <v>1858</v>
      </c>
      <c r="P4504" s="56"/>
    </row>
    <row r="4505" spans="1:16" ht="15.75" customHeight="1" x14ac:dyDescent="0.2">
      <c r="A4505" s="48">
        <v>4094</v>
      </c>
      <c r="B4505" s="11" t="s">
        <v>1857</v>
      </c>
      <c r="C4505" s="11" t="s">
        <v>1849</v>
      </c>
      <c r="D4505" s="6" t="s">
        <v>1850</v>
      </c>
      <c r="E4505" s="11" t="s">
        <v>8816</v>
      </c>
      <c r="F4505" s="12" t="s">
        <v>8816</v>
      </c>
      <c r="G4505" s="12" t="s">
        <v>8895</v>
      </c>
      <c r="H4505" s="12" t="s">
        <v>8895</v>
      </c>
      <c r="I4505" s="12" t="s">
        <v>9520</v>
      </c>
      <c r="J4505" s="11" t="s">
        <v>1856</v>
      </c>
      <c r="K4505" s="11" t="s">
        <v>1852</v>
      </c>
      <c r="L4505" s="11" t="s">
        <v>1853</v>
      </c>
      <c r="M4505" s="11" t="s">
        <v>8893</v>
      </c>
      <c r="N4505" s="12"/>
      <c r="O4505" s="11" t="s">
        <v>1858</v>
      </c>
      <c r="P4505" s="56"/>
    </row>
    <row r="4506" spans="1:16" ht="15.75" customHeight="1" x14ac:dyDescent="0.2">
      <c r="A4506" s="48">
        <v>4276</v>
      </c>
      <c r="B4506" s="11" t="s">
        <v>1857</v>
      </c>
      <c r="C4506" s="11" t="s">
        <v>1849</v>
      </c>
      <c r="D4506" s="6" t="s">
        <v>1850</v>
      </c>
      <c r="E4506" s="11" t="s">
        <v>8816</v>
      </c>
      <c r="F4506" s="12" t="s">
        <v>8816</v>
      </c>
      <c r="G4506" s="12" t="s">
        <v>2299</v>
      </c>
      <c r="H4506" s="12" t="s">
        <v>3548</v>
      </c>
      <c r="I4506" s="12" t="s">
        <v>3319</v>
      </c>
      <c r="J4506" s="11" t="s">
        <v>1856</v>
      </c>
      <c r="K4506" s="11" t="s">
        <v>1852</v>
      </c>
      <c r="L4506" s="11" t="s">
        <v>1853</v>
      </c>
      <c r="M4506" s="11" t="s">
        <v>1854</v>
      </c>
      <c r="N4506" s="12"/>
      <c r="O4506" s="11" t="s">
        <v>1858</v>
      </c>
      <c r="P4506" s="56"/>
    </row>
    <row r="4507" spans="1:16" ht="15.75" customHeight="1" x14ac:dyDescent="0.2">
      <c r="A4507" s="48">
        <v>4641</v>
      </c>
      <c r="B4507" s="11" t="s">
        <v>1857</v>
      </c>
      <c r="C4507" s="11" t="s">
        <v>1849</v>
      </c>
      <c r="D4507" s="6" t="s">
        <v>1850</v>
      </c>
      <c r="E4507" s="11" t="s">
        <v>8816</v>
      </c>
      <c r="F4507" s="12" t="s">
        <v>8816</v>
      </c>
      <c r="G4507" s="12" t="s">
        <v>8817</v>
      </c>
      <c r="H4507" s="12" t="s">
        <v>5671</v>
      </c>
      <c r="I4507" s="12" t="s">
        <v>9521</v>
      </c>
      <c r="J4507" s="11" t="s">
        <v>1856</v>
      </c>
      <c r="K4507" s="11" t="s">
        <v>1852</v>
      </c>
      <c r="L4507" s="11" t="s">
        <v>1853</v>
      </c>
      <c r="M4507" s="11" t="s">
        <v>1854</v>
      </c>
      <c r="N4507" s="12"/>
      <c r="O4507" s="11" t="s">
        <v>1858</v>
      </c>
      <c r="P4507" s="56"/>
    </row>
    <row r="4508" spans="1:16" ht="15.75" customHeight="1" x14ac:dyDescent="0.2">
      <c r="A4508" s="48">
        <v>4222</v>
      </c>
      <c r="B4508" s="11" t="s">
        <v>1857</v>
      </c>
      <c r="C4508" s="11" t="s">
        <v>1849</v>
      </c>
      <c r="D4508" s="6" t="s">
        <v>1850</v>
      </c>
      <c r="E4508" s="11" t="s">
        <v>8816</v>
      </c>
      <c r="F4508" s="12" t="s">
        <v>8816</v>
      </c>
      <c r="G4508" s="12" t="s">
        <v>8851</v>
      </c>
      <c r="H4508" s="12" t="s">
        <v>8854</v>
      </c>
      <c r="I4508" s="12" t="s">
        <v>9522</v>
      </c>
      <c r="J4508" s="11" t="s">
        <v>1856</v>
      </c>
      <c r="K4508" s="11" t="s">
        <v>1852</v>
      </c>
      <c r="L4508" s="11" t="s">
        <v>1853</v>
      </c>
      <c r="M4508" s="11" t="s">
        <v>3811</v>
      </c>
      <c r="N4508" s="12" t="s">
        <v>9523</v>
      </c>
      <c r="O4508" s="11" t="s">
        <v>1858</v>
      </c>
      <c r="P4508" s="56"/>
    </row>
    <row r="4509" spans="1:16" ht="15.75" customHeight="1" x14ac:dyDescent="0.2">
      <c r="A4509" s="48">
        <v>4241</v>
      </c>
      <c r="B4509" s="11" t="s">
        <v>1857</v>
      </c>
      <c r="C4509" s="11" t="s">
        <v>1849</v>
      </c>
      <c r="D4509" s="6" t="s">
        <v>1850</v>
      </c>
      <c r="E4509" s="11" t="s">
        <v>8816</v>
      </c>
      <c r="F4509" s="12" t="s">
        <v>8816</v>
      </c>
      <c r="G4509" s="12" t="s">
        <v>8851</v>
      </c>
      <c r="H4509" s="12" t="s">
        <v>8974</v>
      </c>
      <c r="I4509" s="12" t="s">
        <v>5407</v>
      </c>
      <c r="J4509" s="11" t="s">
        <v>1856</v>
      </c>
      <c r="K4509" s="11" t="s">
        <v>1852</v>
      </c>
      <c r="L4509" s="11" t="s">
        <v>1853</v>
      </c>
      <c r="M4509" s="11" t="s">
        <v>1854</v>
      </c>
      <c r="N4509" s="12"/>
      <c r="O4509" s="11" t="s">
        <v>1858</v>
      </c>
      <c r="P4509" s="56"/>
    </row>
    <row r="4510" spans="1:16" ht="15.75" customHeight="1" x14ac:dyDescent="0.2">
      <c r="A4510" s="48">
        <v>4788</v>
      </c>
      <c r="B4510" s="11" t="s">
        <v>1857</v>
      </c>
      <c r="C4510" s="11" t="s">
        <v>1849</v>
      </c>
      <c r="D4510" s="6" t="s">
        <v>1850</v>
      </c>
      <c r="E4510" s="11" t="s">
        <v>8816</v>
      </c>
      <c r="F4510" s="12" t="s">
        <v>8816</v>
      </c>
      <c r="G4510" s="12" t="s">
        <v>8844</v>
      </c>
      <c r="H4510" s="59" t="s">
        <v>8931</v>
      </c>
      <c r="I4510" s="12" t="s">
        <v>9524</v>
      </c>
      <c r="J4510" s="11" t="s">
        <v>1856</v>
      </c>
      <c r="K4510" s="11" t="s">
        <v>1852</v>
      </c>
      <c r="L4510" s="11" t="s">
        <v>1853</v>
      </c>
      <c r="M4510" s="11" t="s">
        <v>8915</v>
      </c>
      <c r="N4510" s="12"/>
      <c r="O4510" s="11" t="s">
        <v>1858</v>
      </c>
      <c r="P4510" s="56"/>
    </row>
    <row r="4511" spans="1:16" ht="15.75" customHeight="1" x14ac:dyDescent="0.2">
      <c r="A4511" s="48">
        <v>4804</v>
      </c>
      <c r="B4511" s="11" t="s">
        <v>1857</v>
      </c>
      <c r="C4511" s="11" t="s">
        <v>1849</v>
      </c>
      <c r="D4511" s="6" t="s">
        <v>1850</v>
      </c>
      <c r="E4511" s="11" t="s">
        <v>8816</v>
      </c>
      <c r="F4511" s="12" t="s">
        <v>8816</v>
      </c>
      <c r="G4511" s="12" t="s">
        <v>8844</v>
      </c>
      <c r="H4511" s="59" t="s">
        <v>3676</v>
      </c>
      <c r="I4511" s="12" t="s">
        <v>9525</v>
      </c>
      <c r="J4511" s="11" t="s">
        <v>1856</v>
      </c>
      <c r="K4511" s="11" t="s">
        <v>1852</v>
      </c>
      <c r="L4511" s="11" t="s">
        <v>1853</v>
      </c>
      <c r="M4511" s="11" t="s">
        <v>6635</v>
      </c>
      <c r="N4511" s="12"/>
      <c r="O4511" s="11" t="s">
        <v>1858</v>
      </c>
      <c r="P4511" s="56"/>
    </row>
    <row r="4512" spans="1:16" ht="15.75" customHeight="1" x14ac:dyDescent="0.2">
      <c r="A4512" s="48">
        <v>4426</v>
      </c>
      <c r="B4512" s="11" t="s">
        <v>1857</v>
      </c>
      <c r="C4512" s="11" t="s">
        <v>1849</v>
      </c>
      <c r="D4512" s="6" t="s">
        <v>1850</v>
      </c>
      <c r="E4512" s="11" t="s">
        <v>8816</v>
      </c>
      <c r="F4512" s="12" t="s">
        <v>8816</v>
      </c>
      <c r="G4512" s="12" t="s">
        <v>8858</v>
      </c>
      <c r="H4512" s="12" t="s">
        <v>8883</v>
      </c>
      <c r="I4512" s="12" t="s">
        <v>9526</v>
      </c>
      <c r="J4512" s="11" t="s">
        <v>1856</v>
      </c>
      <c r="K4512" s="11" t="s">
        <v>1852</v>
      </c>
      <c r="L4512" s="11" t="s">
        <v>1853</v>
      </c>
      <c r="M4512" s="11" t="s">
        <v>4045</v>
      </c>
      <c r="N4512" s="12"/>
      <c r="O4512" s="11" t="s">
        <v>1858</v>
      </c>
      <c r="P4512" s="56"/>
    </row>
    <row r="4513" spans="1:16" ht="15.75" customHeight="1" x14ac:dyDescent="0.2">
      <c r="A4513" s="48">
        <v>4257</v>
      </c>
      <c r="B4513" s="11" t="s">
        <v>1857</v>
      </c>
      <c r="C4513" s="11" t="s">
        <v>1849</v>
      </c>
      <c r="D4513" s="6" t="s">
        <v>1850</v>
      </c>
      <c r="E4513" s="11" t="s">
        <v>8816</v>
      </c>
      <c r="F4513" s="12" t="s">
        <v>8816</v>
      </c>
      <c r="G4513" s="12" t="s">
        <v>2299</v>
      </c>
      <c r="H4513" s="12" t="s">
        <v>9041</v>
      </c>
      <c r="I4513" s="12" t="s">
        <v>9527</v>
      </c>
      <c r="J4513" s="11" t="s">
        <v>1856</v>
      </c>
      <c r="K4513" s="11" t="s">
        <v>1852</v>
      </c>
      <c r="L4513" s="11" t="s">
        <v>1853</v>
      </c>
      <c r="M4513" s="11" t="s">
        <v>1854</v>
      </c>
      <c r="N4513" s="12"/>
      <c r="O4513" s="11" t="s">
        <v>1858</v>
      </c>
      <c r="P4513" s="56"/>
    </row>
    <row r="4514" spans="1:16" ht="15.75" customHeight="1" x14ac:dyDescent="0.2">
      <c r="A4514" s="48">
        <v>4490</v>
      </c>
      <c r="B4514" s="11" t="s">
        <v>1857</v>
      </c>
      <c r="C4514" s="11" t="s">
        <v>1849</v>
      </c>
      <c r="D4514" s="6" t="s">
        <v>1850</v>
      </c>
      <c r="E4514" s="11" t="s">
        <v>8816</v>
      </c>
      <c r="F4514" s="12" t="s">
        <v>8816</v>
      </c>
      <c r="G4514" s="12" t="s">
        <v>6658</v>
      </c>
      <c r="H4514" s="59" t="s">
        <v>2845</v>
      </c>
      <c r="I4514" s="12" t="s">
        <v>4107</v>
      </c>
      <c r="J4514" s="11" t="s">
        <v>1856</v>
      </c>
      <c r="K4514" s="11" t="s">
        <v>1852</v>
      </c>
      <c r="L4514" s="11" t="s">
        <v>1853</v>
      </c>
      <c r="M4514" s="11" t="s">
        <v>6185</v>
      </c>
      <c r="N4514" s="12"/>
      <c r="O4514" s="11" t="s">
        <v>1858</v>
      </c>
      <c r="P4514" s="56"/>
    </row>
    <row r="4515" spans="1:16" ht="15.75" customHeight="1" x14ac:dyDescent="0.2">
      <c r="A4515" s="48">
        <v>4272</v>
      </c>
      <c r="B4515" s="11" t="s">
        <v>1857</v>
      </c>
      <c r="C4515" s="11" t="s">
        <v>1849</v>
      </c>
      <c r="D4515" s="6" t="s">
        <v>1850</v>
      </c>
      <c r="E4515" s="11" t="s">
        <v>8816</v>
      </c>
      <c r="F4515" s="12" t="s">
        <v>8816</v>
      </c>
      <c r="G4515" s="12" t="s">
        <v>2299</v>
      </c>
      <c r="H4515" s="12" t="s">
        <v>8918</v>
      </c>
      <c r="I4515" s="12" t="s">
        <v>9528</v>
      </c>
      <c r="J4515" s="11" t="s">
        <v>1856</v>
      </c>
      <c r="K4515" s="11" t="s">
        <v>1852</v>
      </c>
      <c r="L4515" s="11" t="s">
        <v>1853</v>
      </c>
      <c r="M4515" s="11" t="s">
        <v>2316</v>
      </c>
      <c r="N4515" s="12"/>
      <c r="O4515" s="11" t="s">
        <v>1858</v>
      </c>
      <c r="P4515" s="56"/>
    </row>
    <row r="4516" spans="1:16" ht="15.75" customHeight="1" x14ac:dyDescent="0.2">
      <c r="A4516" s="48">
        <v>4240</v>
      </c>
      <c r="B4516" s="11" t="s">
        <v>1857</v>
      </c>
      <c r="C4516" s="11" t="s">
        <v>1849</v>
      </c>
      <c r="D4516" s="6" t="s">
        <v>1850</v>
      </c>
      <c r="E4516" s="11" t="s">
        <v>8816</v>
      </c>
      <c r="F4516" s="12" t="s">
        <v>8816</v>
      </c>
      <c r="G4516" s="12" t="s">
        <v>8851</v>
      </c>
      <c r="H4516" s="12" t="s">
        <v>8908</v>
      </c>
      <c r="I4516" s="12" t="s">
        <v>9394</v>
      </c>
      <c r="J4516" s="11" t="s">
        <v>1856</v>
      </c>
      <c r="K4516" s="11" t="s">
        <v>1852</v>
      </c>
      <c r="L4516" s="11" t="s">
        <v>1853</v>
      </c>
      <c r="M4516" s="11" t="s">
        <v>1854</v>
      </c>
      <c r="N4516" s="12"/>
      <c r="O4516" s="11" t="s">
        <v>1858</v>
      </c>
      <c r="P4516" s="56"/>
    </row>
    <row r="4517" spans="1:16" ht="15.75" customHeight="1" x14ac:dyDescent="0.2">
      <c r="A4517" s="48">
        <v>5577</v>
      </c>
      <c r="B4517" s="11" t="s">
        <v>1857</v>
      </c>
      <c r="C4517" s="11" t="s">
        <v>1849</v>
      </c>
      <c r="D4517" s="6" t="s">
        <v>1850</v>
      </c>
      <c r="E4517" s="11" t="s">
        <v>8816</v>
      </c>
      <c r="F4517" s="12" t="s">
        <v>8816</v>
      </c>
      <c r="G4517" s="12" t="s">
        <v>4741</v>
      </c>
      <c r="H4517" s="12" t="s">
        <v>8948</v>
      </c>
      <c r="I4517" s="12" t="s">
        <v>4545</v>
      </c>
      <c r="J4517" s="11" t="s">
        <v>1856</v>
      </c>
      <c r="K4517" s="11" t="s">
        <v>1852</v>
      </c>
      <c r="L4517" s="11" t="s">
        <v>1853</v>
      </c>
      <c r="M4517" s="11" t="s">
        <v>1854</v>
      </c>
      <c r="N4517" s="12"/>
      <c r="O4517" s="11" t="s">
        <v>1860</v>
      </c>
      <c r="P4517" s="56"/>
    </row>
    <row r="4518" spans="1:16" ht="15.75" customHeight="1" x14ac:dyDescent="0.2">
      <c r="A4518" s="48">
        <v>4153</v>
      </c>
      <c r="B4518" s="11" t="s">
        <v>1857</v>
      </c>
      <c r="C4518" s="11" t="s">
        <v>1849</v>
      </c>
      <c r="D4518" s="6" t="s">
        <v>1850</v>
      </c>
      <c r="E4518" s="11" t="s">
        <v>8816</v>
      </c>
      <c r="F4518" s="12" t="s">
        <v>8816</v>
      </c>
      <c r="G4518" s="12" t="s">
        <v>8820</v>
      </c>
      <c r="H4518" s="12" t="s">
        <v>9095</v>
      </c>
      <c r="I4518" s="12" t="s">
        <v>9529</v>
      </c>
      <c r="J4518" s="11" t="s">
        <v>1856</v>
      </c>
      <c r="K4518" s="11" t="s">
        <v>1852</v>
      </c>
      <c r="L4518" s="11" t="s">
        <v>1853</v>
      </c>
      <c r="M4518" s="11" t="s">
        <v>1854</v>
      </c>
      <c r="N4518" s="12"/>
      <c r="O4518" s="11" t="s">
        <v>1858</v>
      </c>
      <c r="P4518" s="56"/>
    </row>
    <row r="4519" spans="1:16" ht="15.75" customHeight="1" x14ac:dyDescent="0.2">
      <c r="A4519" s="48">
        <v>4351</v>
      </c>
      <c r="B4519" s="11" t="s">
        <v>1857</v>
      </c>
      <c r="C4519" s="11" t="s">
        <v>1849</v>
      </c>
      <c r="D4519" s="6" t="s">
        <v>1850</v>
      </c>
      <c r="E4519" s="11" t="s">
        <v>8816</v>
      </c>
      <c r="F4519" s="12" t="s">
        <v>8816</v>
      </c>
      <c r="G4519" s="12" t="s">
        <v>5635</v>
      </c>
      <c r="H4519" s="12" t="s">
        <v>5231</v>
      </c>
      <c r="I4519" s="12" t="s">
        <v>9530</v>
      </c>
      <c r="J4519" s="11" t="s">
        <v>1856</v>
      </c>
      <c r="K4519" s="11" t="s">
        <v>1852</v>
      </c>
      <c r="L4519" s="11" t="s">
        <v>1853</v>
      </c>
      <c r="M4519" s="11" t="s">
        <v>3222</v>
      </c>
      <c r="N4519" s="12"/>
      <c r="O4519" s="11" t="s">
        <v>1858</v>
      </c>
      <c r="P4519" s="56"/>
    </row>
    <row r="4520" spans="1:16" ht="15.75" customHeight="1" x14ac:dyDescent="0.2">
      <c r="A4520" s="48">
        <v>4803</v>
      </c>
      <c r="B4520" s="11" t="s">
        <v>1857</v>
      </c>
      <c r="C4520" s="11" t="s">
        <v>1849</v>
      </c>
      <c r="D4520" s="6" t="s">
        <v>1850</v>
      </c>
      <c r="E4520" s="11" t="s">
        <v>8816</v>
      </c>
      <c r="F4520" s="12" t="s">
        <v>8816</v>
      </c>
      <c r="G4520" s="12" t="s">
        <v>8844</v>
      </c>
      <c r="H4520" s="59" t="s">
        <v>3676</v>
      </c>
      <c r="I4520" s="12" t="s">
        <v>3173</v>
      </c>
      <c r="J4520" s="11" t="s">
        <v>1856</v>
      </c>
      <c r="K4520" s="11" t="s">
        <v>1852</v>
      </c>
      <c r="L4520" s="11" t="s">
        <v>1853</v>
      </c>
      <c r="M4520" s="11" t="s">
        <v>3222</v>
      </c>
      <c r="N4520" s="12"/>
      <c r="O4520" s="11" t="s">
        <v>1859</v>
      </c>
      <c r="P4520" s="56"/>
    </row>
    <row r="4521" spans="1:16" ht="15.75" customHeight="1" x14ac:dyDescent="0.2">
      <c r="A4521" s="48">
        <v>4545</v>
      </c>
      <c r="B4521" s="11" t="s">
        <v>1857</v>
      </c>
      <c r="C4521" s="11" t="s">
        <v>1849</v>
      </c>
      <c r="D4521" s="6" t="s">
        <v>1850</v>
      </c>
      <c r="E4521" s="11" t="s">
        <v>8816</v>
      </c>
      <c r="F4521" s="12" t="s">
        <v>8816</v>
      </c>
      <c r="G4521" s="12" t="s">
        <v>4741</v>
      </c>
      <c r="H4521" s="59" t="s">
        <v>8856</v>
      </c>
      <c r="I4521" s="12" t="s">
        <v>9531</v>
      </c>
      <c r="J4521" s="11" t="s">
        <v>1856</v>
      </c>
      <c r="K4521" s="11" t="s">
        <v>1852</v>
      </c>
      <c r="L4521" s="11" t="s">
        <v>1853</v>
      </c>
      <c r="M4521" s="11" t="s">
        <v>9532</v>
      </c>
      <c r="N4521" s="12"/>
      <c r="O4521" s="11" t="s">
        <v>1860</v>
      </c>
      <c r="P4521" s="56"/>
    </row>
    <row r="4522" spans="1:16" ht="15.75" customHeight="1" x14ac:dyDescent="0.2">
      <c r="A4522" s="48">
        <v>4814</v>
      </c>
      <c r="B4522" s="11" t="s">
        <v>1857</v>
      </c>
      <c r="C4522" s="11" t="s">
        <v>1849</v>
      </c>
      <c r="D4522" s="6" t="s">
        <v>1850</v>
      </c>
      <c r="E4522" s="11" t="s">
        <v>8816</v>
      </c>
      <c r="F4522" s="12" t="s">
        <v>8816</v>
      </c>
      <c r="G4522" s="12" t="s">
        <v>8844</v>
      </c>
      <c r="H4522" s="59" t="s">
        <v>8890</v>
      </c>
      <c r="I4522" s="12" t="s">
        <v>2111</v>
      </c>
      <c r="J4522" s="11" t="s">
        <v>1856</v>
      </c>
      <c r="K4522" s="11" t="s">
        <v>1852</v>
      </c>
      <c r="L4522" s="11" t="s">
        <v>1853</v>
      </c>
      <c r="M4522" s="11" t="s">
        <v>9067</v>
      </c>
      <c r="N4522" s="12" t="s">
        <v>9533</v>
      </c>
      <c r="O4522" s="11" t="s">
        <v>1858</v>
      </c>
      <c r="P4522" s="56"/>
    </row>
    <row r="4523" spans="1:16" ht="15.75" customHeight="1" x14ac:dyDescent="0.2">
      <c r="A4523" s="48">
        <v>5450</v>
      </c>
      <c r="B4523" s="11" t="s">
        <v>1857</v>
      </c>
      <c r="C4523" s="11" t="s">
        <v>1849</v>
      </c>
      <c r="D4523" s="6" t="s">
        <v>1850</v>
      </c>
      <c r="E4523" s="11" t="s">
        <v>8816</v>
      </c>
      <c r="F4523" s="12" t="s">
        <v>8816</v>
      </c>
      <c r="G4523" s="12" t="s">
        <v>4741</v>
      </c>
      <c r="H4523" s="12" t="s">
        <v>8948</v>
      </c>
      <c r="I4523" s="12" t="s">
        <v>9534</v>
      </c>
      <c r="J4523" s="11" t="s">
        <v>1856</v>
      </c>
      <c r="K4523" s="11" t="s">
        <v>1852</v>
      </c>
      <c r="L4523" s="11" t="s">
        <v>1853</v>
      </c>
      <c r="M4523" s="11" t="s">
        <v>1854</v>
      </c>
      <c r="N4523" s="12"/>
      <c r="O4523" s="11" t="s">
        <v>1858</v>
      </c>
      <c r="P4523" s="56"/>
    </row>
    <row r="4524" spans="1:16" ht="15.75" customHeight="1" x14ac:dyDescent="0.2">
      <c r="A4524" s="48">
        <v>4481</v>
      </c>
      <c r="B4524" s="11" t="s">
        <v>1857</v>
      </c>
      <c r="C4524" s="11" t="s">
        <v>1849</v>
      </c>
      <c r="D4524" s="6" t="s">
        <v>1850</v>
      </c>
      <c r="E4524" s="11" t="s">
        <v>8816</v>
      </c>
      <c r="F4524" s="12" t="s">
        <v>8816</v>
      </c>
      <c r="G4524" s="12" t="s">
        <v>6658</v>
      </c>
      <c r="H4524" s="59" t="s">
        <v>2845</v>
      </c>
      <c r="I4524" s="12" t="s">
        <v>2556</v>
      </c>
      <c r="J4524" s="11" t="s">
        <v>1856</v>
      </c>
      <c r="K4524" s="11" t="s">
        <v>1852</v>
      </c>
      <c r="L4524" s="11" t="s">
        <v>1853</v>
      </c>
      <c r="M4524" s="11" t="s">
        <v>9535</v>
      </c>
      <c r="N4524" s="12"/>
      <c r="O4524" s="11" t="s">
        <v>1858</v>
      </c>
      <c r="P4524" s="56"/>
    </row>
    <row r="4525" spans="1:16" ht="15.75" customHeight="1" x14ac:dyDescent="0.2">
      <c r="A4525" s="48">
        <v>4165</v>
      </c>
      <c r="B4525" s="11" t="s">
        <v>1857</v>
      </c>
      <c r="C4525" s="11" t="s">
        <v>1849</v>
      </c>
      <c r="D4525" s="6" t="s">
        <v>1850</v>
      </c>
      <c r="E4525" s="11" t="s">
        <v>8816</v>
      </c>
      <c r="F4525" s="12" t="s">
        <v>8816</v>
      </c>
      <c r="G4525" s="12" t="s">
        <v>8851</v>
      </c>
      <c r="H4525" s="12" t="s">
        <v>8851</v>
      </c>
      <c r="I4525" s="12" t="s">
        <v>2556</v>
      </c>
      <c r="J4525" s="11" t="s">
        <v>1856</v>
      </c>
      <c r="K4525" s="11" t="s">
        <v>1852</v>
      </c>
      <c r="L4525" s="11" t="s">
        <v>1853</v>
      </c>
      <c r="M4525" s="11" t="s">
        <v>1854</v>
      </c>
      <c r="N4525" s="12"/>
      <c r="O4525" s="11" t="s">
        <v>1859</v>
      </c>
      <c r="P4525" s="56"/>
    </row>
    <row r="4526" spans="1:16" ht="15.75" customHeight="1" x14ac:dyDescent="0.2">
      <c r="A4526" s="48">
        <v>4660</v>
      </c>
      <c r="B4526" s="11" t="s">
        <v>1857</v>
      </c>
      <c r="C4526" s="11" t="s">
        <v>1849</v>
      </c>
      <c r="D4526" s="6" t="s">
        <v>1850</v>
      </c>
      <c r="E4526" s="11" t="s">
        <v>8816</v>
      </c>
      <c r="F4526" s="12" t="s">
        <v>8816</v>
      </c>
      <c r="G4526" s="12" t="s">
        <v>8817</v>
      </c>
      <c r="H4526" s="59" t="s">
        <v>8830</v>
      </c>
      <c r="I4526" s="12" t="s">
        <v>9536</v>
      </c>
      <c r="J4526" s="11" t="s">
        <v>1856</v>
      </c>
      <c r="K4526" s="11" t="s">
        <v>1852</v>
      </c>
      <c r="L4526" s="11" t="s">
        <v>1853</v>
      </c>
      <c r="M4526" s="11" t="s">
        <v>9537</v>
      </c>
      <c r="N4526" s="12" t="s">
        <v>9538</v>
      </c>
      <c r="O4526" s="11" t="s">
        <v>1858</v>
      </c>
      <c r="P4526" s="56"/>
    </row>
    <row r="4527" spans="1:16" ht="15.75" customHeight="1" x14ac:dyDescent="0.2">
      <c r="A4527" s="48">
        <v>4309</v>
      </c>
      <c r="B4527" s="11" t="s">
        <v>1857</v>
      </c>
      <c r="C4527" s="11" t="s">
        <v>1849</v>
      </c>
      <c r="D4527" s="6" t="s">
        <v>1850</v>
      </c>
      <c r="E4527" s="11" t="s">
        <v>8816</v>
      </c>
      <c r="F4527" s="12" t="s">
        <v>8816</v>
      </c>
      <c r="G4527" s="12" t="s">
        <v>5635</v>
      </c>
      <c r="H4527" s="12" t="s">
        <v>5603</v>
      </c>
      <c r="I4527" s="12" t="s">
        <v>9539</v>
      </c>
      <c r="J4527" s="11" t="s">
        <v>1856</v>
      </c>
      <c r="K4527" s="11" t="s">
        <v>1852</v>
      </c>
      <c r="L4527" s="11" t="s">
        <v>1853</v>
      </c>
      <c r="M4527" s="11" t="s">
        <v>8866</v>
      </c>
      <c r="N4527" s="12"/>
      <c r="O4527" s="11" t="s">
        <v>1859</v>
      </c>
      <c r="P4527" s="56"/>
    </row>
    <row r="4528" spans="1:16" ht="15.75" customHeight="1" x14ac:dyDescent="0.2">
      <c r="A4528" s="48">
        <v>4507</v>
      </c>
      <c r="B4528" s="11" t="s">
        <v>1857</v>
      </c>
      <c r="C4528" s="11" t="s">
        <v>1849</v>
      </c>
      <c r="D4528" s="6" t="s">
        <v>1850</v>
      </c>
      <c r="E4528" s="11" t="s">
        <v>8816</v>
      </c>
      <c r="F4528" s="12" t="s">
        <v>8816</v>
      </c>
      <c r="G4528" s="12" t="s">
        <v>4741</v>
      </c>
      <c r="H4528" s="59" t="s">
        <v>8868</v>
      </c>
      <c r="I4528" s="12" t="s">
        <v>9540</v>
      </c>
      <c r="J4528" s="11" t="s">
        <v>1856</v>
      </c>
      <c r="K4528" s="11" t="s">
        <v>1852</v>
      </c>
      <c r="L4528" s="11" t="s">
        <v>1853</v>
      </c>
      <c r="M4528" s="11" t="s">
        <v>2297</v>
      </c>
      <c r="N4528" s="12" t="s">
        <v>9541</v>
      </c>
      <c r="O4528" s="11" t="s">
        <v>1858</v>
      </c>
      <c r="P4528" s="56"/>
    </row>
    <row r="4529" spans="1:16" ht="15.75" customHeight="1" x14ac:dyDescent="0.2">
      <c r="A4529" s="48">
        <v>4664</v>
      </c>
      <c r="B4529" s="11" t="s">
        <v>1857</v>
      </c>
      <c r="C4529" s="11" t="s">
        <v>1849</v>
      </c>
      <c r="D4529" s="6" t="s">
        <v>1850</v>
      </c>
      <c r="E4529" s="11" t="s">
        <v>8816</v>
      </c>
      <c r="F4529" s="12" t="s">
        <v>8816</v>
      </c>
      <c r="G4529" s="12" t="s">
        <v>8817</v>
      </c>
      <c r="H4529" s="12" t="s">
        <v>9043</v>
      </c>
      <c r="I4529" s="12" t="s">
        <v>9542</v>
      </c>
      <c r="J4529" s="11" t="s">
        <v>1856</v>
      </c>
      <c r="K4529" s="11" t="s">
        <v>1852</v>
      </c>
      <c r="L4529" s="11" t="s">
        <v>1853</v>
      </c>
      <c r="M4529" s="11" t="s">
        <v>1854</v>
      </c>
      <c r="N4529" s="12"/>
      <c r="O4529" s="11" t="s">
        <v>1858</v>
      </c>
      <c r="P4529" s="56"/>
    </row>
    <row r="4530" spans="1:16" ht="15.75" customHeight="1" x14ac:dyDescent="0.2">
      <c r="A4530" s="48">
        <v>4799</v>
      </c>
      <c r="B4530" s="11" t="s">
        <v>1857</v>
      </c>
      <c r="C4530" s="11" t="s">
        <v>1849</v>
      </c>
      <c r="D4530" s="6" t="s">
        <v>1850</v>
      </c>
      <c r="E4530" s="11" t="s">
        <v>8816</v>
      </c>
      <c r="F4530" s="12" t="s">
        <v>8816</v>
      </c>
      <c r="G4530" s="12" t="s">
        <v>8844</v>
      </c>
      <c r="H4530" s="59" t="s">
        <v>3676</v>
      </c>
      <c r="I4530" s="12" t="s">
        <v>9543</v>
      </c>
      <c r="J4530" s="11" t="s">
        <v>1856</v>
      </c>
      <c r="K4530" s="11" t="s">
        <v>1852</v>
      </c>
      <c r="L4530" s="11" t="s">
        <v>1853</v>
      </c>
      <c r="M4530" s="11" t="s">
        <v>1854</v>
      </c>
      <c r="N4530" s="12"/>
      <c r="O4530" s="11" t="s">
        <v>1858</v>
      </c>
      <c r="P4530" s="56"/>
    </row>
    <row r="4531" spans="1:16" ht="15.75" customHeight="1" x14ac:dyDescent="0.2">
      <c r="A4531" s="48">
        <v>4415</v>
      </c>
      <c r="B4531" s="11" t="s">
        <v>1857</v>
      </c>
      <c r="C4531" s="11" t="s">
        <v>1849</v>
      </c>
      <c r="D4531" s="6" t="s">
        <v>1850</v>
      </c>
      <c r="E4531" s="11" t="s">
        <v>8816</v>
      </c>
      <c r="F4531" s="12" t="s">
        <v>8816</v>
      </c>
      <c r="G4531" s="12" t="s">
        <v>8858</v>
      </c>
      <c r="H4531" s="12" t="s">
        <v>8883</v>
      </c>
      <c r="I4531" s="12" t="s">
        <v>9544</v>
      </c>
      <c r="J4531" s="11" t="s">
        <v>1856</v>
      </c>
      <c r="K4531" s="11" t="s">
        <v>1852</v>
      </c>
      <c r="L4531" s="11" t="s">
        <v>1853</v>
      </c>
      <c r="M4531" s="11" t="s">
        <v>1971</v>
      </c>
      <c r="N4531" s="12"/>
      <c r="O4531" s="11" t="s">
        <v>1858</v>
      </c>
      <c r="P4531" s="56"/>
    </row>
    <row r="4532" spans="1:16" ht="15.75" customHeight="1" x14ac:dyDescent="0.2">
      <c r="A4532" s="48">
        <v>4454</v>
      </c>
      <c r="B4532" s="11" t="s">
        <v>1857</v>
      </c>
      <c r="C4532" s="11" t="s">
        <v>1849</v>
      </c>
      <c r="D4532" s="6" t="s">
        <v>1850</v>
      </c>
      <c r="E4532" s="11" t="s">
        <v>8816</v>
      </c>
      <c r="F4532" s="12" t="s">
        <v>8816</v>
      </c>
      <c r="G4532" s="12" t="s">
        <v>8825</v>
      </c>
      <c r="H4532" s="59" t="s">
        <v>9545</v>
      </c>
      <c r="I4532" s="12" t="s">
        <v>9546</v>
      </c>
      <c r="J4532" s="11" t="s">
        <v>1856</v>
      </c>
      <c r="K4532" s="11" t="s">
        <v>1852</v>
      </c>
      <c r="L4532" s="11" t="s">
        <v>1853</v>
      </c>
      <c r="M4532" s="11" t="s">
        <v>1854</v>
      </c>
      <c r="N4532" s="12"/>
      <c r="O4532" s="11" t="s">
        <v>1858</v>
      </c>
      <c r="P4532" s="56"/>
    </row>
    <row r="4533" spans="1:16" ht="15.75" customHeight="1" x14ac:dyDescent="0.2">
      <c r="A4533" s="48">
        <v>15963</v>
      </c>
      <c r="B4533" s="11" t="s">
        <v>1871</v>
      </c>
      <c r="C4533" s="11" t="s">
        <v>1849</v>
      </c>
      <c r="D4533" s="6" t="s">
        <v>1850</v>
      </c>
      <c r="E4533" s="11" t="s">
        <v>8816</v>
      </c>
      <c r="F4533" s="12" t="s">
        <v>8816</v>
      </c>
      <c r="G4533" s="12" t="s">
        <v>8823</v>
      </c>
      <c r="H4533" s="12" t="s">
        <v>9035</v>
      </c>
      <c r="I4533" s="12" t="s">
        <v>9459</v>
      </c>
      <c r="J4533" s="11" t="s">
        <v>1856</v>
      </c>
      <c r="K4533" s="11" t="s">
        <v>1852</v>
      </c>
      <c r="L4533" s="11" t="s">
        <v>1853</v>
      </c>
      <c r="M4533" s="11" t="s">
        <v>1854</v>
      </c>
      <c r="N4533" s="12"/>
      <c r="O4533" s="11" t="s">
        <v>1854</v>
      </c>
      <c r="P4533" s="56"/>
    </row>
    <row r="4534" spans="1:16" ht="15.75" customHeight="1" x14ac:dyDescent="0.2">
      <c r="A4534" s="48">
        <v>15542</v>
      </c>
      <c r="B4534" s="11" t="s">
        <v>1871</v>
      </c>
      <c r="C4534" s="11" t="s">
        <v>1849</v>
      </c>
      <c r="D4534" s="6" t="s">
        <v>1850</v>
      </c>
      <c r="E4534" s="11" t="s">
        <v>8816</v>
      </c>
      <c r="F4534" s="12" t="s">
        <v>8816</v>
      </c>
      <c r="G4534" s="12" t="s">
        <v>4741</v>
      </c>
      <c r="H4534" s="12" t="s">
        <v>8948</v>
      </c>
      <c r="I4534" s="12" t="s">
        <v>9547</v>
      </c>
      <c r="J4534" s="11" t="s">
        <v>1856</v>
      </c>
      <c r="K4534" s="11" t="s">
        <v>1852</v>
      </c>
      <c r="L4534" s="11" t="s">
        <v>1853</v>
      </c>
      <c r="M4534" s="11" t="s">
        <v>1854</v>
      </c>
      <c r="N4534" s="12"/>
      <c r="O4534" s="11" t="s">
        <v>5055</v>
      </c>
      <c r="P4534" s="56" t="s">
        <v>2323</v>
      </c>
    </row>
    <row r="4535" spans="1:16" ht="15.75" customHeight="1" x14ac:dyDescent="0.2">
      <c r="A4535" s="48">
        <v>15965</v>
      </c>
      <c r="B4535" s="11" t="s">
        <v>1871</v>
      </c>
      <c r="C4535" s="11" t="s">
        <v>1849</v>
      </c>
      <c r="D4535" s="6" t="s">
        <v>1850</v>
      </c>
      <c r="E4535" s="11" t="s">
        <v>8816</v>
      </c>
      <c r="F4535" s="12" t="s">
        <v>8816</v>
      </c>
      <c r="G4535" s="12" t="s">
        <v>8928</v>
      </c>
      <c r="H4535" s="12" t="s">
        <v>9128</v>
      </c>
      <c r="I4535" s="12" t="s">
        <v>9129</v>
      </c>
      <c r="J4535" s="11" t="s">
        <v>1856</v>
      </c>
      <c r="K4535" s="11" t="s">
        <v>1852</v>
      </c>
      <c r="L4535" s="11" t="s">
        <v>1853</v>
      </c>
      <c r="M4535" s="11" t="s">
        <v>1854</v>
      </c>
      <c r="N4535" s="12"/>
      <c r="O4535" s="11" t="s">
        <v>1854</v>
      </c>
      <c r="P4535" s="56"/>
    </row>
    <row r="4536" spans="1:16" ht="15.75" customHeight="1" x14ac:dyDescent="0.2">
      <c r="A4536" s="48">
        <v>4562</v>
      </c>
      <c r="B4536" s="11" t="s">
        <v>1871</v>
      </c>
      <c r="C4536" s="11" t="s">
        <v>1849</v>
      </c>
      <c r="D4536" s="6" t="s">
        <v>1850</v>
      </c>
      <c r="E4536" s="11" t="s">
        <v>8816</v>
      </c>
      <c r="F4536" s="12" t="s">
        <v>8816</v>
      </c>
      <c r="G4536" s="12" t="s">
        <v>8817</v>
      </c>
      <c r="H4536" s="12" t="s">
        <v>9204</v>
      </c>
      <c r="I4536" s="12" t="s">
        <v>9548</v>
      </c>
      <c r="J4536" s="11" t="s">
        <v>1856</v>
      </c>
      <c r="K4536" s="11" t="s">
        <v>1852</v>
      </c>
      <c r="L4536" s="11" t="s">
        <v>1853</v>
      </c>
      <c r="M4536" s="12" t="s">
        <v>9549</v>
      </c>
      <c r="N4536" s="12"/>
      <c r="O4536" s="11" t="s">
        <v>1866</v>
      </c>
      <c r="P4536" s="56"/>
    </row>
    <row r="4537" spans="1:16" ht="15.75" customHeight="1" x14ac:dyDescent="0.2">
      <c r="A4537" s="48">
        <v>4741</v>
      </c>
      <c r="B4537" s="11" t="s">
        <v>1871</v>
      </c>
      <c r="C4537" s="11" t="s">
        <v>1849</v>
      </c>
      <c r="D4537" s="6" t="s">
        <v>1850</v>
      </c>
      <c r="E4537" s="11" t="s">
        <v>8816</v>
      </c>
      <c r="F4537" s="12" t="s">
        <v>8816</v>
      </c>
      <c r="G4537" s="12" t="s">
        <v>8844</v>
      </c>
      <c r="H4537" s="12" t="s">
        <v>8823</v>
      </c>
      <c r="I4537" s="12" t="s">
        <v>9550</v>
      </c>
      <c r="J4537" s="11" t="s">
        <v>1851</v>
      </c>
      <c r="K4537" s="11" t="s">
        <v>1852</v>
      </c>
      <c r="L4537" s="11" t="s">
        <v>1853</v>
      </c>
      <c r="M4537" s="12" t="s">
        <v>9551</v>
      </c>
      <c r="N4537" s="12"/>
      <c r="O4537" s="11" t="s">
        <v>2022</v>
      </c>
      <c r="P4537" s="56" t="s">
        <v>3360</v>
      </c>
    </row>
    <row r="4538" spans="1:16" ht="15.75" customHeight="1" x14ac:dyDescent="0.2">
      <c r="A4538" s="48">
        <v>4561</v>
      </c>
      <c r="B4538" s="11" t="s">
        <v>1871</v>
      </c>
      <c r="C4538" s="11" t="s">
        <v>1849</v>
      </c>
      <c r="D4538" s="6" t="s">
        <v>1850</v>
      </c>
      <c r="E4538" s="11" t="s">
        <v>8816</v>
      </c>
      <c r="F4538" s="12" t="s">
        <v>8816</v>
      </c>
      <c r="G4538" s="12" t="s">
        <v>8817</v>
      </c>
      <c r="H4538" s="12" t="s">
        <v>8817</v>
      </c>
      <c r="I4538" s="12" t="s">
        <v>9552</v>
      </c>
      <c r="J4538" s="11" t="s">
        <v>1851</v>
      </c>
      <c r="K4538" s="11" t="s">
        <v>1852</v>
      </c>
      <c r="L4538" s="11" t="s">
        <v>1853</v>
      </c>
      <c r="M4538" s="11" t="s">
        <v>1854</v>
      </c>
      <c r="N4538" s="12"/>
      <c r="O4538" s="11" t="s">
        <v>2022</v>
      </c>
      <c r="P4538" s="56"/>
    </row>
    <row r="4539" spans="1:16" ht="15.75" customHeight="1" x14ac:dyDescent="0.2">
      <c r="A4539" s="48">
        <v>15216</v>
      </c>
      <c r="B4539" s="11" t="s">
        <v>1871</v>
      </c>
      <c r="C4539" s="11" t="s">
        <v>1849</v>
      </c>
      <c r="D4539" s="6" t="s">
        <v>1850</v>
      </c>
      <c r="E4539" s="11" t="s">
        <v>8816</v>
      </c>
      <c r="F4539" s="12" t="s">
        <v>8816</v>
      </c>
      <c r="G4539" s="12" t="s">
        <v>8817</v>
      </c>
      <c r="H4539" s="12" t="s">
        <v>8817</v>
      </c>
      <c r="I4539" s="12" t="s">
        <v>9553</v>
      </c>
      <c r="J4539" s="11" t="s">
        <v>1856</v>
      </c>
      <c r="K4539" s="11" t="s">
        <v>1852</v>
      </c>
      <c r="L4539" s="11" t="s">
        <v>1853</v>
      </c>
      <c r="M4539" s="11" t="s">
        <v>1854</v>
      </c>
      <c r="N4539" s="12"/>
      <c r="O4539" s="11" t="s">
        <v>1854</v>
      </c>
      <c r="P4539" s="56"/>
    </row>
    <row r="4540" spans="1:16" ht="15.75" customHeight="1" x14ac:dyDescent="0.2">
      <c r="A4540" s="48">
        <v>5521</v>
      </c>
      <c r="B4540" s="11" t="s">
        <v>1871</v>
      </c>
      <c r="C4540" s="11" t="s">
        <v>1849</v>
      </c>
      <c r="D4540" s="6" t="s">
        <v>1850</v>
      </c>
      <c r="E4540" s="11" t="s">
        <v>8816</v>
      </c>
      <c r="F4540" s="12" t="s">
        <v>8816</v>
      </c>
      <c r="G4540" s="12" t="s">
        <v>8817</v>
      </c>
      <c r="H4540" s="12" t="s">
        <v>8817</v>
      </c>
      <c r="I4540" s="12" t="s">
        <v>9554</v>
      </c>
      <c r="J4540" s="11" t="s">
        <v>1851</v>
      </c>
      <c r="K4540" s="11" t="s">
        <v>1852</v>
      </c>
      <c r="L4540" s="11" t="s">
        <v>1853</v>
      </c>
      <c r="M4540" s="11" t="s">
        <v>1854</v>
      </c>
      <c r="N4540" s="12"/>
      <c r="O4540" s="11" t="s">
        <v>3016</v>
      </c>
      <c r="P4540" s="56"/>
    </row>
    <row r="4541" spans="1:16" ht="15.75" customHeight="1" x14ac:dyDescent="0.2">
      <c r="A4541" s="48">
        <v>15751</v>
      </c>
      <c r="B4541" s="11" t="s">
        <v>1871</v>
      </c>
      <c r="C4541" s="11" t="s">
        <v>1849</v>
      </c>
      <c r="D4541" s="6" t="s">
        <v>1850</v>
      </c>
      <c r="E4541" s="11" t="s">
        <v>8816</v>
      </c>
      <c r="F4541" s="12" t="s">
        <v>8816</v>
      </c>
      <c r="G4541" s="12" t="s">
        <v>5635</v>
      </c>
      <c r="H4541" s="12" t="s">
        <v>9009</v>
      </c>
      <c r="I4541" s="12" t="s">
        <v>9555</v>
      </c>
      <c r="J4541" s="11" t="s">
        <v>1856</v>
      </c>
      <c r="K4541" s="11" t="s">
        <v>1852</v>
      </c>
      <c r="L4541" s="11" t="s">
        <v>1853</v>
      </c>
      <c r="M4541" s="11" t="s">
        <v>1854</v>
      </c>
      <c r="N4541" s="12"/>
      <c r="O4541" s="11" t="s">
        <v>2022</v>
      </c>
      <c r="P4541" s="56" t="s">
        <v>1863</v>
      </c>
    </row>
    <row r="4542" spans="1:16" ht="15.75" customHeight="1" x14ac:dyDescent="0.2">
      <c r="A4542" s="48">
        <v>15212</v>
      </c>
      <c r="B4542" s="11" t="s">
        <v>1871</v>
      </c>
      <c r="C4542" s="11" t="s">
        <v>1849</v>
      </c>
      <c r="D4542" s="6" t="s">
        <v>1850</v>
      </c>
      <c r="E4542" s="11" t="s">
        <v>8816</v>
      </c>
      <c r="F4542" s="12" t="s">
        <v>8816</v>
      </c>
      <c r="G4542" s="12" t="s">
        <v>5635</v>
      </c>
      <c r="H4542" s="12" t="s">
        <v>8936</v>
      </c>
      <c r="I4542" s="12" t="s">
        <v>9556</v>
      </c>
      <c r="J4542" s="11" t="s">
        <v>1856</v>
      </c>
      <c r="K4542" s="11" t="s">
        <v>1852</v>
      </c>
      <c r="L4542" s="11" t="s">
        <v>1853</v>
      </c>
      <c r="M4542" s="11" t="s">
        <v>1854</v>
      </c>
      <c r="N4542" s="12"/>
      <c r="O4542" s="11" t="s">
        <v>2022</v>
      </c>
      <c r="P4542" s="56" t="s">
        <v>2323</v>
      </c>
    </row>
    <row r="4543" spans="1:16" ht="15.75" customHeight="1" x14ac:dyDescent="0.2">
      <c r="A4543" s="48">
        <v>15213</v>
      </c>
      <c r="B4543" s="11" t="s">
        <v>1871</v>
      </c>
      <c r="C4543" s="11" t="s">
        <v>1849</v>
      </c>
      <c r="D4543" s="6" t="s">
        <v>1850</v>
      </c>
      <c r="E4543" s="11" t="s">
        <v>8816</v>
      </c>
      <c r="F4543" s="12" t="s">
        <v>8816</v>
      </c>
      <c r="G4543" s="12" t="s">
        <v>8858</v>
      </c>
      <c r="H4543" s="12" t="s">
        <v>8943</v>
      </c>
      <c r="I4543" s="12" t="s">
        <v>9557</v>
      </c>
      <c r="J4543" s="11" t="s">
        <v>1856</v>
      </c>
      <c r="K4543" s="11" t="s">
        <v>1852</v>
      </c>
      <c r="L4543" s="11" t="s">
        <v>1853</v>
      </c>
      <c r="M4543" s="11" t="s">
        <v>1854</v>
      </c>
      <c r="N4543" s="12"/>
      <c r="O4543" s="11" t="s">
        <v>2022</v>
      </c>
      <c r="P4543" s="56" t="s">
        <v>2323</v>
      </c>
    </row>
    <row r="4544" spans="1:16" ht="15.75" customHeight="1" x14ac:dyDescent="0.2">
      <c r="A4544" s="48">
        <v>15209</v>
      </c>
      <c r="B4544" s="11" t="s">
        <v>1871</v>
      </c>
      <c r="C4544" s="11" t="s">
        <v>1849</v>
      </c>
      <c r="D4544" s="6" t="s">
        <v>1850</v>
      </c>
      <c r="E4544" s="11" t="s">
        <v>8816</v>
      </c>
      <c r="F4544" s="12" t="s">
        <v>8816</v>
      </c>
      <c r="G4544" s="12" t="s">
        <v>5635</v>
      </c>
      <c r="H4544" s="12" t="s">
        <v>5635</v>
      </c>
      <c r="I4544" s="12" t="s">
        <v>9558</v>
      </c>
      <c r="J4544" s="11" t="s">
        <v>1856</v>
      </c>
      <c r="K4544" s="11" t="s">
        <v>1852</v>
      </c>
      <c r="L4544" s="11" t="s">
        <v>1853</v>
      </c>
      <c r="M4544" s="12" t="s">
        <v>6131</v>
      </c>
      <c r="N4544" s="12"/>
      <c r="O4544" s="11" t="s">
        <v>2022</v>
      </c>
      <c r="P4544" s="56" t="s">
        <v>2323</v>
      </c>
    </row>
    <row r="4545" spans="1:16" ht="15.75" customHeight="1" x14ac:dyDescent="0.2">
      <c r="A4545" s="48">
        <v>15210</v>
      </c>
      <c r="B4545" s="11" t="s">
        <v>1871</v>
      </c>
      <c r="C4545" s="11" t="s">
        <v>1849</v>
      </c>
      <c r="D4545" s="6" t="s">
        <v>1850</v>
      </c>
      <c r="E4545" s="11" t="s">
        <v>8816</v>
      </c>
      <c r="F4545" s="12" t="s">
        <v>8816</v>
      </c>
      <c r="G4545" s="12" t="s">
        <v>8858</v>
      </c>
      <c r="H4545" s="12" t="s">
        <v>8883</v>
      </c>
      <c r="I4545" s="12" t="s">
        <v>9559</v>
      </c>
      <c r="J4545" s="11" t="s">
        <v>1856</v>
      </c>
      <c r="K4545" s="11" t="s">
        <v>1852</v>
      </c>
      <c r="L4545" s="11" t="s">
        <v>1853</v>
      </c>
      <c r="M4545" s="11" t="s">
        <v>1854</v>
      </c>
      <c r="N4545" s="12"/>
      <c r="O4545" s="11" t="s">
        <v>2022</v>
      </c>
      <c r="P4545" s="56" t="s">
        <v>2323</v>
      </c>
    </row>
    <row r="4546" spans="1:16" ht="15.75" customHeight="1" x14ac:dyDescent="0.2">
      <c r="A4546" s="48">
        <v>15205</v>
      </c>
      <c r="B4546" s="11" t="s">
        <v>1871</v>
      </c>
      <c r="C4546" s="11" t="s">
        <v>1849</v>
      </c>
      <c r="D4546" s="6" t="s">
        <v>1850</v>
      </c>
      <c r="E4546" s="11" t="s">
        <v>8816</v>
      </c>
      <c r="F4546" s="12" t="s">
        <v>8816</v>
      </c>
      <c r="G4546" s="12" t="s">
        <v>6658</v>
      </c>
      <c r="H4546" s="12" t="s">
        <v>6658</v>
      </c>
      <c r="I4546" s="12" t="s">
        <v>9560</v>
      </c>
      <c r="J4546" s="11" t="s">
        <v>1856</v>
      </c>
      <c r="K4546" s="11" t="s">
        <v>1852</v>
      </c>
      <c r="L4546" s="11" t="s">
        <v>1853</v>
      </c>
      <c r="M4546" s="11" t="s">
        <v>1854</v>
      </c>
      <c r="N4546" s="12"/>
      <c r="O4546" s="11" t="s">
        <v>2022</v>
      </c>
      <c r="P4546" s="56" t="s">
        <v>2323</v>
      </c>
    </row>
    <row r="4547" spans="1:16" ht="15.75" customHeight="1" x14ac:dyDescent="0.2">
      <c r="A4547" s="48">
        <v>15207</v>
      </c>
      <c r="B4547" s="11" t="s">
        <v>1871</v>
      </c>
      <c r="C4547" s="11" t="s">
        <v>1849</v>
      </c>
      <c r="D4547" s="6" t="s">
        <v>1850</v>
      </c>
      <c r="E4547" s="11" t="s">
        <v>8816</v>
      </c>
      <c r="F4547" s="12" t="s">
        <v>8816</v>
      </c>
      <c r="G4547" s="12" t="s">
        <v>4741</v>
      </c>
      <c r="H4547" s="12" t="s">
        <v>8948</v>
      </c>
      <c r="I4547" s="12" t="s">
        <v>9561</v>
      </c>
      <c r="J4547" s="11" t="s">
        <v>1856</v>
      </c>
      <c r="K4547" s="11" t="s">
        <v>1852</v>
      </c>
      <c r="L4547" s="11" t="s">
        <v>1853</v>
      </c>
      <c r="M4547" s="11" t="s">
        <v>1854</v>
      </c>
      <c r="N4547" s="12"/>
      <c r="O4547" s="11" t="s">
        <v>5055</v>
      </c>
      <c r="P4547" s="56" t="s">
        <v>2323</v>
      </c>
    </row>
    <row r="4548" spans="1:16" ht="15.75" customHeight="1" x14ac:dyDescent="0.2">
      <c r="A4548" s="48">
        <v>15541</v>
      </c>
      <c r="B4548" s="11" t="s">
        <v>1871</v>
      </c>
      <c r="C4548" s="11" t="s">
        <v>1849</v>
      </c>
      <c r="D4548" s="6" t="s">
        <v>1850</v>
      </c>
      <c r="E4548" s="11" t="s">
        <v>8816</v>
      </c>
      <c r="F4548" s="12" t="s">
        <v>8816</v>
      </c>
      <c r="G4548" s="12" t="s">
        <v>8851</v>
      </c>
      <c r="H4548" s="12" t="s">
        <v>8916</v>
      </c>
      <c r="I4548" s="12" t="s">
        <v>9562</v>
      </c>
      <c r="J4548" s="11" t="s">
        <v>1856</v>
      </c>
      <c r="K4548" s="11" t="s">
        <v>1852</v>
      </c>
      <c r="L4548" s="11" t="s">
        <v>1853</v>
      </c>
      <c r="M4548" s="11" t="s">
        <v>1854</v>
      </c>
      <c r="N4548" s="12"/>
      <c r="O4548" s="11" t="s">
        <v>5055</v>
      </c>
      <c r="P4548" s="56" t="s">
        <v>2323</v>
      </c>
    </row>
    <row r="4549" spans="1:16" ht="15.75" customHeight="1" x14ac:dyDescent="0.2">
      <c r="A4549" s="48">
        <v>16124</v>
      </c>
      <c r="B4549" s="11" t="s">
        <v>1871</v>
      </c>
      <c r="C4549" s="11" t="s">
        <v>1849</v>
      </c>
      <c r="D4549" s="6" t="s">
        <v>1850</v>
      </c>
      <c r="E4549" s="11" t="s">
        <v>8816</v>
      </c>
      <c r="F4549" s="12" t="s">
        <v>8816</v>
      </c>
      <c r="G4549" s="12" t="s">
        <v>8817</v>
      </c>
      <c r="H4549" s="12" t="s">
        <v>9082</v>
      </c>
      <c r="I4549" s="12" t="s">
        <v>9563</v>
      </c>
      <c r="J4549" s="11" t="s">
        <v>1856</v>
      </c>
      <c r="K4549" s="11" t="s">
        <v>1852</v>
      </c>
      <c r="L4549" s="11" t="s">
        <v>1853</v>
      </c>
      <c r="M4549" s="12" t="s">
        <v>1854</v>
      </c>
      <c r="N4549" s="12"/>
      <c r="O4549" s="11" t="s">
        <v>1859</v>
      </c>
      <c r="P4549" s="56"/>
    </row>
    <row r="4550" spans="1:16" ht="15.75" customHeight="1" x14ac:dyDescent="0.2">
      <c r="A4550" s="48">
        <v>15749</v>
      </c>
      <c r="B4550" s="11" t="s">
        <v>1871</v>
      </c>
      <c r="C4550" s="11" t="s">
        <v>1849</v>
      </c>
      <c r="D4550" s="6" t="s">
        <v>1850</v>
      </c>
      <c r="E4550" s="11" t="s">
        <v>8816</v>
      </c>
      <c r="F4550" s="12" t="s">
        <v>8816</v>
      </c>
      <c r="G4550" s="12" t="s">
        <v>4741</v>
      </c>
      <c r="H4550" s="12" t="s">
        <v>4741</v>
      </c>
      <c r="I4550" s="12" t="s">
        <v>9450</v>
      </c>
      <c r="J4550" s="11" t="s">
        <v>1856</v>
      </c>
      <c r="K4550" s="11" t="s">
        <v>1852</v>
      </c>
      <c r="L4550" s="11" t="s">
        <v>1853</v>
      </c>
      <c r="M4550" s="11" t="s">
        <v>1854</v>
      </c>
      <c r="N4550" s="12"/>
      <c r="O4550" s="11" t="s">
        <v>2022</v>
      </c>
      <c r="P4550" s="56"/>
    </row>
    <row r="4551" spans="1:16" ht="15.75" customHeight="1" x14ac:dyDescent="0.2">
      <c r="A4551" s="49">
        <v>16181</v>
      </c>
      <c r="B4551" s="11" t="s">
        <v>1871</v>
      </c>
      <c r="C4551" s="11" t="s">
        <v>1849</v>
      </c>
      <c r="D4551" s="6" t="s">
        <v>1850</v>
      </c>
      <c r="E4551" s="11" t="s">
        <v>8816</v>
      </c>
      <c r="F4551" s="12" t="s">
        <v>8816</v>
      </c>
      <c r="G4551" s="12" t="s">
        <v>8817</v>
      </c>
      <c r="H4551" s="12" t="s">
        <v>8842</v>
      </c>
      <c r="I4551" s="12" t="s">
        <v>9564</v>
      </c>
      <c r="J4551" s="11" t="s">
        <v>1856</v>
      </c>
      <c r="K4551" s="11" t="s">
        <v>1852</v>
      </c>
      <c r="L4551" s="11" t="s">
        <v>1853</v>
      </c>
      <c r="M4551" s="11" t="s">
        <v>1854</v>
      </c>
      <c r="N4551" s="12"/>
      <c r="O4551" s="11" t="s">
        <v>1859</v>
      </c>
      <c r="P4551" s="56"/>
    </row>
    <row r="4552" spans="1:16" ht="15.75" customHeight="1" x14ac:dyDescent="0.2">
      <c r="A4552" s="49">
        <v>16182</v>
      </c>
      <c r="B4552" s="11" t="s">
        <v>1871</v>
      </c>
      <c r="C4552" s="11" t="s">
        <v>1849</v>
      </c>
      <c r="D4552" s="6" t="s">
        <v>1850</v>
      </c>
      <c r="E4552" s="11" t="s">
        <v>8816</v>
      </c>
      <c r="F4552" s="12" t="s">
        <v>8816</v>
      </c>
      <c r="G4552" s="12" t="s">
        <v>6658</v>
      </c>
      <c r="H4552" s="12" t="s">
        <v>6658</v>
      </c>
      <c r="I4552" s="12" t="s">
        <v>9565</v>
      </c>
      <c r="J4552" s="11" t="s">
        <v>1856</v>
      </c>
      <c r="K4552" s="11" t="s">
        <v>1852</v>
      </c>
      <c r="L4552" s="11" t="s">
        <v>1853</v>
      </c>
      <c r="M4552" s="11" t="s">
        <v>1854</v>
      </c>
      <c r="N4552" s="12"/>
      <c r="O4552" s="11" t="s">
        <v>1859</v>
      </c>
      <c r="P4552" s="56"/>
    </row>
    <row r="4553" spans="1:16" ht="15.75" customHeight="1" x14ac:dyDescent="0.2">
      <c r="A4553" s="48">
        <v>4608</v>
      </c>
      <c r="B4553" s="11" t="s">
        <v>1848</v>
      </c>
      <c r="C4553" s="11" t="s">
        <v>1849</v>
      </c>
      <c r="D4553" s="6" t="s">
        <v>4242</v>
      </c>
      <c r="E4553" s="11" t="s">
        <v>8816</v>
      </c>
      <c r="F4553" s="12" t="s">
        <v>8816</v>
      </c>
      <c r="G4553" s="12" t="s">
        <v>8817</v>
      </c>
      <c r="H4553" s="12" t="s">
        <v>8817</v>
      </c>
      <c r="I4553" s="12" t="s">
        <v>9566</v>
      </c>
      <c r="J4553" s="11" t="s">
        <v>1851</v>
      </c>
      <c r="K4553" s="11" t="s">
        <v>1852</v>
      </c>
      <c r="L4553" s="11" t="s">
        <v>1853</v>
      </c>
      <c r="M4553" s="11" t="s">
        <v>1854</v>
      </c>
      <c r="N4553" s="12"/>
      <c r="O4553" s="11" t="s">
        <v>1855</v>
      </c>
      <c r="P4553" s="56"/>
    </row>
    <row r="4554" spans="1:16" ht="15.75" customHeight="1" x14ac:dyDescent="0.2">
      <c r="A4554" s="48">
        <v>4605</v>
      </c>
      <c r="B4554" s="11" t="s">
        <v>1848</v>
      </c>
      <c r="C4554" s="11" t="s">
        <v>1849</v>
      </c>
      <c r="D4554" s="6" t="s">
        <v>4242</v>
      </c>
      <c r="E4554" s="11" t="s">
        <v>8816</v>
      </c>
      <c r="F4554" s="12" t="s">
        <v>8816</v>
      </c>
      <c r="G4554" s="12" t="s">
        <v>8817</v>
      </c>
      <c r="H4554" s="12" t="s">
        <v>8817</v>
      </c>
      <c r="I4554" s="12" t="s">
        <v>9567</v>
      </c>
      <c r="J4554" s="11" t="s">
        <v>1851</v>
      </c>
      <c r="K4554" s="11" t="s">
        <v>1852</v>
      </c>
      <c r="L4554" s="11" t="s">
        <v>1853</v>
      </c>
      <c r="M4554" s="11" t="s">
        <v>1854</v>
      </c>
      <c r="N4554" s="12"/>
      <c r="O4554" s="11" t="s">
        <v>1855</v>
      </c>
      <c r="P4554" s="56"/>
    </row>
    <row r="4555" spans="1:16" ht="15.75" customHeight="1" x14ac:dyDescent="0.2">
      <c r="A4555" s="48">
        <v>7523</v>
      </c>
      <c r="B4555" s="11" t="s">
        <v>1848</v>
      </c>
      <c r="C4555" s="11" t="s">
        <v>1849</v>
      </c>
      <c r="D4555" s="6" t="s">
        <v>4242</v>
      </c>
      <c r="E4555" s="12" t="s">
        <v>8816</v>
      </c>
      <c r="F4555" s="12" t="s">
        <v>8816</v>
      </c>
      <c r="G4555" s="12" t="s">
        <v>8817</v>
      </c>
      <c r="H4555" s="12" t="s">
        <v>8817</v>
      </c>
      <c r="I4555" s="12" t="s">
        <v>9568</v>
      </c>
      <c r="J4555" s="11" t="s">
        <v>1851</v>
      </c>
      <c r="K4555" s="11" t="s">
        <v>1852</v>
      </c>
      <c r="L4555" s="11" t="s">
        <v>1853</v>
      </c>
      <c r="M4555" s="11" t="s">
        <v>1854</v>
      </c>
      <c r="N4555" s="12"/>
      <c r="O4555" s="11" t="s">
        <v>1855</v>
      </c>
      <c r="P4555" s="56"/>
    </row>
    <row r="4556" spans="1:16" ht="15.75" customHeight="1" x14ac:dyDescent="0.2">
      <c r="A4556" s="48">
        <v>7578</v>
      </c>
      <c r="B4556" s="11" t="s">
        <v>1857</v>
      </c>
      <c r="C4556" s="11" t="s">
        <v>1849</v>
      </c>
      <c r="D4556" s="6" t="s">
        <v>1875</v>
      </c>
      <c r="E4556" s="11" t="s">
        <v>8816</v>
      </c>
      <c r="F4556" s="12" t="s">
        <v>8816</v>
      </c>
      <c r="G4556" s="12" t="s">
        <v>8817</v>
      </c>
      <c r="H4556" s="12" t="s">
        <v>8817</v>
      </c>
      <c r="I4556" s="12" t="s">
        <v>9569</v>
      </c>
      <c r="J4556" s="11" t="s">
        <v>1851</v>
      </c>
      <c r="K4556" s="11" t="s">
        <v>1852</v>
      </c>
      <c r="L4556" s="11" t="s">
        <v>1853</v>
      </c>
      <c r="M4556" s="11" t="s">
        <v>1854</v>
      </c>
      <c r="N4556" s="12"/>
      <c r="O4556" s="11" t="s">
        <v>1854</v>
      </c>
      <c r="P4556" s="56"/>
    </row>
    <row r="4557" spans="1:16" ht="15.75" customHeight="1" x14ac:dyDescent="0.2">
      <c r="A4557" s="48">
        <v>4609</v>
      </c>
      <c r="B4557" s="11" t="s">
        <v>1857</v>
      </c>
      <c r="C4557" s="11" t="s">
        <v>1849</v>
      </c>
      <c r="D4557" s="6" t="s">
        <v>2594</v>
      </c>
      <c r="E4557" s="11" t="s">
        <v>8816</v>
      </c>
      <c r="F4557" s="12" t="s">
        <v>8816</v>
      </c>
      <c r="G4557" s="12" t="s">
        <v>8817</v>
      </c>
      <c r="H4557" s="12" t="s">
        <v>8817</v>
      </c>
      <c r="I4557" s="12" t="s">
        <v>9570</v>
      </c>
      <c r="J4557" s="11" t="s">
        <v>1851</v>
      </c>
      <c r="K4557" s="11" t="s">
        <v>1852</v>
      </c>
      <c r="L4557" s="11" t="s">
        <v>1853</v>
      </c>
      <c r="M4557" s="11" t="s">
        <v>1854</v>
      </c>
      <c r="N4557" s="12"/>
      <c r="O4557" s="11" t="s">
        <v>2334</v>
      </c>
      <c r="P4557" s="56" t="s">
        <v>7171</v>
      </c>
    </row>
    <row r="4558" spans="1:16" ht="15.75" customHeight="1" x14ac:dyDescent="0.2">
      <c r="A4558" s="49">
        <v>4592</v>
      </c>
      <c r="B4558" s="11" t="s">
        <v>1848</v>
      </c>
      <c r="C4558" s="11" t="s">
        <v>1876</v>
      </c>
      <c r="D4558" s="6" t="s">
        <v>1850</v>
      </c>
      <c r="E4558" s="11" t="s">
        <v>8816</v>
      </c>
      <c r="F4558" s="12" t="s">
        <v>8816</v>
      </c>
      <c r="G4558" s="12" t="s">
        <v>8817</v>
      </c>
      <c r="H4558" s="12" t="s">
        <v>8817</v>
      </c>
      <c r="I4558" s="12" t="s">
        <v>9571</v>
      </c>
      <c r="J4558" s="11" t="s">
        <v>1851</v>
      </c>
      <c r="K4558" s="11" t="s">
        <v>1852</v>
      </c>
      <c r="L4558" s="11" t="s">
        <v>1853</v>
      </c>
      <c r="M4558" s="11" t="s">
        <v>1854</v>
      </c>
      <c r="N4558" s="12"/>
      <c r="O4558" s="11" t="s">
        <v>1855</v>
      </c>
      <c r="P4558" s="56"/>
    </row>
    <row r="4559" spans="1:16" ht="15.75" customHeight="1" x14ac:dyDescent="0.2">
      <c r="A4559" s="48">
        <v>7588</v>
      </c>
      <c r="B4559" s="11" t="s">
        <v>1848</v>
      </c>
      <c r="C4559" s="11" t="s">
        <v>1876</v>
      </c>
      <c r="D4559" s="6" t="s">
        <v>1850</v>
      </c>
      <c r="E4559" s="11" t="s">
        <v>8816</v>
      </c>
      <c r="F4559" s="12" t="s">
        <v>8816</v>
      </c>
      <c r="G4559" s="12" t="s">
        <v>8817</v>
      </c>
      <c r="H4559" s="12" t="s">
        <v>8817</v>
      </c>
      <c r="I4559" s="12" t="s">
        <v>9572</v>
      </c>
      <c r="J4559" s="11" t="s">
        <v>1851</v>
      </c>
      <c r="K4559" s="11" t="s">
        <v>1852</v>
      </c>
      <c r="L4559" s="11" t="s">
        <v>1853</v>
      </c>
      <c r="M4559" s="11" t="s">
        <v>9573</v>
      </c>
      <c r="N4559" s="12"/>
      <c r="O4559" s="11" t="s">
        <v>1858</v>
      </c>
      <c r="P4559" s="56"/>
    </row>
    <row r="4560" spans="1:16" ht="15.75" customHeight="1" x14ac:dyDescent="0.2">
      <c r="A4560" s="49">
        <v>16055</v>
      </c>
      <c r="B4560" s="11" t="s">
        <v>1848</v>
      </c>
      <c r="C4560" s="11" t="s">
        <v>1876</v>
      </c>
      <c r="D4560" s="6" t="s">
        <v>1850</v>
      </c>
      <c r="E4560" s="12" t="s">
        <v>8816</v>
      </c>
      <c r="F4560" s="12" t="s">
        <v>8816</v>
      </c>
      <c r="G4560" s="12" t="s">
        <v>8817</v>
      </c>
      <c r="H4560" s="12" t="s">
        <v>8817</v>
      </c>
      <c r="I4560" s="12" t="s">
        <v>9574</v>
      </c>
      <c r="J4560" s="11" t="s">
        <v>1851</v>
      </c>
      <c r="K4560" s="11" t="s">
        <v>1852</v>
      </c>
      <c r="L4560" s="11" t="s">
        <v>1853</v>
      </c>
      <c r="M4560" s="11" t="s">
        <v>9575</v>
      </c>
      <c r="N4560" s="12"/>
      <c r="O4560" s="11" t="s">
        <v>1858</v>
      </c>
      <c r="P4560" s="56"/>
    </row>
    <row r="4561" spans="1:16" ht="15.75" customHeight="1" x14ac:dyDescent="0.2">
      <c r="A4561" s="48">
        <v>7522</v>
      </c>
      <c r="B4561" s="11" t="s">
        <v>1848</v>
      </c>
      <c r="C4561" s="11" t="s">
        <v>1876</v>
      </c>
      <c r="D4561" s="6" t="s">
        <v>1850</v>
      </c>
      <c r="E4561" s="12" t="s">
        <v>8816</v>
      </c>
      <c r="F4561" s="12" t="s">
        <v>8816</v>
      </c>
      <c r="G4561" s="12" t="s">
        <v>8817</v>
      </c>
      <c r="H4561" s="12" t="s">
        <v>8817</v>
      </c>
      <c r="I4561" s="12" t="s">
        <v>9576</v>
      </c>
      <c r="J4561" s="11" t="s">
        <v>1851</v>
      </c>
      <c r="K4561" s="11" t="s">
        <v>1852</v>
      </c>
      <c r="L4561" s="11" t="s">
        <v>1853</v>
      </c>
      <c r="M4561" s="11" t="s">
        <v>1854</v>
      </c>
      <c r="N4561" s="12"/>
      <c r="O4561" s="11" t="s">
        <v>1855</v>
      </c>
      <c r="P4561" s="56"/>
    </row>
    <row r="4562" spans="1:16" ht="15.75" customHeight="1" x14ac:dyDescent="0.2">
      <c r="A4562" s="48">
        <v>15050</v>
      </c>
      <c r="B4562" s="11" t="s">
        <v>1848</v>
      </c>
      <c r="C4562" s="11" t="s">
        <v>1876</v>
      </c>
      <c r="D4562" s="6" t="s">
        <v>1850</v>
      </c>
      <c r="E4562" s="11" t="s">
        <v>8816</v>
      </c>
      <c r="F4562" s="12" t="s">
        <v>8816</v>
      </c>
      <c r="G4562" s="12" t="s">
        <v>8817</v>
      </c>
      <c r="H4562" s="12" t="s">
        <v>8817</v>
      </c>
      <c r="I4562" s="12" t="s">
        <v>9577</v>
      </c>
      <c r="J4562" s="11" t="s">
        <v>1851</v>
      </c>
      <c r="K4562" s="11" t="s">
        <v>1852</v>
      </c>
      <c r="L4562" s="11" t="s">
        <v>1853</v>
      </c>
      <c r="M4562" s="11" t="s">
        <v>1854</v>
      </c>
      <c r="N4562" s="12"/>
      <c r="O4562" s="11" t="s">
        <v>1855</v>
      </c>
      <c r="P4562" s="56"/>
    </row>
    <row r="4563" spans="1:16" ht="15.75" customHeight="1" x14ac:dyDescent="0.2">
      <c r="A4563" s="49">
        <v>4611</v>
      </c>
      <c r="B4563" s="11" t="s">
        <v>1857</v>
      </c>
      <c r="C4563" s="11" t="s">
        <v>1876</v>
      </c>
      <c r="D4563" s="6" t="s">
        <v>1850</v>
      </c>
      <c r="E4563" s="11" t="s">
        <v>8816</v>
      </c>
      <c r="F4563" s="12" t="s">
        <v>8816</v>
      </c>
      <c r="G4563" s="12" t="s">
        <v>8817</v>
      </c>
      <c r="H4563" s="12" t="s">
        <v>8817</v>
      </c>
      <c r="I4563" s="12" t="s">
        <v>7068</v>
      </c>
      <c r="J4563" s="11" t="s">
        <v>1851</v>
      </c>
      <c r="K4563" s="11" t="s">
        <v>1852</v>
      </c>
      <c r="L4563" s="11" t="s">
        <v>1853</v>
      </c>
      <c r="M4563" s="11" t="s">
        <v>1854</v>
      </c>
      <c r="N4563" s="12"/>
      <c r="O4563" s="11" t="s">
        <v>3726</v>
      </c>
      <c r="P4563" s="56" t="s">
        <v>3343</v>
      </c>
    </row>
    <row r="4564" spans="1:16" ht="15.75" customHeight="1" x14ac:dyDescent="0.2">
      <c r="A4564" s="49">
        <v>6254</v>
      </c>
      <c r="B4564" s="11" t="s">
        <v>1857</v>
      </c>
      <c r="C4564" s="11" t="s">
        <v>1876</v>
      </c>
      <c r="D4564" s="6" t="s">
        <v>1850</v>
      </c>
      <c r="E4564" s="11" t="s">
        <v>8816</v>
      </c>
      <c r="F4564" s="12" t="s">
        <v>8816</v>
      </c>
      <c r="G4564" s="12" t="s">
        <v>8817</v>
      </c>
      <c r="H4564" s="12" t="s">
        <v>8817</v>
      </c>
      <c r="I4564" s="12" t="s">
        <v>9578</v>
      </c>
      <c r="J4564" s="11" t="s">
        <v>1851</v>
      </c>
      <c r="K4564" s="11" t="s">
        <v>1852</v>
      </c>
      <c r="L4564" s="11" t="s">
        <v>1853</v>
      </c>
      <c r="M4564" s="11" t="s">
        <v>1854</v>
      </c>
      <c r="N4564" s="12"/>
      <c r="O4564" s="11" t="s">
        <v>1858</v>
      </c>
      <c r="P4564" s="56"/>
    </row>
    <row r="4565" spans="1:16" ht="15.75" customHeight="1" x14ac:dyDescent="0.2">
      <c r="A4565" s="49">
        <v>6251</v>
      </c>
      <c r="B4565" s="11" t="s">
        <v>1857</v>
      </c>
      <c r="C4565" s="11" t="s">
        <v>1876</v>
      </c>
      <c r="D4565" s="6" t="s">
        <v>1850</v>
      </c>
      <c r="E4565" s="11" t="s">
        <v>8816</v>
      </c>
      <c r="F4565" s="12" t="s">
        <v>8816</v>
      </c>
      <c r="G4565" s="12" t="s">
        <v>8817</v>
      </c>
      <c r="H4565" s="12" t="s">
        <v>8817</v>
      </c>
      <c r="I4565" s="12" t="s">
        <v>9579</v>
      </c>
      <c r="J4565" s="11" t="s">
        <v>1851</v>
      </c>
      <c r="K4565" s="11" t="s">
        <v>1852</v>
      </c>
      <c r="L4565" s="11" t="s">
        <v>1853</v>
      </c>
      <c r="M4565" s="11" t="s">
        <v>1854</v>
      </c>
      <c r="N4565" s="12"/>
      <c r="O4565" s="11" t="s">
        <v>2307</v>
      </c>
      <c r="P4565" s="56" t="s">
        <v>3343</v>
      </c>
    </row>
    <row r="4566" spans="1:16" ht="15.75" customHeight="1" x14ac:dyDescent="0.2">
      <c r="A4566" s="49">
        <v>6259</v>
      </c>
      <c r="B4566" s="11" t="s">
        <v>1857</v>
      </c>
      <c r="C4566" s="11" t="s">
        <v>1876</v>
      </c>
      <c r="D4566" s="6" t="s">
        <v>1850</v>
      </c>
      <c r="E4566" s="11" t="s">
        <v>8816</v>
      </c>
      <c r="F4566" s="12" t="s">
        <v>8816</v>
      </c>
      <c r="G4566" s="12" t="s">
        <v>8844</v>
      </c>
      <c r="H4566" s="12" t="s">
        <v>8823</v>
      </c>
      <c r="I4566" s="12" t="s">
        <v>9580</v>
      </c>
      <c r="J4566" s="11" t="s">
        <v>1851</v>
      </c>
      <c r="K4566" s="11" t="s">
        <v>1852</v>
      </c>
      <c r="L4566" s="11" t="s">
        <v>1853</v>
      </c>
      <c r="M4566" s="11" t="s">
        <v>1854</v>
      </c>
      <c r="N4566" s="12"/>
      <c r="O4566" s="11" t="s">
        <v>1858</v>
      </c>
      <c r="P4566" s="56"/>
    </row>
    <row r="4567" spans="1:16" ht="15.75" customHeight="1" x14ac:dyDescent="0.2">
      <c r="A4567" s="49">
        <v>6258</v>
      </c>
      <c r="B4567" s="11" t="s">
        <v>1857</v>
      </c>
      <c r="C4567" s="11" t="s">
        <v>1876</v>
      </c>
      <c r="D4567" s="6" t="s">
        <v>1850</v>
      </c>
      <c r="E4567" s="11" t="s">
        <v>8816</v>
      </c>
      <c r="F4567" s="12" t="s">
        <v>8816</v>
      </c>
      <c r="G4567" s="12" t="s">
        <v>8817</v>
      </c>
      <c r="H4567" s="12" t="s">
        <v>9082</v>
      </c>
      <c r="I4567" s="12" t="s">
        <v>9581</v>
      </c>
      <c r="J4567" s="11" t="s">
        <v>1851</v>
      </c>
      <c r="K4567" s="11" t="s">
        <v>1852</v>
      </c>
      <c r="L4567" s="11" t="s">
        <v>1853</v>
      </c>
      <c r="M4567" s="11" t="s">
        <v>1854</v>
      </c>
      <c r="N4567" s="12"/>
      <c r="O4567" s="11" t="s">
        <v>1860</v>
      </c>
      <c r="P4567" s="56"/>
    </row>
    <row r="4568" spans="1:16" ht="15.75" customHeight="1" x14ac:dyDescent="0.2">
      <c r="A4568" s="49">
        <v>7520</v>
      </c>
      <c r="B4568" s="11" t="s">
        <v>1857</v>
      </c>
      <c r="C4568" s="11" t="s">
        <v>1876</v>
      </c>
      <c r="D4568" s="6" t="s">
        <v>1850</v>
      </c>
      <c r="E4568" s="12" t="s">
        <v>8816</v>
      </c>
      <c r="F4568" s="12" t="s">
        <v>8816</v>
      </c>
      <c r="G4568" s="12" t="s">
        <v>8817</v>
      </c>
      <c r="H4568" s="12" t="s">
        <v>9082</v>
      </c>
      <c r="I4568" s="12" t="s">
        <v>9582</v>
      </c>
      <c r="J4568" s="11" t="s">
        <v>1851</v>
      </c>
      <c r="K4568" s="11" t="s">
        <v>1852</v>
      </c>
      <c r="L4568" s="11" t="s">
        <v>1853</v>
      </c>
      <c r="M4568" s="11" t="s">
        <v>1854</v>
      </c>
      <c r="N4568" s="12"/>
      <c r="O4568" s="11" t="s">
        <v>1858</v>
      </c>
      <c r="P4568" s="56"/>
    </row>
    <row r="4569" spans="1:16" ht="15.75" customHeight="1" x14ac:dyDescent="0.2">
      <c r="A4569" s="49">
        <v>7252</v>
      </c>
      <c r="B4569" s="11" t="s">
        <v>1857</v>
      </c>
      <c r="C4569" s="11" t="s">
        <v>1876</v>
      </c>
      <c r="D4569" s="6" t="s">
        <v>1850</v>
      </c>
      <c r="E4569" s="11" t="s">
        <v>8816</v>
      </c>
      <c r="F4569" s="12" t="s">
        <v>8816</v>
      </c>
      <c r="G4569" s="12" t="s">
        <v>8817</v>
      </c>
      <c r="H4569" s="59" t="s">
        <v>8817</v>
      </c>
      <c r="I4569" s="12" t="s">
        <v>9583</v>
      </c>
      <c r="J4569" s="11" t="s">
        <v>1851</v>
      </c>
      <c r="K4569" s="11" t="s">
        <v>1852</v>
      </c>
      <c r="L4569" s="11" t="s">
        <v>1853</v>
      </c>
      <c r="M4569" s="11" t="s">
        <v>1854</v>
      </c>
      <c r="N4569" s="12"/>
      <c r="O4569" s="11" t="s">
        <v>1867</v>
      </c>
      <c r="P4569" s="56" t="s">
        <v>1956</v>
      </c>
    </row>
    <row r="4570" spans="1:16" ht="15.75" customHeight="1" x14ac:dyDescent="0.2">
      <c r="A4570" s="49">
        <v>6336</v>
      </c>
      <c r="B4570" s="11" t="s">
        <v>1857</v>
      </c>
      <c r="C4570" s="11" t="s">
        <v>1876</v>
      </c>
      <c r="D4570" s="6" t="s">
        <v>1850</v>
      </c>
      <c r="E4570" s="11" t="s">
        <v>8816</v>
      </c>
      <c r="F4570" s="12" t="s">
        <v>8816</v>
      </c>
      <c r="G4570" s="12" t="s">
        <v>8895</v>
      </c>
      <c r="H4570" s="12" t="s">
        <v>8895</v>
      </c>
      <c r="I4570" s="12" t="s">
        <v>9584</v>
      </c>
      <c r="J4570" s="11" t="s">
        <v>1851</v>
      </c>
      <c r="K4570" s="11" t="s">
        <v>1852</v>
      </c>
      <c r="L4570" s="11" t="s">
        <v>1853</v>
      </c>
      <c r="M4570" s="11" t="s">
        <v>1854</v>
      </c>
      <c r="N4570" s="12"/>
      <c r="O4570" s="11" t="s">
        <v>3016</v>
      </c>
      <c r="P4570" s="56" t="s">
        <v>2796</v>
      </c>
    </row>
    <row r="4571" spans="1:16" ht="15.75" customHeight="1" x14ac:dyDescent="0.2">
      <c r="A4571" s="49">
        <v>6255</v>
      </c>
      <c r="B4571" s="11" t="s">
        <v>1857</v>
      </c>
      <c r="C4571" s="11" t="s">
        <v>1876</v>
      </c>
      <c r="D4571" s="6" t="s">
        <v>1850</v>
      </c>
      <c r="E4571" s="11" t="s">
        <v>8816</v>
      </c>
      <c r="F4571" s="12" t="s">
        <v>8816</v>
      </c>
      <c r="G4571" s="12" t="s">
        <v>8817</v>
      </c>
      <c r="H4571" s="12" t="s">
        <v>8817</v>
      </c>
      <c r="I4571" s="12" t="s">
        <v>9585</v>
      </c>
      <c r="J4571" s="11" t="s">
        <v>1851</v>
      </c>
      <c r="K4571" s="11" t="s">
        <v>1852</v>
      </c>
      <c r="L4571" s="11" t="s">
        <v>1853</v>
      </c>
      <c r="M4571" s="11" t="s">
        <v>1854</v>
      </c>
      <c r="N4571" s="12"/>
      <c r="O4571" s="11" t="s">
        <v>1860</v>
      </c>
      <c r="P4571" s="56"/>
    </row>
    <row r="4572" spans="1:16" ht="15.75" customHeight="1" x14ac:dyDescent="0.2">
      <c r="A4572" s="49">
        <v>6250</v>
      </c>
      <c r="B4572" s="11" t="s">
        <v>1857</v>
      </c>
      <c r="C4572" s="11" t="s">
        <v>1876</v>
      </c>
      <c r="D4572" s="6" t="s">
        <v>1850</v>
      </c>
      <c r="E4572" s="11" t="s">
        <v>8816</v>
      </c>
      <c r="F4572" s="12" t="s">
        <v>8816</v>
      </c>
      <c r="G4572" s="12" t="s">
        <v>8817</v>
      </c>
      <c r="H4572" s="12" t="s">
        <v>8817</v>
      </c>
      <c r="I4572" s="12" t="s">
        <v>9586</v>
      </c>
      <c r="J4572" s="11" t="s">
        <v>1851</v>
      </c>
      <c r="K4572" s="11" t="s">
        <v>1852</v>
      </c>
      <c r="L4572" s="11" t="s">
        <v>1853</v>
      </c>
      <c r="M4572" s="11" t="s">
        <v>1854</v>
      </c>
      <c r="N4572" s="12"/>
      <c r="O4572" s="11" t="s">
        <v>2307</v>
      </c>
      <c r="P4572" s="56" t="s">
        <v>3343</v>
      </c>
    </row>
    <row r="4573" spans="1:16" ht="15.75" customHeight="1" x14ac:dyDescent="0.2">
      <c r="A4573" s="48">
        <v>15226</v>
      </c>
      <c r="B4573" s="11" t="s">
        <v>1871</v>
      </c>
      <c r="C4573" s="11" t="s">
        <v>1876</v>
      </c>
      <c r="D4573" s="6" t="s">
        <v>1850</v>
      </c>
      <c r="E4573" s="11" t="s">
        <v>8816</v>
      </c>
      <c r="F4573" s="12" t="s">
        <v>8816</v>
      </c>
      <c r="G4573" s="12" t="s">
        <v>8820</v>
      </c>
      <c r="H4573" s="12" t="s">
        <v>8820</v>
      </c>
      <c r="I4573" s="12" t="s">
        <v>9587</v>
      </c>
      <c r="J4573" s="11" t="s">
        <v>1851</v>
      </c>
      <c r="K4573" s="11" t="s">
        <v>1852</v>
      </c>
      <c r="L4573" s="11" t="s">
        <v>1853</v>
      </c>
      <c r="M4573" s="11" t="s">
        <v>1854</v>
      </c>
      <c r="N4573" s="12"/>
      <c r="O4573" s="11" t="s">
        <v>2412</v>
      </c>
      <c r="P4573" s="56"/>
    </row>
    <row r="4574" spans="1:16" ht="15.75" customHeight="1" x14ac:dyDescent="0.2">
      <c r="A4574" s="48">
        <v>15962</v>
      </c>
      <c r="B4574" s="11" t="s">
        <v>1871</v>
      </c>
      <c r="C4574" s="11" t="s">
        <v>1876</v>
      </c>
      <c r="D4574" s="6" t="s">
        <v>1850</v>
      </c>
      <c r="E4574" s="11" t="s">
        <v>8816</v>
      </c>
      <c r="F4574" s="12" t="s">
        <v>8816</v>
      </c>
      <c r="G4574" s="12" t="s">
        <v>8817</v>
      </c>
      <c r="H4574" s="12" t="s">
        <v>8817</v>
      </c>
      <c r="I4574" s="12" t="s">
        <v>9588</v>
      </c>
      <c r="J4574" s="11" t="s">
        <v>1851</v>
      </c>
      <c r="K4574" s="11" t="s">
        <v>1852</v>
      </c>
      <c r="L4574" s="11" t="s">
        <v>1853</v>
      </c>
      <c r="M4574" s="11" t="s">
        <v>1854</v>
      </c>
      <c r="N4574" s="12"/>
      <c r="O4574" s="11" t="s">
        <v>2412</v>
      </c>
      <c r="P4574" s="56"/>
    </row>
    <row r="4575" spans="1:16" ht="15.75" customHeight="1" x14ac:dyDescent="0.2">
      <c r="A4575" s="48">
        <v>15229</v>
      </c>
      <c r="B4575" s="11" t="s">
        <v>1871</v>
      </c>
      <c r="C4575" s="11" t="s">
        <v>1876</v>
      </c>
      <c r="D4575" s="6" t="s">
        <v>1850</v>
      </c>
      <c r="E4575" s="11" t="s">
        <v>8816</v>
      </c>
      <c r="F4575" s="12" t="s">
        <v>8816</v>
      </c>
      <c r="G4575" s="12" t="s">
        <v>8817</v>
      </c>
      <c r="H4575" s="12" t="s">
        <v>8817</v>
      </c>
      <c r="I4575" s="12" t="s">
        <v>9589</v>
      </c>
      <c r="J4575" s="11" t="s">
        <v>1851</v>
      </c>
      <c r="K4575" s="11" t="s">
        <v>1852</v>
      </c>
      <c r="L4575" s="11" t="s">
        <v>1853</v>
      </c>
      <c r="M4575" s="11" t="s">
        <v>1854</v>
      </c>
      <c r="N4575" s="12"/>
      <c r="O4575" s="11" t="s">
        <v>2412</v>
      </c>
      <c r="P4575" s="56" t="s">
        <v>1865</v>
      </c>
    </row>
    <row r="4576" spans="1:16" ht="15.75" customHeight="1" x14ac:dyDescent="0.2">
      <c r="A4576" s="48">
        <v>15228</v>
      </c>
      <c r="B4576" s="11" t="s">
        <v>1871</v>
      </c>
      <c r="C4576" s="11" t="s">
        <v>1876</v>
      </c>
      <c r="D4576" s="6" t="s">
        <v>1850</v>
      </c>
      <c r="E4576" s="11" t="s">
        <v>8816</v>
      </c>
      <c r="F4576" s="12" t="s">
        <v>8816</v>
      </c>
      <c r="G4576" s="12" t="s">
        <v>8817</v>
      </c>
      <c r="H4576" s="12" t="s">
        <v>8817</v>
      </c>
      <c r="I4576" s="12" t="s">
        <v>9590</v>
      </c>
      <c r="J4576" s="11" t="s">
        <v>1851</v>
      </c>
      <c r="K4576" s="11" t="s">
        <v>1852</v>
      </c>
      <c r="L4576" s="11" t="s">
        <v>1853</v>
      </c>
      <c r="M4576" s="11" t="s">
        <v>1854</v>
      </c>
      <c r="N4576" s="12"/>
      <c r="O4576" s="11" t="s">
        <v>2412</v>
      </c>
      <c r="P4576" s="56"/>
    </row>
    <row r="4577" spans="1:16" ht="15.75" customHeight="1" x14ac:dyDescent="0.2">
      <c r="A4577" s="48">
        <v>15227</v>
      </c>
      <c r="B4577" s="11" t="s">
        <v>1871</v>
      </c>
      <c r="C4577" s="11" t="s">
        <v>1876</v>
      </c>
      <c r="D4577" s="6" t="s">
        <v>1850</v>
      </c>
      <c r="E4577" s="11" t="s">
        <v>8816</v>
      </c>
      <c r="F4577" s="12" t="s">
        <v>8816</v>
      </c>
      <c r="G4577" s="12" t="s">
        <v>8817</v>
      </c>
      <c r="H4577" s="12" t="s">
        <v>8817</v>
      </c>
      <c r="I4577" s="12" t="s">
        <v>9591</v>
      </c>
      <c r="J4577" s="11" t="s">
        <v>1851</v>
      </c>
      <c r="K4577" s="11" t="s">
        <v>1852</v>
      </c>
      <c r="L4577" s="11" t="s">
        <v>1853</v>
      </c>
      <c r="M4577" s="11" t="s">
        <v>1854</v>
      </c>
      <c r="N4577" s="12"/>
      <c r="O4577" s="11" t="s">
        <v>1864</v>
      </c>
      <c r="P4577" s="56"/>
    </row>
    <row r="4578" spans="1:16" ht="15.75" customHeight="1" x14ac:dyDescent="0.2">
      <c r="A4578" s="48">
        <v>15224</v>
      </c>
      <c r="B4578" s="11" t="s">
        <v>1871</v>
      </c>
      <c r="C4578" s="11" t="s">
        <v>1876</v>
      </c>
      <c r="D4578" s="6" t="s">
        <v>1850</v>
      </c>
      <c r="E4578" s="11" t="s">
        <v>8816</v>
      </c>
      <c r="F4578" s="12" t="s">
        <v>8816</v>
      </c>
      <c r="G4578" s="12" t="s">
        <v>8817</v>
      </c>
      <c r="H4578" s="12" t="s">
        <v>8817</v>
      </c>
      <c r="I4578" s="12" t="s">
        <v>9592</v>
      </c>
      <c r="J4578" s="11" t="s">
        <v>1851</v>
      </c>
      <c r="K4578" s="11" t="s">
        <v>1852</v>
      </c>
      <c r="L4578" s="11" t="s">
        <v>1853</v>
      </c>
      <c r="M4578" s="11" t="s">
        <v>1854</v>
      </c>
      <c r="N4578" s="12"/>
      <c r="O4578" s="11" t="s">
        <v>2412</v>
      </c>
      <c r="P4578" s="56" t="s">
        <v>4659</v>
      </c>
    </row>
    <row r="4579" spans="1:16" ht="15.75" customHeight="1" x14ac:dyDescent="0.2">
      <c r="A4579" s="48">
        <v>15225</v>
      </c>
      <c r="B4579" s="11" t="s">
        <v>1871</v>
      </c>
      <c r="C4579" s="11" t="s">
        <v>1876</v>
      </c>
      <c r="D4579" s="6" t="s">
        <v>1850</v>
      </c>
      <c r="E4579" s="11" t="s">
        <v>8816</v>
      </c>
      <c r="F4579" s="12" t="s">
        <v>8816</v>
      </c>
      <c r="G4579" s="12" t="s">
        <v>8817</v>
      </c>
      <c r="H4579" s="12" t="s">
        <v>8817</v>
      </c>
      <c r="I4579" s="12" t="s">
        <v>2615</v>
      </c>
      <c r="J4579" s="11" t="s">
        <v>1851</v>
      </c>
      <c r="K4579" s="11" t="s">
        <v>1852</v>
      </c>
      <c r="L4579" s="11" t="s">
        <v>1853</v>
      </c>
      <c r="M4579" s="11" t="s">
        <v>1854</v>
      </c>
      <c r="N4579" s="12"/>
      <c r="O4579" s="11" t="s">
        <v>2412</v>
      </c>
      <c r="P4579" s="56" t="s">
        <v>3476</v>
      </c>
    </row>
    <row r="4580" spans="1:16" ht="12" customHeight="1" x14ac:dyDescent="0.2">
      <c r="A4580" s="49">
        <v>16202</v>
      </c>
      <c r="B4580" s="11" t="s">
        <v>1871</v>
      </c>
      <c r="C4580" s="12" t="s">
        <v>1849</v>
      </c>
      <c r="D4580" s="6" t="s">
        <v>1850</v>
      </c>
      <c r="E4580" s="11" t="s">
        <v>6642</v>
      </c>
      <c r="F4580" s="12" t="s">
        <v>7345</v>
      </c>
      <c r="G4580" s="12" t="s">
        <v>7346</v>
      </c>
      <c r="H4580" s="12" t="s">
        <v>7510</v>
      </c>
      <c r="I4580" s="12" t="s">
        <v>9593</v>
      </c>
      <c r="J4580" s="11" t="s">
        <v>1856</v>
      </c>
      <c r="K4580" s="11" t="s">
        <v>1852</v>
      </c>
      <c r="L4580" s="12" t="s">
        <v>1853</v>
      </c>
      <c r="M4580" s="11" t="s">
        <v>1854</v>
      </c>
      <c r="N4580" s="12"/>
      <c r="O4580" s="11" t="s">
        <v>1854</v>
      </c>
      <c r="P4580" s="56"/>
    </row>
    <row r="4581" spans="1:16" ht="12" customHeight="1" x14ac:dyDescent="0.2">
      <c r="A4581" s="49">
        <v>16203</v>
      </c>
      <c r="B4581" s="11" t="s">
        <v>1871</v>
      </c>
      <c r="C4581" s="12" t="s">
        <v>1849</v>
      </c>
      <c r="D4581" s="6" t="s">
        <v>1850</v>
      </c>
      <c r="E4581" s="11" t="s">
        <v>6642</v>
      </c>
      <c r="F4581" s="12" t="s">
        <v>7345</v>
      </c>
      <c r="G4581" s="12" t="s">
        <v>7346</v>
      </c>
      <c r="H4581" s="12" t="s">
        <v>7346</v>
      </c>
      <c r="I4581" s="12" t="s">
        <v>9594</v>
      </c>
      <c r="J4581" s="11" t="s">
        <v>1851</v>
      </c>
      <c r="K4581" s="11" t="s">
        <v>1852</v>
      </c>
      <c r="L4581" s="12"/>
      <c r="M4581" s="11" t="s">
        <v>1854</v>
      </c>
      <c r="N4581" s="12"/>
      <c r="O4581" s="11" t="s">
        <v>1859</v>
      </c>
      <c r="P4581" s="56"/>
    </row>
    <row r="4582" spans="1:16" ht="12" customHeight="1" x14ac:dyDescent="0.2">
      <c r="A4582" s="49">
        <v>16204</v>
      </c>
      <c r="B4582" s="12" t="s">
        <v>1871</v>
      </c>
      <c r="C4582" s="12" t="s">
        <v>1849</v>
      </c>
      <c r="D4582" s="6" t="s">
        <v>1850</v>
      </c>
      <c r="E4582" s="11" t="s">
        <v>6642</v>
      </c>
      <c r="F4582" s="12" t="s">
        <v>7345</v>
      </c>
      <c r="G4582" s="12" t="s">
        <v>7355</v>
      </c>
      <c r="H4582" s="12" t="s">
        <v>7355</v>
      </c>
      <c r="I4582" s="12" t="s">
        <v>9595</v>
      </c>
      <c r="J4582" s="11" t="s">
        <v>1851</v>
      </c>
      <c r="K4582" s="11" t="s">
        <v>1852</v>
      </c>
      <c r="L4582" s="12"/>
      <c r="M4582" s="12" t="s">
        <v>1854</v>
      </c>
      <c r="N4582" s="12"/>
      <c r="O4582" s="11" t="s">
        <v>3016</v>
      </c>
      <c r="P4582" s="56" t="s">
        <v>2323</v>
      </c>
    </row>
    <row r="4583" spans="1:16" ht="12" customHeight="1" x14ac:dyDescent="0.2">
      <c r="A4583" s="49">
        <v>16205</v>
      </c>
      <c r="B4583" s="12" t="s">
        <v>1871</v>
      </c>
      <c r="C4583" s="12" t="s">
        <v>1849</v>
      </c>
      <c r="D4583" s="6" t="s">
        <v>1850</v>
      </c>
      <c r="E4583" s="12" t="s">
        <v>6642</v>
      </c>
      <c r="F4583" s="12" t="s">
        <v>7345</v>
      </c>
      <c r="G4583" s="12" t="s">
        <v>5198</v>
      </c>
      <c r="H4583" s="12" t="s">
        <v>7352</v>
      </c>
      <c r="I4583" s="12" t="s">
        <v>9596</v>
      </c>
      <c r="J4583" s="11" t="s">
        <v>1856</v>
      </c>
      <c r="K4583" s="11" t="s">
        <v>1852</v>
      </c>
      <c r="L4583" s="12"/>
      <c r="M4583" s="12" t="s">
        <v>1854</v>
      </c>
      <c r="N4583" s="12"/>
      <c r="O4583" s="11" t="s">
        <v>1864</v>
      </c>
      <c r="P4583" s="56" t="s">
        <v>1865</v>
      </c>
    </row>
    <row r="4584" spans="1:16" ht="12" customHeight="1" x14ac:dyDescent="0.2">
      <c r="A4584" s="49" t="s">
        <v>9597</v>
      </c>
      <c r="B4584" s="12" t="s">
        <v>1857</v>
      </c>
      <c r="C4584" s="12" t="s">
        <v>1849</v>
      </c>
      <c r="D4584" s="12" t="s">
        <v>1875</v>
      </c>
      <c r="E4584" s="12" t="s">
        <v>6642</v>
      </c>
      <c r="F4584" s="12" t="s">
        <v>6643</v>
      </c>
      <c r="G4584" s="12" t="s">
        <v>6642</v>
      </c>
      <c r="H4584" s="58" t="s">
        <v>6689</v>
      </c>
      <c r="I4584" s="12" t="s">
        <v>9598</v>
      </c>
      <c r="J4584" s="12" t="s">
        <v>1851</v>
      </c>
      <c r="K4584" s="12" t="s">
        <v>1852</v>
      </c>
      <c r="L4584" s="12" t="s">
        <v>1853</v>
      </c>
      <c r="M4584" s="12" t="s">
        <v>1854</v>
      </c>
      <c r="N4584" s="12"/>
      <c r="O4584" s="12" t="s">
        <v>1854</v>
      </c>
      <c r="P4584" s="56"/>
    </row>
    <row r="4585" spans="1:16" x14ac:dyDescent="0.2">
      <c r="A4585" s="49">
        <v>16207</v>
      </c>
      <c r="B4585" s="12" t="s">
        <v>1857</v>
      </c>
      <c r="C4585" s="12" t="s">
        <v>1849</v>
      </c>
      <c r="D4585" s="6" t="s">
        <v>1850</v>
      </c>
      <c r="E4585" s="12" t="s">
        <v>6642</v>
      </c>
      <c r="F4585" s="12" t="s">
        <v>7345</v>
      </c>
      <c r="G4585" s="64" t="s">
        <v>5198</v>
      </c>
      <c r="H4585" s="12" t="s">
        <v>7362</v>
      </c>
      <c r="I4585" s="12" t="s">
        <v>9599</v>
      </c>
      <c r="J4585" s="12" t="s">
        <v>1851</v>
      </c>
      <c r="K4585" s="12" t="s">
        <v>1852</v>
      </c>
      <c r="L4585" s="12" t="s">
        <v>1853</v>
      </c>
      <c r="M4585" s="57"/>
      <c r="N4585" s="57"/>
      <c r="O4585" s="57" t="s">
        <v>1859</v>
      </c>
      <c r="P4585" s="56"/>
    </row>
    <row r="4586" spans="1:16" x14ac:dyDescent="0.2">
      <c r="A4586" s="49">
        <v>16208</v>
      </c>
      <c r="B4586" s="11" t="s">
        <v>1871</v>
      </c>
      <c r="C4586" s="11" t="s">
        <v>1849</v>
      </c>
      <c r="D4586" s="6" t="s">
        <v>1850</v>
      </c>
      <c r="E4586" s="12" t="s">
        <v>5888</v>
      </c>
      <c r="F4586" s="12" t="s">
        <v>6298</v>
      </c>
      <c r="G4586" s="12" t="s">
        <v>6331</v>
      </c>
      <c r="H4586" s="12" t="s">
        <v>6331</v>
      </c>
      <c r="I4586" s="12" t="s">
        <v>9600</v>
      </c>
      <c r="J4586" s="12" t="s">
        <v>2246</v>
      </c>
      <c r="K4586" s="12" t="s">
        <v>2247</v>
      </c>
      <c r="L4586" s="12" t="s">
        <v>5893</v>
      </c>
      <c r="M4586" s="12" t="s">
        <v>1854</v>
      </c>
      <c r="N4586" s="12"/>
      <c r="O4586" s="12" t="s">
        <v>9601</v>
      </c>
      <c r="P4586" s="56" t="s">
        <v>1865</v>
      </c>
    </row>
    <row r="4587" spans="1:16" x14ac:dyDescent="0.2">
      <c r="A4587" s="54">
        <v>7614</v>
      </c>
      <c r="B4587" s="30" t="s">
        <v>1848</v>
      </c>
      <c r="C4587" s="30" t="s">
        <v>1849</v>
      </c>
      <c r="D4587" s="55" t="s">
        <v>1850</v>
      </c>
      <c r="E4587" s="30" t="s">
        <v>1877</v>
      </c>
      <c r="F4587" s="30" t="s">
        <v>1877</v>
      </c>
      <c r="G4587" s="30" t="s">
        <v>2619</v>
      </c>
      <c r="H4587" s="30" t="s">
        <v>2864</v>
      </c>
      <c r="I4587" s="30" t="s">
        <v>9602</v>
      </c>
      <c r="J4587" s="30" t="s">
        <v>1851</v>
      </c>
      <c r="K4587" s="30" t="s">
        <v>1852</v>
      </c>
      <c r="L4587" s="30" t="s">
        <v>1853</v>
      </c>
      <c r="M4587" s="30" t="s">
        <v>1854</v>
      </c>
      <c r="N4587" s="30"/>
      <c r="O4587" s="30" t="s">
        <v>1855</v>
      </c>
      <c r="P4587" s="65"/>
    </row>
    <row r="4589" spans="1:16" ht="14.25" customHeight="1" x14ac:dyDescent="0.2"/>
    <row r="4595" spans="2:2" x14ac:dyDescent="0.2">
      <c r="B4595" s="17"/>
    </row>
  </sheetData>
  <conditionalFormatting sqref="A1:A3">
    <cfRule type="duplicateValues" dxfId="8" priority="9"/>
    <cfRule type="duplicateValues" dxfId="7" priority="10"/>
    <cfRule type="duplicateValues" dxfId="6" priority="11"/>
  </conditionalFormatting>
  <conditionalFormatting sqref="A4575:A4576 A4044:A4045 A4063:A4068 A4061 A4071 A4074 A4076 A3730:A3732 A3807:A3809 A3805 A3812:A3818 A4016:A4017 A4019 A4021 A4025 A4036:A4039 A4041:A4042 A1607:A1609 A4169 A4235:A4242 A4247:A4249 A4285 A4244 A4331:A4337 A4340:A4341 A4343:A4345 A4363:A4364 A4366:A4369 A4371:A4372 A4374 A4376 A4382:A4383 A4378 A4385:A4389 A4394:A4399 A4402 A4404:A4410 A4413:A4416 A4418:A4420 A4448:A4453 A4472:A4475 A4490:A4491 A4520:A4526 A4530:A4536 A4528 A4486 A4477:A4481 A4423:A4427 A4082:A4095 A4097:A4103 A4291:A4324 A4326:A4328 A1611:A1619 A5:A347 A350:A725 A727:A985 A987:A1052 A1054:A1105 A1107:A1228 A1230:A1248 A1250:A1320 A1322:A1453 A1455:A1467 A1578:A1605 A1624:A1657 A1659:A2166 A2266:A2411 A2413:A2670 A3669:A3728 A3734:A3759 A3820:A3828 A3830:A3843 A3845:A4011 A4029:A4030 A4052:A4058 A4105:A4162 A4164:A4167 A4171:A4220 A4222:A4233 A4251:A4283 A4347:A4357 A4380 A4429:A4440 A4442:A4446 A4455:A4460 A4462:A4470 A4495:A4518 A4541:A4573 A2168:A2264 A2672:A2942 A2944:A3140 A3143:A3667 A3761:A3803 A1469:A1576">
    <cfRule type="duplicateValues" dxfId="5" priority="14"/>
  </conditionalFormatting>
  <conditionalFormatting sqref="A4582:A4585 A4016:A4017 A4019 A4021 A4025 A4036:A4039 A4041:A4045 A4169 A3669:A3759 A4029:A4030 A4047:A4049 A4051:A4095 A4097:A4167 A4171:A4220 A4222:A4324 A4326:A4440 A4442:A4491 A4495:A4536 A3761:A3805 A1:A1320 A1322:A2264 A2266:A3141 A3143:A3667 A3807:A4014 A4538:A4579 A4587:A1048576">
    <cfRule type="duplicateValues" dxfId="4" priority="16"/>
  </conditionalFormatting>
  <conditionalFormatting sqref="A4582:A4585 A4587:A1048576 A4016:A4017 A4019 A4021 A4025 A4036:A4045 A4169 A3669:A3759 A4029:A4030 A4047:A4049 A4051:A4095 A4097:A4167 A4171:A4220 A4222:A4324 A4326:A4440 A4442:A4491 A4495:A4536 A3761:A3805 A4:A1320 A1322:A2264 A2266:A3141 A3143:A3667 A3807:A4014 A4538:A4579">
    <cfRule type="duplicateValues" dxfId="3" priority="13"/>
  </conditionalFormatting>
  <conditionalFormatting sqref="A4587:A1048576 A4494:A4536 A4051:A4440 A4442:A4492 A4:A1320 A1322:A4049 A4538:A4585">
    <cfRule type="duplicateValues" dxfId="2" priority="12"/>
  </conditionalFormatting>
  <conditionalFormatting sqref="A4594:A1048576 A3730:A3732 A3807:A3809 A3805 A4016:A4017 A4019 A4021 A4025 A4036:A4039 A4041:A4042 A4044:A4045 A4063:A4068 A4061 A4071 A4074 A4076 A4575:A4576 A1607:A1609 A4169 A4235:A4242 A4247:A4249 A4285 A4244 A4331:A4337 A4340:A4341 A4343:A4345 A4363:A4364 A4366:A4369 A4371:A4372 A4374 A4376 A4382:A4383 A4378 A4385:A4389 A4394:A4399 A4402 A4404:A4410 A4413:A4416 A4418:A4420 A4448:A4453 A4472:A4475 A4490:A4491 A4520:A4526 A4530:A4536 A4528 A4486 A3812:A3818 A4477:A4481 A4423:A4427 A4082:A4095 A4097:A4103 A4291:A4324 A4326:A4328 A4582:A4585 A1611:A1619 A4:A347 A350:A725 A727:A985 A987:A1052 A1054:A1105 A1107:A1228 A1230:A1248 A1250:A1320 A1322:A1453 A1455:A1467 A1578:A1605 A1624:A1657 A1659:A2166 A2266:A2411 A2413:A2670 A3669:A3728 A3734:A3759 A3820:A3828 A3830:A3843 A3845:A4011 A4029:A4030 A4052:A4058 A4105:A4162 A4164:A4167 A4171:A4220 A4222:A4233 A4251:A4283 A4347:A4357 A4380 A4429:A4440 A4442:A4446 A4455:A4460 A4462:A4470 A4495:A4518 A4541:A4573 A2168:A2264 A2672:A2942 A2944:A3140 A3143:A3667 A3761:A3803 A1469:A1576">
    <cfRule type="duplicateValues" dxfId="1" priority="15"/>
  </conditionalFormatting>
  <conditionalFormatting sqref="B1:B3">
    <cfRule type="duplicateValues" dxfId="0" priority="1"/>
  </conditionalFormatting>
  <conditionalFormatting sqref="D1248">
    <cfRule type="iconSet" priority="26">
      <iconSet iconSet="3Symbols2" showValue="0">
        <cfvo type="percent" val="0"/>
        <cfvo type="percent" val="33"/>
        <cfvo type="percent" val="67"/>
      </iconSet>
    </cfRule>
  </conditionalFormatting>
  <conditionalFormatting sqref="D2717">
    <cfRule type="iconSet" priority="24">
      <iconSet iconSet="3Symbols2" showValue="0">
        <cfvo type="percent" val="0"/>
        <cfvo type="percent" val="33"/>
        <cfvo type="percent" val="67"/>
      </iconSet>
    </cfRule>
    <cfRule type="iconSet" priority="25">
      <iconSet iconSet="3Symbols2" showValue="0">
        <cfvo type="percent" val="0"/>
        <cfvo type="percent" val="33"/>
        <cfvo type="num" val="80"/>
      </iconSet>
    </cfRule>
  </conditionalFormatting>
  <conditionalFormatting sqref="D3900 D1492:D1493 D3759 D3904">
    <cfRule type="iconSet" priority="22">
      <iconSet iconSet="3Symbols2" showValue="0">
        <cfvo type="percent" val="0"/>
        <cfvo type="percent" val="33"/>
        <cfvo type="percent" val="67"/>
      </iconSet>
    </cfRule>
  </conditionalFormatting>
  <conditionalFormatting sqref="D3900 D3759">
    <cfRule type="iconSet" priority="21">
      <iconSet iconSet="3Symbols2" showValue="0">
        <cfvo type="percent" val="0"/>
        <cfvo type="percent" val="33"/>
        <cfvo type="percent" val="67"/>
      </iconSet>
    </cfRule>
  </conditionalFormatting>
  <conditionalFormatting sqref="D3904">
    <cfRule type="iconSet" priority="5">
      <iconSet iconSet="3Symbols2" showValue="0">
        <cfvo type="percent" val="0"/>
        <cfvo type="percent" val="33"/>
        <cfvo type="percent" val="67"/>
      </iconSet>
    </cfRule>
  </conditionalFormatting>
  <conditionalFormatting sqref="D4553 D4555:D4556">
    <cfRule type="iconSet" priority="4">
      <iconSet iconSet="3Symbols2" showValue="0">
        <cfvo type="percent" val="0"/>
        <cfvo type="percent" val="33"/>
        <cfvo type="num" val="80"/>
      </iconSet>
    </cfRule>
  </conditionalFormatting>
  <conditionalFormatting sqref="D4553:D4557 D218:D219 D719:D721 D961 D1212:D1217 D1233 D1248 D1376 D1492:D1494 D1541:D1542 D1707:D1708 D1817:D1818 D2013:D2015 D2027:D2028 D2201:D2204 D2479 D2917:D2930 D3224:D3234 D3373 D3758:D3759 D3900:D3907 D3978 D4057:D4058">
    <cfRule type="iconSet" priority="19">
      <iconSet iconSet="3Symbols2" showValue="0">
        <cfvo type="percent" val="0"/>
        <cfvo type="percent" val="33"/>
        <cfvo type="num" val="80"/>
      </iconSet>
    </cfRule>
    <cfRule type="iconSet" priority="20">
      <iconSet iconSet="3Symbols2" showValue="0">
        <cfvo type="percent" val="0"/>
        <cfvo type="percent" val="33"/>
        <cfvo type="percent" val="67"/>
      </iconSet>
    </cfRule>
  </conditionalFormatting>
  <conditionalFormatting sqref="D4555 D1212:D1217 D1248 D1376 D1541:D1542 D1707:D1708 D1818 D2013:D2015 D2028 D3224:D3228 D3230:D3234 D3373 D2479 D1492:D1494 D1233 D2201:D2204 D2917:D2930">
    <cfRule type="iconSet" priority="17">
      <iconSet iconSet="3Symbols2" showValue="0">
        <cfvo type="percent" val="0"/>
        <cfvo type="percent" val="33"/>
        <cfvo type="percent" val="67"/>
      </iconSet>
    </cfRule>
  </conditionalFormatting>
  <conditionalFormatting sqref="D4555 D3901">
    <cfRule type="iconSet" priority="18">
      <iconSet iconSet="3Symbols2" showValue="0">
        <cfvo type="percent" val="0"/>
        <cfvo type="num" val="33"/>
        <cfvo type="num" val="80"/>
      </iconSet>
    </cfRule>
  </conditionalFormatting>
  <conditionalFormatting sqref="D4557 D961 D2202 D1215 D1217 D1541:D1542 D1233 D2014 D1376 D3224:D3227 D4554:D4555 D3229:D3234 D3901:D3902 D3906">
    <cfRule type="iconSet" priority="2">
      <iconSet iconSet="3Symbols2" showValue="0">
        <cfvo type="percent" val="0"/>
        <cfvo type="num" val="33"/>
        <cfvo type="num" val="80"/>
      </iconSet>
    </cfRule>
  </conditionalFormatting>
  <conditionalFormatting sqref="D4557">
    <cfRule type="iconSet" priority="3">
      <iconSet iconSet="3Symbols2" showValue="0">
        <cfvo type="percent" val="0"/>
        <cfvo type="percent" val="33"/>
        <cfvo type="num" val="80"/>
      </iconSet>
    </cfRule>
  </conditionalFormatting>
  <conditionalFormatting sqref="D4558:D4583 D5:D217 D220:D718 D722:D960 D962:D1211 D1218:D1232 D1234:D1247 D1249:D1375 D1377:D1491 D1495:D1540 D1543:D1706 D1709:D1816 D1819:D2012 D2016:D2026 D2029:D2200 D2205:D2478 D2480:D2716 D2718:D2916 D2931:D3223 D3235:D3372 D3374:D3757 D3760:D3899 D3908:D3977 D3979:D4056 D4059:D4552 D4585:D4587">
    <cfRule type="iconSet" priority="6">
      <iconSet iconSet="3Symbols2" showValue="0">
        <cfvo type="percent" val="0"/>
        <cfvo type="percent" val="33"/>
        <cfvo type="percent" val="67"/>
      </iconSet>
    </cfRule>
    <cfRule type="iconSet" priority="7">
      <iconSet iconSet="3Symbols2" showValue="0">
        <cfvo type="percent" val="0"/>
        <cfvo type="percent" val="33"/>
        <cfvo type="num" val="80"/>
      </iconSet>
    </cfRule>
  </conditionalFormatting>
  <conditionalFormatting sqref="G2137 G2071 G2074 G2095 G2107:G2108 G2113:G2114 G2123 G2128 G2134 G2081:G2082 G2139">
    <cfRule type="iconSet" priority="8">
      <iconSet iconSet="3Symbols2" showValue="0">
        <cfvo type="percent" val="0"/>
        <cfvo type="percent" val="33"/>
        <cfvo type="num" val="80"/>
      </iconSet>
    </cfRule>
  </conditionalFormatting>
  <conditionalFormatting sqref="G2538 G2546 G2540">
    <cfRule type="iconSet" priority="23">
      <iconSet iconSet="3Symbols2" showValue="0">
        <cfvo type="percent" val="0"/>
        <cfvo type="num" val="33"/>
        <cfvo type="num" val="80"/>
      </iconSet>
    </cfRule>
  </conditionalFormatting>
  <pageMargins left="0.23622047244094491" right="0.23622047244094491" top="0.74803149606299213" bottom="0.74803149606299213" header="0.31496062992125984" footer="0.31496062992125984"/>
  <pageSetup scale="80"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TABLA_ORIGINAL</vt:lpstr>
      <vt:lpstr>TABLA_GRÁFICA_DINÁMICO</vt:lpstr>
      <vt:lpstr>BD_PUNTOS_DE_ACCESO</vt:lpstr>
      <vt:lpstr>BD_SESIONES_DE_USUARIO</vt:lpstr>
      <vt:lpstr>BD_DATA_TRANSFERIDA</vt:lpstr>
      <vt:lpstr>BD_MEDUCA</vt:lpstr>
      <vt:lpstr>BD_MEDUCA!Títulos_a_imprimir</vt:lpstr>
    </vt:vector>
  </TitlesOfParts>
  <Manager>Maatwebsite</Manager>
  <Company>Maatwebsite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Accesos - Datos Abiertos (2025-08-08)</dc:title>
  <dc:subject>Spreadsheet export</dc:subject>
  <dc:creator>Maatwebsite</dc:creator>
  <cp:keywords>maatwebsite, excel, export</cp:keywords>
  <dc:description>Default spreadsheet export</dc:description>
  <cp:lastModifiedBy>Jean Carlos Guillen Alvarado</cp:lastModifiedBy>
  <cp:lastPrinted>2025-08-08T13:19:39Z</cp:lastPrinted>
  <dcterms:created xsi:type="dcterms:W3CDTF">2025-08-08T13:09:32Z</dcterms:created>
  <dcterms:modified xsi:type="dcterms:W3CDTF">2025-09-09T14:00:47Z</dcterms:modified>
  <cp:category>Excel</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29a161-3d67-4604-9965-1f683153f6d7_Enabled">
    <vt:lpwstr>true</vt:lpwstr>
  </property>
  <property fmtid="{D5CDD505-2E9C-101B-9397-08002B2CF9AE}" pid="3" name="MSIP_Label_bd29a161-3d67-4604-9965-1f683153f6d7_SetDate">
    <vt:lpwstr>2025-08-08T13:16:12Z</vt:lpwstr>
  </property>
  <property fmtid="{D5CDD505-2E9C-101B-9397-08002B2CF9AE}" pid="4" name="MSIP_Label_bd29a161-3d67-4604-9965-1f683153f6d7_Method">
    <vt:lpwstr>Privileged</vt:lpwstr>
  </property>
  <property fmtid="{D5CDD505-2E9C-101B-9397-08002B2CF9AE}" pid="5" name="MSIP_Label_bd29a161-3d67-4604-9965-1f683153f6d7_Name">
    <vt:lpwstr>Público</vt:lpwstr>
  </property>
  <property fmtid="{D5CDD505-2E9C-101B-9397-08002B2CF9AE}" pid="6" name="MSIP_Label_bd29a161-3d67-4604-9965-1f683153f6d7_SiteId">
    <vt:lpwstr>f084f831-bc86-4f05-89c4-94be5052e555</vt:lpwstr>
  </property>
  <property fmtid="{D5CDD505-2E9C-101B-9397-08002B2CF9AE}" pid="7" name="MSIP_Label_bd29a161-3d67-4604-9965-1f683153f6d7_ActionId">
    <vt:lpwstr>ae22ad54-2c53-43a8-9ee1-8e98be7376ad</vt:lpwstr>
  </property>
  <property fmtid="{D5CDD505-2E9C-101B-9397-08002B2CF9AE}" pid="8" name="MSIP_Label_bd29a161-3d67-4604-9965-1f683153f6d7_ContentBits">
    <vt:lpwstr>0</vt:lpwstr>
  </property>
  <property fmtid="{D5CDD505-2E9C-101B-9397-08002B2CF9AE}" pid="9" name="MSIP_Label_bd29a161-3d67-4604-9965-1f683153f6d7_Tag">
    <vt:lpwstr>10, 0, 1, 1</vt:lpwstr>
  </property>
</Properties>
</file>